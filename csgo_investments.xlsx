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98\Documents\Administration\Other Finanzen\"/>
    </mc:Choice>
  </mc:AlternateContent>
  <xr:revisionPtr revIDLastSave="0" documentId="13_ncr:1_{89390B9B-A14F-498D-8C96-4598CDE593AB}" xr6:coauthVersionLast="45" xr6:coauthVersionMax="46" xr10:uidLastSave="{00000000-0000-0000-0000-000000000000}"/>
  <bookViews>
    <workbookView xWindow="3510" yWindow="3510" windowWidth="6915" windowHeight="8070" activeTab="2" xr2:uid="{B994409A-3336-494C-A5F2-1559FEDF21BA}"/>
  </bookViews>
  <sheets>
    <sheet name="Investments" sheetId="1" r:id="rId1"/>
    <sheet name="Inventory-Value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1" i="3" l="1"/>
  <c r="D33" i="3" s="1"/>
  <c r="C31" i="3"/>
  <c r="I31" i="3"/>
  <c r="I33" i="3" s="1"/>
  <c r="H31" i="3"/>
  <c r="AM31" i="3"/>
  <c r="AM33" i="3" s="1"/>
  <c r="AL31" i="3"/>
  <c r="AG31" i="3"/>
  <c r="AG33" i="3" s="1"/>
  <c r="AF31" i="3"/>
  <c r="AA31" i="3"/>
  <c r="AA33" i="3" s="1"/>
  <c r="Z31" i="3"/>
  <c r="O31" i="3"/>
  <c r="O33" i="3" s="1"/>
  <c r="N31" i="3"/>
  <c r="U31" i="3"/>
  <c r="U33" i="3" s="1"/>
  <c r="T31" i="3"/>
  <c r="C137" i="2" l="1"/>
  <c r="D137" i="2"/>
  <c r="E137" i="2"/>
  <c r="F137" i="2"/>
  <c r="B137" i="2"/>
  <c r="C102" i="2"/>
  <c r="D102" i="2"/>
  <c r="E102" i="2"/>
  <c r="F102" i="2"/>
  <c r="B102" i="2"/>
  <c r="C88" i="2"/>
  <c r="D88" i="2"/>
  <c r="E88" i="2"/>
  <c r="F88" i="2"/>
  <c r="C70" i="2"/>
  <c r="D70" i="2"/>
  <c r="E70" i="2"/>
  <c r="F70" i="2"/>
  <c r="B88" i="2"/>
  <c r="B70" i="2"/>
  <c r="F9" i="2" l="1"/>
  <c r="C9" i="2"/>
  <c r="D9" i="2"/>
  <c r="E9" i="2"/>
  <c r="C20" i="2"/>
  <c r="D20" i="2"/>
  <c r="E20" i="2"/>
  <c r="F20" i="2"/>
  <c r="C32" i="2"/>
  <c r="D32" i="2"/>
  <c r="E32" i="2"/>
  <c r="F32" i="2"/>
  <c r="C40" i="2"/>
  <c r="D40" i="2"/>
  <c r="E40" i="2"/>
  <c r="F40" i="2"/>
  <c r="F50" i="2"/>
  <c r="C50" i="2"/>
  <c r="D50" i="2"/>
  <c r="E50" i="2"/>
  <c r="B147" i="2"/>
  <c r="B146" i="2"/>
  <c r="B145" i="2"/>
  <c r="B144" i="2"/>
  <c r="B143" i="2"/>
  <c r="B50" i="2"/>
  <c r="B40" i="2"/>
  <c r="B32" i="2"/>
  <c r="B20" i="2"/>
  <c r="B9" i="2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35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35" i="1"/>
  <c r="N20" i="1" l="1"/>
  <c r="N21" i="1"/>
  <c r="N22" i="1"/>
  <c r="I19" i="1"/>
  <c r="J19" i="1"/>
  <c r="K19" i="1" s="1"/>
  <c r="L19" i="1" s="1"/>
  <c r="I20" i="1"/>
  <c r="J20" i="1"/>
  <c r="I21" i="1"/>
  <c r="J21" i="1"/>
  <c r="K21" i="1" s="1"/>
  <c r="L21" i="1" s="1"/>
  <c r="I22" i="1"/>
  <c r="J22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4" i="1"/>
  <c r="I5" i="1"/>
  <c r="K5" i="1" s="1"/>
  <c r="L5" i="1" s="1"/>
  <c r="N5" i="1" s="1"/>
  <c r="I6" i="1"/>
  <c r="K6" i="1" s="1"/>
  <c r="L6" i="1" s="1"/>
  <c r="N6" i="1" s="1"/>
  <c r="I7" i="1"/>
  <c r="K7" i="1" s="1"/>
  <c r="L7" i="1" s="1"/>
  <c r="N7" i="1" s="1"/>
  <c r="I8" i="1"/>
  <c r="K8" i="1" s="1"/>
  <c r="L8" i="1" s="1"/>
  <c r="N8" i="1" s="1"/>
  <c r="I9" i="1"/>
  <c r="K9" i="1" s="1"/>
  <c r="L9" i="1" s="1"/>
  <c r="N9" i="1" s="1"/>
  <c r="I10" i="1"/>
  <c r="K10" i="1" s="1"/>
  <c r="L10" i="1" s="1"/>
  <c r="N10" i="1" s="1"/>
  <c r="I11" i="1"/>
  <c r="K11" i="1" s="1"/>
  <c r="L11" i="1" s="1"/>
  <c r="N11" i="1" s="1"/>
  <c r="I12" i="1"/>
  <c r="K12" i="1" s="1"/>
  <c r="L12" i="1" s="1"/>
  <c r="N12" i="1" s="1"/>
  <c r="I13" i="1"/>
  <c r="K13" i="1" s="1"/>
  <c r="L13" i="1" s="1"/>
  <c r="N13" i="1" s="1"/>
  <c r="I14" i="1"/>
  <c r="K14" i="1" s="1"/>
  <c r="L14" i="1" s="1"/>
  <c r="N14" i="1" s="1"/>
  <c r="I15" i="1"/>
  <c r="K15" i="1" s="1"/>
  <c r="L15" i="1" s="1"/>
  <c r="N15" i="1" s="1"/>
  <c r="I16" i="1"/>
  <c r="K16" i="1" s="1"/>
  <c r="L16" i="1" s="1"/>
  <c r="N16" i="1" s="1"/>
  <c r="I17" i="1"/>
  <c r="K17" i="1" s="1"/>
  <c r="L17" i="1" s="1"/>
  <c r="N17" i="1" s="1"/>
  <c r="I18" i="1"/>
  <c r="K18" i="1" s="1"/>
  <c r="L18" i="1" s="1"/>
  <c r="I4" i="1"/>
  <c r="K4" i="1" s="1"/>
  <c r="L4" i="1" s="1"/>
  <c r="N4" i="1" s="1"/>
  <c r="L23" i="1" l="1"/>
  <c r="K22" i="1"/>
  <c r="L22" i="1" s="1"/>
  <c r="K20" i="1"/>
  <c r="L20" i="1" s="1"/>
  <c r="AD51" i="1"/>
  <c r="AC51" i="1"/>
  <c r="AE51" i="1" s="1"/>
  <c r="AF51" i="1" s="1"/>
  <c r="AA51" i="1"/>
  <c r="AD50" i="1"/>
  <c r="AC50" i="1"/>
  <c r="AE50" i="1" s="1"/>
  <c r="AF50" i="1" s="1"/>
  <c r="AA50" i="1"/>
  <c r="AD49" i="1"/>
  <c r="AC49" i="1"/>
  <c r="AE49" i="1" s="1"/>
  <c r="AF49" i="1" s="1"/>
  <c r="AA49" i="1"/>
  <c r="AD48" i="1"/>
  <c r="AC48" i="1"/>
  <c r="AE48" i="1" s="1"/>
  <c r="AF48" i="1" s="1"/>
  <c r="AA48" i="1"/>
  <c r="AD47" i="1"/>
  <c r="AC47" i="1"/>
  <c r="AE47" i="1" s="1"/>
  <c r="AF47" i="1" s="1"/>
  <c r="AA47" i="1"/>
  <c r="AD46" i="1"/>
  <c r="AC46" i="1"/>
  <c r="AE46" i="1" s="1"/>
  <c r="AF46" i="1" s="1"/>
  <c r="AA46" i="1"/>
  <c r="AD45" i="1"/>
  <c r="AC45" i="1"/>
  <c r="AE45" i="1" s="1"/>
  <c r="AF45" i="1" s="1"/>
  <c r="AA45" i="1"/>
  <c r="AD44" i="1"/>
  <c r="AC44" i="1"/>
  <c r="AE44" i="1" s="1"/>
  <c r="AF44" i="1" s="1"/>
  <c r="AA44" i="1"/>
  <c r="AD43" i="1"/>
  <c r="AC43" i="1"/>
  <c r="AE43" i="1" s="1"/>
  <c r="AF43" i="1" s="1"/>
  <c r="AA43" i="1"/>
  <c r="AD42" i="1"/>
  <c r="AC42" i="1"/>
  <c r="AE42" i="1" s="1"/>
  <c r="AF42" i="1" s="1"/>
  <c r="AA42" i="1"/>
  <c r="AE41" i="1"/>
  <c r="AF41" i="1" s="1"/>
  <c r="AD41" i="1"/>
  <c r="AC41" i="1"/>
  <c r="AA41" i="1"/>
  <c r="AD40" i="1"/>
  <c r="AC40" i="1"/>
  <c r="AE40" i="1" s="1"/>
  <c r="AF40" i="1" s="1"/>
  <c r="AA40" i="1"/>
  <c r="AE39" i="1"/>
  <c r="AF39" i="1" s="1"/>
  <c r="AD39" i="1"/>
  <c r="AC39" i="1"/>
  <c r="AA39" i="1"/>
  <c r="AD38" i="1"/>
  <c r="AE38" i="1" s="1"/>
  <c r="AF38" i="1" s="1"/>
  <c r="AC38" i="1"/>
  <c r="AA38" i="1"/>
  <c r="AD37" i="1"/>
  <c r="AC37" i="1"/>
  <c r="AE37" i="1" s="1"/>
  <c r="AF37" i="1" s="1"/>
  <c r="AA37" i="1"/>
  <c r="AD36" i="1"/>
  <c r="AE36" i="1" s="1"/>
  <c r="AF36" i="1" s="1"/>
  <c r="AC36" i="1"/>
  <c r="AA36" i="1"/>
  <c r="AD35" i="1"/>
  <c r="AC35" i="1"/>
  <c r="AE35" i="1" s="1"/>
  <c r="AF35" i="1" s="1"/>
  <c r="AA35" i="1"/>
  <c r="AA52" i="1" s="1"/>
  <c r="S51" i="1"/>
  <c r="R51" i="1"/>
  <c r="T51" i="1" s="1"/>
  <c r="U51" i="1" s="1"/>
  <c r="P51" i="1"/>
  <c r="T50" i="1"/>
  <c r="U50" i="1" s="1"/>
  <c r="S50" i="1"/>
  <c r="R50" i="1"/>
  <c r="P50" i="1"/>
  <c r="S49" i="1"/>
  <c r="R49" i="1"/>
  <c r="T49" i="1" s="1"/>
  <c r="U49" i="1" s="1"/>
  <c r="P49" i="1"/>
  <c r="S48" i="1"/>
  <c r="R48" i="1"/>
  <c r="T48" i="1" s="1"/>
  <c r="U48" i="1" s="1"/>
  <c r="P48" i="1"/>
  <c r="S47" i="1"/>
  <c r="R47" i="1"/>
  <c r="T47" i="1" s="1"/>
  <c r="U47" i="1" s="1"/>
  <c r="P47" i="1"/>
  <c r="S46" i="1"/>
  <c r="R46" i="1"/>
  <c r="T46" i="1" s="1"/>
  <c r="U46" i="1" s="1"/>
  <c r="P46" i="1"/>
  <c r="T45" i="1"/>
  <c r="U45" i="1" s="1"/>
  <c r="S45" i="1"/>
  <c r="R45" i="1"/>
  <c r="P45" i="1"/>
  <c r="S44" i="1"/>
  <c r="R44" i="1"/>
  <c r="T44" i="1" s="1"/>
  <c r="U44" i="1" s="1"/>
  <c r="P44" i="1"/>
  <c r="S43" i="1"/>
  <c r="R43" i="1"/>
  <c r="T43" i="1" s="1"/>
  <c r="U43" i="1" s="1"/>
  <c r="P43" i="1"/>
  <c r="S42" i="1"/>
  <c r="R42" i="1"/>
  <c r="P42" i="1"/>
  <c r="S41" i="1"/>
  <c r="R41" i="1"/>
  <c r="T41" i="1" s="1"/>
  <c r="U41" i="1" s="1"/>
  <c r="P41" i="1"/>
  <c r="S40" i="1"/>
  <c r="R40" i="1"/>
  <c r="P40" i="1"/>
  <c r="S39" i="1"/>
  <c r="R39" i="1"/>
  <c r="T39" i="1" s="1"/>
  <c r="U39" i="1" s="1"/>
  <c r="P39" i="1"/>
  <c r="S38" i="1"/>
  <c r="R38" i="1"/>
  <c r="P38" i="1"/>
  <c r="S37" i="1"/>
  <c r="R37" i="1"/>
  <c r="T37" i="1" s="1"/>
  <c r="U37" i="1" s="1"/>
  <c r="P37" i="1"/>
  <c r="S36" i="1"/>
  <c r="R36" i="1"/>
  <c r="P36" i="1"/>
  <c r="S35" i="1"/>
  <c r="R35" i="1"/>
  <c r="P35" i="1"/>
  <c r="F36" i="1"/>
  <c r="G36" i="1"/>
  <c r="H36" i="1" s="1"/>
  <c r="I36" i="1" s="1"/>
  <c r="F37" i="1"/>
  <c r="H37" i="1" s="1"/>
  <c r="I37" i="1" s="1"/>
  <c r="G37" i="1"/>
  <c r="F38" i="1"/>
  <c r="G38" i="1"/>
  <c r="H38" i="1"/>
  <c r="I38" i="1"/>
  <c r="F39" i="1"/>
  <c r="H39" i="1" s="1"/>
  <c r="I39" i="1" s="1"/>
  <c r="G39" i="1"/>
  <c r="F40" i="1"/>
  <c r="G40" i="1"/>
  <c r="H40" i="1"/>
  <c r="I40" i="1" s="1"/>
  <c r="F41" i="1"/>
  <c r="G41" i="1"/>
  <c r="F42" i="1"/>
  <c r="H42" i="1" s="1"/>
  <c r="I42" i="1" s="1"/>
  <c r="G42" i="1"/>
  <c r="F43" i="1"/>
  <c r="G43" i="1"/>
  <c r="H43" i="1"/>
  <c r="I43" i="1"/>
  <c r="F44" i="1"/>
  <c r="H44" i="1" s="1"/>
  <c r="I44" i="1" s="1"/>
  <c r="G44" i="1"/>
  <c r="F45" i="1"/>
  <c r="H45" i="1" s="1"/>
  <c r="I45" i="1" s="1"/>
  <c r="G45" i="1"/>
  <c r="F46" i="1"/>
  <c r="G46" i="1"/>
  <c r="H46" i="1"/>
  <c r="I46" i="1"/>
  <c r="F47" i="1"/>
  <c r="G47" i="1"/>
  <c r="H47" i="1"/>
  <c r="I47" i="1"/>
  <c r="F48" i="1"/>
  <c r="H48" i="1" s="1"/>
  <c r="I48" i="1" s="1"/>
  <c r="G48" i="1"/>
  <c r="F49" i="1"/>
  <c r="H49" i="1" s="1"/>
  <c r="I49" i="1" s="1"/>
  <c r="G49" i="1"/>
  <c r="F50" i="1"/>
  <c r="G50" i="1"/>
  <c r="H50" i="1"/>
  <c r="I50" i="1"/>
  <c r="F51" i="1"/>
  <c r="G51" i="1"/>
  <c r="H51" i="1"/>
  <c r="I51" i="1"/>
  <c r="I35" i="1"/>
  <c r="H35" i="1"/>
  <c r="G35" i="1"/>
  <c r="F35" i="1"/>
  <c r="D45" i="1"/>
  <c r="D46" i="1"/>
  <c r="D47" i="1"/>
  <c r="D48" i="1"/>
  <c r="D49" i="1"/>
  <c r="D50" i="1"/>
  <c r="D51" i="1"/>
  <c r="D36" i="1"/>
  <c r="D37" i="1"/>
  <c r="D38" i="1"/>
  <c r="D39" i="1"/>
  <c r="D40" i="1"/>
  <c r="D41" i="1"/>
  <c r="D42" i="1"/>
  <c r="D43" i="1"/>
  <c r="D44" i="1"/>
  <c r="D3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N18" i="1" s="1"/>
  <c r="E19" i="1"/>
  <c r="N19" i="1" s="1"/>
  <c r="E20" i="1"/>
  <c r="E21" i="1"/>
  <c r="E22" i="1"/>
  <c r="AF52" i="1" l="1"/>
  <c r="T36" i="1"/>
  <c r="U36" i="1" s="1"/>
  <c r="V36" i="1" s="1"/>
  <c r="T35" i="1"/>
  <c r="U35" i="1" s="1"/>
  <c r="T42" i="1"/>
  <c r="U42" i="1" s="1"/>
  <c r="U52" i="1" s="1"/>
  <c r="T38" i="1"/>
  <c r="U38" i="1" s="1"/>
  <c r="P52" i="1"/>
  <c r="AA57" i="1" s="1"/>
  <c r="T40" i="1"/>
  <c r="U40" i="1" s="1"/>
  <c r="D52" i="1"/>
  <c r="H41" i="1"/>
  <c r="I41" i="1" s="1"/>
  <c r="I52" i="1" s="1"/>
  <c r="E5" i="1" l="1"/>
  <c r="E4" i="1"/>
  <c r="E23" i="1" l="1"/>
  <c r="L25" i="1" s="1"/>
  <c r="B148" i="2"/>
  <c r="B149" i="2"/>
  <c r="B150" i="2" l="1"/>
  <c r="B151" i="2"/>
  <c r="B157" i="2" s="1"/>
</calcChain>
</file>

<file path=xl/sharedStrings.xml><?xml version="1.0" encoding="utf-8"?>
<sst xmlns="http://schemas.openxmlformats.org/spreadsheetml/2006/main" count="390" uniqueCount="168">
  <si>
    <t>CS-Investments</t>
  </si>
  <si>
    <t>Item name</t>
  </si>
  <si>
    <t>Quantity</t>
  </si>
  <si>
    <t>Buy Date</t>
  </si>
  <si>
    <t>Prisma 2 case</t>
  </si>
  <si>
    <t>Total Price Buy</t>
  </si>
  <si>
    <t>Buy price item</t>
  </si>
  <si>
    <t>11.3.2021</t>
  </si>
  <si>
    <t>CS20 case</t>
  </si>
  <si>
    <t>Horizon case</t>
  </si>
  <si>
    <t>Fracture case</t>
  </si>
  <si>
    <t>14.5.2021</t>
  </si>
  <si>
    <t>M4A4 Dark Blossom FN</t>
  </si>
  <si>
    <t>Danger zone case</t>
  </si>
  <si>
    <t>Ingame-Drops</t>
  </si>
  <si>
    <t>Name</t>
  </si>
  <si>
    <t>Amount</t>
  </si>
  <si>
    <t>Current Price</t>
  </si>
  <si>
    <t>Prisma Case</t>
  </si>
  <si>
    <t>Prisma 2 Case</t>
  </si>
  <si>
    <t>Fracture Case</t>
  </si>
  <si>
    <t>Danger Zone Case</t>
  </si>
  <si>
    <t>Clutch Case</t>
  </si>
  <si>
    <t>CS20 Case</t>
  </si>
  <si>
    <t>Spectrum 2 Case</t>
  </si>
  <si>
    <t>Shattered Web Case</t>
  </si>
  <si>
    <t>Horizon Case</t>
  </si>
  <si>
    <t>Spectrum Case</t>
  </si>
  <si>
    <t>Total</t>
  </si>
  <si>
    <t>Valve Cut</t>
  </si>
  <si>
    <t>CSGO-Cut</t>
  </si>
  <si>
    <t>Sell-Income</t>
  </si>
  <si>
    <t>Current Inventory</t>
  </si>
  <si>
    <t>Danger Zone Cases</t>
  </si>
  <si>
    <t>Horizon Cases</t>
  </si>
  <si>
    <t>Fracture Cases</t>
  </si>
  <si>
    <t>Prisma 2 Cases</t>
  </si>
  <si>
    <t>CS20-Cases</t>
  </si>
  <si>
    <t>Weapon Skin Inventory</t>
  </si>
  <si>
    <t>Valve cut</t>
  </si>
  <si>
    <t>CSGO Cut</t>
  </si>
  <si>
    <t>Revenue</t>
  </si>
  <si>
    <t>Total Revenue</t>
  </si>
  <si>
    <t>Return per CHF spent</t>
  </si>
  <si>
    <t>15.5.2021</t>
  </si>
  <si>
    <t>Revenue/CHF</t>
  </si>
  <si>
    <t>Inventory</t>
  </si>
  <si>
    <t>Knives</t>
  </si>
  <si>
    <t>Bayonet Rust Coat BS</t>
  </si>
  <si>
    <t>Butterfly Knife Tiger Tooth FN</t>
  </si>
  <si>
    <t>Flip Knife Freehand FN</t>
  </si>
  <si>
    <t>Karambit Ultraviolet FT</t>
  </si>
  <si>
    <t>AWP</t>
  </si>
  <si>
    <t>Fewer Dream MW</t>
  </si>
  <si>
    <t>Elite Build FT</t>
  </si>
  <si>
    <t>Stattrak Hyper Beast FT</t>
  </si>
  <si>
    <t>Mortis MW</t>
  </si>
  <si>
    <t>Boom MW</t>
  </si>
  <si>
    <t>Neo-Noir FN</t>
  </si>
  <si>
    <t>Atheris MW</t>
  </si>
  <si>
    <t>M4A4</t>
  </si>
  <si>
    <t>Bullet Rain MW</t>
  </si>
  <si>
    <t>Desolate Space MW</t>
  </si>
  <si>
    <t>Stattrak Dragon King MW</t>
  </si>
  <si>
    <t>Evil Daimyo FN</t>
  </si>
  <si>
    <t>Hellfire MW</t>
  </si>
  <si>
    <t>Neo-Noir MW</t>
  </si>
  <si>
    <t>The Battlestar FN</t>
  </si>
  <si>
    <t>Stattrak Cyber Security MW</t>
  </si>
  <si>
    <t>M4A1-S</t>
  </si>
  <si>
    <t>Golden Coil FT</t>
  </si>
  <si>
    <t>Hyper Beast MW</t>
  </si>
  <si>
    <t>Stattrak Cyrex MW</t>
  </si>
  <si>
    <t>Flashback FN</t>
  </si>
  <si>
    <t>AK-47</t>
  </si>
  <si>
    <t>Redline FT</t>
  </si>
  <si>
    <t>Vulcan MW</t>
  </si>
  <si>
    <t>Bloodsport MW</t>
  </si>
  <si>
    <t>Stattrak Point Disarray FT</t>
  </si>
  <si>
    <t>Frontside Misty MW</t>
  </si>
  <si>
    <t>Aquamarine Revenge MW</t>
  </si>
  <si>
    <t>Other Rifles</t>
  </si>
  <si>
    <t>Scar-20 Cardiac FT</t>
  </si>
  <si>
    <t>Aug Chameleon MW</t>
  </si>
  <si>
    <t>Stattrak SG553 Tiger Moth FT</t>
  </si>
  <si>
    <t>SSG08 Blood in the Water MW</t>
  </si>
  <si>
    <t>Stattrak Famas Valence FT</t>
  </si>
  <si>
    <t>G3SG1 Stinger FN</t>
  </si>
  <si>
    <t>Famas Roll Cage MW</t>
  </si>
  <si>
    <t>Stattrak SSG08 Death's Head MW</t>
  </si>
  <si>
    <t>Stattrak Galil AR Stone Cold FT</t>
  </si>
  <si>
    <t>Galil AR Tornado BS</t>
  </si>
  <si>
    <t>Famas Night Borre FT</t>
  </si>
  <si>
    <t>Famas Macabre MW</t>
  </si>
  <si>
    <t>Galil AR Eco FT</t>
  </si>
  <si>
    <t>SCAR-20 Powercore MW</t>
  </si>
  <si>
    <t>SG553 Atlas FN</t>
  </si>
  <si>
    <t>SSG08 Necropos MW</t>
  </si>
  <si>
    <t>SMG</t>
  </si>
  <si>
    <t>P90 Asiimov Ft</t>
  </si>
  <si>
    <t>Stattrak PP-Bizon Osiris FT</t>
  </si>
  <si>
    <t>Stattrak MP9 Dart MW</t>
  </si>
  <si>
    <t>Stattrak UMP-45 Primal Saber FT</t>
  </si>
  <si>
    <t>MP/ Nemesis MW</t>
  </si>
  <si>
    <t>MP7 Bloodsport MW</t>
  </si>
  <si>
    <t>UMP-45 Momentum FN</t>
  </si>
  <si>
    <t>Stattrak MAC-10 Neon Rider MW</t>
  </si>
  <si>
    <t>MP5-SD Bamboo Garden MW</t>
  </si>
  <si>
    <t>MAC-10 Malachite MW</t>
  </si>
  <si>
    <t>MP7 Impire MW</t>
  </si>
  <si>
    <t>MP9 Hydra MW</t>
  </si>
  <si>
    <t>PP-Bizon Fuel Rod FT</t>
  </si>
  <si>
    <t>UMP-45 Plastique MW</t>
  </si>
  <si>
    <t>Heavy</t>
  </si>
  <si>
    <t>Stattrak MAG-7 Heat FT</t>
  </si>
  <si>
    <t>Sawed-Off The Kraken MW</t>
  </si>
  <si>
    <t>XM1014 Heaven Guard FT</t>
  </si>
  <si>
    <t>Nova Hyper Beast FT</t>
  </si>
  <si>
    <t>Nova Wild Six FT</t>
  </si>
  <si>
    <t>Nova Toy Soldier MW</t>
  </si>
  <si>
    <t>MAG-7 Swag-7 FT</t>
  </si>
  <si>
    <t>Souvenir XM1014 VariCamo Blue FN</t>
  </si>
  <si>
    <t>MAG-7 Popdog FN</t>
  </si>
  <si>
    <t>Sawed-Off Limelight MW</t>
  </si>
  <si>
    <t>Pistol</t>
  </si>
  <si>
    <t>USP-S Kill Confirmed BS</t>
  </si>
  <si>
    <t>Stattrak P250 Wingshot MW</t>
  </si>
  <si>
    <t>Stattrak Tec-9 Avalanche FT</t>
  </si>
  <si>
    <t>Desert Eagle Kumicho Dragon MW</t>
  </si>
  <si>
    <t>Stattrak P2000 Imperial Dragon FT</t>
  </si>
  <si>
    <t>Stattrak CZ75-Auto Red Astor MW</t>
  </si>
  <si>
    <t>R8 Revolver Reboot FT</t>
  </si>
  <si>
    <t>Stattrak Glock-18 Water Elemental FT</t>
  </si>
  <si>
    <t>Stattrak Dual Berettas Dualing Dragons MW</t>
  </si>
  <si>
    <t>Dual Berettas Urban Shock MW</t>
  </si>
  <si>
    <t>Stattrak USP-S Cyrex FN</t>
  </si>
  <si>
    <t>Stattrak CZ75-Auto Eco MW</t>
  </si>
  <si>
    <t>Stattrak Five-Seven Monkey Business FT</t>
  </si>
  <si>
    <t>USP-S Cyrex WW</t>
  </si>
  <si>
    <t>Glock-18 Candy Apple MW</t>
  </si>
  <si>
    <t>Stattrak Desert Eagle Conspiracy MW</t>
  </si>
  <si>
    <t>Glock-18 Wasteland Rebel MW</t>
  </si>
  <si>
    <t>P250 See Ya Later MW</t>
  </si>
  <si>
    <t>Five-Seven Angry Mob MW</t>
  </si>
  <si>
    <t>Five-Seven Hyper Beast MW</t>
  </si>
  <si>
    <t>Desert Eagle Light Rail FN</t>
  </si>
  <si>
    <t>Desert Eagle Hypnotic FN</t>
  </si>
  <si>
    <t>Desert Eagle Code Red MW</t>
  </si>
  <si>
    <t>Stattrak Glock-18 Weasel FT</t>
  </si>
  <si>
    <t>Stattrak Five-Seven Buddy MW</t>
  </si>
  <si>
    <t>R8 Revolver Canal Spray FT</t>
  </si>
  <si>
    <t>Desert Eagle Midnight Storm MW</t>
  </si>
  <si>
    <t>Dual Berettas Emerald FN</t>
  </si>
  <si>
    <t>Five-Seven Hot Shot MW</t>
  </si>
  <si>
    <t>Glock-18 Nuclear Garden FT</t>
  </si>
  <si>
    <t>USP-S Flashback MW</t>
  </si>
  <si>
    <t>Other Rifle</t>
  </si>
  <si>
    <t>AK47</t>
  </si>
  <si>
    <t>Categories</t>
  </si>
  <si>
    <t>XM1014 Banana Leaf</t>
  </si>
  <si>
    <t>Condition</t>
  </si>
  <si>
    <t>MW</t>
  </si>
  <si>
    <t>Buy Price</t>
  </si>
  <si>
    <t>M4A4 Dark Blossom</t>
  </si>
  <si>
    <t>FN</t>
  </si>
  <si>
    <t>Tec-9 Rust Leaf</t>
  </si>
  <si>
    <t>P90 Sunset Lily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</si>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</sst>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Knives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'Inventory-Value'!$A$5</c:f>
              <c:strCache>
                <c:ptCount val="1"/>
                <c:pt idx="0">
                  <c:v>Bayonet Rust Coat BS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'Inventory-Value'!$B$4:$T$4</c:f>
              <c:numCache>
                <c:formatCode>m/d/yyyy</c:formatCode>
                <c:ptCount val="19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'Inventory-Value'!$B$5:$T$5</c:f>
              <c:numCache>
                <c:formatCode>General</c:formatCode>
                <c:ptCount val="19"/>
                <c:pt idx="0">
                  <c:v>196.27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62-47A6-8BCA-4CB0608544A3}"/>
            </c:ext>
          </c:extLst>
        </c:ser>
        <c:ser>
          <c:idx val="1"/>
          <c:order val="1"/>
          <c:tx>
            <c:strRef>
              <c:f>'Inventory-Value'!$A$6</c:f>
              <c:strCache>
                <c:ptCount val="1"/>
                <c:pt idx="0">
                  <c:v>Butterfly Knife Tiger Tooth FN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'Inventory-Value'!$B$4:$T$4</c:f>
              <c:numCache>
                <c:formatCode>m/d/yyyy</c:formatCode>
                <c:ptCount val="19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'Inventory-Value'!$B$6:$T$6</c:f>
              <c:numCache>
                <c:formatCode>General</c:formatCode>
                <c:ptCount val="19"/>
                <c:pt idx="0">
                  <c:v>1201.5999999999999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62-47A6-8BCA-4CB0608544A3}"/>
            </c:ext>
          </c:extLst>
        </c:ser>
        <c:ser>
          <c:idx val="2"/>
          <c:order val="2"/>
          <c:tx>
            <c:strRef>
              <c:f>'Inventory-Value'!$A$7</c:f>
              <c:strCache>
                <c:ptCount val="1"/>
                <c:pt idx="0">
                  <c:v>Flip Knife Freehand FN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'Inventory-Value'!$B$4:$T$4</c:f>
              <c:numCache>
                <c:formatCode>m/d/yyyy</c:formatCode>
                <c:ptCount val="19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'Inventory-Value'!$B$7:$T$7</c:f>
              <c:numCache>
                <c:formatCode>General</c:formatCode>
                <c:ptCount val="19"/>
                <c:pt idx="0">
                  <c:v>194.62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62-47A6-8BCA-4CB0608544A3}"/>
            </c:ext>
          </c:extLst>
        </c:ser>
        <c:ser>
          <c:idx val="3"/>
          <c:order val="3"/>
          <c:tx>
            <c:strRef>
              <c:f>'Inventory-Value'!$A$8</c:f>
              <c:strCache>
                <c:ptCount val="1"/>
                <c:pt idx="0">
                  <c:v>Karambit Ultraviolet FT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'Inventory-Value'!$B$4:$T$4</c:f>
              <c:numCache>
                <c:formatCode>m/d/yyyy</c:formatCode>
                <c:ptCount val="19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'Inventory-Value'!$B$8:$T$8</c:f>
              <c:numCache>
                <c:formatCode>General</c:formatCode>
                <c:ptCount val="19"/>
                <c:pt idx="0">
                  <c:v>380.55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62-47A6-8BCA-4CB060854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0300288"/>
        <c:axId val="102426880"/>
      </c:lineChart>
      <c:dateAx>
        <c:axId val="3203002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02426880"/>
        <c:crosses val="autoZero"/>
        <c:auto val="1"/>
        <c:lblOffset val="100"/>
        <c:baseTimeUnit val="days"/>
      </c:dateAx>
      <c:valAx>
        <c:axId val="10242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32030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AWP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'Inventory-Value'!$A$13</c:f>
              <c:strCache>
                <c:ptCount val="1"/>
                <c:pt idx="0">
                  <c:v>Fewer Dream MW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'Inventory-Value'!$B$12:$F$12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'Inventory-Value'!$B$13:$F$13</c:f>
              <c:numCache>
                <c:formatCode>General</c:formatCode>
                <c:ptCount val="5"/>
                <c:pt idx="0">
                  <c:v>7.47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99-4A61-A058-C0761B04BB98}"/>
            </c:ext>
          </c:extLst>
        </c:ser>
        <c:ser>
          <c:idx val="1"/>
          <c:order val="1"/>
          <c:tx>
            <c:strRef>
              <c:f>'Inventory-Value'!$A$14</c:f>
              <c:strCache>
                <c:ptCount val="1"/>
                <c:pt idx="0">
                  <c:v>Elite Build FT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'Inventory-Value'!$B$12:$F$12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'Inventory-Value'!$B$14:$F$14</c:f>
              <c:numCache>
                <c:formatCode>General</c:formatCode>
                <c:ptCount val="5"/>
                <c:pt idx="0">
                  <c:v>6.81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99-4A61-A058-C0761B04BB98}"/>
            </c:ext>
          </c:extLst>
        </c:ser>
        <c:ser>
          <c:idx val="2"/>
          <c:order val="2"/>
          <c:tx>
            <c:strRef>
              <c:f>'Inventory-Value'!$A$15</c:f>
              <c:strCache>
                <c:ptCount val="1"/>
                <c:pt idx="0">
                  <c:v>Stattrak Hyper Beast FT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'Inventory-Value'!$B$12:$F$12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'Inventory-Value'!$B$15:$F$15</c:f>
              <c:numCache>
                <c:formatCode>General</c:formatCode>
                <c:ptCount val="5"/>
                <c:pt idx="0">
                  <c:v>74.08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99-4A61-A058-C0761B04BB98}"/>
            </c:ext>
          </c:extLst>
        </c:ser>
        <c:ser>
          <c:idx val="3"/>
          <c:order val="3"/>
          <c:tx>
            <c:strRef>
              <c:f>'Inventory-Value'!$A$16</c:f>
              <c:strCache>
                <c:ptCount val="1"/>
                <c:pt idx="0">
                  <c:v>Mortis MW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'Inventory-Value'!$B$12:$F$12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'Inventory-Value'!$B$16:$F$16</c:f>
              <c:numCache>
                <c:formatCode>General</c:formatCode>
                <c:ptCount val="5"/>
                <c:pt idx="0">
                  <c:v>3.23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99-4A61-A058-C0761B04BB98}"/>
            </c:ext>
          </c:extLst>
        </c:ser>
        <c:ser>
          <c:idx val="4"/>
          <c:order val="4"/>
          <c:tx>
            <c:strRef>
              <c:f>'Inventory-Value'!$A$17</c:f>
              <c:strCache>
                <c:ptCount val="1"/>
                <c:pt idx="0">
                  <c:v>Boom MW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'Inventory-Value'!$B$12:$F$12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'Inventory-Value'!$B$17:$F$17</c:f>
              <c:numCache>
                <c:formatCode>General</c:formatCode>
                <c:ptCount val="5"/>
                <c:pt idx="0">
                  <c:v>52.57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599-4A61-A058-C0761B04BB98}"/>
            </c:ext>
          </c:extLst>
        </c:ser>
        <c:ser>
          <c:idx val="5"/>
          <c:order val="5"/>
          <c:tx>
            <c:strRef>
              <c:f>'Inventory-Value'!$A$18</c:f>
              <c:strCache>
                <c:ptCount val="1"/>
                <c:pt idx="0">
                  <c:v>Neo-Noir FN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'Inventory-Value'!$B$12:$F$12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'Inventory-Value'!$B$18:$F$18</c:f>
              <c:numCache>
                <c:formatCode>General</c:formatCode>
                <c:ptCount val="5"/>
                <c:pt idx="0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599-4A61-A058-C0761B04BB98}"/>
            </c:ext>
          </c:extLst>
        </c:ser>
        <c:ser>
          <c:idx val="6"/>
          <c:order val="6"/>
          <c:tx>
            <c:strRef>
              <c:f>'Inventory-Value'!$A$19</c:f>
              <c:strCache>
                <c:ptCount val="1"/>
                <c:pt idx="0">
                  <c:v>Atheris MW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'Inventory-Value'!$B$12:$F$12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'Inventory-Value'!$B$19:$F$19</c:f>
              <c:numCache>
                <c:formatCode>General</c:formatCode>
                <c:ptCount val="5"/>
                <c:pt idx="0">
                  <c:v>4.3099999999999996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599-4A61-A058-C0761B04B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0959008"/>
        <c:axId val="283160464"/>
      </c:lineChart>
      <c:dateAx>
        <c:axId val="330959008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283160464"/>
        <c:crosses val="autoZero"/>
        <c:auto val="1"/>
        <c:lblOffset val="100"/>
        <c:baseTimeUnit val="days"/>
      </c:dateAx>
      <c:valAx>
        <c:axId val="28316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33095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M4A4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'Inventory-Value'!$A$24</c:f>
              <c:strCache>
                <c:ptCount val="1"/>
                <c:pt idx="0">
                  <c:v>Stattrak Dragon King MW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'Inventory-Value'!$B$23:$F$23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'Inventory-Value'!$B$24:$F$24</c:f>
              <c:numCache>
                <c:formatCode>General</c:formatCode>
                <c:ptCount val="5"/>
                <c:pt idx="0">
                  <c:v>37.31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B7-406F-901A-4C7090439B10}"/>
            </c:ext>
          </c:extLst>
        </c:ser>
        <c:ser>
          <c:idx val="1"/>
          <c:order val="1"/>
          <c:tx>
            <c:strRef>
              <c:f>'Inventory-Value'!$A$25</c:f>
              <c:strCache>
                <c:ptCount val="1"/>
                <c:pt idx="0">
                  <c:v>Desolate Space MW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'Inventory-Value'!$B$23:$F$23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'Inventory-Value'!$B$25:$F$25</c:f>
              <c:numCache>
                <c:formatCode>General</c:formatCode>
                <c:ptCount val="5"/>
                <c:pt idx="0">
                  <c:v>13.77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B7-406F-901A-4C7090439B10}"/>
            </c:ext>
          </c:extLst>
        </c:ser>
        <c:ser>
          <c:idx val="2"/>
          <c:order val="2"/>
          <c:tx>
            <c:strRef>
              <c:f>'Inventory-Value'!$A$26</c:f>
              <c:strCache>
                <c:ptCount val="1"/>
                <c:pt idx="0">
                  <c:v>Bullet Rain MW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'Inventory-Value'!$B$23:$F$23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'Inventory-Value'!$B$26:$F$26</c:f>
              <c:numCache>
                <c:formatCode>General</c:formatCode>
                <c:ptCount val="5"/>
                <c:pt idx="0">
                  <c:v>17.309999999999999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B7-406F-901A-4C7090439B10}"/>
            </c:ext>
          </c:extLst>
        </c:ser>
        <c:ser>
          <c:idx val="3"/>
          <c:order val="3"/>
          <c:tx>
            <c:strRef>
              <c:f>'Inventory-Value'!$A$27</c:f>
              <c:strCache>
                <c:ptCount val="1"/>
                <c:pt idx="0">
                  <c:v>Evil Daimyo FN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'Inventory-Value'!$B$23:$F$23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'Inventory-Value'!$B$27:$F$27</c:f>
              <c:numCache>
                <c:formatCode>General</c:formatCode>
                <c:ptCount val="5"/>
                <c:pt idx="0">
                  <c:v>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B7-406F-901A-4C7090439B10}"/>
            </c:ext>
          </c:extLst>
        </c:ser>
        <c:ser>
          <c:idx val="4"/>
          <c:order val="4"/>
          <c:tx>
            <c:strRef>
              <c:f>'Inventory-Value'!$A$28</c:f>
              <c:strCache>
                <c:ptCount val="1"/>
                <c:pt idx="0">
                  <c:v>Hellfire MW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'Inventory-Value'!$B$23:$F$23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'Inventory-Value'!$B$28:$F$28</c:f>
              <c:numCache>
                <c:formatCode>General</c:formatCode>
                <c:ptCount val="5"/>
                <c:pt idx="0">
                  <c:v>26.86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B7-406F-901A-4C7090439B10}"/>
            </c:ext>
          </c:extLst>
        </c:ser>
        <c:ser>
          <c:idx val="5"/>
          <c:order val="5"/>
          <c:tx>
            <c:strRef>
              <c:f>'Inventory-Value'!$A$29</c:f>
              <c:strCache>
                <c:ptCount val="1"/>
                <c:pt idx="0">
                  <c:v>Neo-Noir MW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'Inventory-Value'!$B$23:$F$23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'Inventory-Value'!$B$29:$F$29</c:f>
              <c:numCache>
                <c:formatCode>General</c:formatCode>
                <c:ptCount val="5"/>
                <c:pt idx="0">
                  <c:v>29.07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BB7-406F-901A-4C7090439B10}"/>
            </c:ext>
          </c:extLst>
        </c:ser>
        <c:ser>
          <c:idx val="6"/>
          <c:order val="6"/>
          <c:tx>
            <c:strRef>
              <c:f>'Inventory-Value'!$A$30</c:f>
              <c:strCache>
                <c:ptCount val="1"/>
                <c:pt idx="0">
                  <c:v>The Battlestar FN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'Inventory-Value'!$B$23:$F$23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'Inventory-Value'!$B$30:$F$30</c:f>
              <c:numCache>
                <c:formatCode>General</c:formatCode>
                <c:ptCount val="5"/>
                <c:pt idx="0">
                  <c:v>14.52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BB7-406F-901A-4C7090439B10}"/>
            </c:ext>
          </c:extLst>
        </c:ser>
        <c:ser>
          <c:idx val="7"/>
          <c:order val="7"/>
          <c:tx>
            <c:strRef>
              <c:f>'Inventory-Value'!$A$31</c:f>
              <c:strCache>
                <c:ptCount val="1"/>
                <c:pt idx="0">
                  <c:v>Stattrak Cyber Security MW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'Inventory-Value'!$B$23:$F$23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'Inventory-Value'!$B$31:$F$31</c:f>
              <c:numCache>
                <c:formatCode>General</c:formatCode>
                <c:ptCount val="5"/>
                <c:pt idx="0">
                  <c:v>33.21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BB7-406F-901A-4C7090439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6519568"/>
        <c:axId val="280725504"/>
      </c:lineChart>
      <c:dateAx>
        <c:axId val="416519568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280725504"/>
        <c:crosses val="autoZero"/>
        <c:auto val="1"/>
        <c:lblOffset val="100"/>
        <c:baseTimeUnit val="days"/>
      </c:dateAx>
      <c:valAx>
        <c:axId val="28072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41651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M4A1-S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'Inventory-Value'!$A$36</c:f>
              <c:strCache>
                <c:ptCount val="1"/>
                <c:pt idx="0">
                  <c:v>Golden Coil FT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'Inventory-Value'!$B$35:$F$35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'Inventory-Value'!$B$36:$F$36</c:f>
              <c:numCache>
                <c:formatCode>General</c:formatCode>
                <c:ptCount val="5"/>
                <c:pt idx="0">
                  <c:v>15.54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EA-4984-8F1E-4D1BA673D22D}"/>
            </c:ext>
          </c:extLst>
        </c:ser>
        <c:ser>
          <c:idx val="1"/>
          <c:order val="1"/>
          <c:tx>
            <c:strRef>
              <c:f>'Inventory-Value'!$A$37</c:f>
              <c:strCache>
                <c:ptCount val="1"/>
                <c:pt idx="0">
                  <c:v>Hyper Beast MW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'Inventory-Value'!$B$35:$F$35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'Inventory-Value'!$B$37:$F$37</c:f>
              <c:numCache>
                <c:formatCode>General</c:formatCode>
                <c:ptCount val="5"/>
                <c:pt idx="0">
                  <c:v>21.98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EA-4984-8F1E-4D1BA673D22D}"/>
            </c:ext>
          </c:extLst>
        </c:ser>
        <c:ser>
          <c:idx val="2"/>
          <c:order val="2"/>
          <c:tx>
            <c:strRef>
              <c:f>'Inventory-Value'!$A$38</c:f>
              <c:strCache>
                <c:ptCount val="1"/>
                <c:pt idx="0">
                  <c:v>Stattrak Cyrex MW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'Inventory-Value'!$B$35:$F$35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'Inventory-Value'!$B$38:$F$38</c:f>
              <c:numCache>
                <c:formatCode>General</c:formatCode>
                <c:ptCount val="5"/>
                <c:pt idx="0">
                  <c:v>36.200000000000003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EA-4984-8F1E-4D1BA673D22D}"/>
            </c:ext>
          </c:extLst>
        </c:ser>
        <c:ser>
          <c:idx val="3"/>
          <c:order val="3"/>
          <c:tx>
            <c:strRef>
              <c:f>'Inventory-Value'!$A$39</c:f>
              <c:strCache>
                <c:ptCount val="1"/>
                <c:pt idx="0">
                  <c:v>Flashback FN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'Inventory-Value'!$B$35:$F$35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'Inventory-Value'!$B$39:$F$39</c:f>
              <c:numCache>
                <c:formatCode>General</c:formatCode>
                <c:ptCount val="5"/>
                <c:pt idx="0">
                  <c:v>2.92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EA-4984-8F1E-4D1BA673D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586064"/>
        <c:axId val="280728416"/>
      </c:lineChart>
      <c:dateAx>
        <c:axId val="3345860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280728416"/>
        <c:crosses val="autoZero"/>
        <c:auto val="1"/>
        <c:lblOffset val="100"/>
        <c:baseTimeUnit val="days"/>
      </c:dateAx>
      <c:valAx>
        <c:axId val="28072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33458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AK47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'Inventory-Value'!$A$44</c:f>
              <c:strCache>
                <c:ptCount val="1"/>
                <c:pt idx="0">
                  <c:v>Redline FT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'Inventory-Value'!$B$43:$F$43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'Inventory-Value'!$B$44:$F$44</c:f>
              <c:numCache>
                <c:formatCode>General</c:formatCode>
                <c:ptCount val="5"/>
                <c:pt idx="0">
                  <c:v>18.21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4-4CAA-96E4-5830E48F0933}"/>
            </c:ext>
          </c:extLst>
        </c:ser>
        <c:ser>
          <c:idx val="1"/>
          <c:order val="1"/>
          <c:tx>
            <c:strRef>
              <c:f>'Inventory-Value'!$A$45</c:f>
              <c:strCache>
                <c:ptCount val="1"/>
                <c:pt idx="0">
                  <c:v>Vulcan MW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'Inventory-Value'!$B$43:$F$43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'Inventory-Value'!$B$45:$F$45</c:f>
              <c:numCache>
                <c:formatCode>General</c:formatCode>
                <c:ptCount val="5"/>
                <c:pt idx="0">
                  <c:v>192.99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4-4CAA-96E4-5830E48F0933}"/>
            </c:ext>
          </c:extLst>
        </c:ser>
        <c:ser>
          <c:idx val="2"/>
          <c:order val="2"/>
          <c:tx>
            <c:strRef>
              <c:f>'Inventory-Value'!$A$46</c:f>
              <c:strCache>
                <c:ptCount val="1"/>
                <c:pt idx="0">
                  <c:v>Bloodsport MW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'Inventory-Value'!$B$43:$F$43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'Inventory-Value'!$B$46:$F$46</c:f>
              <c:numCache>
                <c:formatCode>General</c:formatCode>
                <c:ptCount val="5"/>
                <c:pt idx="0">
                  <c:v>62.15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4-4CAA-96E4-5830E48F0933}"/>
            </c:ext>
          </c:extLst>
        </c:ser>
        <c:ser>
          <c:idx val="3"/>
          <c:order val="3"/>
          <c:tx>
            <c:strRef>
              <c:f>'Inventory-Value'!$A$47</c:f>
              <c:strCache>
                <c:ptCount val="1"/>
                <c:pt idx="0">
                  <c:v>Stattrak Point Disarray FT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'Inventory-Value'!$B$43:$F$43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'Inventory-Value'!$B$47:$F$47</c:f>
              <c:numCache>
                <c:formatCode>General</c:formatCode>
                <c:ptCount val="5"/>
                <c:pt idx="0">
                  <c:v>37.770000000000003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E4-4CAA-96E4-5830E48F0933}"/>
            </c:ext>
          </c:extLst>
        </c:ser>
        <c:ser>
          <c:idx val="4"/>
          <c:order val="4"/>
          <c:tx>
            <c:strRef>
              <c:f>'Inventory-Value'!$A$48</c:f>
              <c:strCache>
                <c:ptCount val="1"/>
                <c:pt idx="0">
                  <c:v>Frontside Misty MW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'Inventory-Value'!$B$43:$F$43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'Inventory-Value'!$B$48:$F$48</c:f>
              <c:numCache>
                <c:formatCode>General</c:formatCode>
                <c:ptCount val="5"/>
                <c:pt idx="0">
                  <c:v>26.57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5E4-4CAA-96E4-5830E48F0933}"/>
            </c:ext>
          </c:extLst>
        </c:ser>
        <c:ser>
          <c:idx val="5"/>
          <c:order val="5"/>
          <c:tx>
            <c:strRef>
              <c:f>'Inventory-Value'!$A$49</c:f>
              <c:strCache>
                <c:ptCount val="1"/>
                <c:pt idx="0">
                  <c:v>Aquamarine Revenge MW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'Inventory-Value'!$B$43:$F$43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'Inventory-Value'!$B$49:$F$49</c:f>
              <c:numCache>
                <c:formatCode>General</c:formatCode>
                <c:ptCount val="5"/>
                <c:pt idx="0">
                  <c:v>47.51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5E4-4CAA-96E4-5830E48F0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4359968"/>
        <c:axId val="280727584"/>
      </c:lineChart>
      <c:dateAx>
        <c:axId val="284359968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280727584"/>
        <c:crosses val="autoZero"/>
        <c:auto val="1"/>
        <c:lblOffset val="100"/>
        <c:baseTimeUnit val="days"/>
      </c:dateAx>
      <c:valAx>
        <c:axId val="28072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284359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SMG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'Inventory-Value'!$A$74</c:f>
              <c:strCache>
                <c:ptCount val="1"/>
                <c:pt idx="0">
                  <c:v>Stattrak PP-Bizon Osiris FT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'Inventory-Value'!$B$73:$F$73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'Inventory-Value'!$B$74:$F$74</c:f>
              <c:numCache>
                <c:formatCode>General</c:formatCode>
                <c:ptCount val="5"/>
                <c:pt idx="0">
                  <c:v>1.46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D9-401C-962E-335567CAEA0D}"/>
            </c:ext>
          </c:extLst>
        </c:ser>
        <c:ser>
          <c:idx val="1"/>
          <c:order val="1"/>
          <c:tx>
            <c:strRef>
              <c:f>'Inventory-Value'!$A$75</c:f>
              <c:strCache>
                <c:ptCount val="1"/>
                <c:pt idx="0">
                  <c:v>P90 Asiimov Ft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'Inventory-Value'!$B$73:$F$73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'Inventory-Value'!$B$75:$F$75</c:f>
              <c:numCache>
                <c:formatCode>General</c:formatCode>
                <c:ptCount val="5"/>
                <c:pt idx="0">
                  <c:v>8.36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D9-401C-962E-335567CAEA0D}"/>
            </c:ext>
          </c:extLst>
        </c:ser>
        <c:ser>
          <c:idx val="2"/>
          <c:order val="2"/>
          <c:tx>
            <c:strRef>
              <c:f>'Inventory-Value'!$A$76</c:f>
              <c:strCache>
                <c:ptCount val="1"/>
                <c:pt idx="0">
                  <c:v>Stattrak MP9 Dart MW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'Inventory-Value'!$B$73:$F$73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'Inventory-Value'!$B$76:$F$76</c:f>
              <c:numCache>
                <c:formatCode>General</c:formatCode>
                <c:ptCount val="5"/>
                <c:pt idx="0">
                  <c:v>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D9-401C-962E-335567CAEA0D}"/>
            </c:ext>
          </c:extLst>
        </c:ser>
        <c:ser>
          <c:idx val="3"/>
          <c:order val="3"/>
          <c:tx>
            <c:strRef>
              <c:f>'Inventory-Value'!$A$77</c:f>
              <c:strCache>
                <c:ptCount val="1"/>
                <c:pt idx="0">
                  <c:v>Stattrak UMP-45 Primal Saber FT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'Inventory-Value'!$B$73:$F$73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'Inventory-Value'!$B$77:$F$77</c:f>
              <c:numCache>
                <c:formatCode>General</c:formatCode>
                <c:ptCount val="5"/>
                <c:pt idx="0">
                  <c:v>4.41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D9-401C-962E-335567CAEA0D}"/>
            </c:ext>
          </c:extLst>
        </c:ser>
        <c:ser>
          <c:idx val="4"/>
          <c:order val="4"/>
          <c:tx>
            <c:strRef>
              <c:f>'Inventory-Value'!$A$78</c:f>
              <c:strCache>
                <c:ptCount val="1"/>
                <c:pt idx="0">
                  <c:v>MP/ Nemesis MW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'Inventory-Value'!$B$73:$F$73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'Inventory-Value'!$B$78:$F$78</c:f>
              <c:numCache>
                <c:formatCode>General</c:formatCode>
                <c:ptCount val="5"/>
                <c:pt idx="0">
                  <c:v>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ED9-401C-962E-335567CAEA0D}"/>
            </c:ext>
          </c:extLst>
        </c:ser>
        <c:ser>
          <c:idx val="5"/>
          <c:order val="5"/>
          <c:tx>
            <c:strRef>
              <c:f>'Inventory-Value'!$A$79</c:f>
              <c:strCache>
                <c:ptCount val="1"/>
                <c:pt idx="0">
                  <c:v>MP7 Bloodsport MW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'Inventory-Value'!$B$73:$F$73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'Inventory-Value'!$B$79:$F$79</c:f>
              <c:numCache>
                <c:formatCode>General</c:formatCode>
                <c:ptCount val="5"/>
                <c:pt idx="0">
                  <c:v>3.63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ED9-401C-962E-335567CAEA0D}"/>
            </c:ext>
          </c:extLst>
        </c:ser>
        <c:ser>
          <c:idx val="6"/>
          <c:order val="6"/>
          <c:tx>
            <c:strRef>
              <c:f>'Inventory-Value'!$A$80</c:f>
              <c:strCache>
                <c:ptCount val="1"/>
                <c:pt idx="0">
                  <c:v>UMP-45 Momentum FN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'Inventory-Value'!$B$73:$F$73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'Inventory-Value'!$B$80:$F$80</c:f>
              <c:numCache>
                <c:formatCode>General</c:formatCode>
                <c:ptCount val="5"/>
                <c:pt idx="0">
                  <c:v>7.79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ED9-401C-962E-335567CAEA0D}"/>
            </c:ext>
          </c:extLst>
        </c:ser>
        <c:ser>
          <c:idx val="7"/>
          <c:order val="7"/>
          <c:tx>
            <c:strRef>
              <c:f>'Inventory-Value'!$A$81</c:f>
              <c:strCache>
                <c:ptCount val="1"/>
                <c:pt idx="0">
                  <c:v>Stattrak MAC-10 Neon Rider MW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'Inventory-Value'!$B$73:$F$73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'Inventory-Value'!$B$81:$F$81</c:f>
              <c:numCache>
                <c:formatCode>General</c:formatCode>
                <c:ptCount val="5"/>
                <c:pt idx="0">
                  <c:v>22.48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ED9-401C-962E-335567CAEA0D}"/>
            </c:ext>
          </c:extLst>
        </c:ser>
        <c:ser>
          <c:idx val="8"/>
          <c:order val="8"/>
          <c:tx>
            <c:strRef>
              <c:f>'Inventory-Value'!$A$82</c:f>
              <c:strCache>
                <c:ptCount val="1"/>
                <c:pt idx="0">
                  <c:v>MP5-SD Bamboo Garden MW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'Inventory-Value'!$B$73:$F$73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'Inventory-Value'!$B$82:$F$82</c:f>
              <c:numCache>
                <c:formatCode>General</c:formatCode>
                <c:ptCount val="5"/>
                <c:pt idx="0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ED9-401C-962E-335567CAEA0D}"/>
            </c:ext>
          </c:extLst>
        </c:ser>
        <c:ser>
          <c:idx val="9"/>
          <c:order val="9"/>
          <c:tx>
            <c:strRef>
              <c:f>'Inventory-Value'!$A$83</c:f>
              <c:strCache>
                <c:ptCount val="1"/>
                <c:pt idx="0">
                  <c:v>MAC-10 Malachite MW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'Inventory-Value'!$B$73:$F$73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'Inventory-Value'!$B$83:$F$83</c:f>
              <c:numCache>
                <c:formatCode>General</c:formatCode>
                <c:ptCount val="5"/>
                <c:pt idx="0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ED9-401C-962E-335567CAEA0D}"/>
            </c:ext>
          </c:extLst>
        </c:ser>
        <c:ser>
          <c:idx val="10"/>
          <c:order val="10"/>
          <c:tx>
            <c:strRef>
              <c:f>'Inventory-Value'!$A$84</c:f>
              <c:strCache>
                <c:ptCount val="1"/>
                <c:pt idx="0">
                  <c:v>MP7 Impire MW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'Inventory-Value'!$B$73:$F$73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'Inventory-Value'!$B$84:$F$84</c:f>
              <c:numCache>
                <c:formatCode>General</c:formatCode>
                <c:ptCount val="5"/>
                <c:pt idx="0">
                  <c:v>1.46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ED9-401C-962E-335567CAEA0D}"/>
            </c:ext>
          </c:extLst>
        </c:ser>
        <c:ser>
          <c:idx val="11"/>
          <c:order val="11"/>
          <c:tx>
            <c:strRef>
              <c:f>'Inventory-Value'!$A$85</c:f>
              <c:strCache>
                <c:ptCount val="1"/>
                <c:pt idx="0">
                  <c:v>MP9 Hydra MW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'Inventory-Value'!$B$73:$F$73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'Inventory-Value'!$B$85:$F$85</c:f>
              <c:numCache>
                <c:formatCode>General</c:formatCode>
                <c:ptCount val="5"/>
                <c:pt idx="0">
                  <c:v>6.38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ED9-401C-962E-335567CAEA0D}"/>
            </c:ext>
          </c:extLst>
        </c:ser>
        <c:ser>
          <c:idx val="12"/>
          <c:order val="12"/>
          <c:tx>
            <c:strRef>
              <c:f>'Inventory-Value'!$A$86</c:f>
              <c:strCache>
                <c:ptCount val="1"/>
                <c:pt idx="0">
                  <c:v>PP-Bizon Fuel Rod FT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'Inventory-Value'!$B$73:$F$73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'Inventory-Value'!$B$86:$F$86</c:f>
              <c:numCache>
                <c:formatCode>General</c:formatCode>
                <c:ptCount val="5"/>
                <c:pt idx="0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ED9-401C-962E-335567CAEA0D}"/>
            </c:ext>
          </c:extLst>
        </c:ser>
        <c:ser>
          <c:idx val="13"/>
          <c:order val="13"/>
          <c:tx>
            <c:strRef>
              <c:f>'Inventory-Value'!$A$87</c:f>
              <c:strCache>
                <c:ptCount val="1"/>
                <c:pt idx="0">
                  <c:v>UMP-45 Plastique MW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'Inventory-Value'!$B$73:$F$73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'Inventory-Value'!$B$87:$F$87</c:f>
              <c:numCache>
                <c:formatCode>General</c:formatCode>
                <c:ptCount val="5"/>
                <c:pt idx="0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ED9-401C-962E-335567CAE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4913328"/>
        <c:axId val="101549952"/>
      </c:lineChart>
      <c:dateAx>
        <c:axId val="404913328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01549952"/>
        <c:crosses val="autoZero"/>
        <c:auto val="1"/>
        <c:lblOffset val="100"/>
        <c:baseTimeUnit val="days"/>
      </c:dateAx>
      <c:valAx>
        <c:axId val="10154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40491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'Inventory-Value'!$A$92</c:f>
              <c:strCache>
                <c:ptCount val="1"/>
                <c:pt idx="0">
                  <c:v>Stattrak MAG-7 Heat FT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'Inventory-Value'!$B$91:$F$91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'Inventory-Value'!$B$92:$F$92</c:f>
              <c:numCache>
                <c:formatCode>General</c:formatCode>
                <c:ptCount val="5"/>
                <c:pt idx="0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4E-4389-A8AD-DBB62E263D0F}"/>
            </c:ext>
          </c:extLst>
        </c:ser>
        <c:ser>
          <c:idx val="1"/>
          <c:order val="1"/>
          <c:tx>
            <c:strRef>
              <c:f>'Inventory-Value'!$A$93</c:f>
              <c:strCache>
                <c:ptCount val="1"/>
                <c:pt idx="0">
                  <c:v>Sawed-Off The Kraken MW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'Inventory-Value'!$B$91:$F$91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'Inventory-Value'!$B$93:$F$93</c:f>
              <c:numCache>
                <c:formatCode>General</c:formatCode>
                <c:ptCount val="5"/>
                <c:pt idx="0">
                  <c:v>5.92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4E-4389-A8AD-DBB62E263D0F}"/>
            </c:ext>
          </c:extLst>
        </c:ser>
        <c:ser>
          <c:idx val="2"/>
          <c:order val="2"/>
          <c:tx>
            <c:strRef>
              <c:f>'Inventory-Value'!$A$94</c:f>
              <c:strCache>
                <c:ptCount val="1"/>
                <c:pt idx="0">
                  <c:v>XM1014 Heaven Guard FT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'Inventory-Value'!$B$91:$F$91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'Inventory-Value'!$B$94:$F$94</c:f>
              <c:numCache>
                <c:formatCode>General</c:formatCode>
                <c:ptCount val="5"/>
                <c:pt idx="0">
                  <c:v>3.12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4E-4389-A8AD-DBB62E263D0F}"/>
            </c:ext>
          </c:extLst>
        </c:ser>
        <c:ser>
          <c:idx val="3"/>
          <c:order val="3"/>
          <c:tx>
            <c:strRef>
              <c:f>'Inventory-Value'!$A$95</c:f>
              <c:strCache>
                <c:ptCount val="1"/>
                <c:pt idx="0">
                  <c:v>Nova Hyper Beast FT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'Inventory-Value'!$B$91:$F$91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'Inventory-Value'!$B$95:$F$95</c:f>
              <c:numCache>
                <c:formatCode>General</c:formatCode>
                <c:ptCount val="5"/>
                <c:pt idx="0">
                  <c:v>7.22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4E-4389-A8AD-DBB62E263D0F}"/>
            </c:ext>
          </c:extLst>
        </c:ser>
        <c:ser>
          <c:idx val="4"/>
          <c:order val="4"/>
          <c:tx>
            <c:strRef>
              <c:f>'Inventory-Value'!$A$96</c:f>
              <c:strCache>
                <c:ptCount val="1"/>
                <c:pt idx="0">
                  <c:v>Nova Wild Six FT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'Inventory-Value'!$B$91:$F$91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'Inventory-Value'!$B$96:$F$96</c:f>
              <c:numCache>
                <c:formatCode>General</c:formatCode>
                <c:ptCount val="5"/>
                <c:pt idx="0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14E-4389-A8AD-DBB62E263D0F}"/>
            </c:ext>
          </c:extLst>
        </c:ser>
        <c:ser>
          <c:idx val="5"/>
          <c:order val="5"/>
          <c:tx>
            <c:strRef>
              <c:f>'Inventory-Value'!$A$97</c:f>
              <c:strCache>
                <c:ptCount val="1"/>
                <c:pt idx="0">
                  <c:v>Nova Toy Soldier MW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'Inventory-Value'!$B$91:$F$91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'Inventory-Value'!$B$97:$F$97</c:f>
              <c:numCache>
                <c:formatCode>General</c:formatCode>
                <c:ptCount val="5"/>
                <c:pt idx="0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14E-4389-A8AD-DBB62E263D0F}"/>
            </c:ext>
          </c:extLst>
        </c:ser>
        <c:ser>
          <c:idx val="6"/>
          <c:order val="6"/>
          <c:tx>
            <c:strRef>
              <c:f>'Inventory-Value'!$A$98</c:f>
              <c:strCache>
                <c:ptCount val="1"/>
                <c:pt idx="0">
                  <c:v>MAG-7 Swag-7 FT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'Inventory-Value'!$B$91:$F$91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'Inventory-Value'!$B$98:$F$98</c:f>
              <c:numCache>
                <c:formatCode>General</c:formatCode>
                <c:ptCount val="5"/>
                <c:pt idx="0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14E-4389-A8AD-DBB62E263D0F}"/>
            </c:ext>
          </c:extLst>
        </c:ser>
        <c:ser>
          <c:idx val="7"/>
          <c:order val="7"/>
          <c:tx>
            <c:strRef>
              <c:f>'Inventory-Value'!$A$99</c:f>
              <c:strCache>
                <c:ptCount val="1"/>
                <c:pt idx="0">
                  <c:v>Souvenir XM1014 VariCamo Blue FN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'Inventory-Value'!$B$91:$F$91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'Inventory-Value'!$B$99:$F$99</c:f>
              <c:numCache>
                <c:formatCode>General</c:formatCode>
                <c:ptCount val="5"/>
                <c:pt idx="0">
                  <c:v>3.61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14E-4389-A8AD-DBB62E263D0F}"/>
            </c:ext>
          </c:extLst>
        </c:ser>
        <c:ser>
          <c:idx val="8"/>
          <c:order val="8"/>
          <c:tx>
            <c:strRef>
              <c:f>'Inventory-Value'!$A$100</c:f>
              <c:strCache>
                <c:ptCount val="1"/>
                <c:pt idx="0">
                  <c:v>MAG-7 Popdog FN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'Inventory-Value'!$B$91:$F$91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'Inventory-Value'!$B$100:$F$100</c:f>
              <c:numCache>
                <c:formatCode>General</c:formatCode>
                <c:ptCount val="5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14E-4389-A8AD-DBB62E263D0F}"/>
            </c:ext>
          </c:extLst>
        </c:ser>
        <c:ser>
          <c:idx val="9"/>
          <c:order val="9"/>
          <c:tx>
            <c:strRef>
              <c:f>'Inventory-Value'!$A$101</c:f>
              <c:strCache>
                <c:ptCount val="1"/>
                <c:pt idx="0">
                  <c:v>Sawed-Off Limelight MW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'Inventory-Value'!$B$91:$F$91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'Inventory-Value'!$B$101:$F$101</c:f>
              <c:numCache>
                <c:formatCode>General</c:formatCode>
                <c:ptCount val="5"/>
                <c:pt idx="0">
                  <c:v>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14E-4389-A8AD-DBB62E263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9757440"/>
        <c:axId val="101554112"/>
      </c:lineChart>
      <c:dateAx>
        <c:axId val="42975744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01554112"/>
        <c:crosses val="autoZero"/>
        <c:auto val="1"/>
        <c:lblOffset val="100"/>
        <c:baseTimeUnit val="days"/>
      </c:dateAx>
      <c:valAx>
        <c:axId val="10155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42975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'Inventory-Value'!$A$106</c:f>
              <c:strCache>
                <c:ptCount val="1"/>
                <c:pt idx="0">
                  <c:v>USP-S Kill Confirmed BS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'Inventory-Value'!$B$105:$F$105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'Inventory-Value'!$B$106:$F$106</c:f>
              <c:numCache>
                <c:formatCode>General</c:formatCode>
                <c:ptCount val="5"/>
                <c:pt idx="0">
                  <c:v>46.88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AE-4741-A3EA-B28C0E3351A0}"/>
            </c:ext>
          </c:extLst>
        </c:ser>
        <c:ser>
          <c:idx val="1"/>
          <c:order val="1"/>
          <c:tx>
            <c:strRef>
              <c:f>'Inventory-Value'!$A$107</c:f>
              <c:strCache>
                <c:ptCount val="1"/>
                <c:pt idx="0">
                  <c:v>Stattrak Dual Berettas Dualing Dragons MW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'Inventory-Value'!$B$105:$F$105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'Inventory-Value'!$B$107:$F$107</c:f>
              <c:numCache>
                <c:formatCode>General</c:formatCode>
                <c:ptCount val="5"/>
                <c:pt idx="0">
                  <c:v>1.38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AE-4741-A3EA-B28C0E3351A0}"/>
            </c:ext>
          </c:extLst>
        </c:ser>
        <c:ser>
          <c:idx val="2"/>
          <c:order val="2"/>
          <c:tx>
            <c:strRef>
              <c:f>'Inventory-Value'!$A$108</c:f>
              <c:strCache>
                <c:ptCount val="1"/>
                <c:pt idx="0">
                  <c:v>Stattrak P250 Wingshot MW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'Inventory-Value'!$B$105:$F$105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'Inventory-Value'!$B$108:$F$108</c:f>
              <c:numCache>
                <c:formatCode>General</c:formatCode>
                <c:ptCount val="5"/>
                <c:pt idx="0">
                  <c:v>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AE-4741-A3EA-B28C0E3351A0}"/>
            </c:ext>
          </c:extLst>
        </c:ser>
        <c:ser>
          <c:idx val="3"/>
          <c:order val="3"/>
          <c:tx>
            <c:strRef>
              <c:f>'Inventory-Value'!$A$109</c:f>
              <c:strCache>
                <c:ptCount val="1"/>
                <c:pt idx="0">
                  <c:v>Stattrak Tec-9 Avalanche FT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'Inventory-Value'!$B$105:$F$105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'Inventory-Value'!$B$109:$F$109</c:f>
              <c:numCache>
                <c:formatCode>General</c:formatCode>
                <c:ptCount val="5"/>
                <c:pt idx="0">
                  <c:v>2.67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AE-4741-A3EA-B28C0E3351A0}"/>
            </c:ext>
          </c:extLst>
        </c:ser>
        <c:ser>
          <c:idx val="4"/>
          <c:order val="4"/>
          <c:tx>
            <c:strRef>
              <c:f>'Inventory-Value'!$A$110</c:f>
              <c:strCache>
                <c:ptCount val="1"/>
                <c:pt idx="0">
                  <c:v>Desert Eagle Kumicho Dragon MW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'Inventory-Value'!$B$105:$F$105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'Inventory-Value'!$B$110:$F$110</c:f>
              <c:numCache>
                <c:formatCode>General</c:formatCode>
                <c:ptCount val="5"/>
                <c:pt idx="0">
                  <c:v>16.010000000000002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BAE-4741-A3EA-B28C0E3351A0}"/>
            </c:ext>
          </c:extLst>
        </c:ser>
        <c:ser>
          <c:idx val="5"/>
          <c:order val="5"/>
          <c:tx>
            <c:strRef>
              <c:f>'Inventory-Value'!$A$111</c:f>
              <c:strCache>
                <c:ptCount val="1"/>
                <c:pt idx="0">
                  <c:v>Stattrak P2000 Imperial Dragon FT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'Inventory-Value'!$B$105:$F$105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'Inventory-Value'!$B$111:$F$111</c:f>
              <c:numCache>
                <c:formatCode>General</c:formatCode>
                <c:ptCount val="5"/>
                <c:pt idx="0">
                  <c:v>4.22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BAE-4741-A3EA-B28C0E3351A0}"/>
            </c:ext>
          </c:extLst>
        </c:ser>
        <c:ser>
          <c:idx val="6"/>
          <c:order val="6"/>
          <c:tx>
            <c:strRef>
              <c:f>'Inventory-Value'!$A$112</c:f>
              <c:strCache>
                <c:ptCount val="1"/>
                <c:pt idx="0">
                  <c:v>Stattrak CZ75-Auto Red Astor MW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'Inventory-Value'!$B$105:$F$105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'Inventory-Value'!$B$112:$F$112</c:f>
              <c:numCache>
                <c:formatCode>General</c:formatCode>
                <c:ptCount val="5"/>
                <c:pt idx="0">
                  <c:v>1.89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BAE-4741-A3EA-B28C0E3351A0}"/>
            </c:ext>
          </c:extLst>
        </c:ser>
        <c:ser>
          <c:idx val="7"/>
          <c:order val="7"/>
          <c:tx>
            <c:strRef>
              <c:f>'Inventory-Value'!$A$113</c:f>
              <c:strCache>
                <c:ptCount val="1"/>
                <c:pt idx="0">
                  <c:v>R8 Revolver Reboot FT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'Inventory-Value'!$B$105:$F$105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'Inventory-Value'!$B$113:$F$113</c:f>
              <c:numCache>
                <c:formatCode>General</c:formatCode>
                <c:ptCount val="5"/>
                <c:pt idx="0">
                  <c:v>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BAE-4741-A3EA-B28C0E3351A0}"/>
            </c:ext>
          </c:extLst>
        </c:ser>
        <c:ser>
          <c:idx val="8"/>
          <c:order val="8"/>
          <c:tx>
            <c:strRef>
              <c:f>'Inventory-Value'!$A$114</c:f>
              <c:strCache>
                <c:ptCount val="1"/>
                <c:pt idx="0">
                  <c:v>Stattrak Glock-18 Water Elemental FT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'Inventory-Value'!$B$105:$F$105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'Inventory-Value'!$B$114:$F$114</c:f>
              <c:numCache>
                <c:formatCode>General</c:formatCode>
                <c:ptCount val="5"/>
                <c:pt idx="0">
                  <c:v>12.57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BAE-4741-A3EA-B28C0E3351A0}"/>
            </c:ext>
          </c:extLst>
        </c:ser>
        <c:ser>
          <c:idx val="9"/>
          <c:order val="9"/>
          <c:tx>
            <c:strRef>
              <c:f>'Inventory-Value'!$A$115</c:f>
              <c:strCache>
                <c:ptCount val="1"/>
                <c:pt idx="0">
                  <c:v>Dual Berettas Urban Shock MW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'Inventory-Value'!$B$105:$F$105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'Inventory-Value'!$B$115:$F$115</c:f>
              <c:numCache>
                <c:formatCode>General</c:formatCode>
                <c:ptCount val="5"/>
                <c:pt idx="0">
                  <c:v>1.39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BAE-4741-A3EA-B28C0E3351A0}"/>
            </c:ext>
          </c:extLst>
        </c:ser>
        <c:ser>
          <c:idx val="10"/>
          <c:order val="10"/>
          <c:tx>
            <c:strRef>
              <c:f>'Inventory-Value'!$A$116</c:f>
              <c:strCache>
                <c:ptCount val="1"/>
                <c:pt idx="0">
                  <c:v>Stattrak USP-S Cyrex FN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'Inventory-Value'!$B$105:$F$105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'Inventory-Value'!$B$116:$F$116</c:f>
              <c:numCache>
                <c:formatCode>General</c:formatCode>
                <c:ptCount val="5"/>
                <c:pt idx="0">
                  <c:v>12.25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BAE-4741-A3EA-B28C0E3351A0}"/>
            </c:ext>
          </c:extLst>
        </c:ser>
        <c:ser>
          <c:idx val="11"/>
          <c:order val="11"/>
          <c:tx>
            <c:strRef>
              <c:f>'Inventory-Value'!$A$117</c:f>
              <c:strCache>
                <c:ptCount val="1"/>
                <c:pt idx="0">
                  <c:v>Stattrak CZ75-Auto Eco MW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'Inventory-Value'!$B$105:$F$105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'Inventory-Value'!$B$117:$F$117</c:f>
              <c:numCache>
                <c:formatCode>General</c:formatCode>
                <c:ptCount val="5"/>
                <c:pt idx="0">
                  <c:v>2.57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BAE-4741-A3EA-B28C0E3351A0}"/>
            </c:ext>
          </c:extLst>
        </c:ser>
        <c:ser>
          <c:idx val="12"/>
          <c:order val="12"/>
          <c:tx>
            <c:strRef>
              <c:f>'Inventory-Value'!$A$118</c:f>
              <c:strCache>
                <c:ptCount val="1"/>
                <c:pt idx="0">
                  <c:v>Stattrak Five-Seven Monkey Business FT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'Inventory-Value'!$B$105:$F$105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'Inventory-Value'!$B$118:$F$118</c:f>
              <c:numCache>
                <c:formatCode>General</c:formatCode>
                <c:ptCount val="5"/>
                <c:pt idx="0">
                  <c:v>4.9000000000000004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BAE-4741-A3EA-B28C0E3351A0}"/>
            </c:ext>
          </c:extLst>
        </c:ser>
        <c:ser>
          <c:idx val="13"/>
          <c:order val="13"/>
          <c:tx>
            <c:strRef>
              <c:f>'Inventory-Value'!$A$119</c:f>
              <c:strCache>
                <c:ptCount val="1"/>
                <c:pt idx="0">
                  <c:v>USP-S Cyrex WW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'Inventory-Value'!$B$105:$F$105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'Inventory-Value'!$B$119:$F$119</c:f>
              <c:numCache>
                <c:formatCode>General</c:formatCode>
                <c:ptCount val="5"/>
                <c:pt idx="0">
                  <c:v>2.42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BAE-4741-A3EA-B28C0E3351A0}"/>
            </c:ext>
          </c:extLst>
        </c:ser>
        <c:ser>
          <c:idx val="14"/>
          <c:order val="14"/>
          <c:tx>
            <c:strRef>
              <c:f>'Inventory-Value'!$A$120</c:f>
              <c:strCache>
                <c:ptCount val="1"/>
                <c:pt idx="0">
                  <c:v>Glock-18 Candy Apple MW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'Inventory-Value'!$B$105:$F$105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'Inventory-Value'!$B$120:$F$120</c:f>
              <c:numCache>
                <c:formatCode>General</c:formatCode>
                <c:ptCount val="5"/>
                <c:pt idx="0">
                  <c:v>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BAE-4741-A3EA-B28C0E3351A0}"/>
            </c:ext>
          </c:extLst>
        </c:ser>
        <c:ser>
          <c:idx val="15"/>
          <c:order val="15"/>
          <c:tx>
            <c:strRef>
              <c:f>'Inventory-Value'!$A$121</c:f>
              <c:strCache>
                <c:ptCount val="1"/>
                <c:pt idx="0">
                  <c:v>Stattrak Desert Eagle Conspiracy MW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'Inventory-Value'!$B$105:$F$105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'Inventory-Value'!$B$121:$F$121</c:f>
              <c:numCache>
                <c:formatCode>General</c:formatCode>
                <c:ptCount val="5"/>
                <c:pt idx="0">
                  <c:v>17.53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BAE-4741-A3EA-B28C0E3351A0}"/>
            </c:ext>
          </c:extLst>
        </c:ser>
        <c:ser>
          <c:idx val="16"/>
          <c:order val="16"/>
          <c:tx>
            <c:strRef>
              <c:f>'Inventory-Value'!$A$122</c:f>
              <c:strCache>
                <c:ptCount val="1"/>
                <c:pt idx="0">
                  <c:v>Glock-18 Wasteland Rebel MW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'Inventory-Value'!$B$105:$F$105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'Inventory-Value'!$B$122:$F$122</c:f>
              <c:numCache>
                <c:formatCode>General</c:formatCode>
                <c:ptCount val="5"/>
                <c:pt idx="0">
                  <c:v>6.46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BAE-4741-A3EA-B28C0E3351A0}"/>
            </c:ext>
          </c:extLst>
        </c:ser>
        <c:ser>
          <c:idx val="17"/>
          <c:order val="17"/>
          <c:tx>
            <c:strRef>
              <c:f>'Inventory-Value'!$A$123</c:f>
              <c:strCache>
                <c:ptCount val="1"/>
                <c:pt idx="0">
                  <c:v>P250 See Ya Later MW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'Inventory-Value'!$B$105:$F$105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'Inventory-Value'!$B$123:$F$123</c:f>
              <c:numCache>
                <c:formatCode>General</c:formatCode>
                <c:ptCount val="5"/>
                <c:pt idx="0">
                  <c:v>6.58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BAE-4741-A3EA-B28C0E3351A0}"/>
            </c:ext>
          </c:extLst>
        </c:ser>
        <c:ser>
          <c:idx val="18"/>
          <c:order val="18"/>
          <c:tx>
            <c:strRef>
              <c:f>'Inventory-Value'!$A$124</c:f>
              <c:strCache>
                <c:ptCount val="1"/>
                <c:pt idx="0">
                  <c:v>Five-Seven Angry Mob MW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cat>
            <c:numRef>
              <c:f>'Inventory-Value'!$B$105:$F$105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'Inventory-Value'!$B$124:$F$124</c:f>
              <c:numCache>
                <c:formatCode>General</c:formatCode>
                <c:ptCount val="5"/>
                <c:pt idx="0">
                  <c:v>5.71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BAE-4741-A3EA-B28C0E3351A0}"/>
            </c:ext>
          </c:extLst>
        </c:ser>
        <c:ser>
          <c:idx val="19"/>
          <c:order val="19"/>
          <c:tx>
            <c:strRef>
              <c:f>'Inventory-Value'!$A$125</c:f>
              <c:strCache>
                <c:ptCount val="1"/>
                <c:pt idx="0">
                  <c:v>Five-Seven Hyper Beast MW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cat>
            <c:numRef>
              <c:f>'Inventory-Value'!$B$105:$F$105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'Inventory-Value'!$B$125:$F$125</c:f>
              <c:numCache>
                <c:formatCode>General</c:formatCode>
                <c:ptCount val="5"/>
                <c:pt idx="0">
                  <c:v>28.06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BAE-4741-A3EA-B28C0E3351A0}"/>
            </c:ext>
          </c:extLst>
        </c:ser>
        <c:ser>
          <c:idx val="20"/>
          <c:order val="20"/>
          <c:tx>
            <c:strRef>
              <c:f>'Inventory-Value'!$A$126</c:f>
              <c:strCache>
                <c:ptCount val="1"/>
                <c:pt idx="0">
                  <c:v>Desert Eagle Light Rail FN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cat>
            <c:numRef>
              <c:f>'Inventory-Value'!$B$105:$F$105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'Inventory-Value'!$B$126:$F$126</c:f>
              <c:numCache>
                <c:formatCode>General</c:formatCode>
                <c:ptCount val="5"/>
                <c:pt idx="0">
                  <c:v>3.87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BAE-4741-A3EA-B28C0E3351A0}"/>
            </c:ext>
          </c:extLst>
        </c:ser>
        <c:ser>
          <c:idx val="21"/>
          <c:order val="21"/>
          <c:tx>
            <c:strRef>
              <c:f>'Inventory-Value'!$A$127</c:f>
              <c:strCache>
                <c:ptCount val="1"/>
                <c:pt idx="0">
                  <c:v>Desert Eagle Hypnotic FN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cat>
            <c:numRef>
              <c:f>'Inventory-Value'!$B$105:$F$105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'Inventory-Value'!$B$127:$F$127</c:f>
              <c:numCache>
                <c:formatCode>General</c:formatCode>
                <c:ptCount val="5"/>
                <c:pt idx="0">
                  <c:v>87.76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BAE-4741-A3EA-B28C0E3351A0}"/>
            </c:ext>
          </c:extLst>
        </c:ser>
        <c:ser>
          <c:idx val="22"/>
          <c:order val="22"/>
          <c:tx>
            <c:strRef>
              <c:f>'Inventory-Value'!$A$128</c:f>
              <c:strCache>
                <c:ptCount val="1"/>
                <c:pt idx="0">
                  <c:v>Desert Eagle Code Red MW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cat>
            <c:numRef>
              <c:f>'Inventory-Value'!$B$105:$F$105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'Inventory-Value'!$B$128:$F$128</c:f>
              <c:numCache>
                <c:formatCode>General</c:formatCode>
                <c:ptCount val="5"/>
                <c:pt idx="0">
                  <c:v>42.81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BAE-4741-A3EA-B28C0E3351A0}"/>
            </c:ext>
          </c:extLst>
        </c:ser>
        <c:ser>
          <c:idx val="23"/>
          <c:order val="23"/>
          <c:tx>
            <c:strRef>
              <c:f>'Inventory-Value'!$A$129</c:f>
              <c:strCache>
                <c:ptCount val="1"/>
                <c:pt idx="0">
                  <c:v>Stattrak Glock-18 Weasel FT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cat>
            <c:numRef>
              <c:f>'Inventory-Value'!$B$105:$F$105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'Inventory-Value'!$B$129:$F$129</c:f>
              <c:numCache>
                <c:formatCode>General</c:formatCode>
                <c:ptCount val="5"/>
                <c:pt idx="0">
                  <c:v>1.86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BAE-4741-A3EA-B28C0E3351A0}"/>
            </c:ext>
          </c:extLst>
        </c:ser>
        <c:ser>
          <c:idx val="24"/>
          <c:order val="24"/>
          <c:tx>
            <c:strRef>
              <c:f>'Inventory-Value'!$A$130</c:f>
              <c:strCache>
                <c:ptCount val="1"/>
                <c:pt idx="0">
                  <c:v>Stattrak Five-Seven Buddy MW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Ref>
              <c:f>'Inventory-Value'!$B$105:$F$105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'Inventory-Value'!$B$130:$F$130</c:f>
              <c:numCache>
                <c:formatCode>General</c:formatCode>
                <c:ptCount val="5"/>
                <c:pt idx="0">
                  <c:v>2.2599999999999998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BAE-4741-A3EA-B28C0E3351A0}"/>
            </c:ext>
          </c:extLst>
        </c:ser>
        <c:ser>
          <c:idx val="25"/>
          <c:order val="25"/>
          <c:tx>
            <c:strRef>
              <c:f>'Inventory-Value'!$A$131</c:f>
              <c:strCache>
                <c:ptCount val="1"/>
                <c:pt idx="0">
                  <c:v>R8 Revolver Canal Spray FT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Ref>
              <c:f>'Inventory-Value'!$B$105:$F$105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'Inventory-Value'!$B$131:$F$131</c:f>
              <c:numCache>
                <c:formatCode>General</c:formatCode>
                <c:ptCount val="5"/>
                <c:pt idx="0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BAE-4741-A3EA-B28C0E3351A0}"/>
            </c:ext>
          </c:extLst>
        </c:ser>
        <c:ser>
          <c:idx val="26"/>
          <c:order val="26"/>
          <c:tx>
            <c:strRef>
              <c:f>'Inventory-Value'!$A$132</c:f>
              <c:strCache>
                <c:ptCount val="1"/>
                <c:pt idx="0">
                  <c:v>Desert Eagle Midnight Storm MW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Ref>
              <c:f>'Inventory-Value'!$B$105:$F$105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'Inventory-Value'!$B$132:$F$132</c:f>
              <c:numCache>
                <c:formatCode>General</c:formatCode>
                <c:ptCount val="5"/>
                <c:pt idx="0">
                  <c:v>9.14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1BAE-4741-A3EA-B28C0E3351A0}"/>
            </c:ext>
          </c:extLst>
        </c:ser>
        <c:ser>
          <c:idx val="27"/>
          <c:order val="27"/>
          <c:tx>
            <c:strRef>
              <c:f>'Inventory-Value'!$A$133</c:f>
              <c:strCache>
                <c:ptCount val="1"/>
                <c:pt idx="0">
                  <c:v>Dual Berettas Emerald FN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Ref>
              <c:f>'Inventory-Value'!$B$105:$F$105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'Inventory-Value'!$B$133:$F$133</c:f>
              <c:numCache>
                <c:formatCode>General</c:formatCode>
                <c:ptCount val="5"/>
                <c:pt idx="0">
                  <c:v>11.4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BAE-4741-A3EA-B28C0E3351A0}"/>
            </c:ext>
          </c:extLst>
        </c:ser>
        <c:ser>
          <c:idx val="28"/>
          <c:order val="28"/>
          <c:tx>
            <c:strRef>
              <c:f>'Inventory-Value'!$A$134</c:f>
              <c:strCache>
                <c:ptCount val="1"/>
                <c:pt idx="0">
                  <c:v>Five-Seven Hot Shot MW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Ref>
              <c:f>'Inventory-Value'!$B$105:$F$105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'Inventory-Value'!$B$134:$F$134</c:f>
              <c:numCache>
                <c:formatCode>General</c:formatCode>
                <c:ptCount val="5"/>
                <c:pt idx="0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1BAE-4741-A3EA-B28C0E3351A0}"/>
            </c:ext>
          </c:extLst>
        </c:ser>
        <c:ser>
          <c:idx val="29"/>
          <c:order val="29"/>
          <c:tx>
            <c:strRef>
              <c:f>'Inventory-Value'!$A$135</c:f>
              <c:strCache>
                <c:ptCount val="1"/>
                <c:pt idx="0">
                  <c:v>Glock-18 Nuclear Garden FT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Ref>
              <c:f>'Inventory-Value'!$B$105:$F$105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'Inventory-Value'!$B$135:$F$135</c:f>
              <c:numCache>
                <c:formatCode>General</c:formatCode>
                <c:ptCount val="5"/>
                <c:pt idx="0">
                  <c:v>4.6399999999999997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BAE-4741-A3EA-B28C0E3351A0}"/>
            </c:ext>
          </c:extLst>
        </c:ser>
        <c:ser>
          <c:idx val="30"/>
          <c:order val="30"/>
          <c:tx>
            <c:strRef>
              <c:f>'Inventory-Value'!$A$136</c:f>
              <c:strCache>
                <c:ptCount val="1"/>
                <c:pt idx="0">
                  <c:v>USP-S Flashback MW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numRef>
              <c:f>'Inventory-Value'!$B$105:$F$105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'Inventory-Value'!$B$136:$F$136</c:f>
              <c:numCache>
                <c:formatCode>General</c:formatCode>
                <c:ptCount val="5"/>
                <c:pt idx="0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1BAE-4741-A3EA-B28C0E335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655072"/>
        <c:axId val="101555360"/>
      </c:lineChart>
      <c:dateAx>
        <c:axId val="20365507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01555360"/>
        <c:crosses val="autoZero"/>
        <c:auto val="1"/>
        <c:lblOffset val="100"/>
        <c:baseTimeUnit val="days"/>
      </c:dateAx>
      <c:valAx>
        <c:axId val="10155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20365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'Inventory-Value'!$A$143</c:f>
              <c:strCache>
                <c:ptCount val="1"/>
                <c:pt idx="0">
                  <c:v>Knives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'Inventory-Value'!$B$142:$F$142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'Inventory-Value'!$B$143:$F$143</c:f>
              <c:numCache>
                <c:formatCode>General</c:formatCode>
                <c:ptCount val="5"/>
                <c:pt idx="0">
                  <c:v>1973.0399999999997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4A-4DE5-A915-9C77EEB38E4B}"/>
            </c:ext>
          </c:extLst>
        </c:ser>
        <c:ser>
          <c:idx val="1"/>
          <c:order val="1"/>
          <c:tx>
            <c:strRef>
              <c:f>'Inventory-Value'!$A$144</c:f>
              <c:strCache>
                <c:ptCount val="1"/>
                <c:pt idx="0">
                  <c:v>AWP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'Inventory-Value'!$B$142:$F$142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'Inventory-Value'!$B$144:$F$144</c:f>
              <c:numCache>
                <c:formatCode>General</c:formatCode>
                <c:ptCount val="5"/>
                <c:pt idx="0">
                  <c:v>195.47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4A-4DE5-A915-9C77EEB38E4B}"/>
            </c:ext>
          </c:extLst>
        </c:ser>
        <c:ser>
          <c:idx val="2"/>
          <c:order val="2"/>
          <c:tx>
            <c:strRef>
              <c:f>'Inventory-Value'!$A$145</c:f>
              <c:strCache>
                <c:ptCount val="1"/>
                <c:pt idx="0">
                  <c:v>M4A4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'Inventory-Value'!$B$142:$F$142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'Inventory-Value'!$B$145:$F$145</c:f>
              <c:numCache>
                <c:formatCode>General</c:formatCode>
                <c:ptCount val="5"/>
                <c:pt idx="0">
                  <c:v>178.95000000000002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4A-4DE5-A915-9C77EEB38E4B}"/>
            </c:ext>
          </c:extLst>
        </c:ser>
        <c:ser>
          <c:idx val="3"/>
          <c:order val="3"/>
          <c:tx>
            <c:strRef>
              <c:f>'Inventory-Value'!$A$146</c:f>
              <c:strCache>
                <c:ptCount val="1"/>
                <c:pt idx="0">
                  <c:v>M4A1-S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'Inventory-Value'!$B$142:$F$142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'Inventory-Value'!$B$146:$F$146</c:f>
              <c:numCache>
                <c:formatCode>General</c:formatCode>
                <c:ptCount val="5"/>
                <c:pt idx="0">
                  <c:v>76.64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4A-4DE5-A915-9C77EEB38E4B}"/>
            </c:ext>
          </c:extLst>
        </c:ser>
        <c:ser>
          <c:idx val="4"/>
          <c:order val="4"/>
          <c:tx>
            <c:strRef>
              <c:f>'Inventory-Value'!$A$147</c:f>
              <c:strCache>
                <c:ptCount val="1"/>
                <c:pt idx="0">
                  <c:v>AK47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'Inventory-Value'!$B$142:$F$142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'Inventory-Value'!$B$147:$F$147</c:f>
              <c:numCache>
                <c:formatCode>General</c:formatCode>
                <c:ptCount val="5"/>
                <c:pt idx="0">
                  <c:v>385.2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4A-4DE5-A915-9C77EEB38E4B}"/>
            </c:ext>
          </c:extLst>
        </c:ser>
        <c:ser>
          <c:idx val="5"/>
          <c:order val="5"/>
          <c:tx>
            <c:strRef>
              <c:f>'Inventory-Value'!$A$148</c:f>
              <c:strCache>
                <c:ptCount val="1"/>
                <c:pt idx="0">
                  <c:v>Other Rifle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'Inventory-Value'!$B$142:$F$142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'Inventory-Value'!$B$148:$F$148</c:f>
              <c:numCache>
                <c:formatCode>General</c:formatCode>
                <c:ptCount val="5"/>
                <c:pt idx="0">
                  <c:v>83.63000000000001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E4A-4DE5-A915-9C77EEB38E4B}"/>
            </c:ext>
          </c:extLst>
        </c:ser>
        <c:ser>
          <c:idx val="6"/>
          <c:order val="6"/>
          <c:tx>
            <c:strRef>
              <c:f>'Inventory-Value'!$A$149</c:f>
              <c:strCache>
                <c:ptCount val="1"/>
                <c:pt idx="0">
                  <c:v>SMG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'Inventory-Value'!$B$142:$F$142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'Inventory-Value'!$B$149:$F$149</c:f>
              <c:numCache>
                <c:formatCode>General</c:formatCode>
                <c:ptCount val="5"/>
                <c:pt idx="0">
                  <c:v>66.949999999999989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E4A-4DE5-A915-9C77EEB38E4B}"/>
            </c:ext>
          </c:extLst>
        </c:ser>
        <c:ser>
          <c:idx val="7"/>
          <c:order val="7"/>
          <c:tx>
            <c:strRef>
              <c:f>'Inventory-Value'!$A$150</c:f>
              <c:strCache>
                <c:ptCount val="1"/>
                <c:pt idx="0">
                  <c:v>Heavy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'Inventory-Value'!$B$142:$F$142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'Inventory-Value'!$B$150:$F$150</c:f>
              <c:numCache>
                <c:formatCode>General</c:formatCode>
                <c:ptCount val="5"/>
                <c:pt idx="0">
                  <c:v>23.470000000000002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E4A-4DE5-A915-9C77EEB38E4B}"/>
            </c:ext>
          </c:extLst>
        </c:ser>
        <c:ser>
          <c:idx val="8"/>
          <c:order val="8"/>
          <c:tx>
            <c:strRef>
              <c:f>'Inventory-Value'!$A$151</c:f>
              <c:strCache>
                <c:ptCount val="1"/>
                <c:pt idx="0">
                  <c:v>Pistol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'Inventory-Value'!$B$142:$F$142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'Inventory-Value'!$B$151:$F$151</c:f>
              <c:numCache>
                <c:formatCode>General</c:formatCode>
                <c:ptCount val="5"/>
                <c:pt idx="0">
                  <c:v>346.62000000000006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E4A-4DE5-A915-9C77EEB38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4297488"/>
        <c:axId val="101549120"/>
      </c:lineChart>
      <c:dateAx>
        <c:axId val="514297488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01549120"/>
        <c:crosses val="autoZero"/>
        <c:auto val="1"/>
        <c:lblOffset val="100"/>
        <c:baseTimeUnit val="days"/>
      </c:dateAx>
      <c:valAx>
        <c:axId val="10154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514297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'Inventory-Value'!$A$157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'Inventory-Value'!$B$156:$F$156</c:f>
              <c:numCache>
                <c:formatCode>m/d/yyyy</c:formatCode>
                <c:ptCount val="5"/>
                <c:pt idx="0">
                  <c:v>44331</c:v>
                </c:pt>
                <c:pt idx="1">
                  <c:v>44338</c:v>
                </c:pt>
                <c:pt idx="2">
                  <c:v>44345</c:v>
                </c:pt>
                <c:pt idx="3">
                  <c:v>44352</c:v>
                </c:pt>
                <c:pt idx="4">
                  <c:v>44359</c:v>
                </c:pt>
              </c:numCache>
            </c:numRef>
          </c:cat>
          <c:val>
            <c:numRef>
              <c:f>'Inventory-Value'!$B$157:$F$157</c:f>
              <c:numCache>
                <c:formatCode>General</c:formatCode>
                <c:ptCount val="5"/>
                <c:pt idx="0">
                  <c:v>3329.9699999999989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9A-4112-8B3E-49B23B81B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4908928"/>
        <c:axId val="280727168"/>
      </c:lineChart>
      <c:dateAx>
        <c:axId val="4249089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280727168"/>
        <c:crosses val="autoZero"/>
        <c:auto val="1"/>
        <c:lblOffset val="100"/>
        <c:baseTimeUnit val="days"/>
      </c:dateAx>
      <c:valAx>
        <c:axId val="28072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42490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243418</xdr:colOff>
      <xdr:row>0</xdr:row>
      <xdr:rowOff>63501</xdr:rowOff>
    </xdr:from>
    <xdr:to>
      <xdr:col>17</xdr:col>
      <xdr:colOff>74084</xdr:colOff>
      <xdr:row>19</xdr:row>
      <xdr:rowOff>116417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D99B2F-C71D-4181-9FAD-9AB146A7D0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74082</xdr:colOff>
      <xdr:row>0</xdr:row>
      <xdr:rowOff>63499</xdr:rowOff>
    </xdr:from>
    <xdr:to>
      <xdr:col>24</xdr:col>
      <xdr:colOff>486832</xdr:colOff>
      <xdr:row>19</xdr:row>
      <xdr:rowOff>127000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9608B1E-DB4B-477A-BFD7-5F879871C9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243416</xdr:colOff>
      <xdr:row>19</xdr:row>
      <xdr:rowOff>120650</xdr:rowOff>
    </xdr:from>
    <xdr:to>
      <xdr:col>17</xdr:col>
      <xdr:colOff>84666</xdr:colOff>
      <xdr:row>43</xdr:row>
      <xdr:rowOff>31750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FAADEAA-5DAF-49D7-8394-B0FB4FE7EF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95250</xdr:colOff>
      <xdr:row>19</xdr:row>
      <xdr:rowOff>131234</xdr:rowOff>
    </xdr:from>
    <xdr:to>
      <xdr:col>24</xdr:col>
      <xdr:colOff>476250</xdr:colOff>
      <xdr:row>43</xdr:row>
      <xdr:rowOff>31750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9ED54E0-27B0-4C43-BAA5-DC19E32FBC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243416</xdr:colOff>
      <xdr:row>43</xdr:row>
      <xdr:rowOff>46567</xdr:rowOff>
    </xdr:from>
    <xdr:to>
      <xdr:col>16</xdr:col>
      <xdr:colOff>539750</xdr:colOff>
      <xdr:row>64</xdr:row>
      <xdr:rowOff>21167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8D9DD8D-B88F-4DF7-AA81-296E8F2919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243416</xdr:colOff>
      <xdr:row>64</xdr:row>
      <xdr:rowOff>25399</xdr:rowOff>
    </xdr:from>
    <xdr:to>
      <xdr:col>22</xdr:col>
      <xdr:colOff>433916</xdr:colOff>
      <xdr:row>89</xdr:row>
      <xdr:rowOff>42332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F398726D-A12B-4827-B521-7019723922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243416</xdr:colOff>
      <xdr:row>89</xdr:row>
      <xdr:rowOff>46565</xdr:rowOff>
    </xdr:from>
    <xdr:to>
      <xdr:col>22</xdr:col>
      <xdr:colOff>402166</xdr:colOff>
      <xdr:row>108</xdr:row>
      <xdr:rowOff>84666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3951FF39-3CDC-47CA-8CB2-EF5196300A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254000</xdr:colOff>
      <xdr:row>108</xdr:row>
      <xdr:rowOff>88899</xdr:rowOff>
    </xdr:from>
    <xdr:to>
      <xdr:col>22</xdr:col>
      <xdr:colOff>402166</xdr:colOff>
      <xdr:row>143</xdr:row>
      <xdr:rowOff>42332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FB8AA909-E756-40A6-BB5E-02BAAACCAA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264583</xdr:colOff>
      <xdr:row>143</xdr:row>
      <xdr:rowOff>57150</xdr:rowOff>
    </xdr:from>
    <xdr:to>
      <xdr:col>22</xdr:col>
      <xdr:colOff>380999</xdr:colOff>
      <xdr:row>177</xdr:row>
      <xdr:rowOff>10583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8B8E570F-BF8D-46BB-ABE6-D04EEE691E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518583</xdr:colOff>
      <xdr:row>158</xdr:row>
      <xdr:rowOff>152399</xdr:rowOff>
    </xdr:from>
    <xdr:to>
      <xdr:col>6</xdr:col>
      <xdr:colOff>550333</xdr:colOff>
      <xdr:row>180</xdr:row>
      <xdr:rowOff>74082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66D529EB-5D0F-4164-BC34-CAFF236B61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098C6-9AE7-4F87-AEB8-92892602BF82}">
  <dimension ref="A1:AG57"/>
  <sheetViews>
    <sheetView topLeftCell="B1" zoomScale="77" zoomScaleNormal="77" workbookViewId="0">
      <selection activeCell="K26" sqref="K26"/>
    </sheetView>
  </sheetViews>
  <sheetFormatPr defaultColWidth="11.42578125" defaultRowHeight="15" x14ac:dyDescent="0.25"/>
  <cols>
    <col min="2" max="2" width="20.5703125" customWidth="1"/>
    <col min="4" max="4" width="10.28515625" customWidth="1"/>
    <col min="7" max="7" width="12.7109375" customWidth="1"/>
    <col min="12" max="12" width="13.140625" customWidth="1"/>
    <col min="18" max="18" width="14.140625" customWidth="1"/>
  </cols>
  <sheetData>
    <row r="1" spans="1:14" x14ac:dyDescent="0.25">
      <c r="A1" t="s">
        <v>0</v>
      </c>
    </row>
    <row r="3" spans="1:14" x14ac:dyDescent="0.25">
      <c r="A3" s="1" t="s">
        <v>3</v>
      </c>
      <c r="B3" s="1" t="s">
        <v>1</v>
      </c>
      <c r="C3" s="1" t="s">
        <v>2</v>
      </c>
      <c r="D3" s="1" t="s">
        <v>6</v>
      </c>
      <c r="E3" s="1" t="s">
        <v>5</v>
      </c>
      <c r="F3" s="1"/>
      <c r="G3" s="1"/>
      <c r="H3" s="1" t="s">
        <v>17</v>
      </c>
      <c r="I3" s="1" t="s">
        <v>39</v>
      </c>
      <c r="J3" s="1" t="s">
        <v>40</v>
      </c>
      <c r="K3" s="1" t="s">
        <v>41</v>
      </c>
      <c r="L3" s="1" t="s">
        <v>42</v>
      </c>
      <c r="M3" s="1"/>
      <c r="N3" s="1" t="s">
        <v>43</v>
      </c>
    </row>
    <row r="4" spans="1:14" x14ac:dyDescent="0.25">
      <c r="A4" t="s">
        <v>7</v>
      </c>
      <c r="B4" t="s">
        <v>4</v>
      </c>
      <c r="C4" s="1">
        <v>500</v>
      </c>
      <c r="D4" s="1">
        <v>0.06</v>
      </c>
      <c r="E4">
        <f>C4*D4</f>
        <v>30</v>
      </c>
      <c r="H4">
        <v>0.08</v>
      </c>
      <c r="I4">
        <f>ROUNDUP($H4*0.1,2)</f>
        <v>0.01</v>
      </c>
      <c r="J4">
        <f>ROUNDUP($H4*0.05,2)</f>
        <v>0.01</v>
      </c>
      <c r="K4" s="1">
        <f>H4-I4-J4</f>
        <v>6.0000000000000005E-2</v>
      </c>
      <c r="L4" s="1">
        <f>K4*C4</f>
        <v>30.000000000000004</v>
      </c>
      <c r="N4">
        <f>ROUNDDOWN(L4/E4,2)</f>
        <v>1</v>
      </c>
    </row>
    <row r="5" spans="1:14" x14ac:dyDescent="0.25">
      <c r="A5" t="s">
        <v>7</v>
      </c>
      <c r="B5" t="s">
        <v>8</v>
      </c>
      <c r="C5" s="1">
        <v>215</v>
      </c>
      <c r="D5" s="1">
        <v>0.12</v>
      </c>
      <c r="E5">
        <f>C5*D5</f>
        <v>25.8</v>
      </c>
      <c r="H5">
        <v>0.21</v>
      </c>
      <c r="I5">
        <f t="shared" ref="I5:I20" si="0">ROUNDUP($H5*0.1,2)</f>
        <v>0.03</v>
      </c>
      <c r="J5">
        <f t="shared" ref="J5:J22" si="1">ROUNDUP($H5*0.05,2)</f>
        <v>0.02</v>
      </c>
      <c r="K5" s="1">
        <f t="shared" ref="K5:K18" si="2">H5-I5-J5</f>
        <v>0.16</v>
      </c>
      <c r="L5" s="1">
        <f t="shared" ref="L5:L18" si="3">K5*C5</f>
        <v>34.4</v>
      </c>
      <c r="N5">
        <f t="shared" ref="N5:N18" si="4">ROUNDDOWN(L5/E5,2)</f>
        <v>1.33</v>
      </c>
    </row>
    <row r="6" spans="1:14" x14ac:dyDescent="0.25">
      <c r="A6" t="s">
        <v>7</v>
      </c>
      <c r="B6" t="s">
        <v>9</v>
      </c>
      <c r="C6" s="1">
        <v>400</v>
      </c>
      <c r="D6" s="1">
        <v>0.1</v>
      </c>
      <c r="E6">
        <f t="shared" ref="E6:E22" si="5">C6*D6</f>
        <v>40</v>
      </c>
      <c r="H6">
        <v>0.14000000000000001</v>
      </c>
      <c r="I6">
        <f t="shared" si="0"/>
        <v>0.02</v>
      </c>
      <c r="J6">
        <f t="shared" si="1"/>
        <v>0.01</v>
      </c>
      <c r="K6" s="1">
        <f t="shared" si="2"/>
        <v>0.11000000000000001</v>
      </c>
      <c r="L6" s="1">
        <f t="shared" si="3"/>
        <v>44.000000000000007</v>
      </c>
      <c r="N6">
        <f t="shared" si="4"/>
        <v>1.1000000000000001</v>
      </c>
    </row>
    <row r="7" spans="1:14" x14ac:dyDescent="0.25">
      <c r="A7" t="s">
        <v>7</v>
      </c>
      <c r="B7" t="s">
        <v>10</v>
      </c>
      <c r="C7" s="1">
        <v>150</v>
      </c>
      <c r="D7" s="1">
        <v>0.56999999999999995</v>
      </c>
      <c r="E7">
        <f t="shared" si="5"/>
        <v>85.499999999999986</v>
      </c>
      <c r="H7">
        <v>0.35</v>
      </c>
      <c r="I7">
        <f t="shared" si="0"/>
        <v>0.04</v>
      </c>
      <c r="J7">
        <f t="shared" si="1"/>
        <v>0.02</v>
      </c>
      <c r="K7" s="1">
        <f t="shared" si="2"/>
        <v>0.28999999999999998</v>
      </c>
      <c r="L7" s="1">
        <f t="shared" si="3"/>
        <v>43.5</v>
      </c>
      <c r="N7">
        <f t="shared" si="4"/>
        <v>0.5</v>
      </c>
    </row>
    <row r="8" spans="1:14" x14ac:dyDescent="0.25">
      <c r="A8" t="s">
        <v>11</v>
      </c>
      <c r="B8" t="s">
        <v>12</v>
      </c>
      <c r="C8" s="1">
        <v>1</v>
      </c>
      <c r="D8" s="1">
        <v>3.63</v>
      </c>
      <c r="E8">
        <f t="shared" si="5"/>
        <v>3.63</v>
      </c>
      <c r="H8">
        <v>9.0500000000000007</v>
      </c>
      <c r="I8">
        <f t="shared" si="0"/>
        <v>0.91</v>
      </c>
      <c r="J8">
        <f t="shared" si="1"/>
        <v>0.46</v>
      </c>
      <c r="K8" s="1">
        <f t="shared" si="2"/>
        <v>7.6800000000000006</v>
      </c>
      <c r="L8" s="1">
        <f t="shared" si="3"/>
        <v>7.6800000000000006</v>
      </c>
      <c r="N8">
        <f t="shared" si="4"/>
        <v>2.11</v>
      </c>
    </row>
    <row r="9" spans="1:14" x14ac:dyDescent="0.25">
      <c r="A9" t="s">
        <v>11</v>
      </c>
      <c r="B9" t="s">
        <v>12</v>
      </c>
      <c r="C9" s="1">
        <v>1</v>
      </c>
      <c r="D9" s="1">
        <v>3.64</v>
      </c>
      <c r="E9">
        <f t="shared" si="5"/>
        <v>3.64</v>
      </c>
      <c r="H9">
        <v>9.0500000000000007</v>
      </c>
      <c r="I9">
        <f t="shared" si="0"/>
        <v>0.91</v>
      </c>
      <c r="J9">
        <f t="shared" si="1"/>
        <v>0.46</v>
      </c>
      <c r="K9" s="1">
        <f t="shared" si="2"/>
        <v>7.6800000000000006</v>
      </c>
      <c r="L9" s="1">
        <f t="shared" si="3"/>
        <v>7.6800000000000006</v>
      </c>
      <c r="N9">
        <f t="shared" si="4"/>
        <v>2.1</v>
      </c>
    </row>
    <row r="10" spans="1:14" x14ac:dyDescent="0.25">
      <c r="A10" t="s">
        <v>11</v>
      </c>
      <c r="B10" t="s">
        <v>12</v>
      </c>
      <c r="C10" s="1">
        <v>2</v>
      </c>
      <c r="D10" s="1">
        <v>3.68</v>
      </c>
      <c r="E10">
        <f t="shared" si="5"/>
        <v>7.36</v>
      </c>
      <c r="H10">
        <v>9.0500000000000007</v>
      </c>
      <c r="I10">
        <f t="shared" si="0"/>
        <v>0.91</v>
      </c>
      <c r="J10">
        <f t="shared" si="1"/>
        <v>0.46</v>
      </c>
      <c r="K10" s="1">
        <f t="shared" si="2"/>
        <v>7.6800000000000006</v>
      </c>
      <c r="L10" s="1">
        <f t="shared" si="3"/>
        <v>15.360000000000001</v>
      </c>
      <c r="N10">
        <f t="shared" si="4"/>
        <v>2.08</v>
      </c>
    </row>
    <row r="11" spans="1:14" x14ac:dyDescent="0.25">
      <c r="A11" t="s">
        <v>11</v>
      </c>
      <c r="B11" t="s">
        <v>12</v>
      </c>
      <c r="C11" s="1">
        <v>1</v>
      </c>
      <c r="D11" s="1">
        <v>3.72</v>
      </c>
      <c r="E11">
        <f t="shared" si="5"/>
        <v>3.72</v>
      </c>
      <c r="H11">
        <v>9.0500000000000007</v>
      </c>
      <c r="I11">
        <f t="shared" si="0"/>
        <v>0.91</v>
      </c>
      <c r="J11">
        <f t="shared" si="1"/>
        <v>0.46</v>
      </c>
      <c r="K11" s="1">
        <f t="shared" si="2"/>
        <v>7.6800000000000006</v>
      </c>
      <c r="L11" s="1">
        <f t="shared" si="3"/>
        <v>7.6800000000000006</v>
      </c>
      <c r="N11">
        <f t="shared" si="4"/>
        <v>2.06</v>
      </c>
    </row>
    <row r="12" spans="1:14" x14ac:dyDescent="0.25">
      <c r="A12" t="s">
        <v>11</v>
      </c>
      <c r="B12" t="s">
        <v>12</v>
      </c>
      <c r="C12" s="1">
        <v>3</v>
      </c>
      <c r="D12" s="1">
        <v>3.74</v>
      </c>
      <c r="E12">
        <f t="shared" si="5"/>
        <v>11.22</v>
      </c>
      <c r="H12">
        <v>9.0500000000000007</v>
      </c>
      <c r="I12">
        <f t="shared" si="0"/>
        <v>0.91</v>
      </c>
      <c r="J12">
        <f t="shared" si="1"/>
        <v>0.46</v>
      </c>
      <c r="K12" s="1">
        <f t="shared" si="2"/>
        <v>7.6800000000000006</v>
      </c>
      <c r="L12" s="1">
        <f t="shared" si="3"/>
        <v>23.040000000000003</v>
      </c>
      <c r="N12">
        <f t="shared" si="4"/>
        <v>2.0499999999999998</v>
      </c>
    </row>
    <row r="13" spans="1:14" x14ac:dyDescent="0.25">
      <c r="A13" t="s">
        <v>11</v>
      </c>
      <c r="B13" t="s">
        <v>12</v>
      </c>
      <c r="C13" s="1">
        <v>2</v>
      </c>
      <c r="D13" s="1">
        <v>3.77</v>
      </c>
      <c r="E13">
        <f t="shared" si="5"/>
        <v>7.54</v>
      </c>
      <c r="H13">
        <v>9.0500000000000007</v>
      </c>
      <c r="I13">
        <f t="shared" si="0"/>
        <v>0.91</v>
      </c>
      <c r="J13">
        <f t="shared" si="1"/>
        <v>0.46</v>
      </c>
      <c r="K13" s="1">
        <f t="shared" si="2"/>
        <v>7.6800000000000006</v>
      </c>
      <c r="L13" s="1">
        <f t="shared" si="3"/>
        <v>15.360000000000001</v>
      </c>
      <c r="N13">
        <f t="shared" si="4"/>
        <v>2.0299999999999998</v>
      </c>
    </row>
    <row r="14" spans="1:14" x14ac:dyDescent="0.25">
      <c r="A14" t="s">
        <v>11</v>
      </c>
      <c r="B14" t="s">
        <v>12</v>
      </c>
      <c r="C14" s="1">
        <v>11</v>
      </c>
      <c r="D14" s="1">
        <v>3.79</v>
      </c>
      <c r="E14">
        <f t="shared" si="5"/>
        <v>41.69</v>
      </c>
      <c r="H14">
        <v>9.0500000000000007</v>
      </c>
      <c r="I14">
        <f t="shared" si="0"/>
        <v>0.91</v>
      </c>
      <c r="J14">
        <f t="shared" si="1"/>
        <v>0.46</v>
      </c>
      <c r="K14" s="1">
        <f t="shared" si="2"/>
        <v>7.6800000000000006</v>
      </c>
      <c r="L14" s="1">
        <f t="shared" si="3"/>
        <v>84.48</v>
      </c>
      <c r="N14">
        <f t="shared" si="4"/>
        <v>2.02</v>
      </c>
    </row>
    <row r="15" spans="1:14" x14ac:dyDescent="0.25">
      <c r="A15" t="s">
        <v>11</v>
      </c>
      <c r="B15" t="s">
        <v>4</v>
      </c>
      <c r="C15" s="1">
        <v>500</v>
      </c>
      <c r="D15" s="1">
        <v>0.05</v>
      </c>
      <c r="E15">
        <f t="shared" si="5"/>
        <v>25</v>
      </c>
      <c r="H15">
        <v>0.08</v>
      </c>
      <c r="I15">
        <f t="shared" si="0"/>
        <v>0.01</v>
      </c>
      <c r="J15">
        <f t="shared" si="1"/>
        <v>0.01</v>
      </c>
      <c r="K15" s="1">
        <f t="shared" si="2"/>
        <v>6.0000000000000005E-2</v>
      </c>
      <c r="L15" s="1">
        <f t="shared" si="3"/>
        <v>30.000000000000004</v>
      </c>
      <c r="N15">
        <f t="shared" si="4"/>
        <v>1.2</v>
      </c>
    </row>
    <row r="16" spans="1:14" x14ac:dyDescent="0.25">
      <c r="A16" t="s">
        <v>11</v>
      </c>
      <c r="B16" t="s">
        <v>13</v>
      </c>
      <c r="C16" s="1">
        <v>1000</v>
      </c>
      <c r="D16" s="1">
        <v>7.0000000000000007E-2</v>
      </c>
      <c r="E16">
        <f t="shared" si="5"/>
        <v>70</v>
      </c>
      <c r="H16">
        <v>0.09</v>
      </c>
      <c r="I16">
        <f t="shared" si="0"/>
        <v>0.01</v>
      </c>
      <c r="J16">
        <f t="shared" si="1"/>
        <v>0.01</v>
      </c>
      <c r="K16" s="1">
        <f t="shared" si="2"/>
        <v>7.0000000000000007E-2</v>
      </c>
      <c r="L16" s="1">
        <f t="shared" si="3"/>
        <v>70</v>
      </c>
      <c r="N16">
        <f t="shared" si="4"/>
        <v>1</v>
      </c>
    </row>
    <row r="17" spans="1:14" x14ac:dyDescent="0.25">
      <c r="A17" t="s">
        <v>11</v>
      </c>
      <c r="B17" t="s">
        <v>9</v>
      </c>
      <c r="C17" s="1">
        <v>600</v>
      </c>
      <c r="D17" s="1">
        <v>7.0000000000000007E-2</v>
      </c>
      <c r="E17">
        <f t="shared" si="5"/>
        <v>42.000000000000007</v>
      </c>
      <c r="H17">
        <v>0.14000000000000001</v>
      </c>
      <c r="I17">
        <f t="shared" si="0"/>
        <v>0.02</v>
      </c>
      <c r="J17">
        <f t="shared" si="1"/>
        <v>0.01</v>
      </c>
      <c r="K17" s="1">
        <f t="shared" si="2"/>
        <v>0.11000000000000001</v>
      </c>
      <c r="L17" s="1">
        <f t="shared" si="3"/>
        <v>66.000000000000014</v>
      </c>
      <c r="N17">
        <f t="shared" si="4"/>
        <v>1.57</v>
      </c>
    </row>
    <row r="18" spans="1:14" x14ac:dyDescent="0.25">
      <c r="A18" t="s">
        <v>11</v>
      </c>
      <c r="B18" t="s">
        <v>4</v>
      </c>
      <c r="C18" s="1">
        <v>1000</v>
      </c>
      <c r="D18" s="1">
        <v>0.05</v>
      </c>
      <c r="E18">
        <f t="shared" si="5"/>
        <v>50</v>
      </c>
      <c r="H18">
        <v>0.08</v>
      </c>
      <c r="I18">
        <f t="shared" si="0"/>
        <v>0.01</v>
      </c>
      <c r="J18">
        <f t="shared" si="1"/>
        <v>0.01</v>
      </c>
      <c r="K18" s="1">
        <f t="shared" si="2"/>
        <v>6.0000000000000005E-2</v>
      </c>
      <c r="L18" s="1">
        <f t="shared" si="3"/>
        <v>60.000000000000007</v>
      </c>
      <c r="N18">
        <f t="shared" si="4"/>
        <v>1.2</v>
      </c>
    </row>
    <row r="19" spans="1:14" x14ac:dyDescent="0.25">
      <c r="A19" t="s">
        <v>44</v>
      </c>
      <c r="B19" t="s">
        <v>9</v>
      </c>
      <c r="C19" s="1">
        <v>1000</v>
      </c>
      <c r="D19" s="1">
        <v>7.0000000000000007E-2</v>
      </c>
      <c r="E19">
        <f t="shared" si="5"/>
        <v>70</v>
      </c>
      <c r="H19">
        <v>0.14000000000000001</v>
      </c>
      <c r="I19">
        <f t="shared" si="0"/>
        <v>0.02</v>
      </c>
      <c r="J19">
        <f t="shared" si="1"/>
        <v>0.01</v>
      </c>
      <c r="K19" s="1">
        <f t="shared" ref="K19:K22" si="6">H19-I19-J19</f>
        <v>0.11000000000000001</v>
      </c>
      <c r="L19" s="1">
        <f t="shared" ref="L19:L22" si="7">K19*C19</f>
        <v>110.00000000000001</v>
      </c>
      <c r="N19">
        <f t="shared" ref="N19:N22" si="8">L19/E19</f>
        <v>1.5714285714285716</v>
      </c>
    </row>
    <row r="20" spans="1:14" x14ac:dyDescent="0.25">
      <c r="E20">
        <f t="shared" si="5"/>
        <v>0</v>
      </c>
      <c r="I20">
        <f t="shared" si="0"/>
        <v>0</v>
      </c>
      <c r="J20">
        <f t="shared" si="1"/>
        <v>0</v>
      </c>
      <c r="K20" s="1">
        <f t="shared" si="6"/>
        <v>0</v>
      </c>
      <c r="L20" s="1">
        <f t="shared" si="7"/>
        <v>0</v>
      </c>
      <c r="N20" t="e">
        <f t="shared" si="8"/>
        <v>#DIV/0!</v>
      </c>
    </row>
    <row r="21" spans="1:14" x14ac:dyDescent="0.25">
      <c r="E21">
        <f t="shared" si="5"/>
        <v>0</v>
      </c>
      <c r="I21">
        <f t="shared" ref="I21:I22" si="9">ROUNDUP($H21*0.1,2)</f>
        <v>0</v>
      </c>
      <c r="J21">
        <f t="shared" si="1"/>
        <v>0</v>
      </c>
      <c r="K21" s="1">
        <f t="shared" si="6"/>
        <v>0</v>
      </c>
      <c r="L21" s="1">
        <f t="shared" si="7"/>
        <v>0</v>
      </c>
      <c r="N21" t="e">
        <f t="shared" si="8"/>
        <v>#DIV/0!</v>
      </c>
    </row>
    <row r="22" spans="1:14" x14ac:dyDescent="0.25">
      <c r="E22">
        <f t="shared" si="5"/>
        <v>0</v>
      </c>
      <c r="I22">
        <f t="shared" si="9"/>
        <v>0</v>
      </c>
      <c r="J22">
        <f t="shared" si="1"/>
        <v>0</v>
      </c>
      <c r="K22" s="1">
        <f t="shared" si="6"/>
        <v>0</v>
      </c>
      <c r="L22" s="1">
        <f t="shared" si="7"/>
        <v>0</v>
      </c>
      <c r="N22" t="e">
        <f t="shared" si="8"/>
        <v>#DIV/0!</v>
      </c>
    </row>
    <row r="23" spans="1:14" x14ac:dyDescent="0.25">
      <c r="E23">
        <f>SUM(E4:E22)</f>
        <v>517.09999999999991</v>
      </c>
      <c r="L23">
        <f>SUM(L4:L22)</f>
        <v>649.18000000000006</v>
      </c>
    </row>
    <row r="25" spans="1:14" x14ac:dyDescent="0.25">
      <c r="K25" t="s">
        <v>167</v>
      </c>
      <c r="L25">
        <f>L23-E23</f>
        <v>132.08000000000015</v>
      </c>
    </row>
    <row r="33" spans="1:33" x14ac:dyDescent="0.25">
      <c r="A33" t="s">
        <v>14</v>
      </c>
      <c r="M33" t="s">
        <v>32</v>
      </c>
      <c r="X33" t="s">
        <v>38</v>
      </c>
    </row>
    <row r="34" spans="1:33" x14ac:dyDescent="0.25">
      <c r="A34" t="s">
        <v>16</v>
      </c>
      <c r="B34" t="s">
        <v>15</v>
      </c>
      <c r="C34" t="s">
        <v>17</v>
      </c>
      <c r="D34" t="s">
        <v>28</v>
      </c>
      <c r="F34" t="s">
        <v>29</v>
      </c>
      <c r="G34" t="s">
        <v>30</v>
      </c>
      <c r="H34" t="s">
        <v>31</v>
      </c>
      <c r="I34" t="s">
        <v>28</v>
      </c>
      <c r="M34" t="s">
        <v>16</v>
      </c>
      <c r="N34" t="s">
        <v>15</v>
      </c>
      <c r="O34" t="s">
        <v>17</v>
      </c>
      <c r="P34" t="s">
        <v>28</v>
      </c>
      <c r="R34" t="s">
        <v>29</v>
      </c>
      <c r="S34" t="s">
        <v>30</v>
      </c>
      <c r="T34" t="s">
        <v>31</v>
      </c>
      <c r="U34" t="s">
        <v>28</v>
      </c>
      <c r="V34" t="s">
        <v>45</v>
      </c>
      <c r="X34" t="s">
        <v>16</v>
      </c>
      <c r="Y34" t="s">
        <v>15</v>
      </c>
      <c r="Z34" t="s">
        <v>17</v>
      </c>
      <c r="AA34" t="s">
        <v>28</v>
      </c>
      <c r="AC34" t="s">
        <v>29</v>
      </c>
      <c r="AD34" t="s">
        <v>30</v>
      </c>
      <c r="AE34" t="s">
        <v>31</v>
      </c>
      <c r="AF34" t="s">
        <v>28</v>
      </c>
      <c r="AG34" t="s">
        <v>45</v>
      </c>
    </row>
    <row r="35" spans="1:33" x14ac:dyDescent="0.25">
      <c r="A35">
        <v>5</v>
      </c>
      <c r="B35" t="s">
        <v>19</v>
      </c>
      <c r="C35">
        <v>0.05</v>
      </c>
      <c r="D35">
        <f>A35*C35</f>
        <v>0.25</v>
      </c>
      <c r="F35">
        <f>ROUNDUP(C35*0.1,2)</f>
        <v>0.01</v>
      </c>
      <c r="G35">
        <f>ROUNDUP(C35*0.05,2)</f>
        <v>0.01</v>
      </c>
      <c r="H35">
        <f>C35-F35-G35</f>
        <v>0.03</v>
      </c>
      <c r="I35">
        <f>H35*A35</f>
        <v>0.15</v>
      </c>
      <c r="M35">
        <v>1000</v>
      </c>
      <c r="N35" t="s">
        <v>33</v>
      </c>
      <c r="O35">
        <v>7.0000000000000007E-2</v>
      </c>
      <c r="P35">
        <f>M35*O35</f>
        <v>70</v>
      </c>
      <c r="R35">
        <f>ROUNDUP(O35*0.1,2)</f>
        <v>0.01</v>
      </c>
      <c r="S35">
        <f>ROUNDUP(O35*0.05,2)</f>
        <v>0.01</v>
      </c>
      <c r="T35">
        <f>O35-R35-S35</f>
        <v>0.05</v>
      </c>
      <c r="U35">
        <f>T35*M35</f>
        <v>50</v>
      </c>
      <c r="V35">
        <f>U35/P35</f>
        <v>0.7142857142857143</v>
      </c>
      <c r="X35">
        <v>21</v>
      </c>
      <c r="Y35" t="s">
        <v>12</v>
      </c>
      <c r="Z35">
        <v>3.88</v>
      </c>
      <c r="AA35">
        <f>X35*Z35</f>
        <v>81.48</v>
      </c>
      <c r="AC35">
        <f>ROUNDUP(Z35*0.1,2)</f>
        <v>0.39</v>
      </c>
      <c r="AD35">
        <f>ROUNDUP(Z35*0.05,2)</f>
        <v>0.2</v>
      </c>
      <c r="AE35">
        <f>Z35-AC35-AD35</f>
        <v>3.2899999999999996</v>
      </c>
      <c r="AF35">
        <f>AE35*X35</f>
        <v>69.089999999999989</v>
      </c>
      <c r="AG35">
        <f>AF35/AA35</f>
        <v>0.84793814432989678</v>
      </c>
    </row>
    <row r="36" spans="1:33" x14ac:dyDescent="0.25">
      <c r="A36">
        <v>16</v>
      </c>
      <c r="B36" t="s">
        <v>18</v>
      </c>
      <c r="C36">
        <v>7.0000000000000007E-2</v>
      </c>
      <c r="D36">
        <f t="shared" ref="D36:D51" si="10">A36*C36</f>
        <v>1.1200000000000001</v>
      </c>
      <c r="F36">
        <f t="shared" ref="F36:F51" si="11">ROUNDUP(C36*0.1,2)</f>
        <v>0.01</v>
      </c>
      <c r="G36">
        <f t="shared" ref="G36:G51" si="12">ROUNDUP(C36*0.05,2)</f>
        <v>0.01</v>
      </c>
      <c r="H36">
        <f t="shared" ref="H36:H51" si="13">C36-F36-G36</f>
        <v>0.05</v>
      </c>
      <c r="I36">
        <f t="shared" ref="I36:I51" si="14">H36*A36</f>
        <v>0.8</v>
      </c>
      <c r="M36">
        <v>2000</v>
      </c>
      <c r="N36" t="s">
        <v>34</v>
      </c>
      <c r="O36">
        <v>7.0000000000000007E-2</v>
      </c>
      <c r="P36">
        <f t="shared" ref="P36:P51" si="15">M36*O36</f>
        <v>140</v>
      </c>
      <c r="R36">
        <f t="shared" ref="R36:R51" si="16">ROUNDUP(O36*0.1,2)</f>
        <v>0.01</v>
      </c>
      <c r="S36">
        <f t="shared" ref="S36:S51" si="17">ROUNDUP(O36*0.05,2)</f>
        <v>0.01</v>
      </c>
      <c r="T36">
        <f t="shared" ref="T36:T51" si="18">O36-R36-S36</f>
        <v>0.05</v>
      </c>
      <c r="U36">
        <f t="shared" ref="U36:U51" si="19">T36*M36</f>
        <v>100</v>
      </c>
      <c r="V36">
        <f t="shared" ref="V36:V51" si="20">U36/P36</f>
        <v>0.7142857142857143</v>
      </c>
      <c r="AA36">
        <f t="shared" ref="AA36:AA51" si="21">X36*Z36</f>
        <v>0</v>
      </c>
      <c r="AC36">
        <f t="shared" ref="AC36:AC51" si="22">ROUNDUP(Z36*0.1,2)</f>
        <v>0</v>
      </c>
      <c r="AD36">
        <f t="shared" ref="AD36:AD51" si="23">ROUNDUP(Z36*0.05,2)</f>
        <v>0</v>
      </c>
      <c r="AE36">
        <f t="shared" ref="AE36:AE51" si="24">Z36-AC36-AD36</f>
        <v>0</v>
      </c>
      <c r="AF36">
        <f t="shared" ref="AF36:AF51" si="25">AE36*X36</f>
        <v>0</v>
      </c>
      <c r="AG36" t="e">
        <f t="shared" ref="AG36:AG51" si="26">AF36/AA36</f>
        <v>#DIV/0!</v>
      </c>
    </row>
    <row r="37" spans="1:33" x14ac:dyDescent="0.25">
      <c r="A37">
        <v>3</v>
      </c>
      <c r="B37" t="s">
        <v>20</v>
      </c>
      <c r="C37">
        <v>0.35</v>
      </c>
      <c r="D37">
        <f t="shared" si="10"/>
        <v>1.0499999999999998</v>
      </c>
      <c r="F37">
        <f t="shared" si="11"/>
        <v>0.04</v>
      </c>
      <c r="G37">
        <f t="shared" si="12"/>
        <v>0.02</v>
      </c>
      <c r="H37">
        <f t="shared" si="13"/>
        <v>0.28999999999999998</v>
      </c>
      <c r="I37">
        <f t="shared" si="14"/>
        <v>0.86999999999999988</v>
      </c>
      <c r="M37">
        <v>2000</v>
      </c>
      <c r="N37" t="s">
        <v>36</v>
      </c>
      <c r="O37">
        <v>0.05</v>
      </c>
      <c r="P37">
        <f t="shared" si="15"/>
        <v>100</v>
      </c>
      <c r="R37">
        <f t="shared" si="16"/>
        <v>0.01</v>
      </c>
      <c r="S37">
        <f t="shared" si="17"/>
        <v>0.01</v>
      </c>
      <c r="T37">
        <f t="shared" si="18"/>
        <v>0.03</v>
      </c>
      <c r="U37">
        <f t="shared" si="19"/>
        <v>60</v>
      </c>
      <c r="V37">
        <f t="shared" si="20"/>
        <v>0.6</v>
      </c>
      <c r="AA37">
        <f t="shared" si="21"/>
        <v>0</v>
      </c>
      <c r="AC37">
        <f t="shared" si="22"/>
        <v>0</v>
      </c>
      <c r="AD37">
        <f t="shared" si="23"/>
        <v>0</v>
      </c>
      <c r="AE37">
        <f t="shared" si="24"/>
        <v>0</v>
      </c>
      <c r="AF37">
        <f t="shared" si="25"/>
        <v>0</v>
      </c>
      <c r="AG37" t="e">
        <f t="shared" si="26"/>
        <v>#DIV/0!</v>
      </c>
    </row>
    <row r="38" spans="1:33" x14ac:dyDescent="0.25">
      <c r="A38">
        <v>15</v>
      </c>
      <c r="B38" t="s">
        <v>21</v>
      </c>
      <c r="C38">
        <v>7.0000000000000007E-2</v>
      </c>
      <c r="D38">
        <f t="shared" si="10"/>
        <v>1.05</v>
      </c>
      <c r="F38">
        <f t="shared" si="11"/>
        <v>0.01</v>
      </c>
      <c r="G38">
        <f t="shared" si="12"/>
        <v>0.01</v>
      </c>
      <c r="H38">
        <f t="shared" si="13"/>
        <v>0.05</v>
      </c>
      <c r="I38">
        <f t="shared" si="14"/>
        <v>0.75</v>
      </c>
      <c r="M38">
        <v>215</v>
      </c>
      <c r="N38" t="s">
        <v>37</v>
      </c>
      <c r="O38">
        <v>7.0000000000000007E-2</v>
      </c>
      <c r="P38">
        <f t="shared" si="15"/>
        <v>15.05</v>
      </c>
      <c r="R38">
        <f t="shared" si="16"/>
        <v>0.01</v>
      </c>
      <c r="S38">
        <f t="shared" si="17"/>
        <v>0.01</v>
      </c>
      <c r="T38">
        <f t="shared" si="18"/>
        <v>0.05</v>
      </c>
      <c r="U38">
        <f t="shared" si="19"/>
        <v>10.75</v>
      </c>
      <c r="V38">
        <f t="shared" si="20"/>
        <v>0.7142857142857143</v>
      </c>
      <c r="AA38">
        <f t="shared" si="21"/>
        <v>0</v>
      </c>
      <c r="AC38">
        <f t="shared" si="22"/>
        <v>0</v>
      </c>
      <c r="AD38">
        <f t="shared" si="23"/>
        <v>0</v>
      </c>
      <c r="AE38">
        <f t="shared" si="24"/>
        <v>0</v>
      </c>
      <c r="AF38">
        <f t="shared" si="25"/>
        <v>0</v>
      </c>
      <c r="AG38" t="e">
        <f t="shared" si="26"/>
        <v>#DIV/0!</v>
      </c>
    </row>
    <row r="39" spans="1:33" x14ac:dyDescent="0.25">
      <c r="A39">
        <v>19</v>
      </c>
      <c r="B39" t="s">
        <v>22</v>
      </c>
      <c r="C39">
        <v>0.21</v>
      </c>
      <c r="D39">
        <f t="shared" si="10"/>
        <v>3.9899999999999998</v>
      </c>
      <c r="F39">
        <f t="shared" si="11"/>
        <v>0.03</v>
      </c>
      <c r="G39">
        <f t="shared" si="12"/>
        <v>0.02</v>
      </c>
      <c r="H39">
        <f t="shared" si="13"/>
        <v>0.16</v>
      </c>
      <c r="I39">
        <f t="shared" si="14"/>
        <v>3.04</v>
      </c>
      <c r="M39">
        <v>150</v>
      </c>
      <c r="N39" t="s">
        <v>35</v>
      </c>
      <c r="O39">
        <v>0.35</v>
      </c>
      <c r="P39">
        <f t="shared" si="15"/>
        <v>52.5</v>
      </c>
      <c r="R39">
        <f t="shared" si="16"/>
        <v>0.04</v>
      </c>
      <c r="S39">
        <f t="shared" si="17"/>
        <v>0.02</v>
      </c>
      <c r="T39">
        <f t="shared" si="18"/>
        <v>0.28999999999999998</v>
      </c>
      <c r="U39">
        <f t="shared" si="19"/>
        <v>43.5</v>
      </c>
      <c r="V39">
        <f t="shared" si="20"/>
        <v>0.82857142857142863</v>
      </c>
      <c r="AA39">
        <f t="shared" si="21"/>
        <v>0</v>
      </c>
      <c r="AC39">
        <f t="shared" si="22"/>
        <v>0</v>
      </c>
      <c r="AD39">
        <f t="shared" si="23"/>
        <v>0</v>
      </c>
      <c r="AE39">
        <f t="shared" si="24"/>
        <v>0</v>
      </c>
      <c r="AF39">
        <f t="shared" si="25"/>
        <v>0</v>
      </c>
      <c r="AG39" t="e">
        <f t="shared" si="26"/>
        <v>#DIV/0!</v>
      </c>
    </row>
    <row r="40" spans="1:33" x14ac:dyDescent="0.25">
      <c r="A40">
        <v>6</v>
      </c>
      <c r="B40" t="s">
        <v>23</v>
      </c>
      <c r="C40">
        <v>0.08</v>
      </c>
      <c r="D40">
        <f t="shared" si="10"/>
        <v>0.48</v>
      </c>
      <c r="F40">
        <f t="shared" si="11"/>
        <v>0.01</v>
      </c>
      <c r="G40">
        <f t="shared" si="12"/>
        <v>0.01</v>
      </c>
      <c r="H40">
        <f t="shared" si="13"/>
        <v>6.0000000000000005E-2</v>
      </c>
      <c r="I40">
        <f t="shared" si="14"/>
        <v>0.36000000000000004</v>
      </c>
      <c r="P40">
        <f t="shared" si="15"/>
        <v>0</v>
      </c>
      <c r="R40">
        <f t="shared" si="16"/>
        <v>0</v>
      </c>
      <c r="S40">
        <f t="shared" si="17"/>
        <v>0</v>
      </c>
      <c r="T40">
        <f t="shared" si="18"/>
        <v>0</v>
      </c>
      <c r="U40">
        <f t="shared" si="19"/>
        <v>0</v>
      </c>
      <c r="V40" t="e">
        <f t="shared" si="20"/>
        <v>#DIV/0!</v>
      </c>
      <c r="AA40">
        <f t="shared" si="21"/>
        <v>0</v>
      </c>
      <c r="AC40">
        <f t="shared" si="22"/>
        <v>0</v>
      </c>
      <c r="AD40">
        <f t="shared" si="23"/>
        <v>0</v>
      </c>
      <c r="AE40">
        <f t="shared" si="24"/>
        <v>0</v>
      </c>
      <c r="AF40">
        <f t="shared" si="25"/>
        <v>0</v>
      </c>
      <c r="AG40" t="e">
        <f t="shared" si="26"/>
        <v>#DIV/0!</v>
      </c>
    </row>
    <row r="41" spans="1:33" x14ac:dyDescent="0.25">
      <c r="A41">
        <v>7</v>
      </c>
      <c r="B41" t="s">
        <v>25</v>
      </c>
      <c r="C41">
        <v>1.1200000000000001</v>
      </c>
      <c r="D41">
        <f t="shared" si="10"/>
        <v>7.8400000000000007</v>
      </c>
      <c r="F41">
        <f t="shared" si="11"/>
        <v>0.12</v>
      </c>
      <c r="G41">
        <f t="shared" si="12"/>
        <v>6.0000000000000005E-2</v>
      </c>
      <c r="H41">
        <f t="shared" si="13"/>
        <v>0.94</v>
      </c>
      <c r="I41">
        <f t="shared" si="14"/>
        <v>6.58</v>
      </c>
      <c r="P41">
        <f t="shared" si="15"/>
        <v>0</v>
      </c>
      <c r="R41">
        <f t="shared" si="16"/>
        <v>0</v>
      </c>
      <c r="S41">
        <f t="shared" si="17"/>
        <v>0</v>
      </c>
      <c r="T41">
        <f t="shared" si="18"/>
        <v>0</v>
      </c>
      <c r="U41">
        <f t="shared" si="19"/>
        <v>0</v>
      </c>
      <c r="V41" t="e">
        <f t="shared" si="20"/>
        <v>#DIV/0!</v>
      </c>
      <c r="AA41">
        <f t="shared" si="21"/>
        <v>0</v>
      </c>
      <c r="AC41">
        <f t="shared" si="22"/>
        <v>0</v>
      </c>
      <c r="AD41">
        <f t="shared" si="23"/>
        <v>0</v>
      </c>
      <c r="AE41">
        <f t="shared" si="24"/>
        <v>0</v>
      </c>
      <c r="AF41">
        <f t="shared" si="25"/>
        <v>0</v>
      </c>
      <c r="AG41" t="e">
        <f t="shared" si="26"/>
        <v>#DIV/0!</v>
      </c>
    </row>
    <row r="42" spans="1:33" x14ac:dyDescent="0.25">
      <c r="A42">
        <v>4</v>
      </c>
      <c r="B42" t="s">
        <v>24</v>
      </c>
      <c r="C42">
        <v>0.17</v>
      </c>
      <c r="D42">
        <f t="shared" si="10"/>
        <v>0.68</v>
      </c>
      <c r="F42">
        <f t="shared" si="11"/>
        <v>0.02</v>
      </c>
      <c r="G42">
        <f t="shared" si="12"/>
        <v>0.01</v>
      </c>
      <c r="H42">
        <f t="shared" si="13"/>
        <v>0.14000000000000001</v>
      </c>
      <c r="I42">
        <f t="shared" si="14"/>
        <v>0.56000000000000005</v>
      </c>
      <c r="P42">
        <f t="shared" si="15"/>
        <v>0</v>
      </c>
      <c r="R42">
        <f t="shared" si="16"/>
        <v>0</v>
      </c>
      <c r="S42">
        <f t="shared" si="17"/>
        <v>0</v>
      </c>
      <c r="T42">
        <f t="shared" si="18"/>
        <v>0</v>
      </c>
      <c r="U42">
        <f t="shared" si="19"/>
        <v>0</v>
      </c>
      <c r="V42" t="e">
        <f t="shared" si="20"/>
        <v>#DIV/0!</v>
      </c>
      <c r="AA42">
        <f t="shared" si="21"/>
        <v>0</v>
      </c>
      <c r="AC42">
        <f t="shared" si="22"/>
        <v>0</v>
      </c>
      <c r="AD42">
        <f t="shared" si="23"/>
        <v>0</v>
      </c>
      <c r="AE42">
        <f t="shared" si="24"/>
        <v>0</v>
      </c>
      <c r="AF42">
        <f t="shared" si="25"/>
        <v>0</v>
      </c>
      <c r="AG42" t="e">
        <f t="shared" si="26"/>
        <v>#DIV/0!</v>
      </c>
    </row>
    <row r="43" spans="1:33" x14ac:dyDescent="0.25">
      <c r="A43">
        <v>4</v>
      </c>
      <c r="B43" t="s">
        <v>26</v>
      </c>
      <c r="C43">
        <v>7.0000000000000007E-2</v>
      </c>
      <c r="D43">
        <f t="shared" si="10"/>
        <v>0.28000000000000003</v>
      </c>
      <c r="F43">
        <f t="shared" si="11"/>
        <v>0.01</v>
      </c>
      <c r="G43">
        <f t="shared" si="12"/>
        <v>0.01</v>
      </c>
      <c r="H43">
        <f t="shared" si="13"/>
        <v>0.05</v>
      </c>
      <c r="I43">
        <f t="shared" si="14"/>
        <v>0.2</v>
      </c>
      <c r="P43">
        <f t="shared" si="15"/>
        <v>0</v>
      </c>
      <c r="R43">
        <f t="shared" si="16"/>
        <v>0</v>
      </c>
      <c r="S43">
        <f t="shared" si="17"/>
        <v>0</v>
      </c>
      <c r="T43">
        <f t="shared" si="18"/>
        <v>0</v>
      </c>
      <c r="U43">
        <f t="shared" si="19"/>
        <v>0</v>
      </c>
      <c r="V43" t="e">
        <f t="shared" si="20"/>
        <v>#DIV/0!</v>
      </c>
      <c r="AA43">
        <f t="shared" si="21"/>
        <v>0</v>
      </c>
      <c r="AC43">
        <f t="shared" si="22"/>
        <v>0</v>
      </c>
      <c r="AD43">
        <f t="shared" si="23"/>
        <v>0</v>
      </c>
      <c r="AE43">
        <f t="shared" si="24"/>
        <v>0</v>
      </c>
      <c r="AF43">
        <f t="shared" si="25"/>
        <v>0</v>
      </c>
      <c r="AG43" t="e">
        <f t="shared" si="26"/>
        <v>#DIV/0!</v>
      </c>
    </row>
    <row r="44" spans="1:33" x14ac:dyDescent="0.25">
      <c r="A44">
        <v>1</v>
      </c>
      <c r="B44" t="s">
        <v>27</v>
      </c>
      <c r="C44">
        <v>0.59</v>
      </c>
      <c r="D44">
        <f t="shared" si="10"/>
        <v>0.59</v>
      </c>
      <c r="F44">
        <f t="shared" si="11"/>
        <v>6.0000000000000005E-2</v>
      </c>
      <c r="G44">
        <f t="shared" si="12"/>
        <v>0.03</v>
      </c>
      <c r="H44">
        <f t="shared" si="13"/>
        <v>0.49999999999999989</v>
      </c>
      <c r="I44">
        <f t="shared" si="14"/>
        <v>0.49999999999999989</v>
      </c>
      <c r="P44">
        <f t="shared" si="15"/>
        <v>0</v>
      </c>
      <c r="R44">
        <f t="shared" si="16"/>
        <v>0</v>
      </c>
      <c r="S44">
        <f t="shared" si="17"/>
        <v>0</v>
      </c>
      <c r="T44">
        <f t="shared" si="18"/>
        <v>0</v>
      </c>
      <c r="U44">
        <f t="shared" si="19"/>
        <v>0</v>
      </c>
      <c r="V44" t="e">
        <f t="shared" si="20"/>
        <v>#DIV/0!</v>
      </c>
      <c r="AA44">
        <f t="shared" si="21"/>
        <v>0</v>
      </c>
      <c r="AC44">
        <f t="shared" si="22"/>
        <v>0</v>
      </c>
      <c r="AD44">
        <f t="shared" si="23"/>
        <v>0</v>
      </c>
      <c r="AE44">
        <f t="shared" si="24"/>
        <v>0</v>
      </c>
      <c r="AF44">
        <f t="shared" si="25"/>
        <v>0</v>
      </c>
      <c r="AG44" t="e">
        <f t="shared" si="26"/>
        <v>#DIV/0!</v>
      </c>
    </row>
    <row r="45" spans="1:33" x14ac:dyDescent="0.25">
      <c r="D45">
        <f t="shared" si="10"/>
        <v>0</v>
      </c>
      <c r="F45">
        <f t="shared" si="11"/>
        <v>0</v>
      </c>
      <c r="G45">
        <f t="shared" si="12"/>
        <v>0</v>
      </c>
      <c r="H45">
        <f t="shared" si="13"/>
        <v>0</v>
      </c>
      <c r="I45">
        <f t="shared" si="14"/>
        <v>0</v>
      </c>
      <c r="P45">
        <f t="shared" si="15"/>
        <v>0</v>
      </c>
      <c r="R45">
        <f t="shared" si="16"/>
        <v>0</v>
      </c>
      <c r="S45">
        <f t="shared" si="17"/>
        <v>0</v>
      </c>
      <c r="T45">
        <f t="shared" si="18"/>
        <v>0</v>
      </c>
      <c r="U45">
        <f t="shared" si="19"/>
        <v>0</v>
      </c>
      <c r="V45" t="e">
        <f t="shared" si="20"/>
        <v>#DIV/0!</v>
      </c>
      <c r="AA45">
        <f t="shared" si="21"/>
        <v>0</v>
      </c>
      <c r="AC45">
        <f t="shared" si="22"/>
        <v>0</v>
      </c>
      <c r="AD45">
        <f t="shared" si="23"/>
        <v>0</v>
      </c>
      <c r="AE45">
        <f t="shared" si="24"/>
        <v>0</v>
      </c>
      <c r="AF45">
        <f t="shared" si="25"/>
        <v>0</v>
      </c>
      <c r="AG45" t="e">
        <f t="shared" si="26"/>
        <v>#DIV/0!</v>
      </c>
    </row>
    <row r="46" spans="1:33" x14ac:dyDescent="0.25">
      <c r="D46">
        <f t="shared" si="10"/>
        <v>0</v>
      </c>
      <c r="F46">
        <f t="shared" si="11"/>
        <v>0</v>
      </c>
      <c r="G46">
        <f t="shared" si="12"/>
        <v>0</v>
      </c>
      <c r="H46">
        <f t="shared" si="13"/>
        <v>0</v>
      </c>
      <c r="I46">
        <f t="shared" si="14"/>
        <v>0</v>
      </c>
      <c r="P46">
        <f t="shared" si="15"/>
        <v>0</v>
      </c>
      <c r="R46">
        <f t="shared" si="16"/>
        <v>0</v>
      </c>
      <c r="S46">
        <f t="shared" si="17"/>
        <v>0</v>
      </c>
      <c r="T46">
        <f t="shared" si="18"/>
        <v>0</v>
      </c>
      <c r="U46">
        <f t="shared" si="19"/>
        <v>0</v>
      </c>
      <c r="V46" t="e">
        <f t="shared" si="20"/>
        <v>#DIV/0!</v>
      </c>
      <c r="AA46">
        <f t="shared" si="21"/>
        <v>0</v>
      </c>
      <c r="AC46">
        <f t="shared" si="22"/>
        <v>0</v>
      </c>
      <c r="AD46">
        <f t="shared" si="23"/>
        <v>0</v>
      </c>
      <c r="AE46">
        <f t="shared" si="24"/>
        <v>0</v>
      </c>
      <c r="AF46">
        <f t="shared" si="25"/>
        <v>0</v>
      </c>
      <c r="AG46" t="e">
        <f t="shared" si="26"/>
        <v>#DIV/0!</v>
      </c>
    </row>
    <row r="47" spans="1:33" x14ac:dyDescent="0.25">
      <c r="D47">
        <f t="shared" si="10"/>
        <v>0</v>
      </c>
      <c r="F47">
        <f t="shared" si="11"/>
        <v>0</v>
      </c>
      <c r="G47">
        <f t="shared" si="12"/>
        <v>0</v>
      </c>
      <c r="H47">
        <f t="shared" si="13"/>
        <v>0</v>
      </c>
      <c r="I47">
        <f t="shared" si="14"/>
        <v>0</v>
      </c>
      <c r="P47">
        <f t="shared" si="15"/>
        <v>0</v>
      </c>
      <c r="R47">
        <f t="shared" si="16"/>
        <v>0</v>
      </c>
      <c r="S47">
        <f t="shared" si="17"/>
        <v>0</v>
      </c>
      <c r="T47">
        <f t="shared" si="18"/>
        <v>0</v>
      </c>
      <c r="U47">
        <f t="shared" si="19"/>
        <v>0</v>
      </c>
      <c r="V47" t="e">
        <f t="shared" si="20"/>
        <v>#DIV/0!</v>
      </c>
      <c r="AA47">
        <f t="shared" si="21"/>
        <v>0</v>
      </c>
      <c r="AC47">
        <f t="shared" si="22"/>
        <v>0</v>
      </c>
      <c r="AD47">
        <f t="shared" si="23"/>
        <v>0</v>
      </c>
      <c r="AE47">
        <f t="shared" si="24"/>
        <v>0</v>
      </c>
      <c r="AF47">
        <f t="shared" si="25"/>
        <v>0</v>
      </c>
      <c r="AG47" t="e">
        <f t="shared" si="26"/>
        <v>#DIV/0!</v>
      </c>
    </row>
    <row r="48" spans="1:33" x14ac:dyDescent="0.25">
      <c r="D48">
        <f t="shared" si="10"/>
        <v>0</v>
      </c>
      <c r="F48">
        <f t="shared" si="11"/>
        <v>0</v>
      </c>
      <c r="G48">
        <f t="shared" si="12"/>
        <v>0</v>
      </c>
      <c r="H48">
        <f t="shared" si="13"/>
        <v>0</v>
      </c>
      <c r="I48">
        <f t="shared" si="14"/>
        <v>0</v>
      </c>
      <c r="P48">
        <f t="shared" si="15"/>
        <v>0</v>
      </c>
      <c r="R48">
        <f t="shared" si="16"/>
        <v>0</v>
      </c>
      <c r="S48">
        <f t="shared" si="17"/>
        <v>0</v>
      </c>
      <c r="T48">
        <f t="shared" si="18"/>
        <v>0</v>
      </c>
      <c r="U48">
        <f t="shared" si="19"/>
        <v>0</v>
      </c>
      <c r="V48" t="e">
        <f t="shared" si="20"/>
        <v>#DIV/0!</v>
      </c>
      <c r="AA48">
        <f t="shared" si="21"/>
        <v>0</v>
      </c>
      <c r="AC48">
        <f t="shared" si="22"/>
        <v>0</v>
      </c>
      <c r="AD48">
        <f t="shared" si="23"/>
        <v>0</v>
      </c>
      <c r="AE48">
        <f t="shared" si="24"/>
        <v>0</v>
      </c>
      <c r="AF48">
        <f t="shared" si="25"/>
        <v>0</v>
      </c>
      <c r="AG48" t="e">
        <f t="shared" si="26"/>
        <v>#DIV/0!</v>
      </c>
    </row>
    <row r="49" spans="4:33" x14ac:dyDescent="0.25">
      <c r="D49">
        <f t="shared" si="10"/>
        <v>0</v>
      </c>
      <c r="F49">
        <f t="shared" si="11"/>
        <v>0</v>
      </c>
      <c r="G49">
        <f t="shared" si="12"/>
        <v>0</v>
      </c>
      <c r="H49">
        <f t="shared" si="13"/>
        <v>0</v>
      </c>
      <c r="I49">
        <f t="shared" si="14"/>
        <v>0</v>
      </c>
      <c r="P49">
        <f t="shared" si="15"/>
        <v>0</v>
      </c>
      <c r="R49">
        <f t="shared" si="16"/>
        <v>0</v>
      </c>
      <c r="S49">
        <f t="shared" si="17"/>
        <v>0</v>
      </c>
      <c r="T49">
        <f t="shared" si="18"/>
        <v>0</v>
      </c>
      <c r="U49">
        <f t="shared" si="19"/>
        <v>0</v>
      </c>
      <c r="V49" t="e">
        <f t="shared" si="20"/>
        <v>#DIV/0!</v>
      </c>
      <c r="AA49">
        <f t="shared" si="21"/>
        <v>0</v>
      </c>
      <c r="AC49">
        <f t="shared" si="22"/>
        <v>0</v>
      </c>
      <c r="AD49">
        <f t="shared" si="23"/>
        <v>0</v>
      </c>
      <c r="AE49">
        <f t="shared" si="24"/>
        <v>0</v>
      </c>
      <c r="AF49">
        <f t="shared" si="25"/>
        <v>0</v>
      </c>
      <c r="AG49" t="e">
        <f t="shared" si="26"/>
        <v>#DIV/0!</v>
      </c>
    </row>
    <row r="50" spans="4:33" x14ac:dyDescent="0.25">
      <c r="D50">
        <f t="shared" si="10"/>
        <v>0</v>
      </c>
      <c r="F50">
        <f t="shared" si="11"/>
        <v>0</v>
      </c>
      <c r="G50">
        <f t="shared" si="12"/>
        <v>0</v>
      </c>
      <c r="H50">
        <f t="shared" si="13"/>
        <v>0</v>
      </c>
      <c r="I50">
        <f t="shared" si="14"/>
        <v>0</v>
      </c>
      <c r="P50">
        <f t="shared" si="15"/>
        <v>0</v>
      </c>
      <c r="R50">
        <f t="shared" si="16"/>
        <v>0</v>
      </c>
      <c r="S50">
        <f t="shared" si="17"/>
        <v>0</v>
      </c>
      <c r="T50">
        <f t="shared" si="18"/>
        <v>0</v>
      </c>
      <c r="U50">
        <f t="shared" si="19"/>
        <v>0</v>
      </c>
      <c r="V50" t="e">
        <f t="shared" si="20"/>
        <v>#DIV/0!</v>
      </c>
      <c r="AA50">
        <f t="shared" si="21"/>
        <v>0</v>
      </c>
      <c r="AC50">
        <f t="shared" si="22"/>
        <v>0</v>
      </c>
      <c r="AD50">
        <f t="shared" si="23"/>
        <v>0</v>
      </c>
      <c r="AE50">
        <f t="shared" si="24"/>
        <v>0</v>
      </c>
      <c r="AF50">
        <f t="shared" si="25"/>
        <v>0</v>
      </c>
      <c r="AG50" t="e">
        <f t="shared" si="26"/>
        <v>#DIV/0!</v>
      </c>
    </row>
    <row r="51" spans="4:33" x14ac:dyDescent="0.25">
      <c r="D51">
        <f t="shared" si="10"/>
        <v>0</v>
      </c>
      <c r="F51">
        <f t="shared" si="11"/>
        <v>0</v>
      </c>
      <c r="G51">
        <f t="shared" si="12"/>
        <v>0</v>
      </c>
      <c r="H51">
        <f t="shared" si="13"/>
        <v>0</v>
      </c>
      <c r="I51">
        <f t="shared" si="14"/>
        <v>0</v>
      </c>
      <c r="P51">
        <f t="shared" si="15"/>
        <v>0</v>
      </c>
      <c r="R51">
        <f t="shared" si="16"/>
        <v>0</v>
      </c>
      <c r="S51">
        <f t="shared" si="17"/>
        <v>0</v>
      </c>
      <c r="T51">
        <f t="shared" si="18"/>
        <v>0</v>
      </c>
      <c r="U51">
        <f t="shared" si="19"/>
        <v>0</v>
      </c>
      <c r="V51" t="e">
        <f t="shared" si="20"/>
        <v>#DIV/0!</v>
      </c>
      <c r="AA51">
        <f t="shared" si="21"/>
        <v>0</v>
      </c>
      <c r="AC51">
        <f t="shared" si="22"/>
        <v>0</v>
      </c>
      <c r="AD51">
        <f t="shared" si="23"/>
        <v>0</v>
      </c>
      <c r="AE51">
        <f t="shared" si="24"/>
        <v>0</v>
      </c>
      <c r="AF51">
        <f t="shared" si="25"/>
        <v>0</v>
      </c>
      <c r="AG51" t="e">
        <f t="shared" si="26"/>
        <v>#DIV/0!</v>
      </c>
    </row>
    <row r="52" spans="4:33" x14ac:dyDescent="0.25">
      <c r="D52">
        <f>SUM(D35:D51)</f>
        <v>17.330000000000002</v>
      </c>
      <c r="I52">
        <f>SUM(I35:I51)</f>
        <v>13.81</v>
      </c>
      <c r="P52">
        <f>SUM(P35:P51)</f>
        <v>377.55</v>
      </c>
      <c r="U52">
        <f>SUM(U35:U51)</f>
        <v>264.25</v>
      </c>
      <c r="AA52">
        <f>SUM(AA35:AA51)</f>
        <v>81.48</v>
      </c>
      <c r="AF52">
        <f>SUM(AF35:AF51)</f>
        <v>69.089999999999989</v>
      </c>
    </row>
    <row r="57" spans="4:33" x14ac:dyDescent="0.25">
      <c r="AA57">
        <f>D52+P52+AA52</f>
        <v>476.36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C2ACE-A4E5-4FA2-8E41-0D0A27E01BDE}">
  <dimension ref="A1:W157"/>
  <sheetViews>
    <sheetView zoomScale="90" zoomScaleNormal="90" workbookViewId="0">
      <selection activeCell="E116" sqref="E116"/>
    </sheetView>
  </sheetViews>
  <sheetFormatPr defaultRowHeight="15" x14ac:dyDescent="0.25"/>
  <cols>
    <col min="1" max="1" width="30.140625" customWidth="1"/>
    <col min="2" max="2" width="14.7109375" customWidth="1"/>
    <col min="3" max="3" width="13.42578125" customWidth="1"/>
    <col min="4" max="4" width="11.7109375" customWidth="1"/>
    <col min="5" max="5" width="11.85546875" customWidth="1"/>
    <col min="6" max="6" width="11.42578125" customWidth="1"/>
    <col min="7" max="7" width="10.85546875" customWidth="1"/>
    <col min="8" max="8" width="10.7109375" customWidth="1"/>
    <col min="9" max="9" width="10.85546875" customWidth="1"/>
    <col min="10" max="10" width="11.140625" customWidth="1"/>
    <col min="11" max="11" width="11.28515625" customWidth="1"/>
    <col min="12" max="13" width="12" customWidth="1"/>
    <col min="14" max="14" width="12.28515625" customWidth="1"/>
    <col min="15" max="15" width="11.85546875" customWidth="1"/>
    <col min="16" max="16" width="10.5703125" customWidth="1"/>
    <col min="17" max="17" width="11.28515625" customWidth="1"/>
    <col min="18" max="18" width="11" customWidth="1"/>
    <col min="19" max="19" width="10.5703125" customWidth="1"/>
    <col min="20" max="20" width="11.140625" customWidth="1"/>
  </cols>
  <sheetData>
    <row r="1" spans="1:23" ht="28.5" x14ac:dyDescent="0.45">
      <c r="A1" s="3" t="s">
        <v>46</v>
      </c>
    </row>
    <row r="3" spans="1:23" ht="23.25" x14ac:dyDescent="0.35">
      <c r="A3" s="2" t="s">
        <v>47</v>
      </c>
    </row>
    <row r="4" spans="1:23" x14ac:dyDescent="0.25">
      <c r="B4" s="4">
        <v>44331</v>
      </c>
      <c r="C4" s="4">
        <v>44338</v>
      </c>
      <c r="D4" s="4">
        <v>44345</v>
      </c>
      <c r="E4" s="4">
        <v>44352</v>
      </c>
      <c r="F4" s="4">
        <v>44359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x14ac:dyDescent="0.25">
      <c r="A5" s="1" t="s">
        <v>48</v>
      </c>
      <c r="B5">
        <v>196.27</v>
      </c>
    </row>
    <row r="6" spans="1:23" x14ac:dyDescent="0.25">
      <c r="A6" s="1" t="s">
        <v>49</v>
      </c>
      <c r="B6">
        <v>1201.5999999999999</v>
      </c>
    </row>
    <row r="7" spans="1:23" x14ac:dyDescent="0.25">
      <c r="A7" s="1" t="s">
        <v>50</v>
      </c>
      <c r="B7">
        <v>194.62</v>
      </c>
    </row>
    <row r="8" spans="1:23" x14ac:dyDescent="0.25">
      <c r="A8" s="1" t="s">
        <v>51</v>
      </c>
      <c r="B8">
        <v>380.55</v>
      </c>
    </row>
    <row r="9" spans="1:23" x14ac:dyDescent="0.25">
      <c r="B9">
        <f>SUM(B5:B8)</f>
        <v>1973.0399999999997</v>
      </c>
      <c r="C9">
        <f t="shared" ref="C9:E9" si="0">SUM(C5:C8)</f>
        <v>0</v>
      </c>
      <c r="D9">
        <f t="shared" si="0"/>
        <v>0</v>
      </c>
      <c r="E9">
        <f t="shared" si="0"/>
        <v>0</v>
      </c>
      <c r="F9">
        <f>SUM(F5:F8)</f>
        <v>0</v>
      </c>
    </row>
    <row r="11" spans="1:23" ht="23.25" x14ac:dyDescent="0.35">
      <c r="A11" s="2" t="s">
        <v>52</v>
      </c>
    </row>
    <row r="12" spans="1:23" x14ac:dyDescent="0.25">
      <c r="B12" s="4">
        <v>44331</v>
      </c>
      <c r="C12" s="4">
        <v>44338</v>
      </c>
      <c r="D12" s="4">
        <v>44345</v>
      </c>
      <c r="E12" s="4">
        <v>44352</v>
      </c>
      <c r="F12" s="4">
        <v>44359</v>
      </c>
    </row>
    <row r="13" spans="1:23" x14ac:dyDescent="0.25">
      <c r="A13" s="1" t="s">
        <v>53</v>
      </c>
      <c r="B13">
        <v>7.47</v>
      </c>
    </row>
    <row r="14" spans="1:23" x14ac:dyDescent="0.25">
      <c r="A14" s="1" t="s">
        <v>54</v>
      </c>
      <c r="B14">
        <v>6.81</v>
      </c>
      <c r="V14" s="1"/>
    </row>
    <row r="15" spans="1:23" x14ac:dyDescent="0.25">
      <c r="A15" s="1" t="s">
        <v>55</v>
      </c>
      <c r="B15">
        <v>74.08</v>
      </c>
    </row>
    <row r="16" spans="1:23" x14ac:dyDescent="0.25">
      <c r="A16" s="1" t="s">
        <v>56</v>
      </c>
      <c r="B16">
        <v>3.23</v>
      </c>
    </row>
    <row r="17" spans="1:16" x14ac:dyDescent="0.25">
      <c r="A17" s="1" t="s">
        <v>57</v>
      </c>
      <c r="B17">
        <v>52.57</v>
      </c>
    </row>
    <row r="18" spans="1:16" x14ac:dyDescent="0.25">
      <c r="A18" s="1" t="s">
        <v>58</v>
      </c>
      <c r="B18">
        <v>47</v>
      </c>
    </row>
    <row r="19" spans="1:16" x14ac:dyDescent="0.25">
      <c r="A19" s="1" t="s">
        <v>59</v>
      </c>
      <c r="B19">
        <v>4.3099999999999996</v>
      </c>
    </row>
    <row r="20" spans="1:16" x14ac:dyDescent="0.25">
      <c r="B20">
        <f>SUM(B13:B19)</f>
        <v>195.47</v>
      </c>
      <c r="C20">
        <f t="shared" ref="C20:F20" si="1">SUM(C13:C19)</f>
        <v>0</v>
      </c>
      <c r="D20">
        <f t="shared" si="1"/>
        <v>0</v>
      </c>
      <c r="E20">
        <f t="shared" si="1"/>
        <v>0</v>
      </c>
      <c r="F20">
        <f t="shared" si="1"/>
        <v>0</v>
      </c>
    </row>
    <row r="22" spans="1:16" ht="23.25" x14ac:dyDescent="0.35">
      <c r="A22" s="2" t="s">
        <v>60</v>
      </c>
    </row>
    <row r="23" spans="1:16" x14ac:dyDescent="0.25">
      <c r="B23" s="4">
        <v>44331</v>
      </c>
      <c r="C23" s="4">
        <v>44338</v>
      </c>
      <c r="D23" s="4">
        <v>44345</v>
      </c>
      <c r="E23" s="4">
        <v>44352</v>
      </c>
      <c r="F23" s="4">
        <v>44359</v>
      </c>
    </row>
    <row r="24" spans="1:16" x14ac:dyDescent="0.25">
      <c r="A24" s="1" t="s">
        <v>63</v>
      </c>
      <c r="B24">
        <v>37.31</v>
      </c>
    </row>
    <row r="25" spans="1:16" x14ac:dyDescent="0.25">
      <c r="A25" s="1" t="s">
        <v>62</v>
      </c>
      <c r="B25">
        <v>13.77</v>
      </c>
    </row>
    <row r="26" spans="1:16" x14ac:dyDescent="0.25">
      <c r="A26" s="1" t="s">
        <v>61</v>
      </c>
      <c r="B26">
        <v>17.309999999999999</v>
      </c>
      <c r="P26" s="1"/>
    </row>
    <row r="27" spans="1:16" x14ac:dyDescent="0.25">
      <c r="A27" s="1" t="s">
        <v>64</v>
      </c>
      <c r="B27">
        <v>6.9</v>
      </c>
    </row>
    <row r="28" spans="1:16" x14ac:dyDescent="0.25">
      <c r="A28" s="1" t="s">
        <v>65</v>
      </c>
      <c r="B28">
        <v>26.86</v>
      </c>
    </row>
    <row r="29" spans="1:16" x14ac:dyDescent="0.25">
      <c r="A29" s="1" t="s">
        <v>66</v>
      </c>
      <c r="B29">
        <v>29.07</v>
      </c>
    </row>
    <row r="30" spans="1:16" x14ac:dyDescent="0.25">
      <c r="A30" s="1" t="s">
        <v>67</v>
      </c>
      <c r="B30">
        <v>14.52</v>
      </c>
    </row>
    <row r="31" spans="1:16" x14ac:dyDescent="0.25">
      <c r="A31" s="1" t="s">
        <v>68</v>
      </c>
      <c r="B31">
        <v>33.21</v>
      </c>
    </row>
    <row r="32" spans="1:16" x14ac:dyDescent="0.25">
      <c r="B32">
        <f>SUM(B24:B31)</f>
        <v>178.95000000000002</v>
      </c>
      <c r="C32">
        <f t="shared" ref="C32:F32" si="2">SUM(C24:C31)</f>
        <v>0</v>
      </c>
      <c r="D32">
        <f t="shared" si="2"/>
        <v>0</v>
      </c>
      <c r="E32">
        <f t="shared" si="2"/>
        <v>0</v>
      </c>
      <c r="F32">
        <f t="shared" si="2"/>
        <v>0</v>
      </c>
    </row>
    <row r="34" spans="1:6" ht="23.25" x14ac:dyDescent="0.35">
      <c r="A34" s="2" t="s">
        <v>69</v>
      </c>
    </row>
    <row r="35" spans="1:6" x14ac:dyDescent="0.25">
      <c r="B35" s="4">
        <v>44331</v>
      </c>
      <c r="C35" s="4">
        <v>44338</v>
      </c>
      <c r="D35" s="4">
        <v>44345</v>
      </c>
      <c r="E35" s="4">
        <v>44352</v>
      </c>
      <c r="F35" s="4">
        <v>44359</v>
      </c>
    </row>
    <row r="36" spans="1:6" x14ac:dyDescent="0.25">
      <c r="A36" s="1" t="s">
        <v>70</v>
      </c>
      <c r="B36">
        <v>15.54</v>
      </c>
    </row>
    <row r="37" spans="1:6" x14ac:dyDescent="0.25">
      <c r="A37" s="1" t="s">
        <v>71</v>
      </c>
      <c r="B37">
        <v>21.98</v>
      </c>
    </row>
    <row r="38" spans="1:6" x14ac:dyDescent="0.25">
      <c r="A38" s="1" t="s">
        <v>72</v>
      </c>
      <c r="B38">
        <v>36.200000000000003</v>
      </c>
    </row>
    <row r="39" spans="1:6" x14ac:dyDescent="0.25">
      <c r="A39" s="1" t="s">
        <v>73</v>
      </c>
      <c r="B39">
        <v>2.92</v>
      </c>
    </row>
    <row r="40" spans="1:6" x14ac:dyDescent="0.25">
      <c r="B40">
        <f>SUM(B36:B39)</f>
        <v>76.64</v>
      </c>
      <c r="C40">
        <f t="shared" ref="C40:F40" si="3">SUM(C36:C39)</f>
        <v>0</v>
      </c>
      <c r="D40">
        <f t="shared" si="3"/>
        <v>0</v>
      </c>
      <c r="E40">
        <f t="shared" si="3"/>
        <v>0</v>
      </c>
      <c r="F40">
        <f t="shared" si="3"/>
        <v>0</v>
      </c>
    </row>
    <row r="42" spans="1:6" ht="23.25" x14ac:dyDescent="0.35">
      <c r="A42" s="2" t="s">
        <v>74</v>
      </c>
    </row>
    <row r="43" spans="1:6" x14ac:dyDescent="0.25">
      <c r="B43" s="4">
        <v>44331</v>
      </c>
      <c r="C43" s="4">
        <v>44338</v>
      </c>
      <c r="D43" s="4">
        <v>44345</v>
      </c>
      <c r="E43" s="4">
        <v>44352</v>
      </c>
      <c r="F43" s="4">
        <v>44359</v>
      </c>
    </row>
    <row r="44" spans="1:6" x14ac:dyDescent="0.25">
      <c r="A44" s="1" t="s">
        <v>75</v>
      </c>
      <c r="B44">
        <v>18.21</v>
      </c>
    </row>
    <row r="45" spans="1:6" x14ac:dyDescent="0.25">
      <c r="A45" s="1" t="s">
        <v>76</v>
      </c>
      <c r="B45">
        <v>192.99</v>
      </c>
    </row>
    <row r="46" spans="1:6" x14ac:dyDescent="0.25">
      <c r="A46" s="1" t="s">
        <v>77</v>
      </c>
      <c r="B46">
        <v>62.15</v>
      </c>
    </row>
    <row r="47" spans="1:6" x14ac:dyDescent="0.25">
      <c r="A47" s="1" t="s">
        <v>78</v>
      </c>
      <c r="B47">
        <v>37.770000000000003</v>
      </c>
    </row>
    <row r="48" spans="1:6" x14ac:dyDescent="0.25">
      <c r="A48" s="1" t="s">
        <v>79</v>
      </c>
      <c r="B48">
        <v>26.57</v>
      </c>
    </row>
    <row r="49" spans="1:6" x14ac:dyDescent="0.25">
      <c r="A49" s="1" t="s">
        <v>80</v>
      </c>
      <c r="B49">
        <v>47.51</v>
      </c>
    </row>
    <row r="50" spans="1:6" x14ac:dyDescent="0.25">
      <c r="B50">
        <f>SUM(B44:B49)</f>
        <v>385.2</v>
      </c>
      <c r="C50">
        <f t="shared" ref="C50:E50" si="4">SUM(C44:C49)</f>
        <v>0</v>
      </c>
      <c r="D50">
        <f t="shared" si="4"/>
        <v>0</v>
      </c>
      <c r="E50">
        <f t="shared" si="4"/>
        <v>0</v>
      </c>
      <c r="F50">
        <f>SUM(F44:F49)</f>
        <v>0</v>
      </c>
    </row>
    <row r="52" spans="1:6" ht="23.25" x14ac:dyDescent="0.35">
      <c r="A52" s="2" t="s">
        <v>81</v>
      </c>
    </row>
    <row r="53" spans="1:6" x14ac:dyDescent="0.25">
      <c r="B53" s="4">
        <v>44331</v>
      </c>
      <c r="C53" s="4">
        <v>44338</v>
      </c>
      <c r="D53" s="4">
        <v>44345</v>
      </c>
      <c r="E53" s="4">
        <v>44352</v>
      </c>
      <c r="F53" s="4">
        <v>44359</v>
      </c>
    </row>
    <row r="54" spans="1:6" x14ac:dyDescent="0.25">
      <c r="A54" s="1" t="s">
        <v>82</v>
      </c>
      <c r="B54">
        <v>3.16</v>
      </c>
    </row>
    <row r="55" spans="1:6" x14ac:dyDescent="0.25">
      <c r="A55" s="1" t="s">
        <v>83</v>
      </c>
      <c r="B55">
        <v>4.63</v>
      </c>
    </row>
    <row r="56" spans="1:6" x14ac:dyDescent="0.25">
      <c r="A56" s="1" t="s">
        <v>84</v>
      </c>
      <c r="B56">
        <v>3.8</v>
      </c>
    </row>
    <row r="57" spans="1:6" x14ac:dyDescent="0.25">
      <c r="A57" s="1" t="s">
        <v>85</v>
      </c>
      <c r="B57">
        <v>37.08</v>
      </c>
    </row>
    <row r="58" spans="1:6" x14ac:dyDescent="0.25">
      <c r="A58" s="1" t="s">
        <v>86</v>
      </c>
      <c r="B58">
        <v>3.71</v>
      </c>
    </row>
    <row r="59" spans="1:6" x14ac:dyDescent="0.25">
      <c r="A59" s="1" t="s">
        <v>87</v>
      </c>
      <c r="B59">
        <v>1.0900000000000001</v>
      </c>
    </row>
    <row r="60" spans="1:6" x14ac:dyDescent="0.25">
      <c r="A60" s="1" t="s">
        <v>88</v>
      </c>
      <c r="B60">
        <v>6.87</v>
      </c>
    </row>
    <row r="61" spans="1:6" x14ac:dyDescent="0.25">
      <c r="A61" s="1" t="s">
        <v>89</v>
      </c>
      <c r="B61">
        <v>11.74</v>
      </c>
    </row>
    <row r="62" spans="1:6" x14ac:dyDescent="0.25">
      <c r="A62" s="1" t="s">
        <v>90</v>
      </c>
      <c r="B62">
        <v>3.26</v>
      </c>
    </row>
    <row r="63" spans="1:6" x14ac:dyDescent="0.25">
      <c r="A63" s="1" t="s">
        <v>91</v>
      </c>
      <c r="B63">
        <v>0.87</v>
      </c>
    </row>
    <row r="64" spans="1:6" x14ac:dyDescent="0.25">
      <c r="A64" s="1" t="s">
        <v>92</v>
      </c>
      <c r="B64">
        <v>0.92</v>
      </c>
    </row>
    <row r="65" spans="1:6" x14ac:dyDescent="0.25">
      <c r="A65" s="1" t="s">
        <v>93</v>
      </c>
      <c r="B65">
        <v>1.42</v>
      </c>
    </row>
    <row r="66" spans="1:6" x14ac:dyDescent="0.25">
      <c r="A66" s="1" t="s">
        <v>94</v>
      </c>
      <c r="B66">
        <v>3.86</v>
      </c>
    </row>
    <row r="67" spans="1:6" x14ac:dyDescent="0.25">
      <c r="A67" s="1" t="s">
        <v>95</v>
      </c>
      <c r="B67">
        <v>0.53</v>
      </c>
    </row>
    <row r="68" spans="1:6" x14ac:dyDescent="0.25">
      <c r="A68" s="1" t="s">
        <v>96</v>
      </c>
      <c r="B68">
        <v>0.34</v>
      </c>
    </row>
    <row r="69" spans="1:6" x14ac:dyDescent="0.25">
      <c r="A69" s="1" t="s">
        <v>97</v>
      </c>
      <c r="B69">
        <v>0.35</v>
      </c>
    </row>
    <row r="70" spans="1:6" x14ac:dyDescent="0.25">
      <c r="B70">
        <f>SUM(B54:B69)</f>
        <v>83.63000000000001</v>
      </c>
      <c r="C70">
        <f t="shared" ref="C70:F70" si="5">SUM(C54:C69)</f>
        <v>0</v>
      </c>
      <c r="D70">
        <f t="shared" si="5"/>
        <v>0</v>
      </c>
      <c r="E70">
        <f t="shared" si="5"/>
        <v>0</v>
      </c>
      <c r="F70">
        <f t="shared" si="5"/>
        <v>0</v>
      </c>
    </row>
    <row r="72" spans="1:6" ht="23.25" x14ac:dyDescent="0.35">
      <c r="A72" s="2" t="s">
        <v>98</v>
      </c>
    </row>
    <row r="73" spans="1:6" x14ac:dyDescent="0.25">
      <c r="B73" s="4">
        <v>44331</v>
      </c>
      <c r="C73" s="4">
        <v>44338</v>
      </c>
      <c r="D73" s="4">
        <v>44345</v>
      </c>
      <c r="E73" s="4">
        <v>44352</v>
      </c>
      <c r="F73" s="4">
        <v>44359</v>
      </c>
    </row>
    <row r="74" spans="1:6" x14ac:dyDescent="0.25">
      <c r="A74" s="1" t="s">
        <v>100</v>
      </c>
      <c r="B74">
        <v>1.46</v>
      </c>
    </row>
    <row r="75" spans="1:6" x14ac:dyDescent="0.25">
      <c r="A75" s="1" t="s">
        <v>99</v>
      </c>
      <c r="B75">
        <v>8.36</v>
      </c>
    </row>
    <row r="76" spans="1:6" x14ac:dyDescent="0.25">
      <c r="A76" s="1" t="s">
        <v>101</v>
      </c>
      <c r="B76">
        <v>1.73</v>
      </c>
    </row>
    <row r="77" spans="1:6" x14ac:dyDescent="0.25">
      <c r="A77" s="1" t="s">
        <v>102</v>
      </c>
      <c r="B77">
        <v>4.41</v>
      </c>
    </row>
    <row r="78" spans="1:6" x14ac:dyDescent="0.25">
      <c r="A78" s="1" t="s">
        <v>103</v>
      </c>
      <c r="B78">
        <v>5.33</v>
      </c>
    </row>
    <row r="79" spans="1:6" x14ac:dyDescent="0.25">
      <c r="A79" s="1" t="s">
        <v>104</v>
      </c>
      <c r="B79">
        <v>3.63</v>
      </c>
    </row>
    <row r="80" spans="1:6" x14ac:dyDescent="0.25">
      <c r="A80" s="1" t="s">
        <v>105</v>
      </c>
      <c r="B80">
        <v>7.79</v>
      </c>
    </row>
    <row r="81" spans="1:6" x14ac:dyDescent="0.25">
      <c r="A81" s="1" t="s">
        <v>106</v>
      </c>
      <c r="B81">
        <v>22.48</v>
      </c>
    </row>
    <row r="82" spans="1:6" x14ac:dyDescent="0.25">
      <c r="A82" s="1" t="s">
        <v>107</v>
      </c>
      <c r="B82">
        <v>0.52</v>
      </c>
    </row>
    <row r="83" spans="1:6" x14ac:dyDescent="0.25">
      <c r="A83" s="1" t="s">
        <v>108</v>
      </c>
      <c r="B83">
        <v>1.5</v>
      </c>
    </row>
    <row r="84" spans="1:6" x14ac:dyDescent="0.25">
      <c r="A84" s="1" t="s">
        <v>109</v>
      </c>
      <c r="B84">
        <v>1.46</v>
      </c>
    </row>
    <row r="85" spans="1:6" x14ac:dyDescent="0.25">
      <c r="A85" s="1" t="s">
        <v>110</v>
      </c>
      <c r="B85">
        <v>6.38</v>
      </c>
    </row>
    <row r="86" spans="1:6" x14ac:dyDescent="0.25">
      <c r="A86" s="1" t="s">
        <v>111</v>
      </c>
      <c r="B86">
        <v>1.1000000000000001</v>
      </c>
    </row>
    <row r="87" spans="1:6" x14ac:dyDescent="0.25">
      <c r="A87" s="1" t="s">
        <v>112</v>
      </c>
      <c r="B87">
        <v>0.8</v>
      </c>
    </row>
    <row r="88" spans="1:6" x14ac:dyDescent="0.25">
      <c r="B88">
        <f>SUM(B74:B87)</f>
        <v>66.949999999999989</v>
      </c>
      <c r="C88">
        <f t="shared" ref="C88:F88" si="6">SUM(C74:C87)</f>
        <v>0</v>
      </c>
      <c r="D88">
        <f t="shared" si="6"/>
        <v>0</v>
      </c>
      <c r="E88">
        <f t="shared" si="6"/>
        <v>0</v>
      </c>
      <c r="F88">
        <f t="shared" si="6"/>
        <v>0</v>
      </c>
    </row>
    <row r="90" spans="1:6" ht="23.25" x14ac:dyDescent="0.35">
      <c r="A90" s="2" t="s">
        <v>113</v>
      </c>
    </row>
    <row r="91" spans="1:6" x14ac:dyDescent="0.25">
      <c r="B91" s="4">
        <v>44331</v>
      </c>
      <c r="C91" s="4">
        <v>44338</v>
      </c>
      <c r="D91" s="4">
        <v>44345</v>
      </c>
      <c r="E91" s="4">
        <v>44352</v>
      </c>
      <c r="F91" s="4">
        <v>44359</v>
      </c>
    </row>
    <row r="92" spans="1:6" x14ac:dyDescent="0.25">
      <c r="A92" s="1" t="s">
        <v>114</v>
      </c>
      <c r="B92">
        <v>0.88</v>
      </c>
    </row>
    <row r="93" spans="1:6" x14ac:dyDescent="0.25">
      <c r="A93" s="1" t="s">
        <v>115</v>
      </c>
      <c r="B93">
        <v>5.92</v>
      </c>
    </row>
    <row r="94" spans="1:6" x14ac:dyDescent="0.25">
      <c r="A94" s="1" t="s">
        <v>116</v>
      </c>
      <c r="B94">
        <v>3.12</v>
      </c>
    </row>
    <row r="95" spans="1:6" x14ac:dyDescent="0.25">
      <c r="A95" s="1" t="s">
        <v>117</v>
      </c>
      <c r="B95">
        <v>7.22</v>
      </c>
    </row>
    <row r="96" spans="1:6" x14ac:dyDescent="0.25">
      <c r="A96" s="1" t="s">
        <v>118</v>
      </c>
      <c r="B96">
        <v>0.36</v>
      </c>
    </row>
    <row r="97" spans="1:6" x14ac:dyDescent="0.25">
      <c r="A97" s="1" t="s">
        <v>119</v>
      </c>
      <c r="B97">
        <v>0.82</v>
      </c>
    </row>
    <row r="98" spans="1:6" x14ac:dyDescent="0.25">
      <c r="A98" s="1" t="s">
        <v>120</v>
      </c>
      <c r="B98">
        <v>0.35</v>
      </c>
    </row>
    <row r="99" spans="1:6" x14ac:dyDescent="0.25">
      <c r="A99" s="1" t="s">
        <v>121</v>
      </c>
      <c r="B99">
        <v>3.61</v>
      </c>
    </row>
    <row r="100" spans="1:6" x14ac:dyDescent="0.25">
      <c r="A100" s="1" t="s">
        <v>122</v>
      </c>
      <c r="B100">
        <v>0.3</v>
      </c>
    </row>
    <row r="101" spans="1:6" x14ac:dyDescent="0.25">
      <c r="A101" s="1" t="s">
        <v>123</v>
      </c>
      <c r="B101">
        <v>0.89</v>
      </c>
    </row>
    <row r="102" spans="1:6" x14ac:dyDescent="0.25">
      <c r="A102" s="1"/>
      <c r="B102">
        <f>SUM(B92:B101)</f>
        <v>23.470000000000002</v>
      </c>
      <c r="C102">
        <f t="shared" ref="C102:F102" si="7">SUM(C92:C101)</f>
        <v>0</v>
      </c>
      <c r="D102">
        <f t="shared" si="7"/>
        <v>0</v>
      </c>
      <c r="E102">
        <f t="shared" si="7"/>
        <v>0</v>
      </c>
      <c r="F102">
        <f t="shared" si="7"/>
        <v>0</v>
      </c>
    </row>
    <row r="104" spans="1:6" ht="23.25" x14ac:dyDescent="0.35">
      <c r="A104" s="2" t="s">
        <v>124</v>
      </c>
    </row>
    <row r="105" spans="1:6" x14ac:dyDescent="0.25">
      <c r="B105" s="4">
        <v>44331</v>
      </c>
      <c r="C105" s="4">
        <v>44338</v>
      </c>
      <c r="D105" s="4">
        <v>44345</v>
      </c>
      <c r="E105" s="4">
        <v>44352</v>
      </c>
      <c r="F105" s="4">
        <v>44359</v>
      </c>
    </row>
    <row r="106" spans="1:6" x14ac:dyDescent="0.25">
      <c r="A106" s="1" t="s">
        <v>125</v>
      </c>
      <c r="B106">
        <v>46.88</v>
      </c>
    </row>
    <row r="107" spans="1:6" x14ac:dyDescent="0.25">
      <c r="A107" s="1" t="s">
        <v>133</v>
      </c>
      <c r="B107">
        <v>1.38</v>
      </c>
    </row>
    <row r="108" spans="1:6" x14ac:dyDescent="0.25">
      <c r="A108" s="1" t="s">
        <v>126</v>
      </c>
      <c r="B108">
        <v>5.4</v>
      </c>
    </row>
    <row r="109" spans="1:6" x14ac:dyDescent="0.25">
      <c r="A109" s="1" t="s">
        <v>127</v>
      </c>
      <c r="B109">
        <v>2.67</v>
      </c>
    </row>
    <row r="110" spans="1:6" x14ac:dyDescent="0.25">
      <c r="A110" s="1" t="s">
        <v>128</v>
      </c>
      <c r="B110">
        <v>16.010000000000002</v>
      </c>
    </row>
    <row r="111" spans="1:6" x14ac:dyDescent="0.25">
      <c r="A111" s="1" t="s">
        <v>129</v>
      </c>
      <c r="B111">
        <v>4.22</v>
      </c>
    </row>
    <row r="112" spans="1:6" x14ac:dyDescent="0.25">
      <c r="A112" s="1" t="s">
        <v>130</v>
      </c>
      <c r="B112">
        <v>1.89</v>
      </c>
    </row>
    <row r="113" spans="1:2" x14ac:dyDescent="0.25">
      <c r="A113" s="1" t="s">
        <v>131</v>
      </c>
      <c r="B113">
        <v>0.64</v>
      </c>
    </row>
    <row r="114" spans="1:2" x14ac:dyDescent="0.25">
      <c r="A114" s="1" t="s">
        <v>132</v>
      </c>
      <c r="B114">
        <v>12.57</v>
      </c>
    </row>
    <row r="115" spans="1:2" x14ac:dyDescent="0.25">
      <c r="A115" s="1" t="s">
        <v>134</v>
      </c>
      <c r="B115">
        <v>1.39</v>
      </c>
    </row>
    <row r="116" spans="1:2" x14ac:dyDescent="0.25">
      <c r="A116" s="1" t="s">
        <v>135</v>
      </c>
      <c r="B116">
        <v>12.25</v>
      </c>
    </row>
    <row r="117" spans="1:2" x14ac:dyDescent="0.25">
      <c r="A117" s="1" t="s">
        <v>136</v>
      </c>
      <c r="B117">
        <v>2.57</v>
      </c>
    </row>
    <row r="118" spans="1:2" x14ac:dyDescent="0.25">
      <c r="A118" s="1" t="s">
        <v>137</v>
      </c>
      <c r="B118">
        <v>4.9000000000000004</v>
      </c>
    </row>
    <row r="119" spans="1:2" x14ac:dyDescent="0.25">
      <c r="A119" s="1" t="s">
        <v>138</v>
      </c>
      <c r="B119">
        <v>2.42</v>
      </c>
    </row>
    <row r="120" spans="1:2" x14ac:dyDescent="0.25">
      <c r="A120" s="1" t="s">
        <v>139</v>
      </c>
      <c r="B120">
        <v>1.29</v>
      </c>
    </row>
    <row r="121" spans="1:2" x14ac:dyDescent="0.25">
      <c r="A121" s="1" t="s">
        <v>140</v>
      </c>
      <c r="B121">
        <v>17.53</v>
      </c>
    </row>
    <row r="122" spans="1:2" x14ac:dyDescent="0.25">
      <c r="A122" s="1" t="s">
        <v>141</v>
      </c>
      <c r="B122">
        <v>6.46</v>
      </c>
    </row>
    <row r="123" spans="1:2" x14ac:dyDescent="0.25">
      <c r="A123" s="1" t="s">
        <v>142</v>
      </c>
      <c r="B123">
        <v>6.58</v>
      </c>
    </row>
    <row r="124" spans="1:2" x14ac:dyDescent="0.25">
      <c r="A124" s="1" t="s">
        <v>143</v>
      </c>
      <c r="B124">
        <v>5.71</v>
      </c>
    </row>
    <row r="125" spans="1:2" x14ac:dyDescent="0.25">
      <c r="A125" s="1" t="s">
        <v>144</v>
      </c>
      <c r="B125">
        <v>28.06</v>
      </c>
    </row>
    <row r="126" spans="1:2" x14ac:dyDescent="0.25">
      <c r="A126" s="1" t="s">
        <v>145</v>
      </c>
      <c r="B126">
        <v>3.87</v>
      </c>
    </row>
    <row r="127" spans="1:2" x14ac:dyDescent="0.25">
      <c r="A127" s="1" t="s">
        <v>146</v>
      </c>
      <c r="B127">
        <v>87.76</v>
      </c>
    </row>
    <row r="128" spans="1:2" x14ac:dyDescent="0.25">
      <c r="A128" s="1" t="s">
        <v>147</v>
      </c>
      <c r="B128">
        <v>42.81</v>
      </c>
    </row>
    <row r="129" spans="1:6" x14ac:dyDescent="0.25">
      <c r="A129" s="1" t="s">
        <v>148</v>
      </c>
      <c r="B129">
        <v>1.86</v>
      </c>
    </row>
    <row r="130" spans="1:6" x14ac:dyDescent="0.25">
      <c r="A130" s="1" t="s">
        <v>149</v>
      </c>
      <c r="B130">
        <v>2.2599999999999998</v>
      </c>
    </row>
    <row r="131" spans="1:6" x14ac:dyDescent="0.25">
      <c r="A131" s="1" t="s">
        <v>150</v>
      </c>
      <c r="B131">
        <v>0.41</v>
      </c>
    </row>
    <row r="132" spans="1:6" x14ac:dyDescent="0.25">
      <c r="A132" s="1" t="s">
        <v>151</v>
      </c>
      <c r="B132">
        <v>9.14</v>
      </c>
    </row>
    <row r="133" spans="1:6" x14ac:dyDescent="0.25">
      <c r="A133" s="1" t="s">
        <v>152</v>
      </c>
      <c r="B133">
        <v>11.4</v>
      </c>
    </row>
    <row r="134" spans="1:6" x14ac:dyDescent="0.25">
      <c r="A134" s="1" t="s">
        <v>153</v>
      </c>
      <c r="B134">
        <v>0.73</v>
      </c>
    </row>
    <row r="135" spans="1:6" x14ac:dyDescent="0.25">
      <c r="A135" s="1" t="s">
        <v>154</v>
      </c>
      <c r="B135">
        <v>4.6399999999999997</v>
      </c>
    </row>
    <row r="136" spans="1:6" x14ac:dyDescent="0.25">
      <c r="A136" s="1" t="s">
        <v>155</v>
      </c>
      <c r="B136">
        <v>0.92</v>
      </c>
    </row>
    <row r="137" spans="1:6" x14ac:dyDescent="0.25">
      <c r="A137" s="1"/>
      <c r="B137">
        <f>SUM(B106:B136)</f>
        <v>346.62000000000006</v>
      </c>
      <c r="C137">
        <f t="shared" ref="C137:F137" si="8">SUM(C106:C136)</f>
        <v>0</v>
      </c>
      <c r="D137">
        <f t="shared" si="8"/>
        <v>0</v>
      </c>
      <c r="E137">
        <f t="shared" si="8"/>
        <v>0</v>
      </c>
      <c r="F137">
        <f t="shared" si="8"/>
        <v>0</v>
      </c>
    </row>
    <row r="141" spans="1:6" ht="23.25" x14ac:dyDescent="0.35">
      <c r="A141" s="2" t="s">
        <v>158</v>
      </c>
    </row>
    <row r="142" spans="1:6" x14ac:dyDescent="0.25">
      <c r="B142" s="4">
        <v>44331</v>
      </c>
      <c r="C142" s="4">
        <v>44338</v>
      </c>
      <c r="D142" s="4">
        <v>44345</v>
      </c>
      <c r="E142" s="4">
        <v>44352</v>
      </c>
      <c r="F142" s="4">
        <v>44359</v>
      </c>
    </row>
    <row r="143" spans="1:6" x14ac:dyDescent="0.25">
      <c r="A143" s="1" t="s">
        <v>47</v>
      </c>
      <c r="B143">
        <f>B9</f>
        <v>1973.0399999999997</v>
      </c>
    </row>
    <row r="144" spans="1:6" x14ac:dyDescent="0.25">
      <c r="A144" s="1" t="s">
        <v>52</v>
      </c>
      <c r="B144">
        <f>B20</f>
        <v>195.47</v>
      </c>
    </row>
    <row r="145" spans="1:6" x14ac:dyDescent="0.25">
      <c r="A145" s="1" t="s">
        <v>60</v>
      </c>
      <c r="B145">
        <f>B32</f>
        <v>178.95000000000002</v>
      </c>
    </row>
    <row r="146" spans="1:6" x14ac:dyDescent="0.25">
      <c r="A146" s="1" t="s">
        <v>69</v>
      </c>
      <c r="B146">
        <f>B40</f>
        <v>76.64</v>
      </c>
    </row>
    <row r="147" spans="1:6" x14ac:dyDescent="0.25">
      <c r="A147" s="1" t="s">
        <v>157</v>
      </c>
      <c r="B147">
        <f>B50</f>
        <v>385.2</v>
      </c>
    </row>
    <row r="148" spans="1:6" x14ac:dyDescent="0.25">
      <c r="A148" s="1" t="s">
        <v>156</v>
      </c>
      <c r="B148">
        <f>B70</f>
        <v>83.63000000000001</v>
      </c>
    </row>
    <row r="149" spans="1:6" x14ac:dyDescent="0.25">
      <c r="A149" s="1" t="s">
        <v>98</v>
      </c>
      <c r="B149">
        <f>B88</f>
        <v>66.949999999999989</v>
      </c>
    </row>
    <row r="150" spans="1:6" x14ac:dyDescent="0.25">
      <c r="A150" s="1" t="s">
        <v>113</v>
      </c>
      <c r="B150">
        <f>B102</f>
        <v>23.470000000000002</v>
      </c>
    </row>
    <row r="151" spans="1:6" x14ac:dyDescent="0.25">
      <c r="A151" s="1" t="s">
        <v>124</v>
      </c>
      <c r="B151">
        <f>B137</f>
        <v>346.62000000000006</v>
      </c>
    </row>
    <row r="155" spans="1:6" ht="23.25" x14ac:dyDescent="0.35">
      <c r="A155" s="2" t="s">
        <v>28</v>
      </c>
    </row>
    <row r="156" spans="1:6" x14ac:dyDescent="0.25">
      <c r="B156" s="4">
        <v>44331</v>
      </c>
      <c r="C156" s="4">
        <v>44338</v>
      </c>
      <c r="D156" s="4">
        <v>44345</v>
      </c>
      <c r="E156" s="4">
        <v>44352</v>
      </c>
      <c r="F156" s="4">
        <v>44359</v>
      </c>
    </row>
    <row r="157" spans="1:6" x14ac:dyDescent="0.25">
      <c r="A157" s="1" t="s">
        <v>28</v>
      </c>
      <c r="B157">
        <f>SUM(B143:B151)</f>
        <v>3329.9699999999989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5FFB5-3BD3-4D2D-9867-7F11D2E72298}">
  <dimension ref="A1:AM33"/>
  <sheetViews>
    <sheetView tabSelected="1" topLeftCell="X1" zoomScale="80" zoomScaleNormal="80" workbookViewId="0">
      <selection activeCell="AL7" sqref="AL7"/>
    </sheetView>
  </sheetViews>
  <sheetFormatPr defaultRowHeight="15" x14ac:dyDescent="0.25"/>
  <cols>
    <col min="1" max="1" width="22.7109375" customWidth="1"/>
    <col min="6" max="6" width="20.85546875" customWidth="1"/>
    <col min="12" max="12" width="21" customWidth="1"/>
    <col min="18" max="18" width="17.28515625" customWidth="1"/>
    <col min="24" max="24" width="16.28515625" customWidth="1"/>
    <col min="30" max="30" width="18.140625" customWidth="1"/>
    <col min="36" max="36" width="16.140625" customWidth="1"/>
  </cols>
  <sheetData>
    <row r="1" spans="1:39" x14ac:dyDescent="0.25">
      <c r="A1" t="s">
        <v>15</v>
      </c>
      <c r="B1" t="s">
        <v>160</v>
      </c>
      <c r="C1" t="s">
        <v>162</v>
      </c>
      <c r="D1" t="s">
        <v>17</v>
      </c>
      <c r="F1" t="s">
        <v>15</v>
      </c>
      <c r="G1" t="s">
        <v>160</v>
      </c>
      <c r="H1" t="s">
        <v>162</v>
      </c>
      <c r="I1" t="s">
        <v>17</v>
      </c>
      <c r="L1" t="s">
        <v>15</v>
      </c>
      <c r="M1" t="s">
        <v>160</v>
      </c>
      <c r="N1" t="s">
        <v>162</v>
      </c>
      <c r="O1" t="s">
        <v>17</v>
      </c>
      <c r="R1" t="s">
        <v>15</v>
      </c>
      <c r="S1" t="s">
        <v>160</v>
      </c>
      <c r="T1" t="s">
        <v>162</v>
      </c>
      <c r="U1" t="s">
        <v>17</v>
      </c>
      <c r="X1" t="s">
        <v>15</v>
      </c>
      <c r="Y1" t="s">
        <v>160</v>
      </c>
      <c r="Z1" t="s">
        <v>162</v>
      </c>
      <c r="AA1" t="s">
        <v>17</v>
      </c>
      <c r="AD1" t="s">
        <v>15</v>
      </c>
      <c r="AE1" t="s">
        <v>160</v>
      </c>
      <c r="AF1" t="s">
        <v>162</v>
      </c>
      <c r="AG1" t="s">
        <v>17</v>
      </c>
      <c r="AJ1" t="s">
        <v>15</v>
      </c>
      <c r="AK1" t="s">
        <v>160</v>
      </c>
      <c r="AL1" t="s">
        <v>162</v>
      </c>
      <c r="AM1" t="s">
        <v>17</v>
      </c>
    </row>
    <row r="2" spans="1:39" x14ac:dyDescent="0.25">
      <c r="A2" t="s">
        <v>159</v>
      </c>
      <c r="B2" t="s">
        <v>161</v>
      </c>
      <c r="C2">
        <v>4.8600000000000003</v>
      </c>
      <c r="D2">
        <v>11.1</v>
      </c>
      <c r="F2" t="s">
        <v>159</v>
      </c>
      <c r="G2" t="s">
        <v>164</v>
      </c>
      <c r="H2">
        <v>5.55</v>
      </c>
      <c r="I2">
        <v>10.84</v>
      </c>
      <c r="L2" t="s">
        <v>163</v>
      </c>
      <c r="M2" t="s">
        <v>161</v>
      </c>
      <c r="N2">
        <v>4.88</v>
      </c>
      <c r="O2">
        <v>9.75</v>
      </c>
      <c r="R2" t="s">
        <v>163</v>
      </c>
      <c r="S2" t="s">
        <v>164</v>
      </c>
      <c r="T2">
        <v>5.18</v>
      </c>
      <c r="U2">
        <v>10.95</v>
      </c>
      <c r="X2" t="s">
        <v>165</v>
      </c>
      <c r="Y2" t="s">
        <v>161</v>
      </c>
      <c r="Z2">
        <v>5.08</v>
      </c>
      <c r="AA2">
        <v>11.46</v>
      </c>
      <c r="AD2" t="s">
        <v>165</v>
      </c>
      <c r="AE2" t="s">
        <v>164</v>
      </c>
      <c r="AF2">
        <v>5.14</v>
      </c>
      <c r="AG2">
        <v>10.94</v>
      </c>
      <c r="AJ2" t="s">
        <v>166</v>
      </c>
      <c r="AK2" t="s">
        <v>164</v>
      </c>
      <c r="AL2">
        <v>5.38</v>
      </c>
      <c r="AM2">
        <v>11.16</v>
      </c>
    </row>
    <row r="3" spans="1:39" x14ac:dyDescent="0.25">
      <c r="A3" t="s">
        <v>159</v>
      </c>
      <c r="B3" t="s">
        <v>161</v>
      </c>
      <c r="C3">
        <v>4.83</v>
      </c>
      <c r="D3">
        <v>11.1</v>
      </c>
      <c r="F3" t="s">
        <v>159</v>
      </c>
      <c r="G3" t="s">
        <v>164</v>
      </c>
      <c r="H3">
        <v>5.6</v>
      </c>
      <c r="I3">
        <v>10.84</v>
      </c>
      <c r="L3" t="s">
        <v>163</v>
      </c>
      <c r="M3" t="s">
        <v>161</v>
      </c>
      <c r="N3">
        <v>4.88</v>
      </c>
      <c r="O3">
        <v>9.75</v>
      </c>
      <c r="R3" t="s">
        <v>163</v>
      </c>
      <c r="S3" t="s">
        <v>164</v>
      </c>
      <c r="T3">
        <v>5.47</v>
      </c>
      <c r="U3">
        <v>10.95</v>
      </c>
      <c r="X3" t="s">
        <v>165</v>
      </c>
      <c r="Y3" t="s">
        <v>161</v>
      </c>
      <c r="Z3">
        <v>4.96</v>
      </c>
      <c r="AA3">
        <v>11.46</v>
      </c>
      <c r="AD3" t="s">
        <v>165</v>
      </c>
      <c r="AE3" t="s">
        <v>164</v>
      </c>
      <c r="AF3">
        <v>5.18</v>
      </c>
      <c r="AG3">
        <v>10.94</v>
      </c>
      <c r="AJ3" t="s">
        <v>166</v>
      </c>
      <c r="AK3" t="s">
        <v>164</v>
      </c>
      <c r="AL3">
        <v>5.4</v>
      </c>
      <c r="AM3">
        <v>11.16</v>
      </c>
    </row>
    <row r="4" spans="1:39" x14ac:dyDescent="0.25">
      <c r="A4" t="s">
        <v>159</v>
      </c>
      <c r="B4" t="s">
        <v>161</v>
      </c>
      <c r="C4">
        <v>5.03</v>
      </c>
      <c r="D4">
        <v>11.1</v>
      </c>
      <c r="F4" t="s">
        <v>159</v>
      </c>
      <c r="G4" t="s">
        <v>164</v>
      </c>
      <c r="H4">
        <v>5.65</v>
      </c>
      <c r="I4">
        <v>10.84</v>
      </c>
      <c r="L4" t="s">
        <v>163</v>
      </c>
      <c r="M4" t="s">
        <v>161</v>
      </c>
      <c r="N4">
        <v>4.88</v>
      </c>
      <c r="O4">
        <v>9.75</v>
      </c>
      <c r="R4" t="s">
        <v>163</v>
      </c>
      <c r="S4" t="s">
        <v>164</v>
      </c>
      <c r="T4">
        <v>5.67</v>
      </c>
      <c r="U4">
        <v>10.95</v>
      </c>
      <c r="X4" t="s">
        <v>165</v>
      </c>
      <c r="Y4" t="s">
        <v>161</v>
      </c>
      <c r="Z4">
        <v>4.96</v>
      </c>
      <c r="AA4">
        <v>11.46</v>
      </c>
      <c r="AD4" t="s">
        <v>165</v>
      </c>
      <c r="AE4" t="s">
        <v>164</v>
      </c>
      <c r="AF4">
        <v>5.17</v>
      </c>
      <c r="AG4">
        <v>10.94</v>
      </c>
      <c r="AJ4" t="s">
        <v>166</v>
      </c>
      <c r="AK4" t="s">
        <v>164</v>
      </c>
      <c r="AL4">
        <v>5.63</v>
      </c>
      <c r="AM4">
        <v>11.16</v>
      </c>
    </row>
    <row r="5" spans="1:39" x14ac:dyDescent="0.25">
      <c r="A5" t="s">
        <v>159</v>
      </c>
      <c r="B5" t="s">
        <v>161</v>
      </c>
      <c r="C5">
        <v>5.17</v>
      </c>
      <c r="D5">
        <v>11.1</v>
      </c>
      <c r="F5" t="s">
        <v>159</v>
      </c>
      <c r="G5" t="s">
        <v>164</v>
      </c>
      <c r="H5">
        <v>5.67</v>
      </c>
      <c r="I5">
        <v>10.84</v>
      </c>
      <c r="L5" t="s">
        <v>163</v>
      </c>
      <c r="M5" t="s">
        <v>161</v>
      </c>
      <c r="N5">
        <v>4.8899999999999997</v>
      </c>
      <c r="O5">
        <v>9.75</v>
      </c>
      <c r="R5" t="s">
        <v>163</v>
      </c>
      <c r="S5" t="s">
        <v>164</v>
      </c>
      <c r="T5">
        <v>5.79</v>
      </c>
      <c r="U5">
        <v>10.95</v>
      </c>
      <c r="X5" t="s">
        <v>165</v>
      </c>
      <c r="Y5" t="s">
        <v>161</v>
      </c>
      <c r="Z5">
        <v>5.01</v>
      </c>
      <c r="AA5">
        <v>11.46</v>
      </c>
      <c r="AD5" t="s">
        <v>165</v>
      </c>
      <c r="AE5" t="s">
        <v>164</v>
      </c>
      <c r="AF5">
        <v>5.48</v>
      </c>
      <c r="AG5">
        <v>10.94</v>
      </c>
      <c r="AJ5" t="s">
        <v>166</v>
      </c>
      <c r="AK5" t="s">
        <v>164</v>
      </c>
      <c r="AL5">
        <v>5.94</v>
      </c>
      <c r="AM5">
        <v>11.16</v>
      </c>
    </row>
    <row r="6" spans="1:39" x14ac:dyDescent="0.25">
      <c r="A6" t="s">
        <v>159</v>
      </c>
      <c r="B6" t="s">
        <v>161</v>
      </c>
      <c r="C6">
        <v>5.45</v>
      </c>
      <c r="D6">
        <v>11.1</v>
      </c>
      <c r="F6" t="s">
        <v>159</v>
      </c>
      <c r="G6" t="s">
        <v>164</v>
      </c>
      <c r="H6">
        <v>5.75</v>
      </c>
      <c r="I6">
        <v>10.84</v>
      </c>
      <c r="L6" t="s">
        <v>163</v>
      </c>
      <c r="M6" t="s">
        <v>161</v>
      </c>
      <c r="N6">
        <v>5.24</v>
      </c>
      <c r="O6">
        <v>9.75</v>
      </c>
      <c r="R6" t="s">
        <v>163</v>
      </c>
      <c r="S6" t="s">
        <v>164</v>
      </c>
      <c r="T6">
        <v>5.87</v>
      </c>
      <c r="U6">
        <v>10.95</v>
      </c>
      <c r="X6" t="s">
        <v>165</v>
      </c>
      <c r="Y6" t="s">
        <v>161</v>
      </c>
      <c r="Z6">
        <v>5.08</v>
      </c>
      <c r="AA6">
        <v>11.46</v>
      </c>
      <c r="AD6" t="s">
        <v>165</v>
      </c>
      <c r="AE6" t="s">
        <v>164</v>
      </c>
      <c r="AF6">
        <v>5.92</v>
      </c>
      <c r="AG6">
        <v>10.94</v>
      </c>
      <c r="AJ6" t="s">
        <v>166</v>
      </c>
      <c r="AK6" t="s">
        <v>164</v>
      </c>
      <c r="AL6">
        <v>5.68</v>
      </c>
      <c r="AM6">
        <v>11.16</v>
      </c>
    </row>
    <row r="7" spans="1:39" x14ac:dyDescent="0.25">
      <c r="A7" t="s">
        <v>159</v>
      </c>
      <c r="B7" t="s">
        <v>161</v>
      </c>
      <c r="C7">
        <v>5.49</v>
      </c>
      <c r="D7">
        <v>11.1</v>
      </c>
      <c r="F7" t="s">
        <v>159</v>
      </c>
      <c r="G7" t="s">
        <v>164</v>
      </c>
      <c r="H7">
        <v>5.75</v>
      </c>
      <c r="I7">
        <v>10.84</v>
      </c>
      <c r="L7" t="s">
        <v>163</v>
      </c>
      <c r="M7" t="s">
        <v>161</v>
      </c>
      <c r="N7">
        <v>5.25</v>
      </c>
      <c r="O7">
        <v>9.75</v>
      </c>
      <c r="R7" t="s">
        <v>163</v>
      </c>
      <c r="S7" t="s">
        <v>164</v>
      </c>
      <c r="T7">
        <v>5.63</v>
      </c>
      <c r="U7">
        <v>10.95</v>
      </c>
      <c r="X7" t="s">
        <v>165</v>
      </c>
      <c r="Y7" t="s">
        <v>161</v>
      </c>
      <c r="Z7">
        <v>5.08</v>
      </c>
      <c r="AA7">
        <v>11.46</v>
      </c>
      <c r="AD7" t="s">
        <v>165</v>
      </c>
      <c r="AE7" t="s">
        <v>164</v>
      </c>
      <c r="AF7">
        <v>5.65</v>
      </c>
      <c r="AG7">
        <v>10.94</v>
      </c>
    </row>
    <row r="8" spans="1:39" x14ac:dyDescent="0.25">
      <c r="F8" t="s">
        <v>159</v>
      </c>
      <c r="G8" t="s">
        <v>164</v>
      </c>
      <c r="H8">
        <v>5.78</v>
      </c>
      <c r="I8">
        <v>10.84</v>
      </c>
      <c r="L8" t="s">
        <v>163</v>
      </c>
      <c r="M8" t="s">
        <v>161</v>
      </c>
      <c r="N8">
        <v>5.49</v>
      </c>
      <c r="O8">
        <v>9.75</v>
      </c>
      <c r="R8" t="s">
        <v>163</v>
      </c>
      <c r="S8" t="s">
        <v>164</v>
      </c>
      <c r="T8">
        <v>5.63</v>
      </c>
      <c r="U8">
        <v>10.95</v>
      </c>
      <c r="X8" t="s">
        <v>165</v>
      </c>
      <c r="Y8" t="s">
        <v>161</v>
      </c>
      <c r="Z8">
        <v>5.08</v>
      </c>
      <c r="AA8">
        <v>11.46</v>
      </c>
      <c r="AD8" t="s">
        <v>165</v>
      </c>
      <c r="AE8" t="s">
        <v>164</v>
      </c>
      <c r="AF8">
        <v>5.37</v>
      </c>
      <c r="AG8">
        <v>10.94</v>
      </c>
    </row>
    <row r="9" spans="1:39" x14ac:dyDescent="0.25">
      <c r="F9" t="s">
        <v>159</v>
      </c>
      <c r="G9" t="s">
        <v>164</v>
      </c>
      <c r="H9">
        <v>5.8</v>
      </c>
      <c r="I9">
        <v>10.84</v>
      </c>
      <c r="L9" t="s">
        <v>163</v>
      </c>
      <c r="M9" t="s">
        <v>161</v>
      </c>
      <c r="N9">
        <v>5.49</v>
      </c>
      <c r="O9">
        <v>9.75</v>
      </c>
      <c r="R9" t="s">
        <v>163</v>
      </c>
      <c r="S9" t="s">
        <v>164</v>
      </c>
      <c r="T9">
        <v>5.8</v>
      </c>
      <c r="U9">
        <v>10.95</v>
      </c>
      <c r="X9" t="s">
        <v>165</v>
      </c>
      <c r="Y9" t="s">
        <v>161</v>
      </c>
      <c r="Z9">
        <v>5.0999999999999996</v>
      </c>
      <c r="AA9">
        <v>11.46</v>
      </c>
    </row>
    <row r="10" spans="1:39" x14ac:dyDescent="0.25">
      <c r="F10" t="s">
        <v>159</v>
      </c>
      <c r="G10" t="s">
        <v>164</v>
      </c>
      <c r="H10">
        <v>5.79</v>
      </c>
      <c r="I10">
        <v>10.84</v>
      </c>
      <c r="L10" t="s">
        <v>163</v>
      </c>
      <c r="M10" t="s">
        <v>161</v>
      </c>
      <c r="N10">
        <v>4.88</v>
      </c>
      <c r="O10">
        <v>9.75</v>
      </c>
      <c r="R10" t="s">
        <v>163</v>
      </c>
      <c r="S10" t="s">
        <v>164</v>
      </c>
      <c r="T10">
        <v>3.25</v>
      </c>
      <c r="U10">
        <v>10.95</v>
      </c>
      <c r="X10" t="s">
        <v>165</v>
      </c>
      <c r="Y10" t="s">
        <v>161</v>
      </c>
      <c r="Z10">
        <v>5.3</v>
      </c>
      <c r="AA10">
        <v>11.46</v>
      </c>
    </row>
    <row r="11" spans="1:39" x14ac:dyDescent="0.25">
      <c r="F11" t="s">
        <v>159</v>
      </c>
      <c r="G11" t="s">
        <v>164</v>
      </c>
      <c r="H11">
        <v>5.79</v>
      </c>
      <c r="I11">
        <v>10.84</v>
      </c>
      <c r="L11" t="s">
        <v>163</v>
      </c>
      <c r="M11" t="s">
        <v>161</v>
      </c>
      <c r="N11">
        <v>5.33</v>
      </c>
      <c r="O11">
        <v>9.75</v>
      </c>
      <c r="R11" t="s">
        <v>163</v>
      </c>
      <c r="S11" t="s">
        <v>164</v>
      </c>
      <c r="T11">
        <v>3.27</v>
      </c>
      <c r="U11">
        <v>10.95</v>
      </c>
      <c r="X11" t="s">
        <v>165</v>
      </c>
      <c r="Y11" t="s">
        <v>161</v>
      </c>
      <c r="Z11">
        <v>5.49</v>
      </c>
      <c r="AA11">
        <v>11.46</v>
      </c>
    </row>
    <row r="12" spans="1:39" x14ac:dyDescent="0.25">
      <c r="R12" t="s">
        <v>163</v>
      </c>
      <c r="S12" t="s">
        <v>164</v>
      </c>
      <c r="T12">
        <v>3.27</v>
      </c>
      <c r="U12">
        <v>10.95</v>
      </c>
    </row>
    <row r="13" spans="1:39" x14ac:dyDescent="0.25">
      <c r="R13" t="s">
        <v>163</v>
      </c>
      <c r="S13" t="s">
        <v>164</v>
      </c>
      <c r="T13">
        <v>3.27</v>
      </c>
      <c r="U13">
        <v>10.95</v>
      </c>
    </row>
    <row r="14" spans="1:39" x14ac:dyDescent="0.25">
      <c r="R14" t="s">
        <v>163</v>
      </c>
      <c r="S14" t="s">
        <v>164</v>
      </c>
      <c r="T14">
        <v>3.27</v>
      </c>
      <c r="U14">
        <v>10.95</v>
      </c>
    </row>
    <row r="15" spans="1:39" x14ac:dyDescent="0.25">
      <c r="R15" t="s">
        <v>163</v>
      </c>
      <c r="S15" t="s">
        <v>164</v>
      </c>
      <c r="T15">
        <v>3.27</v>
      </c>
      <c r="U15">
        <v>10.95</v>
      </c>
    </row>
    <row r="16" spans="1:39" x14ac:dyDescent="0.25">
      <c r="R16" t="s">
        <v>163</v>
      </c>
      <c r="S16" t="s">
        <v>164</v>
      </c>
      <c r="T16">
        <v>3.27</v>
      </c>
      <c r="U16">
        <v>10.95</v>
      </c>
    </row>
    <row r="17" spans="3:39" x14ac:dyDescent="0.25">
      <c r="R17" t="s">
        <v>163</v>
      </c>
      <c r="S17" t="s">
        <v>164</v>
      </c>
      <c r="T17">
        <v>3.27</v>
      </c>
      <c r="U17">
        <v>10.95</v>
      </c>
    </row>
    <row r="18" spans="3:39" x14ac:dyDescent="0.25">
      <c r="R18" t="s">
        <v>163</v>
      </c>
      <c r="S18" t="s">
        <v>164</v>
      </c>
      <c r="T18">
        <v>3.27</v>
      </c>
      <c r="U18">
        <v>10.95</v>
      </c>
    </row>
    <row r="19" spans="3:39" x14ac:dyDescent="0.25">
      <c r="R19" t="s">
        <v>163</v>
      </c>
      <c r="S19" t="s">
        <v>164</v>
      </c>
      <c r="T19">
        <v>3.5</v>
      </c>
      <c r="U19">
        <v>10.95</v>
      </c>
    </row>
    <row r="20" spans="3:39" x14ac:dyDescent="0.25">
      <c r="R20" t="s">
        <v>163</v>
      </c>
      <c r="S20" t="s">
        <v>164</v>
      </c>
      <c r="T20">
        <v>3.5</v>
      </c>
      <c r="U20">
        <v>10.95</v>
      </c>
    </row>
    <row r="21" spans="3:39" x14ac:dyDescent="0.25">
      <c r="R21" t="s">
        <v>163</v>
      </c>
      <c r="S21" t="s">
        <v>164</v>
      </c>
      <c r="T21">
        <v>3.51</v>
      </c>
      <c r="U21">
        <v>10.95</v>
      </c>
    </row>
    <row r="22" spans="3:39" x14ac:dyDescent="0.25">
      <c r="R22" t="s">
        <v>163</v>
      </c>
      <c r="S22" t="s">
        <v>164</v>
      </c>
      <c r="T22">
        <v>3.51</v>
      </c>
      <c r="U22">
        <v>10.95</v>
      </c>
    </row>
    <row r="23" spans="3:39" x14ac:dyDescent="0.25">
      <c r="R23" t="s">
        <v>163</v>
      </c>
      <c r="S23" t="s">
        <v>164</v>
      </c>
      <c r="T23">
        <v>3.51</v>
      </c>
      <c r="U23">
        <v>10.95</v>
      </c>
    </row>
    <row r="24" spans="3:39" x14ac:dyDescent="0.25">
      <c r="R24" t="s">
        <v>163</v>
      </c>
      <c r="S24" t="s">
        <v>164</v>
      </c>
      <c r="T24">
        <v>3.51</v>
      </c>
      <c r="U24">
        <v>10.95</v>
      </c>
    </row>
    <row r="25" spans="3:39" x14ac:dyDescent="0.25">
      <c r="R25" t="s">
        <v>163</v>
      </c>
      <c r="S25" t="s">
        <v>164</v>
      </c>
      <c r="T25">
        <v>3.51</v>
      </c>
      <c r="U25">
        <v>10.95</v>
      </c>
    </row>
    <row r="26" spans="3:39" x14ac:dyDescent="0.25">
      <c r="R26" t="s">
        <v>163</v>
      </c>
      <c r="S26" t="s">
        <v>164</v>
      </c>
      <c r="T26">
        <v>3.51</v>
      </c>
      <c r="U26">
        <v>10.95</v>
      </c>
    </row>
    <row r="27" spans="3:39" x14ac:dyDescent="0.25">
      <c r="R27" t="s">
        <v>163</v>
      </c>
      <c r="S27" t="s">
        <v>164</v>
      </c>
      <c r="T27">
        <v>3.51</v>
      </c>
      <c r="U27">
        <v>10.95</v>
      </c>
    </row>
    <row r="28" spans="3:39" x14ac:dyDescent="0.25">
      <c r="R28" t="s">
        <v>163</v>
      </c>
      <c r="S28" t="s">
        <v>164</v>
      </c>
      <c r="T28">
        <v>3.51</v>
      </c>
      <c r="U28">
        <v>10.95</v>
      </c>
    </row>
    <row r="31" spans="3:39" x14ac:dyDescent="0.25">
      <c r="C31">
        <f>SUM(C2:C28)</f>
        <v>30.83</v>
      </c>
      <c r="D31">
        <f>SUM(D2:D28)</f>
        <v>66.599999999999994</v>
      </c>
      <c r="H31">
        <f>SUM(H2:H28)</f>
        <v>57.129999999999995</v>
      </c>
      <c r="I31">
        <f>SUM(I2:I28)</f>
        <v>108.40000000000002</v>
      </c>
      <c r="N31">
        <f>SUM(N2:N28)</f>
        <v>51.210000000000008</v>
      </c>
      <c r="O31">
        <f>SUM(O2:O28)</f>
        <v>97.5</v>
      </c>
      <c r="T31">
        <f>SUM(T2:T28)</f>
        <v>109.53000000000004</v>
      </c>
      <c r="U31">
        <f>SUM(U2:U28)</f>
        <v>295.64999999999986</v>
      </c>
      <c r="Z31">
        <f>SUM(Z2:Z28)</f>
        <v>51.139999999999993</v>
      </c>
      <c r="AA31">
        <f>SUM(AA2:AA28)</f>
        <v>114.60000000000002</v>
      </c>
      <c r="AF31">
        <f>SUM(AF2:AF28)</f>
        <v>37.909999999999997</v>
      </c>
      <c r="AG31">
        <f>SUM(AG2:AG28)</f>
        <v>76.58</v>
      </c>
      <c r="AL31">
        <f>SUM(AL2:AL28)</f>
        <v>28.03</v>
      </c>
      <c r="AM31">
        <f>SUM(AM2:AM28)</f>
        <v>55.8</v>
      </c>
    </row>
    <row r="33" spans="4:39" x14ac:dyDescent="0.25">
      <c r="D33">
        <f>ROUNDDOWN(D31-D31*0.25,2)-C31</f>
        <v>19.120000000000005</v>
      </c>
      <c r="I33">
        <f>ROUNDDOWN(I31-I31*0.25,2)-H31</f>
        <v>24.17</v>
      </c>
      <c r="O33">
        <f>ROUNDDOWN(O31-O31*0.25,2)-N31</f>
        <v>21.909999999999997</v>
      </c>
      <c r="U33">
        <f>ROUNDDOWN(U31-U31*0.25,2)-T31</f>
        <v>112.19999999999995</v>
      </c>
      <c r="AA33">
        <f>ROUNDDOWN(AA31-AA31*0.25,2)-Z31</f>
        <v>34.810000000000009</v>
      </c>
      <c r="AG33">
        <f>ROUNDDOWN(AG31-AG31*0.25,2)-AF31</f>
        <v>19.520000000000003</v>
      </c>
      <c r="AM33">
        <f>ROUNDDOWN(AM31-AM31*0.25,2)-AL31</f>
        <v>13.82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Investments</vt:lpstr>
      <vt:lpstr>Inventory-Value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Swageritis</dc:creator>
  <cp:lastModifiedBy>Oliver Hliddal</cp:lastModifiedBy>
  <dcterms:created xsi:type="dcterms:W3CDTF">2021-03-11T10:04:45Z</dcterms:created>
  <dcterms:modified xsi:type="dcterms:W3CDTF">2021-06-05T08:13:26Z</dcterms:modified>
</cp:coreProperties>
</file>