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98\Desktop\Privat\"/>
    </mc:Choice>
  </mc:AlternateContent>
  <xr:revisionPtr revIDLastSave="0" documentId="13_ncr:1_{371F7160-0FAC-4A5C-BBCE-F0532447513D}" xr6:coauthVersionLast="45" xr6:coauthVersionMax="45" xr10:uidLastSave="{00000000-0000-0000-0000-000000000000}"/>
  <bookViews>
    <workbookView xWindow="-10005" yWindow="3855" windowWidth="21270" windowHeight="10170" firstSheet="8" activeTab="12" xr2:uid="{68C88EFF-A3F7-4FBB-B6EB-A5D348393C22}"/>
  </bookViews>
  <sheets>
    <sheet name="Overview" sheetId="4" r:id="rId1"/>
    <sheet name="Category-Details" sheetId="15" r:id="rId2"/>
    <sheet name="Totals" sheetId="1" r:id="rId3"/>
    <sheet name="Investments" sheetId="5" r:id="rId4"/>
    <sheet name="Knives" sheetId="6" r:id="rId5"/>
    <sheet name="AWP" sheetId="7" r:id="rId6"/>
    <sheet name="M4A4" sheetId="8" r:id="rId7"/>
    <sheet name="M4A1-S" sheetId="10" r:id="rId8"/>
    <sheet name="AK47" sheetId="11" r:id="rId9"/>
    <sheet name="SMG" sheetId="12" r:id="rId10"/>
    <sheet name="Heavy" sheetId="13" r:id="rId11"/>
    <sheet name="Pistol" sheetId="14" r:id="rId12"/>
    <sheet name="Other Rifles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33" i="1" l="1"/>
  <c r="AA4" i="16" l="1"/>
  <c r="AB4" i="16"/>
  <c r="AB29" i="16" s="1"/>
  <c r="AC4" i="16"/>
  <c r="AD4" i="16"/>
  <c r="AD29" i="16" s="1"/>
  <c r="AE4" i="16"/>
  <c r="AF4" i="16"/>
  <c r="AG4" i="16"/>
  <c r="AH4" i="16"/>
  <c r="AI4" i="16"/>
  <c r="AJ4" i="16"/>
  <c r="AK4" i="16"/>
  <c r="AL4" i="16"/>
  <c r="AM4" i="16"/>
  <c r="AM29" i="16" s="1"/>
  <c r="AN4" i="16"/>
  <c r="AO4" i="16"/>
  <c r="AO29" i="16" s="1"/>
  <c r="AP4" i="16"/>
  <c r="AP29" i="16" s="1"/>
  <c r="AQ4" i="16"/>
  <c r="AR4" i="16"/>
  <c r="AR29" i="16" s="1"/>
  <c r="AS4" i="16"/>
  <c r="AT4" i="16"/>
  <c r="AT29" i="16" s="1"/>
  <c r="AU4" i="16"/>
  <c r="AV4" i="16"/>
  <c r="AW4" i="16"/>
  <c r="AX4" i="16"/>
  <c r="AY4" i="16"/>
  <c r="AZ4" i="16"/>
  <c r="BA4" i="16"/>
  <c r="BB4" i="16"/>
  <c r="BC4" i="16"/>
  <c r="BC29" i="16" s="1"/>
  <c r="BD4" i="16"/>
  <c r="BE4" i="16"/>
  <c r="BE29" i="16" s="1"/>
  <c r="BF4" i="16"/>
  <c r="BF29" i="16" s="1"/>
  <c r="BG4" i="16"/>
  <c r="BH4" i="16"/>
  <c r="BH29" i="16" s="1"/>
  <c r="BI4" i="16"/>
  <c r="BJ4" i="16"/>
  <c r="BJ29" i="16" s="1"/>
  <c r="BK4" i="16"/>
  <c r="BL4" i="16"/>
  <c r="BM4" i="16"/>
  <c r="BN4" i="16"/>
  <c r="BO4" i="16"/>
  <c r="BP4" i="16"/>
  <c r="BQ4" i="16"/>
  <c r="BR4" i="16"/>
  <c r="BS4" i="16"/>
  <c r="BS29" i="16" s="1"/>
  <c r="BT4" i="16"/>
  <c r="BU4" i="16"/>
  <c r="BU29" i="16" s="1"/>
  <c r="BV4" i="16"/>
  <c r="BV29" i="16" s="1"/>
  <c r="BW4" i="16"/>
  <c r="BX4" i="16"/>
  <c r="BX29" i="16" s="1"/>
  <c r="BY4" i="16"/>
  <c r="AA23" i="16"/>
  <c r="AA14" i="1" s="1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AS23" i="16"/>
  <c r="AT23" i="16"/>
  <c r="AU23" i="16"/>
  <c r="AV23" i="16"/>
  <c r="AW23" i="16"/>
  <c r="AX23" i="16"/>
  <c r="AY23" i="16"/>
  <c r="AZ23" i="16"/>
  <c r="BA23" i="16"/>
  <c r="BB23" i="16"/>
  <c r="BC23" i="16"/>
  <c r="BD23" i="16"/>
  <c r="BE23" i="16"/>
  <c r="BF23" i="16"/>
  <c r="BG23" i="16"/>
  <c r="BH23" i="16"/>
  <c r="BI23" i="16"/>
  <c r="BJ23" i="16"/>
  <c r="BK23" i="16"/>
  <c r="BL23" i="16"/>
  <c r="BM23" i="16"/>
  <c r="BN23" i="16"/>
  <c r="BO23" i="16"/>
  <c r="BP23" i="16"/>
  <c r="BQ23" i="16"/>
  <c r="BR23" i="16"/>
  <c r="BS23" i="16"/>
  <c r="BT23" i="16"/>
  <c r="BU23" i="16"/>
  <c r="BV23" i="16"/>
  <c r="BW23" i="16"/>
  <c r="BX23" i="16"/>
  <c r="BY23" i="16"/>
  <c r="AA29" i="16"/>
  <c r="AC29" i="16"/>
  <c r="AE29" i="16"/>
  <c r="AF29" i="16"/>
  <c r="AG29" i="16"/>
  <c r="AH29" i="16"/>
  <c r="AI29" i="16"/>
  <c r="AJ29" i="16"/>
  <c r="AK29" i="16"/>
  <c r="AL29" i="16"/>
  <c r="AN29" i="16"/>
  <c r="AQ29" i="16"/>
  <c r="AS29" i="16"/>
  <c r="AU29" i="16"/>
  <c r="AV29" i="16"/>
  <c r="AW29" i="16"/>
  <c r="AX29" i="16"/>
  <c r="AY29" i="16"/>
  <c r="AZ29" i="16"/>
  <c r="BA29" i="16"/>
  <c r="BB29" i="16"/>
  <c r="BD29" i="16"/>
  <c r="BG29" i="16"/>
  <c r="BI29" i="16"/>
  <c r="BK29" i="16"/>
  <c r="BL29" i="16"/>
  <c r="BM29" i="16"/>
  <c r="BN29" i="16"/>
  <c r="BO29" i="16"/>
  <c r="BP29" i="16"/>
  <c r="BQ29" i="16"/>
  <c r="BR29" i="16"/>
  <c r="BT29" i="16"/>
  <c r="BW29" i="16"/>
  <c r="BY29" i="16"/>
  <c r="AA30" i="16"/>
  <c r="AB30" i="16"/>
  <c r="AC30" i="16"/>
  <c r="AD30" i="16"/>
  <c r="AE30" i="16"/>
  <c r="AF30" i="16"/>
  <c r="AG30" i="16"/>
  <c r="AG48" i="16" s="1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W48" i="16" s="1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BM48" i="16" s="1"/>
  <c r="BN30" i="16"/>
  <c r="BO30" i="16"/>
  <c r="BP30" i="16"/>
  <c r="BQ30" i="16"/>
  <c r="BR30" i="16"/>
  <c r="BS30" i="16"/>
  <c r="BT30" i="16"/>
  <c r="BU30" i="16"/>
  <c r="BV30" i="16"/>
  <c r="BW30" i="16"/>
  <c r="BX30" i="16"/>
  <c r="BY30" i="16"/>
  <c r="AA31" i="16"/>
  <c r="AB31" i="16"/>
  <c r="AC31" i="16"/>
  <c r="AD31" i="16"/>
  <c r="AD48" i="16" s="1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T48" i="16" s="1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J48" i="16" s="1"/>
  <c r="BK31" i="16"/>
  <c r="BL31" i="16"/>
  <c r="BM31" i="16"/>
  <c r="BN31" i="16"/>
  <c r="BO31" i="16"/>
  <c r="BP31" i="16"/>
  <c r="BQ31" i="16"/>
  <c r="BR31" i="16"/>
  <c r="BS31" i="16"/>
  <c r="BT31" i="16"/>
  <c r="BU31" i="16"/>
  <c r="BV31" i="16"/>
  <c r="BW31" i="16"/>
  <c r="BX31" i="16"/>
  <c r="BY31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Q48" i="16" s="1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G48" i="16" s="1"/>
  <c r="BH32" i="16"/>
  <c r="BI32" i="16"/>
  <c r="BJ32" i="16"/>
  <c r="BK32" i="16"/>
  <c r="BL32" i="16"/>
  <c r="BM32" i="16"/>
  <c r="BN32" i="16"/>
  <c r="BO32" i="16"/>
  <c r="BP32" i="16"/>
  <c r="BQ32" i="16"/>
  <c r="BR32" i="16"/>
  <c r="BS32" i="16"/>
  <c r="BT32" i="16"/>
  <c r="BU32" i="16"/>
  <c r="BV32" i="16"/>
  <c r="BW32" i="16"/>
  <c r="BW48" i="16" s="1"/>
  <c r="BX32" i="16"/>
  <c r="BY32" i="16"/>
  <c r="AA33" i="16"/>
  <c r="AB33" i="16"/>
  <c r="AC33" i="16"/>
  <c r="AD33" i="16"/>
  <c r="AE33" i="16"/>
  <c r="AF33" i="16"/>
  <c r="AG33" i="16"/>
  <c r="AH33" i="16"/>
  <c r="AI33" i="16"/>
  <c r="AJ33" i="16"/>
  <c r="AJ48" i="16" s="1"/>
  <c r="AK33" i="16"/>
  <c r="AL33" i="16"/>
  <c r="AM33" i="16"/>
  <c r="AN33" i="16"/>
  <c r="AN48" i="16" s="1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AZ48" i="16" s="1"/>
  <c r="BA33" i="16"/>
  <c r="BB33" i="16"/>
  <c r="BC33" i="16"/>
  <c r="BD33" i="16"/>
  <c r="BD48" i="16" s="1"/>
  <c r="BE33" i="16"/>
  <c r="BF33" i="16"/>
  <c r="BG33" i="16"/>
  <c r="BH33" i="16"/>
  <c r="BI33" i="16"/>
  <c r="BJ33" i="16"/>
  <c r="BK33" i="16"/>
  <c r="BL33" i="16"/>
  <c r="BM33" i="16"/>
  <c r="BN33" i="16"/>
  <c r="BO33" i="16"/>
  <c r="BP33" i="16"/>
  <c r="BP48" i="16" s="1"/>
  <c r="BQ33" i="16"/>
  <c r="BR33" i="16"/>
  <c r="BS33" i="16"/>
  <c r="BT33" i="16"/>
  <c r="BT48" i="16" s="1"/>
  <c r="BU33" i="16"/>
  <c r="BV33" i="16"/>
  <c r="BW33" i="16"/>
  <c r="BX33" i="16"/>
  <c r="BY33" i="16"/>
  <c r="AA34" i="16"/>
  <c r="AB34" i="16"/>
  <c r="AC34" i="16"/>
  <c r="AD34" i="16"/>
  <c r="AE34" i="16"/>
  <c r="AF34" i="16"/>
  <c r="AG34" i="16"/>
  <c r="AH34" i="16"/>
  <c r="AI34" i="16"/>
  <c r="AJ34" i="16"/>
  <c r="AK34" i="16"/>
  <c r="AK48" i="16" s="1"/>
  <c r="AL34" i="16"/>
  <c r="AM34" i="16"/>
  <c r="AN34" i="16"/>
  <c r="AO34" i="16"/>
  <c r="AP34" i="16"/>
  <c r="AQ34" i="16"/>
  <c r="AR34" i="16"/>
  <c r="AS34" i="16"/>
  <c r="AT34" i="16"/>
  <c r="AU34" i="16"/>
  <c r="AV34" i="16"/>
  <c r="AW34" i="16"/>
  <c r="AX34" i="16"/>
  <c r="AY34" i="16"/>
  <c r="AZ34" i="16"/>
  <c r="BA34" i="16"/>
  <c r="BA48" i="16" s="1"/>
  <c r="BB34" i="16"/>
  <c r="BC34" i="16"/>
  <c r="BD34" i="16"/>
  <c r="BE34" i="16"/>
  <c r="BF34" i="16"/>
  <c r="BG34" i="16"/>
  <c r="BH34" i="16"/>
  <c r="BI34" i="16"/>
  <c r="BJ34" i="16"/>
  <c r="BK34" i="16"/>
  <c r="BL34" i="16"/>
  <c r="BM34" i="16"/>
  <c r="BN34" i="16"/>
  <c r="BO34" i="16"/>
  <c r="BP34" i="16"/>
  <c r="BQ34" i="16"/>
  <c r="BQ48" i="16" s="1"/>
  <c r="BR34" i="16"/>
  <c r="BS34" i="16"/>
  <c r="BT34" i="16"/>
  <c r="BU34" i="16"/>
  <c r="BV34" i="16"/>
  <c r="BW34" i="16"/>
  <c r="BX34" i="16"/>
  <c r="BY34" i="16"/>
  <c r="AA35" i="16"/>
  <c r="AB35" i="16"/>
  <c r="AC35" i="16"/>
  <c r="AD35" i="16"/>
  <c r="AE35" i="16"/>
  <c r="AF35" i="16"/>
  <c r="AG35" i="16"/>
  <c r="AH35" i="16"/>
  <c r="AH48" i="16" s="1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X48" i="16" s="1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BN35" i="16"/>
  <c r="BN48" i="16" s="1"/>
  <c r="BO35" i="16"/>
  <c r="BP35" i="16"/>
  <c r="BQ35" i="16"/>
  <c r="BR35" i="16"/>
  <c r="BS35" i="16"/>
  <c r="BT35" i="16"/>
  <c r="BU35" i="16"/>
  <c r="BV35" i="16"/>
  <c r="BW35" i="16"/>
  <c r="BX35" i="16"/>
  <c r="BY35" i="16"/>
  <c r="AA36" i="16"/>
  <c r="AB36" i="16"/>
  <c r="AC36" i="16"/>
  <c r="AD36" i="16"/>
  <c r="AE36" i="16"/>
  <c r="AE48" i="16" s="1"/>
  <c r="AF36" i="16"/>
  <c r="AG36" i="16"/>
  <c r="AH36" i="16"/>
  <c r="AI36" i="16"/>
  <c r="AI48" i="16" s="1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U48" i="16" s="1"/>
  <c r="AV36" i="16"/>
  <c r="AW36" i="16"/>
  <c r="AX36" i="16"/>
  <c r="AY36" i="16"/>
  <c r="AY48" i="16" s="1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K48" i="16" s="1"/>
  <c r="BL36" i="16"/>
  <c r="BM36" i="16"/>
  <c r="BN36" i="16"/>
  <c r="BO36" i="16"/>
  <c r="BO48" i="16" s="1"/>
  <c r="BP36" i="16"/>
  <c r="BQ36" i="16"/>
  <c r="BR36" i="16"/>
  <c r="BS36" i="16"/>
  <c r="BT36" i="16"/>
  <c r="BU36" i="16"/>
  <c r="BV36" i="16"/>
  <c r="BW36" i="16"/>
  <c r="BX36" i="16"/>
  <c r="BX48" i="16" s="1"/>
  <c r="BY36" i="16"/>
  <c r="AA37" i="16"/>
  <c r="AB37" i="16"/>
  <c r="AB48" i="16" s="1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O48" i="16" s="1"/>
  <c r="AP37" i="16"/>
  <c r="AQ37" i="16"/>
  <c r="AR37" i="16"/>
  <c r="AR48" i="16" s="1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E48" i="16" s="1"/>
  <c r="BF37" i="16"/>
  <c r="BG37" i="16"/>
  <c r="BH37" i="16"/>
  <c r="BH48" i="16" s="1"/>
  <c r="BI37" i="16"/>
  <c r="BJ37" i="16"/>
  <c r="BK37" i="16"/>
  <c r="BL37" i="16"/>
  <c r="BM37" i="16"/>
  <c r="BN37" i="16"/>
  <c r="BO37" i="16"/>
  <c r="BP37" i="16"/>
  <c r="BQ37" i="16"/>
  <c r="BR37" i="16"/>
  <c r="BS37" i="16"/>
  <c r="BT37" i="16"/>
  <c r="BU37" i="16"/>
  <c r="BU48" i="16" s="1"/>
  <c r="BV37" i="16"/>
  <c r="BW37" i="16"/>
  <c r="BX37" i="16"/>
  <c r="BY37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L48" i="16" s="1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B48" i="16" s="1"/>
  <c r="BC38" i="16"/>
  <c r="BD38" i="16"/>
  <c r="BE38" i="16"/>
  <c r="BF38" i="16"/>
  <c r="BG38" i="16"/>
  <c r="BH38" i="16"/>
  <c r="BI38" i="16"/>
  <c r="BJ38" i="16"/>
  <c r="BK38" i="16"/>
  <c r="BL38" i="16"/>
  <c r="BM38" i="16"/>
  <c r="BN38" i="16"/>
  <c r="BO38" i="16"/>
  <c r="BP38" i="16"/>
  <c r="BQ38" i="16"/>
  <c r="BR38" i="16"/>
  <c r="BR48" i="16" s="1"/>
  <c r="BS38" i="16"/>
  <c r="BT38" i="16"/>
  <c r="BU38" i="16"/>
  <c r="BV38" i="16"/>
  <c r="BW38" i="16"/>
  <c r="BX38" i="16"/>
  <c r="BY38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V39" i="16"/>
  <c r="AW39" i="16"/>
  <c r="AX39" i="16"/>
  <c r="AY39" i="16"/>
  <c r="AZ39" i="16"/>
  <c r="BA39" i="16"/>
  <c r="BB39" i="16"/>
  <c r="BC39" i="16"/>
  <c r="BD39" i="16"/>
  <c r="BE39" i="16"/>
  <c r="BF39" i="16"/>
  <c r="BG39" i="16"/>
  <c r="BH39" i="16"/>
  <c r="BI39" i="16"/>
  <c r="BJ39" i="16"/>
  <c r="BK39" i="16"/>
  <c r="BL39" i="16"/>
  <c r="BM39" i="16"/>
  <c r="BN39" i="16"/>
  <c r="BO39" i="16"/>
  <c r="BP39" i="16"/>
  <c r="BQ39" i="16"/>
  <c r="BR39" i="16"/>
  <c r="BS39" i="16"/>
  <c r="BT39" i="16"/>
  <c r="BU39" i="16"/>
  <c r="BV39" i="16"/>
  <c r="BW39" i="16"/>
  <c r="BX39" i="16"/>
  <c r="BY39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M48" i="16" s="1"/>
  <c r="AN40" i="16"/>
  <c r="AO40" i="16"/>
  <c r="AP40" i="16"/>
  <c r="AQ40" i="16"/>
  <c r="AR40" i="16"/>
  <c r="AS40" i="16"/>
  <c r="AT40" i="16"/>
  <c r="AU40" i="16"/>
  <c r="AV40" i="16"/>
  <c r="AW40" i="16"/>
  <c r="AX40" i="16"/>
  <c r="AY40" i="16"/>
  <c r="AZ40" i="16"/>
  <c r="BA40" i="16"/>
  <c r="BB40" i="16"/>
  <c r="BC40" i="16"/>
  <c r="BC48" i="16" s="1"/>
  <c r="BD40" i="16"/>
  <c r="BE40" i="16"/>
  <c r="BF40" i="16"/>
  <c r="BG40" i="16"/>
  <c r="BH40" i="16"/>
  <c r="BI40" i="16"/>
  <c r="BJ40" i="16"/>
  <c r="BK40" i="16"/>
  <c r="BL40" i="16"/>
  <c r="BM40" i="16"/>
  <c r="BN40" i="16"/>
  <c r="BO40" i="16"/>
  <c r="BP40" i="16"/>
  <c r="BQ40" i="16"/>
  <c r="BR40" i="16"/>
  <c r="BS40" i="16"/>
  <c r="BS48" i="16" s="1"/>
  <c r="BT40" i="16"/>
  <c r="BU40" i="16"/>
  <c r="BV40" i="16"/>
  <c r="BW40" i="16"/>
  <c r="BX40" i="16"/>
  <c r="BY40" i="16"/>
  <c r="AA41" i="16"/>
  <c r="AB41" i="16"/>
  <c r="AC41" i="16"/>
  <c r="AD41" i="16"/>
  <c r="AE41" i="16"/>
  <c r="AF41" i="16"/>
  <c r="AF48" i="16" s="1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V41" i="16"/>
  <c r="AV48" i="16" s="1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BL48" i="16" s="1"/>
  <c r="BM41" i="16"/>
  <c r="BN41" i="16"/>
  <c r="BO41" i="16"/>
  <c r="BP41" i="16"/>
  <c r="BQ41" i="16"/>
  <c r="BR41" i="16"/>
  <c r="BS41" i="16"/>
  <c r="BT41" i="16"/>
  <c r="BU41" i="16"/>
  <c r="BV41" i="16"/>
  <c r="BW41" i="16"/>
  <c r="BX41" i="16"/>
  <c r="BY41" i="16"/>
  <c r="AA42" i="16"/>
  <c r="AB42" i="16"/>
  <c r="AC42" i="16"/>
  <c r="AC48" i="16" s="1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AS42" i="16"/>
  <c r="AS48" i="16" s="1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I48" i="16" s="1"/>
  <c r="BJ42" i="16"/>
  <c r="BK42" i="16"/>
  <c r="BL42" i="16"/>
  <c r="BM42" i="16"/>
  <c r="BN42" i="16"/>
  <c r="BO42" i="16"/>
  <c r="BP42" i="16"/>
  <c r="BQ42" i="16"/>
  <c r="BR42" i="16"/>
  <c r="BS42" i="16"/>
  <c r="BT42" i="16"/>
  <c r="BU42" i="16"/>
  <c r="BV42" i="16"/>
  <c r="BW42" i="16"/>
  <c r="BX42" i="16"/>
  <c r="BY42" i="16"/>
  <c r="BY48" i="16" s="1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P48" i="16" s="1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F48" i="16" s="1"/>
  <c r="BG43" i="16"/>
  <c r="BH43" i="16"/>
  <c r="BI43" i="16"/>
  <c r="BJ43" i="16"/>
  <c r="BK43" i="16"/>
  <c r="BL43" i="16"/>
  <c r="BM43" i="16"/>
  <c r="BN43" i="16"/>
  <c r="BO43" i="16"/>
  <c r="BP43" i="16"/>
  <c r="BQ43" i="16"/>
  <c r="BR43" i="16"/>
  <c r="BS43" i="16"/>
  <c r="BT43" i="16"/>
  <c r="BU43" i="16"/>
  <c r="BV43" i="16"/>
  <c r="BV48" i="16" s="1"/>
  <c r="BW43" i="16"/>
  <c r="BX43" i="16"/>
  <c r="BY43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BM44" i="16"/>
  <c r="BN44" i="16"/>
  <c r="BO44" i="16"/>
  <c r="BP44" i="16"/>
  <c r="BQ44" i="16"/>
  <c r="BR44" i="16"/>
  <c r="BS44" i="16"/>
  <c r="BT44" i="16"/>
  <c r="BU44" i="16"/>
  <c r="BV44" i="16"/>
  <c r="BW44" i="16"/>
  <c r="BX44" i="16"/>
  <c r="BY44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AQ45" i="16"/>
  <c r="AR45" i="16"/>
  <c r="AS45" i="16"/>
  <c r="AT45" i="16"/>
  <c r="AU45" i="16"/>
  <c r="AV45" i="16"/>
  <c r="AW45" i="16"/>
  <c r="AX45" i="16"/>
  <c r="AY45" i="16"/>
  <c r="AZ45" i="16"/>
  <c r="BA45" i="16"/>
  <c r="BB45" i="16"/>
  <c r="BC45" i="16"/>
  <c r="BD45" i="16"/>
  <c r="BE45" i="16"/>
  <c r="BF45" i="16"/>
  <c r="BG45" i="16"/>
  <c r="BH45" i="16"/>
  <c r="BI45" i="16"/>
  <c r="BJ45" i="16"/>
  <c r="BK45" i="16"/>
  <c r="BL45" i="16"/>
  <c r="BM45" i="16"/>
  <c r="BN45" i="16"/>
  <c r="BO45" i="16"/>
  <c r="BP45" i="16"/>
  <c r="BQ45" i="16"/>
  <c r="BR45" i="16"/>
  <c r="BS45" i="16"/>
  <c r="BT45" i="16"/>
  <c r="BU45" i="16"/>
  <c r="BV45" i="16"/>
  <c r="BW45" i="16"/>
  <c r="BX45" i="16"/>
  <c r="BY45" i="16"/>
  <c r="AA46" i="16"/>
  <c r="AB46" i="16"/>
  <c r="AC46" i="16"/>
  <c r="AD46" i="16"/>
  <c r="AE46" i="16"/>
  <c r="AF46" i="16"/>
  <c r="AG46" i="16"/>
  <c r="AH46" i="16"/>
  <c r="AI46" i="16"/>
  <c r="AJ46" i="16"/>
  <c r="AK46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BM46" i="16"/>
  <c r="BN46" i="16"/>
  <c r="BO46" i="16"/>
  <c r="BP46" i="16"/>
  <c r="BQ46" i="16"/>
  <c r="BR46" i="16"/>
  <c r="BS46" i="16"/>
  <c r="BT46" i="16"/>
  <c r="BU46" i="16"/>
  <c r="BV46" i="16"/>
  <c r="BW46" i="16"/>
  <c r="BX46" i="16"/>
  <c r="BY46" i="16"/>
  <c r="AA4" i="14"/>
  <c r="AB4" i="14"/>
  <c r="AC4" i="14"/>
  <c r="AD4" i="14"/>
  <c r="AE4" i="14"/>
  <c r="AF4" i="14"/>
  <c r="AG4" i="14"/>
  <c r="AH4" i="14"/>
  <c r="AI4" i="14"/>
  <c r="AJ4" i="14"/>
  <c r="AK4" i="14"/>
  <c r="AK44" i="14" s="1"/>
  <c r="AL4" i="14"/>
  <c r="AL44" i="14" s="1"/>
  <c r="AM4" i="14"/>
  <c r="AM44" i="14" s="1"/>
  <c r="AN4" i="14"/>
  <c r="AN44" i="14" s="1"/>
  <c r="AO4" i="14"/>
  <c r="AO44" i="14" s="1"/>
  <c r="AP4" i="14"/>
  <c r="AP44" i="14" s="1"/>
  <c r="AQ4" i="14"/>
  <c r="AR4" i="14"/>
  <c r="AS4" i="14"/>
  <c r="AT4" i="14"/>
  <c r="AU4" i="14"/>
  <c r="AV4" i="14"/>
  <c r="AW4" i="14"/>
  <c r="AX4" i="14"/>
  <c r="AY4" i="14"/>
  <c r="AZ4" i="14"/>
  <c r="BA4" i="14"/>
  <c r="BA44" i="14" s="1"/>
  <c r="BB4" i="14"/>
  <c r="BB44" i="14" s="1"/>
  <c r="BC4" i="14"/>
  <c r="BC44" i="14" s="1"/>
  <c r="BD4" i="14"/>
  <c r="BD44" i="14" s="1"/>
  <c r="BE4" i="14"/>
  <c r="BE44" i="14" s="1"/>
  <c r="BF4" i="14"/>
  <c r="BF44" i="14" s="1"/>
  <c r="BG4" i="14"/>
  <c r="BH4" i="14"/>
  <c r="BI4" i="14"/>
  <c r="BJ4" i="14"/>
  <c r="BK4" i="14"/>
  <c r="BL4" i="14"/>
  <c r="BM4" i="14"/>
  <c r="BN4" i="14"/>
  <c r="BO4" i="14"/>
  <c r="BP4" i="14"/>
  <c r="BQ4" i="14"/>
  <c r="BQ44" i="14" s="1"/>
  <c r="BR4" i="14"/>
  <c r="BR44" i="14" s="1"/>
  <c r="BS4" i="14"/>
  <c r="BS44" i="14" s="1"/>
  <c r="BT4" i="14"/>
  <c r="BT44" i="14" s="1"/>
  <c r="BU4" i="14"/>
  <c r="BU44" i="14" s="1"/>
  <c r="BV4" i="14"/>
  <c r="BV44" i="14" s="1"/>
  <c r="BW4" i="14"/>
  <c r="BX4" i="14"/>
  <c r="BY4" i="14"/>
  <c r="AA37" i="14"/>
  <c r="AA13" i="1" s="1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O37" i="14"/>
  <c r="BP37" i="14"/>
  <c r="BQ37" i="14"/>
  <c r="BR37" i="14"/>
  <c r="BS37" i="14"/>
  <c r="BT37" i="14"/>
  <c r="BU37" i="14"/>
  <c r="BV37" i="14"/>
  <c r="BW37" i="14"/>
  <c r="BX37" i="14"/>
  <c r="BY37" i="14"/>
  <c r="AA44" i="14"/>
  <c r="AB44" i="14"/>
  <c r="AC44" i="14"/>
  <c r="AD44" i="14"/>
  <c r="AE44" i="14"/>
  <c r="AF44" i="14"/>
  <c r="AG44" i="14"/>
  <c r="AH44" i="14"/>
  <c r="AI44" i="14"/>
  <c r="AJ44" i="14"/>
  <c r="AQ44" i="14"/>
  <c r="AR44" i="14"/>
  <c r="AS44" i="14"/>
  <c r="AT44" i="14"/>
  <c r="AU44" i="14"/>
  <c r="AV44" i="14"/>
  <c r="AW44" i="14"/>
  <c r="AX44" i="14"/>
  <c r="AY44" i="14"/>
  <c r="AZ44" i="14"/>
  <c r="BG44" i="14"/>
  <c r="BH44" i="14"/>
  <c r="BI44" i="14"/>
  <c r="BJ44" i="14"/>
  <c r="BK44" i="14"/>
  <c r="BL44" i="14"/>
  <c r="BM44" i="14"/>
  <c r="BN44" i="14"/>
  <c r="BO44" i="14"/>
  <c r="BP44" i="14"/>
  <c r="BW44" i="14"/>
  <c r="BX44" i="14"/>
  <c r="BY44" i="14"/>
  <c r="AA45" i="14"/>
  <c r="AB45" i="14"/>
  <c r="AC45" i="14"/>
  <c r="AD45" i="14"/>
  <c r="AD77" i="14" s="1"/>
  <c r="AE45" i="14"/>
  <c r="AF45" i="14"/>
  <c r="AF77" i="14" s="1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T77" i="14" s="1"/>
  <c r="AU45" i="14"/>
  <c r="AV45" i="14"/>
  <c r="AV77" i="14" s="1"/>
  <c r="AW45" i="14"/>
  <c r="AX45" i="14"/>
  <c r="AY45" i="14"/>
  <c r="AZ45" i="14"/>
  <c r="BA45" i="14"/>
  <c r="BB45" i="14"/>
  <c r="BC45" i="14"/>
  <c r="BD45" i="14"/>
  <c r="BE45" i="14"/>
  <c r="BF45" i="14"/>
  <c r="BG45" i="14"/>
  <c r="BH45" i="14"/>
  <c r="BI45" i="14"/>
  <c r="BJ45" i="14"/>
  <c r="BJ77" i="14" s="1"/>
  <c r="BK45" i="14"/>
  <c r="BL45" i="14"/>
  <c r="BL77" i="14" s="1"/>
  <c r="BM45" i="14"/>
  <c r="BN45" i="14"/>
  <c r="BO45" i="14"/>
  <c r="BP45" i="14"/>
  <c r="BQ45" i="14"/>
  <c r="BR45" i="14"/>
  <c r="BS45" i="14"/>
  <c r="BT45" i="14"/>
  <c r="BU45" i="14"/>
  <c r="BV45" i="14"/>
  <c r="BW45" i="14"/>
  <c r="BX45" i="14"/>
  <c r="BY45" i="14"/>
  <c r="AA46" i="14"/>
  <c r="AB46" i="14"/>
  <c r="AC46" i="14"/>
  <c r="AC77" i="14" s="1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Q77" i="14" s="1"/>
  <c r="AR46" i="14"/>
  <c r="AS46" i="14"/>
  <c r="AS77" i="14" s="1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G77" i="14" s="1"/>
  <c r="BH46" i="14"/>
  <c r="BI46" i="14"/>
  <c r="BI77" i="14" s="1"/>
  <c r="BJ46" i="14"/>
  <c r="BK46" i="14"/>
  <c r="BL46" i="14"/>
  <c r="BM46" i="14"/>
  <c r="BN46" i="14"/>
  <c r="BO46" i="14"/>
  <c r="BP46" i="14"/>
  <c r="BQ46" i="14"/>
  <c r="BR46" i="14"/>
  <c r="BS46" i="14"/>
  <c r="BT46" i="14"/>
  <c r="BU46" i="14"/>
  <c r="BV46" i="14"/>
  <c r="BW46" i="14"/>
  <c r="BW77" i="14" s="1"/>
  <c r="BX46" i="14"/>
  <c r="BY46" i="14"/>
  <c r="BY77" i="14" s="1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N77" i="14" s="1"/>
  <c r="AO47" i="14"/>
  <c r="AP47" i="14"/>
  <c r="AP77" i="14" s="1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D77" i="14" s="1"/>
  <c r="BE47" i="14"/>
  <c r="BF47" i="14"/>
  <c r="BF77" i="14" s="1"/>
  <c r="BG47" i="14"/>
  <c r="BH47" i="14"/>
  <c r="BI47" i="14"/>
  <c r="BJ47" i="14"/>
  <c r="BK47" i="14"/>
  <c r="BL47" i="14"/>
  <c r="BM47" i="14"/>
  <c r="BN47" i="14"/>
  <c r="BO47" i="14"/>
  <c r="BP47" i="14"/>
  <c r="BQ47" i="14"/>
  <c r="BR47" i="14"/>
  <c r="BS47" i="14"/>
  <c r="BT47" i="14"/>
  <c r="BT77" i="14" s="1"/>
  <c r="BU47" i="14"/>
  <c r="BV47" i="14"/>
  <c r="BV77" i="14" s="1"/>
  <c r="BW47" i="14"/>
  <c r="BX47" i="14"/>
  <c r="BY47" i="14"/>
  <c r="AA48" i="14"/>
  <c r="AB48" i="14"/>
  <c r="AC48" i="14"/>
  <c r="AD48" i="14"/>
  <c r="AE48" i="14"/>
  <c r="AF48" i="14"/>
  <c r="AG48" i="14"/>
  <c r="AH48" i="14"/>
  <c r="AI48" i="14"/>
  <c r="AJ48" i="14"/>
  <c r="AK48" i="14"/>
  <c r="AK77" i="14" s="1"/>
  <c r="AL48" i="14"/>
  <c r="AM48" i="14"/>
  <c r="AM77" i="14" s="1"/>
  <c r="AN48" i="14"/>
  <c r="AO48" i="14"/>
  <c r="AP48" i="14"/>
  <c r="AQ48" i="14"/>
  <c r="AR48" i="14"/>
  <c r="AS48" i="14"/>
  <c r="AT48" i="14"/>
  <c r="AU48" i="14"/>
  <c r="AV48" i="14"/>
  <c r="AW48" i="14"/>
  <c r="AX48" i="14"/>
  <c r="AY48" i="14"/>
  <c r="AZ48" i="14"/>
  <c r="BA48" i="14"/>
  <c r="BA77" i="14" s="1"/>
  <c r="BB48" i="14"/>
  <c r="BC48" i="14"/>
  <c r="BC77" i="14" s="1"/>
  <c r="BD48" i="14"/>
  <c r="BE48" i="14"/>
  <c r="BF48" i="14"/>
  <c r="BG48" i="14"/>
  <c r="BH48" i="14"/>
  <c r="BI48" i="14"/>
  <c r="BJ48" i="14"/>
  <c r="BK48" i="14"/>
  <c r="BL48" i="14"/>
  <c r="BM48" i="14"/>
  <c r="BN48" i="14"/>
  <c r="BO48" i="14"/>
  <c r="BP48" i="14"/>
  <c r="BQ48" i="14"/>
  <c r="BQ77" i="14" s="1"/>
  <c r="BR48" i="14"/>
  <c r="BS48" i="14"/>
  <c r="BS77" i="14" s="1"/>
  <c r="BT48" i="14"/>
  <c r="BU48" i="14"/>
  <c r="BV48" i="14"/>
  <c r="BW48" i="14"/>
  <c r="BX48" i="14"/>
  <c r="BY48" i="14"/>
  <c r="AA49" i="14"/>
  <c r="AB49" i="14"/>
  <c r="AC49" i="14"/>
  <c r="AD49" i="14"/>
  <c r="AE49" i="14"/>
  <c r="AF49" i="14"/>
  <c r="AG49" i="14"/>
  <c r="AH49" i="14"/>
  <c r="AH77" i="14" s="1"/>
  <c r="AI49" i="14"/>
  <c r="AJ49" i="14"/>
  <c r="AJ77" i="14" s="1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AX49" i="14"/>
  <c r="AX77" i="14" s="1"/>
  <c r="AY49" i="14"/>
  <c r="AZ49" i="14"/>
  <c r="AZ77" i="14" s="1"/>
  <c r="BA49" i="14"/>
  <c r="BB49" i="14"/>
  <c r="BC49" i="14"/>
  <c r="BD49" i="14"/>
  <c r="BE49" i="14"/>
  <c r="BF49" i="14"/>
  <c r="BG49" i="14"/>
  <c r="BH49" i="14"/>
  <c r="BI49" i="14"/>
  <c r="BJ49" i="14"/>
  <c r="BK49" i="14"/>
  <c r="BL49" i="14"/>
  <c r="BM49" i="14"/>
  <c r="BN49" i="14"/>
  <c r="BN77" i="14" s="1"/>
  <c r="BO49" i="14"/>
  <c r="BP49" i="14"/>
  <c r="BP77" i="14" s="1"/>
  <c r="BQ49" i="14"/>
  <c r="BR49" i="14"/>
  <c r="BS49" i="14"/>
  <c r="BT49" i="14"/>
  <c r="BU49" i="14"/>
  <c r="BV49" i="14"/>
  <c r="BW49" i="14"/>
  <c r="BX49" i="14"/>
  <c r="BY49" i="14"/>
  <c r="AA50" i="14"/>
  <c r="AB50" i="14"/>
  <c r="AC50" i="14"/>
  <c r="AD50" i="14"/>
  <c r="AE50" i="14"/>
  <c r="AE77" i="14" s="1"/>
  <c r="AF50" i="14"/>
  <c r="AG50" i="14"/>
  <c r="AG77" i="14" s="1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U77" i="14" s="1"/>
  <c r="AV50" i="14"/>
  <c r="AW50" i="14"/>
  <c r="AW77" i="14" s="1"/>
  <c r="AX50" i="14"/>
  <c r="AY50" i="14"/>
  <c r="AZ50" i="14"/>
  <c r="BA50" i="14"/>
  <c r="BB50" i="14"/>
  <c r="BC50" i="14"/>
  <c r="BD50" i="14"/>
  <c r="BE50" i="14"/>
  <c r="BF50" i="14"/>
  <c r="BG50" i="14"/>
  <c r="BH50" i="14"/>
  <c r="BI50" i="14"/>
  <c r="BJ50" i="14"/>
  <c r="BK50" i="14"/>
  <c r="BK77" i="14" s="1"/>
  <c r="BL50" i="14"/>
  <c r="BM50" i="14"/>
  <c r="BM77" i="14" s="1"/>
  <c r="BN50" i="14"/>
  <c r="BO50" i="14"/>
  <c r="BP50" i="14"/>
  <c r="BQ50" i="14"/>
  <c r="BR50" i="14"/>
  <c r="BS50" i="14"/>
  <c r="BT50" i="14"/>
  <c r="BU50" i="14"/>
  <c r="BV50" i="14"/>
  <c r="BW50" i="14"/>
  <c r="BX50" i="14"/>
  <c r="BY50" i="14"/>
  <c r="AA51" i="14"/>
  <c r="AB51" i="14"/>
  <c r="AB77" i="14" s="1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R77" i="14" s="1"/>
  <c r="AS51" i="14"/>
  <c r="AT51" i="14"/>
  <c r="AU51" i="14"/>
  <c r="AV51" i="14"/>
  <c r="AW51" i="14"/>
  <c r="AX51" i="14"/>
  <c r="AY51" i="14"/>
  <c r="AZ51" i="14"/>
  <c r="BA51" i="14"/>
  <c r="BB51" i="14"/>
  <c r="BC51" i="14"/>
  <c r="BD51" i="14"/>
  <c r="BE51" i="14"/>
  <c r="BF51" i="14"/>
  <c r="BG51" i="14"/>
  <c r="BH51" i="14"/>
  <c r="BH77" i="14" s="1"/>
  <c r="BI51" i="14"/>
  <c r="BJ51" i="14"/>
  <c r="BK51" i="14"/>
  <c r="BL51" i="14"/>
  <c r="BM51" i="14"/>
  <c r="BN51" i="14"/>
  <c r="BO51" i="14"/>
  <c r="BP51" i="14"/>
  <c r="BQ51" i="14"/>
  <c r="BR51" i="14"/>
  <c r="BS51" i="14"/>
  <c r="BT51" i="14"/>
  <c r="BU51" i="14"/>
  <c r="BV51" i="14"/>
  <c r="BW51" i="14"/>
  <c r="BX51" i="14"/>
  <c r="BX77" i="14" s="1"/>
  <c r="BY51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O77" i="14" s="1"/>
  <c r="AP52" i="14"/>
  <c r="AQ52" i="14"/>
  <c r="AR52" i="14"/>
  <c r="AS52" i="14"/>
  <c r="AT52" i="14"/>
  <c r="AU52" i="14"/>
  <c r="AV52" i="14"/>
  <c r="AW52" i="14"/>
  <c r="AX52" i="14"/>
  <c r="AY52" i="14"/>
  <c r="AZ52" i="14"/>
  <c r="BA52" i="14"/>
  <c r="BB52" i="14"/>
  <c r="BC52" i="14"/>
  <c r="BD52" i="14"/>
  <c r="BE52" i="14"/>
  <c r="BE77" i="14" s="1"/>
  <c r="BF52" i="14"/>
  <c r="BG52" i="14"/>
  <c r="BH52" i="14"/>
  <c r="BI52" i="14"/>
  <c r="BJ52" i="14"/>
  <c r="BK52" i="14"/>
  <c r="BL52" i="14"/>
  <c r="BM52" i="14"/>
  <c r="BN52" i="14"/>
  <c r="BO52" i="14"/>
  <c r="BP52" i="14"/>
  <c r="BQ52" i="14"/>
  <c r="BR52" i="14"/>
  <c r="BS52" i="14"/>
  <c r="BT52" i="14"/>
  <c r="BU52" i="14"/>
  <c r="BU77" i="14" s="1"/>
  <c r="BV52" i="14"/>
  <c r="BW52" i="14"/>
  <c r="BX52" i="14"/>
  <c r="BY52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L77" i="14" s="1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B77" i="14" s="1"/>
  <c r="BC53" i="14"/>
  <c r="BD53" i="14"/>
  <c r="BE53" i="14"/>
  <c r="BF53" i="14"/>
  <c r="BG53" i="14"/>
  <c r="BH53" i="14"/>
  <c r="BI53" i="14"/>
  <c r="BJ53" i="14"/>
  <c r="BK53" i="14"/>
  <c r="BL53" i="14"/>
  <c r="BM53" i="14"/>
  <c r="BN53" i="14"/>
  <c r="BO53" i="14"/>
  <c r="BP53" i="14"/>
  <c r="BQ53" i="14"/>
  <c r="BR53" i="14"/>
  <c r="BR77" i="14" s="1"/>
  <c r="BS53" i="14"/>
  <c r="BT53" i="14"/>
  <c r="BU53" i="14"/>
  <c r="BV53" i="14"/>
  <c r="BW53" i="14"/>
  <c r="BX53" i="14"/>
  <c r="BY53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BA54" i="14"/>
  <c r="BB54" i="14"/>
  <c r="BC54" i="14"/>
  <c r="BD54" i="14"/>
  <c r="BE54" i="14"/>
  <c r="BF54" i="14"/>
  <c r="BG54" i="14"/>
  <c r="BH54" i="14"/>
  <c r="BI54" i="14"/>
  <c r="BJ54" i="14"/>
  <c r="BK54" i="14"/>
  <c r="BL54" i="14"/>
  <c r="BM54" i="14"/>
  <c r="BN54" i="14"/>
  <c r="BO54" i="14"/>
  <c r="BP54" i="14"/>
  <c r="BQ54" i="14"/>
  <c r="BR54" i="14"/>
  <c r="BS54" i="14"/>
  <c r="BT54" i="14"/>
  <c r="BU54" i="14"/>
  <c r="BV54" i="14"/>
  <c r="BW54" i="14"/>
  <c r="BX54" i="14"/>
  <c r="BY54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M55" i="14"/>
  <c r="BN55" i="14"/>
  <c r="BO55" i="14"/>
  <c r="BP55" i="14"/>
  <c r="BQ55" i="14"/>
  <c r="BR55" i="14"/>
  <c r="BS55" i="14"/>
  <c r="BT55" i="14"/>
  <c r="BU55" i="14"/>
  <c r="BV55" i="14"/>
  <c r="BW55" i="14"/>
  <c r="BX55" i="14"/>
  <c r="BY55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X56" i="14"/>
  <c r="AY56" i="14"/>
  <c r="AZ56" i="14"/>
  <c r="BA56" i="14"/>
  <c r="BB56" i="14"/>
  <c r="BC56" i="14"/>
  <c r="BD56" i="14"/>
  <c r="BE56" i="14"/>
  <c r="BF56" i="14"/>
  <c r="BG56" i="14"/>
  <c r="BH56" i="14"/>
  <c r="BI56" i="14"/>
  <c r="BJ56" i="14"/>
  <c r="BK56" i="14"/>
  <c r="BL56" i="14"/>
  <c r="BM56" i="14"/>
  <c r="BN56" i="14"/>
  <c r="BO56" i="14"/>
  <c r="BP56" i="14"/>
  <c r="BQ56" i="14"/>
  <c r="BR56" i="14"/>
  <c r="BS56" i="14"/>
  <c r="BT56" i="14"/>
  <c r="BU56" i="14"/>
  <c r="BV56" i="14"/>
  <c r="BW56" i="14"/>
  <c r="BX56" i="14"/>
  <c r="BY56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AY57" i="14"/>
  <c r="AZ57" i="14"/>
  <c r="BA57" i="14"/>
  <c r="BB57" i="14"/>
  <c r="BC57" i="14"/>
  <c r="BD57" i="14"/>
  <c r="BE57" i="14"/>
  <c r="BF57" i="14"/>
  <c r="BG57" i="14"/>
  <c r="BH57" i="14"/>
  <c r="BI57" i="14"/>
  <c r="BJ57" i="14"/>
  <c r="BK57" i="14"/>
  <c r="BL57" i="14"/>
  <c r="BM57" i="14"/>
  <c r="BN57" i="14"/>
  <c r="BO57" i="14"/>
  <c r="BP57" i="14"/>
  <c r="BQ57" i="14"/>
  <c r="BR57" i="14"/>
  <c r="BS57" i="14"/>
  <c r="BT57" i="14"/>
  <c r="BU57" i="14"/>
  <c r="BV57" i="14"/>
  <c r="BW57" i="14"/>
  <c r="BX57" i="14"/>
  <c r="BY57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AZ58" i="14"/>
  <c r="BA58" i="14"/>
  <c r="BB58" i="14"/>
  <c r="BC58" i="14"/>
  <c r="BD58" i="14"/>
  <c r="BE58" i="14"/>
  <c r="BF58" i="14"/>
  <c r="BG58" i="14"/>
  <c r="BH58" i="14"/>
  <c r="BI58" i="14"/>
  <c r="BJ58" i="14"/>
  <c r="BK58" i="14"/>
  <c r="BL58" i="14"/>
  <c r="BM58" i="14"/>
  <c r="BN58" i="14"/>
  <c r="BO58" i="14"/>
  <c r="BP58" i="14"/>
  <c r="BQ58" i="14"/>
  <c r="BR58" i="14"/>
  <c r="BS58" i="14"/>
  <c r="BT58" i="14"/>
  <c r="BU58" i="14"/>
  <c r="BV58" i="14"/>
  <c r="BW58" i="14"/>
  <c r="BX58" i="14"/>
  <c r="BY58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AY59" i="14"/>
  <c r="AZ59" i="14"/>
  <c r="BA59" i="14"/>
  <c r="BB59" i="14"/>
  <c r="BC59" i="14"/>
  <c r="BD59" i="14"/>
  <c r="BE59" i="14"/>
  <c r="BF59" i="14"/>
  <c r="BG59" i="14"/>
  <c r="BH59" i="14"/>
  <c r="BI59" i="14"/>
  <c r="BJ59" i="14"/>
  <c r="BK59" i="14"/>
  <c r="BL59" i="14"/>
  <c r="BM59" i="14"/>
  <c r="BN59" i="14"/>
  <c r="BO59" i="14"/>
  <c r="BP59" i="14"/>
  <c r="BQ59" i="14"/>
  <c r="BR59" i="14"/>
  <c r="BS59" i="14"/>
  <c r="BT59" i="14"/>
  <c r="BU59" i="14"/>
  <c r="BV59" i="14"/>
  <c r="BW59" i="14"/>
  <c r="BX59" i="14"/>
  <c r="BY59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L60" i="14"/>
  <c r="BM60" i="14"/>
  <c r="BN60" i="14"/>
  <c r="BO60" i="14"/>
  <c r="BP60" i="14"/>
  <c r="BQ60" i="14"/>
  <c r="BR60" i="14"/>
  <c r="BS60" i="14"/>
  <c r="BT60" i="14"/>
  <c r="BU60" i="14"/>
  <c r="BV60" i="14"/>
  <c r="BW60" i="14"/>
  <c r="BX60" i="14"/>
  <c r="BY60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G61" i="14"/>
  <c r="BH61" i="14"/>
  <c r="BI61" i="14"/>
  <c r="BJ61" i="14"/>
  <c r="BK61" i="14"/>
  <c r="BL61" i="14"/>
  <c r="BM61" i="14"/>
  <c r="BN61" i="14"/>
  <c r="BO61" i="14"/>
  <c r="BP61" i="14"/>
  <c r="BQ61" i="14"/>
  <c r="BR61" i="14"/>
  <c r="BS61" i="14"/>
  <c r="BT61" i="14"/>
  <c r="BU61" i="14"/>
  <c r="BV61" i="14"/>
  <c r="BW61" i="14"/>
  <c r="BX61" i="14"/>
  <c r="BY61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G62" i="14"/>
  <c r="BH62" i="14"/>
  <c r="BI62" i="14"/>
  <c r="BJ62" i="14"/>
  <c r="BK62" i="14"/>
  <c r="BL62" i="14"/>
  <c r="BM62" i="14"/>
  <c r="BN62" i="14"/>
  <c r="BO62" i="14"/>
  <c r="BP62" i="14"/>
  <c r="BQ62" i="14"/>
  <c r="BR62" i="14"/>
  <c r="BS62" i="14"/>
  <c r="BT62" i="14"/>
  <c r="BU62" i="14"/>
  <c r="BV62" i="14"/>
  <c r="BW62" i="14"/>
  <c r="BX62" i="14"/>
  <c r="BY62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G63" i="14"/>
  <c r="BH63" i="14"/>
  <c r="BI63" i="14"/>
  <c r="BJ63" i="14"/>
  <c r="BK63" i="14"/>
  <c r="BL63" i="14"/>
  <c r="BM63" i="14"/>
  <c r="BN63" i="14"/>
  <c r="BO63" i="14"/>
  <c r="BP63" i="14"/>
  <c r="BQ63" i="14"/>
  <c r="BR63" i="14"/>
  <c r="BS63" i="14"/>
  <c r="BT63" i="14"/>
  <c r="BU63" i="14"/>
  <c r="BV63" i="14"/>
  <c r="BW63" i="14"/>
  <c r="BX63" i="14"/>
  <c r="BY63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G64" i="14"/>
  <c r="BH64" i="14"/>
  <c r="BI64" i="14"/>
  <c r="BJ64" i="14"/>
  <c r="BK64" i="14"/>
  <c r="BL64" i="14"/>
  <c r="BM64" i="14"/>
  <c r="BN64" i="14"/>
  <c r="BO64" i="14"/>
  <c r="BP64" i="14"/>
  <c r="BQ64" i="14"/>
  <c r="BR64" i="14"/>
  <c r="BS64" i="14"/>
  <c r="BT64" i="14"/>
  <c r="BU64" i="14"/>
  <c r="BV64" i="14"/>
  <c r="BW64" i="14"/>
  <c r="BX64" i="14"/>
  <c r="BY64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G65" i="14"/>
  <c r="BH65" i="14"/>
  <c r="BI65" i="14"/>
  <c r="BJ65" i="14"/>
  <c r="BK65" i="14"/>
  <c r="BL65" i="14"/>
  <c r="BM65" i="14"/>
  <c r="BN65" i="14"/>
  <c r="BO65" i="14"/>
  <c r="BP65" i="14"/>
  <c r="BQ65" i="14"/>
  <c r="BR65" i="14"/>
  <c r="BS65" i="14"/>
  <c r="BT65" i="14"/>
  <c r="BU65" i="14"/>
  <c r="BV65" i="14"/>
  <c r="BW65" i="14"/>
  <c r="BX65" i="14"/>
  <c r="BY65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G66" i="14"/>
  <c r="BH66" i="14"/>
  <c r="BI66" i="14"/>
  <c r="BJ66" i="14"/>
  <c r="BK66" i="14"/>
  <c r="BL66" i="14"/>
  <c r="BM66" i="14"/>
  <c r="BN66" i="14"/>
  <c r="BO66" i="14"/>
  <c r="BP66" i="14"/>
  <c r="BQ66" i="14"/>
  <c r="BR66" i="14"/>
  <c r="BS66" i="14"/>
  <c r="BT66" i="14"/>
  <c r="BU66" i="14"/>
  <c r="BV66" i="14"/>
  <c r="BW66" i="14"/>
  <c r="BX66" i="14"/>
  <c r="BY66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G67" i="14"/>
  <c r="BH67" i="14"/>
  <c r="BI67" i="14"/>
  <c r="BJ67" i="14"/>
  <c r="BK67" i="14"/>
  <c r="BL67" i="14"/>
  <c r="BM67" i="14"/>
  <c r="BN67" i="14"/>
  <c r="BO67" i="14"/>
  <c r="BP67" i="14"/>
  <c r="BQ67" i="14"/>
  <c r="BR67" i="14"/>
  <c r="BS67" i="14"/>
  <c r="BT67" i="14"/>
  <c r="BU67" i="14"/>
  <c r="BV67" i="14"/>
  <c r="BW67" i="14"/>
  <c r="BX67" i="14"/>
  <c r="BY67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AX68" i="14"/>
  <c r="AY68" i="14"/>
  <c r="AZ68" i="14"/>
  <c r="BA68" i="14"/>
  <c r="BB68" i="14"/>
  <c r="BC68" i="14"/>
  <c r="BD68" i="14"/>
  <c r="BE68" i="14"/>
  <c r="BF68" i="14"/>
  <c r="BG68" i="14"/>
  <c r="BH68" i="14"/>
  <c r="BI68" i="14"/>
  <c r="BJ68" i="14"/>
  <c r="BK68" i="14"/>
  <c r="BL68" i="14"/>
  <c r="BM68" i="14"/>
  <c r="BN68" i="14"/>
  <c r="BO68" i="14"/>
  <c r="BP68" i="14"/>
  <c r="BQ68" i="14"/>
  <c r="BR68" i="14"/>
  <c r="BS68" i="14"/>
  <c r="BT68" i="14"/>
  <c r="BU68" i="14"/>
  <c r="BV68" i="14"/>
  <c r="BW68" i="14"/>
  <c r="BX68" i="14"/>
  <c r="BY68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AX69" i="14"/>
  <c r="AY69" i="14"/>
  <c r="AZ69" i="14"/>
  <c r="BA69" i="14"/>
  <c r="BB69" i="14"/>
  <c r="BC69" i="14"/>
  <c r="BD69" i="14"/>
  <c r="BE69" i="14"/>
  <c r="BF69" i="14"/>
  <c r="BG69" i="14"/>
  <c r="BH69" i="14"/>
  <c r="BI69" i="14"/>
  <c r="BJ69" i="14"/>
  <c r="BK69" i="14"/>
  <c r="BL69" i="14"/>
  <c r="BM69" i="14"/>
  <c r="BN69" i="14"/>
  <c r="BO69" i="14"/>
  <c r="BP69" i="14"/>
  <c r="BQ69" i="14"/>
  <c r="BR69" i="14"/>
  <c r="BS69" i="14"/>
  <c r="BT69" i="14"/>
  <c r="BU69" i="14"/>
  <c r="BV69" i="14"/>
  <c r="BW69" i="14"/>
  <c r="BX69" i="14"/>
  <c r="BY69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AX70" i="14"/>
  <c r="AY70" i="14"/>
  <c r="AZ70" i="14"/>
  <c r="BA70" i="14"/>
  <c r="BB70" i="14"/>
  <c r="BC70" i="14"/>
  <c r="BD70" i="14"/>
  <c r="BE70" i="14"/>
  <c r="BF70" i="14"/>
  <c r="BG70" i="14"/>
  <c r="BH70" i="14"/>
  <c r="BI70" i="14"/>
  <c r="BJ70" i="14"/>
  <c r="BK70" i="14"/>
  <c r="BL70" i="14"/>
  <c r="BM70" i="14"/>
  <c r="BN70" i="14"/>
  <c r="BO70" i="14"/>
  <c r="BP70" i="14"/>
  <c r="BQ70" i="14"/>
  <c r="BR70" i="14"/>
  <c r="BS70" i="14"/>
  <c r="BT70" i="14"/>
  <c r="BU70" i="14"/>
  <c r="BV70" i="14"/>
  <c r="BW70" i="14"/>
  <c r="BX70" i="14"/>
  <c r="BY70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AX71" i="14"/>
  <c r="AY71" i="14"/>
  <c r="AZ71" i="14"/>
  <c r="BA71" i="14"/>
  <c r="BB71" i="14"/>
  <c r="BC71" i="14"/>
  <c r="BD71" i="14"/>
  <c r="BE71" i="14"/>
  <c r="BF71" i="14"/>
  <c r="BG71" i="14"/>
  <c r="BH71" i="14"/>
  <c r="BI71" i="14"/>
  <c r="BJ71" i="14"/>
  <c r="BK71" i="14"/>
  <c r="BL71" i="14"/>
  <c r="BM71" i="14"/>
  <c r="BN71" i="14"/>
  <c r="BO71" i="14"/>
  <c r="BP71" i="14"/>
  <c r="BQ71" i="14"/>
  <c r="BR71" i="14"/>
  <c r="BS71" i="14"/>
  <c r="BT71" i="14"/>
  <c r="BU71" i="14"/>
  <c r="BV71" i="14"/>
  <c r="BW71" i="14"/>
  <c r="BX71" i="14"/>
  <c r="BY71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AX72" i="14"/>
  <c r="AY72" i="14"/>
  <c r="AZ72" i="14"/>
  <c r="BA72" i="14"/>
  <c r="BB72" i="14"/>
  <c r="BC72" i="14"/>
  <c r="BD72" i="14"/>
  <c r="BE72" i="14"/>
  <c r="BF72" i="14"/>
  <c r="BG72" i="14"/>
  <c r="BH72" i="14"/>
  <c r="BI72" i="14"/>
  <c r="BJ72" i="14"/>
  <c r="BK72" i="14"/>
  <c r="BL72" i="14"/>
  <c r="BM72" i="14"/>
  <c r="BN72" i="14"/>
  <c r="BO72" i="14"/>
  <c r="BP72" i="14"/>
  <c r="BQ72" i="14"/>
  <c r="BR72" i="14"/>
  <c r="BS72" i="14"/>
  <c r="BT72" i="14"/>
  <c r="BU72" i="14"/>
  <c r="BV72" i="14"/>
  <c r="BW72" i="14"/>
  <c r="BX72" i="14"/>
  <c r="BY72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AY73" i="14"/>
  <c r="AZ73" i="14"/>
  <c r="BA73" i="14"/>
  <c r="BB73" i="14"/>
  <c r="BC73" i="14"/>
  <c r="BD73" i="14"/>
  <c r="BE73" i="14"/>
  <c r="BF73" i="14"/>
  <c r="BG73" i="14"/>
  <c r="BH73" i="14"/>
  <c r="BI73" i="14"/>
  <c r="BJ73" i="14"/>
  <c r="BK73" i="14"/>
  <c r="BL73" i="14"/>
  <c r="BM73" i="14"/>
  <c r="BN73" i="14"/>
  <c r="BO73" i="14"/>
  <c r="BP73" i="14"/>
  <c r="BQ73" i="14"/>
  <c r="BR73" i="14"/>
  <c r="BS73" i="14"/>
  <c r="BT73" i="14"/>
  <c r="BU73" i="14"/>
  <c r="BV73" i="14"/>
  <c r="BW73" i="14"/>
  <c r="BX73" i="14"/>
  <c r="BY73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AX74" i="14"/>
  <c r="AY74" i="14"/>
  <c r="AZ74" i="14"/>
  <c r="BA74" i="14"/>
  <c r="BB74" i="14"/>
  <c r="BC74" i="14"/>
  <c r="BD74" i="14"/>
  <c r="BE74" i="14"/>
  <c r="BF74" i="14"/>
  <c r="BG74" i="14"/>
  <c r="BH74" i="14"/>
  <c r="BI74" i="14"/>
  <c r="BJ74" i="14"/>
  <c r="BK74" i="14"/>
  <c r="BL74" i="14"/>
  <c r="BM74" i="14"/>
  <c r="BN74" i="14"/>
  <c r="BO74" i="14"/>
  <c r="BP74" i="14"/>
  <c r="BQ74" i="14"/>
  <c r="BR74" i="14"/>
  <c r="BS74" i="14"/>
  <c r="BT74" i="14"/>
  <c r="BU74" i="14"/>
  <c r="BV74" i="14"/>
  <c r="BW74" i="14"/>
  <c r="BX74" i="14"/>
  <c r="BY74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AY75" i="14"/>
  <c r="AZ75" i="14"/>
  <c r="BA75" i="14"/>
  <c r="BB75" i="14"/>
  <c r="BC75" i="14"/>
  <c r="BD75" i="14"/>
  <c r="BE75" i="14"/>
  <c r="BF75" i="14"/>
  <c r="BG75" i="14"/>
  <c r="BH75" i="14"/>
  <c r="BI75" i="14"/>
  <c r="BJ75" i="14"/>
  <c r="BK75" i="14"/>
  <c r="BL75" i="14"/>
  <c r="BM75" i="14"/>
  <c r="BN75" i="14"/>
  <c r="BO75" i="14"/>
  <c r="BP75" i="14"/>
  <c r="BQ75" i="14"/>
  <c r="BR75" i="14"/>
  <c r="BS75" i="14"/>
  <c r="BT75" i="14"/>
  <c r="BU75" i="14"/>
  <c r="BV75" i="14"/>
  <c r="BW75" i="14"/>
  <c r="BX75" i="14"/>
  <c r="BY75" i="14"/>
  <c r="AI77" i="14"/>
  <c r="AY77" i="14"/>
  <c r="BO77" i="14"/>
  <c r="AA4" i="13"/>
  <c r="AB4" i="13"/>
  <c r="AC4" i="13"/>
  <c r="AC23" i="13" s="1"/>
  <c r="AD4" i="13"/>
  <c r="AD23" i="13" s="1"/>
  <c r="AE4" i="13"/>
  <c r="AF4" i="13"/>
  <c r="AG4" i="13"/>
  <c r="AH4" i="13"/>
  <c r="AI4" i="13"/>
  <c r="AJ4" i="13"/>
  <c r="AK4" i="13"/>
  <c r="AK23" i="13" s="1"/>
  <c r="AL4" i="13"/>
  <c r="AL23" i="13" s="1"/>
  <c r="AM4" i="13"/>
  <c r="AN4" i="13"/>
  <c r="AO4" i="13"/>
  <c r="AO23" i="13" s="1"/>
  <c r="AP4" i="13"/>
  <c r="AP23" i="13" s="1"/>
  <c r="AQ4" i="13"/>
  <c r="AR4" i="13"/>
  <c r="AS4" i="13"/>
  <c r="AS23" i="13" s="1"/>
  <c r="AT4" i="13"/>
  <c r="AT23" i="13" s="1"/>
  <c r="AU4" i="13"/>
  <c r="AV4" i="13"/>
  <c r="AW4" i="13"/>
  <c r="AX4" i="13"/>
  <c r="AY4" i="13"/>
  <c r="AZ4" i="13"/>
  <c r="BA4" i="13"/>
  <c r="BA23" i="13" s="1"/>
  <c r="BB4" i="13"/>
  <c r="BB23" i="13" s="1"/>
  <c r="BC4" i="13"/>
  <c r="BD4" i="13"/>
  <c r="BE4" i="13"/>
  <c r="BE23" i="13" s="1"/>
  <c r="BF4" i="13"/>
  <c r="BF23" i="13" s="1"/>
  <c r="BG4" i="13"/>
  <c r="BH4" i="13"/>
  <c r="BI4" i="13"/>
  <c r="BI23" i="13" s="1"/>
  <c r="BJ4" i="13"/>
  <c r="BJ23" i="13" s="1"/>
  <c r="BK4" i="13"/>
  <c r="BL4" i="13"/>
  <c r="BM4" i="13"/>
  <c r="BN4" i="13"/>
  <c r="BO4" i="13"/>
  <c r="BP4" i="13"/>
  <c r="BQ4" i="13"/>
  <c r="BQ23" i="13" s="1"/>
  <c r="BR4" i="13"/>
  <c r="BR23" i="13" s="1"/>
  <c r="BS4" i="13"/>
  <c r="BT4" i="13"/>
  <c r="BU4" i="13"/>
  <c r="BU23" i="13" s="1"/>
  <c r="BV4" i="13"/>
  <c r="BV23" i="13" s="1"/>
  <c r="BW4" i="13"/>
  <c r="BX4" i="13"/>
  <c r="BY4" i="13"/>
  <c r="BY23" i="13" s="1"/>
  <c r="AA16" i="13"/>
  <c r="AA12" i="1" s="1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AA23" i="13"/>
  <c r="AB23" i="13"/>
  <c r="AE23" i="13"/>
  <c r="AF23" i="13"/>
  <c r="AG23" i="13"/>
  <c r="AH23" i="13"/>
  <c r="AI23" i="13"/>
  <c r="AJ23" i="13"/>
  <c r="AM23" i="13"/>
  <c r="AN23" i="13"/>
  <c r="AQ23" i="13"/>
  <c r="AR23" i="13"/>
  <c r="AU23" i="13"/>
  <c r="AV23" i="13"/>
  <c r="AW23" i="13"/>
  <c r="AX23" i="13"/>
  <c r="AY23" i="13"/>
  <c r="AZ23" i="13"/>
  <c r="BC23" i="13"/>
  <c r="BD23" i="13"/>
  <c r="BG23" i="13"/>
  <c r="BH23" i="13"/>
  <c r="BK23" i="13"/>
  <c r="BL23" i="13"/>
  <c r="BM23" i="13"/>
  <c r="BN23" i="13"/>
  <c r="BO23" i="13"/>
  <c r="BP23" i="13"/>
  <c r="BS23" i="13"/>
  <c r="BT23" i="13"/>
  <c r="BW23" i="13"/>
  <c r="BX23" i="13"/>
  <c r="AA24" i="13"/>
  <c r="AB24" i="13"/>
  <c r="AB35" i="13" s="1"/>
  <c r="AC24" i="13"/>
  <c r="AD24" i="13"/>
  <c r="AE24" i="13"/>
  <c r="AF24" i="13"/>
  <c r="AF35" i="13" s="1"/>
  <c r="AG24" i="13"/>
  <c r="AG35" i="13" s="1"/>
  <c r="AH24" i="13"/>
  <c r="AI24" i="13"/>
  <c r="AJ24" i="13"/>
  <c r="AK24" i="13"/>
  <c r="AK35" i="13" s="1"/>
  <c r="AL24" i="13"/>
  <c r="AM24" i="13"/>
  <c r="AN24" i="13"/>
  <c r="AO24" i="13"/>
  <c r="AP24" i="13"/>
  <c r="AQ24" i="13"/>
  <c r="AR24" i="13"/>
  <c r="AR35" i="13" s="1"/>
  <c r="AS24" i="13"/>
  <c r="AT24" i="13"/>
  <c r="AU24" i="13"/>
  <c r="AV24" i="13"/>
  <c r="AV35" i="13" s="1"/>
  <c r="AW24" i="13"/>
  <c r="AW35" i="13" s="1"/>
  <c r="AX24" i="13"/>
  <c r="AY24" i="13"/>
  <c r="AZ24" i="13"/>
  <c r="BA24" i="13"/>
  <c r="BA35" i="13" s="1"/>
  <c r="BB24" i="13"/>
  <c r="BC24" i="13"/>
  <c r="BD24" i="13"/>
  <c r="BE24" i="13"/>
  <c r="BF24" i="13"/>
  <c r="BG24" i="13"/>
  <c r="BH24" i="13"/>
  <c r="BH35" i="13" s="1"/>
  <c r="BI24" i="13"/>
  <c r="BJ24" i="13"/>
  <c r="BK24" i="13"/>
  <c r="BL24" i="13"/>
  <c r="BL35" i="13" s="1"/>
  <c r="BM24" i="13"/>
  <c r="BM35" i="13" s="1"/>
  <c r="BN24" i="13"/>
  <c r="BO24" i="13"/>
  <c r="BP24" i="13"/>
  <c r="BQ24" i="13"/>
  <c r="BQ35" i="13" s="1"/>
  <c r="BR24" i="13"/>
  <c r="BS24" i="13"/>
  <c r="BT24" i="13"/>
  <c r="BU24" i="13"/>
  <c r="BV24" i="13"/>
  <c r="BW24" i="13"/>
  <c r="BX24" i="13"/>
  <c r="BX35" i="13" s="1"/>
  <c r="BY24" i="13"/>
  <c r="AA25" i="13"/>
  <c r="AB25" i="13"/>
  <c r="AC25" i="13"/>
  <c r="AC35" i="13" s="1"/>
  <c r="AD25" i="13"/>
  <c r="AD35" i="13" s="1"/>
  <c r="AE25" i="13"/>
  <c r="AF25" i="13"/>
  <c r="AG25" i="13"/>
  <c r="AH25" i="13"/>
  <c r="AI25" i="13"/>
  <c r="AJ25" i="13"/>
  <c r="AK25" i="13"/>
  <c r="AL25" i="13"/>
  <c r="AM25" i="13"/>
  <c r="AN25" i="13"/>
  <c r="AO25" i="13"/>
  <c r="AO35" i="13" s="1"/>
  <c r="AP25" i="13"/>
  <c r="AP35" i="13" s="1"/>
  <c r="AQ25" i="13"/>
  <c r="AR25" i="13"/>
  <c r="AS25" i="13"/>
  <c r="AS35" i="13" s="1"/>
  <c r="AT25" i="13"/>
  <c r="AT35" i="13" s="1"/>
  <c r="AU25" i="13"/>
  <c r="AV25" i="13"/>
  <c r="AW25" i="13"/>
  <c r="AX25" i="13"/>
  <c r="AY25" i="13"/>
  <c r="AZ25" i="13"/>
  <c r="BA25" i="13"/>
  <c r="BB25" i="13"/>
  <c r="BC25" i="13"/>
  <c r="BD25" i="13"/>
  <c r="BE25" i="13"/>
  <c r="BE35" i="13" s="1"/>
  <c r="BF25" i="13"/>
  <c r="BF35" i="13" s="1"/>
  <c r="BG25" i="13"/>
  <c r="BH25" i="13"/>
  <c r="BI25" i="13"/>
  <c r="BI35" i="13" s="1"/>
  <c r="BJ25" i="13"/>
  <c r="BJ35" i="13" s="1"/>
  <c r="BK25" i="13"/>
  <c r="BL25" i="13"/>
  <c r="BM25" i="13"/>
  <c r="BN25" i="13"/>
  <c r="BO25" i="13"/>
  <c r="BP25" i="13"/>
  <c r="BQ25" i="13"/>
  <c r="BR25" i="13"/>
  <c r="BS25" i="13"/>
  <c r="BT25" i="13"/>
  <c r="BU25" i="13"/>
  <c r="BU35" i="13" s="1"/>
  <c r="BV25" i="13"/>
  <c r="BV35" i="13" s="1"/>
  <c r="BW25" i="13"/>
  <c r="BX25" i="13"/>
  <c r="BY25" i="13"/>
  <c r="BY35" i="13" s="1"/>
  <c r="AA26" i="13"/>
  <c r="AA35" i="13" s="1"/>
  <c r="AA26" i="1" s="1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Q35" i="13" s="1"/>
  <c r="AR26" i="13"/>
  <c r="AS26" i="13"/>
  <c r="AT26" i="13"/>
  <c r="AU26" i="13"/>
  <c r="AV26" i="13"/>
  <c r="AW26" i="13"/>
  <c r="AX26" i="13"/>
  <c r="AY26" i="13"/>
  <c r="AZ26" i="13"/>
  <c r="BA26" i="13"/>
  <c r="BB26" i="13"/>
  <c r="BC26" i="13"/>
  <c r="BD26" i="13"/>
  <c r="BE26" i="13"/>
  <c r="BF26" i="13"/>
  <c r="BG26" i="13"/>
  <c r="BG35" i="13" s="1"/>
  <c r="BH26" i="13"/>
  <c r="BI26" i="13"/>
  <c r="BJ26" i="13"/>
  <c r="BK26" i="13"/>
  <c r="BL26" i="13"/>
  <c r="BM26" i="13"/>
  <c r="BN26" i="13"/>
  <c r="BO26" i="13"/>
  <c r="BP26" i="13"/>
  <c r="BQ26" i="13"/>
  <c r="BR26" i="13"/>
  <c r="BS26" i="13"/>
  <c r="BT26" i="13"/>
  <c r="BU26" i="13"/>
  <c r="BV26" i="13"/>
  <c r="BW26" i="13"/>
  <c r="BW35" i="13" s="1"/>
  <c r="BX26" i="13"/>
  <c r="BY26" i="13"/>
  <c r="AA27" i="13"/>
  <c r="AB27" i="13"/>
  <c r="AC27" i="13"/>
  <c r="AD27" i="13"/>
  <c r="AE27" i="13"/>
  <c r="AF27" i="13"/>
  <c r="AG27" i="13"/>
  <c r="AH27" i="13"/>
  <c r="AI27" i="13"/>
  <c r="AJ27" i="13"/>
  <c r="AJ35" i="13" s="1"/>
  <c r="AK27" i="13"/>
  <c r="AL27" i="13"/>
  <c r="AM27" i="13"/>
  <c r="AN27" i="13"/>
  <c r="AN35" i="13" s="1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AZ35" i="13" s="1"/>
  <c r="BA27" i="13"/>
  <c r="BB27" i="13"/>
  <c r="BC27" i="13"/>
  <c r="BD27" i="13"/>
  <c r="BD35" i="13" s="1"/>
  <c r="BE27" i="13"/>
  <c r="BF27" i="13"/>
  <c r="BG27" i="13"/>
  <c r="BH27" i="13"/>
  <c r="BI27" i="13"/>
  <c r="BJ27" i="13"/>
  <c r="BK27" i="13"/>
  <c r="BL27" i="13"/>
  <c r="BM27" i="13"/>
  <c r="BN27" i="13"/>
  <c r="BO27" i="13"/>
  <c r="BP27" i="13"/>
  <c r="BP35" i="13" s="1"/>
  <c r="BQ27" i="13"/>
  <c r="BR27" i="13"/>
  <c r="BS27" i="13"/>
  <c r="BT27" i="13"/>
  <c r="BT35" i="13" s="1"/>
  <c r="BU27" i="13"/>
  <c r="BV27" i="13"/>
  <c r="BW27" i="13"/>
  <c r="BX27" i="13"/>
  <c r="BY27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AY28" i="13"/>
  <c r="AZ28" i="13"/>
  <c r="BA28" i="13"/>
  <c r="BB28" i="13"/>
  <c r="BC28" i="13"/>
  <c r="BD28" i="13"/>
  <c r="BE28" i="13"/>
  <c r="BF28" i="13"/>
  <c r="BG28" i="13"/>
  <c r="BH28" i="13"/>
  <c r="BI28" i="13"/>
  <c r="BJ28" i="13"/>
  <c r="BK28" i="13"/>
  <c r="BL28" i="13"/>
  <c r="BM28" i="13"/>
  <c r="BN28" i="13"/>
  <c r="BO28" i="13"/>
  <c r="BP28" i="13"/>
  <c r="BQ28" i="13"/>
  <c r="BR28" i="13"/>
  <c r="BS28" i="13"/>
  <c r="BT28" i="13"/>
  <c r="BU28" i="13"/>
  <c r="BV28" i="13"/>
  <c r="BW28" i="13"/>
  <c r="BX28" i="13"/>
  <c r="BY28" i="13"/>
  <c r="AA29" i="13"/>
  <c r="AB29" i="13"/>
  <c r="AC29" i="13"/>
  <c r="AD29" i="13"/>
  <c r="AE29" i="13"/>
  <c r="AF29" i="13"/>
  <c r="AG29" i="13"/>
  <c r="AH29" i="13"/>
  <c r="AH35" i="13" s="1"/>
  <c r="AI29" i="13"/>
  <c r="AJ29" i="13"/>
  <c r="AK29" i="13"/>
  <c r="AL29" i="13"/>
  <c r="AL35" i="13" s="1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AX35" i="13" s="1"/>
  <c r="AY29" i="13"/>
  <c r="AZ29" i="13"/>
  <c r="BA29" i="13"/>
  <c r="BB29" i="13"/>
  <c r="BB35" i="13" s="1"/>
  <c r="BC29" i="13"/>
  <c r="BD29" i="13"/>
  <c r="BE29" i="13"/>
  <c r="BF29" i="13"/>
  <c r="BG29" i="13"/>
  <c r="BH29" i="13"/>
  <c r="BI29" i="13"/>
  <c r="BJ29" i="13"/>
  <c r="BK29" i="13"/>
  <c r="BL29" i="13"/>
  <c r="BM29" i="13"/>
  <c r="BN29" i="13"/>
  <c r="BN35" i="13" s="1"/>
  <c r="BO29" i="13"/>
  <c r="BP29" i="13"/>
  <c r="BQ29" i="13"/>
  <c r="BR29" i="13"/>
  <c r="BR35" i="13" s="1"/>
  <c r="BS29" i="13"/>
  <c r="BT29" i="13"/>
  <c r="BU29" i="13"/>
  <c r="BV29" i="13"/>
  <c r="BW29" i="13"/>
  <c r="BX29" i="13"/>
  <c r="BY29" i="13"/>
  <c r="AA30" i="13"/>
  <c r="AB30" i="13"/>
  <c r="AC30" i="13"/>
  <c r="AD30" i="13"/>
  <c r="AE30" i="13"/>
  <c r="AE35" i="13" s="1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AU30" i="13"/>
  <c r="AU35" i="13" s="1"/>
  <c r="AV30" i="13"/>
  <c r="AW30" i="13"/>
  <c r="AX30" i="13"/>
  <c r="AY30" i="13"/>
  <c r="AZ30" i="13"/>
  <c r="BA30" i="13"/>
  <c r="BB30" i="13"/>
  <c r="BC30" i="13"/>
  <c r="BD30" i="13"/>
  <c r="BE30" i="13"/>
  <c r="BF30" i="13"/>
  <c r="BG30" i="13"/>
  <c r="BH30" i="13"/>
  <c r="BI30" i="13"/>
  <c r="BJ30" i="13"/>
  <c r="BK30" i="13"/>
  <c r="BK35" i="13" s="1"/>
  <c r="BL30" i="13"/>
  <c r="BM30" i="13"/>
  <c r="BN30" i="13"/>
  <c r="BO30" i="13"/>
  <c r="BP30" i="13"/>
  <c r="BQ30" i="13"/>
  <c r="BR30" i="13"/>
  <c r="BS30" i="13"/>
  <c r="BT30" i="13"/>
  <c r="BU30" i="13"/>
  <c r="BV30" i="13"/>
  <c r="BW30" i="13"/>
  <c r="BX30" i="13"/>
  <c r="BY30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AU31" i="13"/>
  <c r="AV31" i="13"/>
  <c r="AW31" i="13"/>
  <c r="AX31" i="13"/>
  <c r="AY31" i="13"/>
  <c r="AZ31" i="13"/>
  <c r="BA31" i="13"/>
  <c r="BB31" i="13"/>
  <c r="BC31" i="13"/>
  <c r="BD31" i="13"/>
  <c r="BE31" i="13"/>
  <c r="BF31" i="13"/>
  <c r="BG31" i="13"/>
  <c r="BH31" i="13"/>
  <c r="BI31" i="13"/>
  <c r="BJ31" i="13"/>
  <c r="BK31" i="13"/>
  <c r="BL31" i="13"/>
  <c r="BM31" i="13"/>
  <c r="BN31" i="13"/>
  <c r="BO31" i="13"/>
  <c r="BP31" i="13"/>
  <c r="BQ31" i="13"/>
  <c r="BR31" i="13"/>
  <c r="BS31" i="13"/>
  <c r="BT31" i="13"/>
  <c r="BU31" i="13"/>
  <c r="BV31" i="13"/>
  <c r="BW31" i="13"/>
  <c r="BX31" i="13"/>
  <c r="BY31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AU32" i="13"/>
  <c r="AV32" i="13"/>
  <c r="AW32" i="13"/>
  <c r="AX32" i="13"/>
  <c r="AY32" i="13"/>
  <c r="AZ32" i="13"/>
  <c r="BA32" i="13"/>
  <c r="BB32" i="13"/>
  <c r="BC32" i="13"/>
  <c r="BD32" i="13"/>
  <c r="BE32" i="13"/>
  <c r="BF32" i="13"/>
  <c r="BG32" i="13"/>
  <c r="BH32" i="13"/>
  <c r="BI32" i="13"/>
  <c r="BJ32" i="13"/>
  <c r="BK32" i="13"/>
  <c r="BL32" i="13"/>
  <c r="BM32" i="13"/>
  <c r="BN32" i="13"/>
  <c r="BO32" i="13"/>
  <c r="BP32" i="13"/>
  <c r="BQ32" i="13"/>
  <c r="BR32" i="13"/>
  <c r="BS32" i="13"/>
  <c r="BT32" i="13"/>
  <c r="BU32" i="13"/>
  <c r="BV32" i="13"/>
  <c r="BW32" i="13"/>
  <c r="BX32" i="13"/>
  <c r="BY32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Q33" i="13"/>
  <c r="BR33" i="13"/>
  <c r="BS33" i="13"/>
  <c r="BT33" i="13"/>
  <c r="BU33" i="13"/>
  <c r="BV33" i="13"/>
  <c r="BW33" i="13"/>
  <c r="BX33" i="13"/>
  <c r="BY33" i="13"/>
  <c r="AI35" i="13"/>
  <c r="AM35" i="13"/>
  <c r="AY35" i="13"/>
  <c r="BC35" i="13"/>
  <c r="BO35" i="13"/>
  <c r="BS35" i="13"/>
  <c r="AA4" i="12"/>
  <c r="AB4" i="12"/>
  <c r="AC4" i="12"/>
  <c r="AC27" i="12" s="1"/>
  <c r="AD4" i="12"/>
  <c r="AE4" i="12"/>
  <c r="AF4" i="12"/>
  <c r="AG4" i="12"/>
  <c r="AH4" i="12"/>
  <c r="AI4" i="12"/>
  <c r="AJ4" i="12"/>
  <c r="AK4" i="12"/>
  <c r="AK27" i="12" s="1"/>
  <c r="AL4" i="12"/>
  <c r="AL27" i="12" s="1"/>
  <c r="AM4" i="12"/>
  <c r="AN4" i="12"/>
  <c r="AN27" i="12" s="1"/>
  <c r="AO4" i="12"/>
  <c r="AO27" i="12" s="1"/>
  <c r="AP4" i="12"/>
  <c r="AP27" i="12" s="1"/>
  <c r="AQ4" i="12"/>
  <c r="AR4" i="12"/>
  <c r="AS4" i="12"/>
  <c r="AS27" i="12" s="1"/>
  <c r="AT4" i="12"/>
  <c r="AU4" i="12"/>
  <c r="AV4" i="12"/>
  <c r="AW4" i="12"/>
  <c r="AX4" i="12"/>
  <c r="AY4" i="12"/>
  <c r="AZ4" i="12"/>
  <c r="BA4" i="12"/>
  <c r="BA27" i="12" s="1"/>
  <c r="BB4" i="12"/>
  <c r="BC4" i="12"/>
  <c r="BD4" i="12"/>
  <c r="BD27" i="12" s="1"/>
  <c r="BE4" i="12"/>
  <c r="BE27" i="12" s="1"/>
  <c r="BF4" i="12"/>
  <c r="BF27" i="12" s="1"/>
  <c r="BG4" i="12"/>
  <c r="BH4" i="12"/>
  <c r="BI4" i="12"/>
  <c r="BI27" i="12" s="1"/>
  <c r="BJ4" i="12"/>
  <c r="BK4" i="12"/>
  <c r="BL4" i="12"/>
  <c r="BM4" i="12"/>
  <c r="BN4" i="12"/>
  <c r="BO4" i="12"/>
  <c r="BP4" i="12"/>
  <c r="BQ4" i="12"/>
  <c r="BQ27" i="12" s="1"/>
  <c r="BR4" i="12"/>
  <c r="BS4" i="12"/>
  <c r="BT4" i="12"/>
  <c r="BT27" i="12" s="1"/>
  <c r="BU4" i="12"/>
  <c r="BU27" i="12" s="1"/>
  <c r="BV4" i="12"/>
  <c r="BV27" i="12" s="1"/>
  <c r="BW4" i="12"/>
  <c r="BX4" i="12"/>
  <c r="BY4" i="12"/>
  <c r="BY27" i="12" s="1"/>
  <c r="AA20" i="12"/>
  <c r="AA11" i="1" s="1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BY20" i="12"/>
  <c r="AA27" i="12"/>
  <c r="AB27" i="12"/>
  <c r="AD27" i="12"/>
  <c r="AE27" i="12"/>
  <c r="AF27" i="12"/>
  <c r="AG27" i="12"/>
  <c r="AH27" i="12"/>
  <c r="AI27" i="12"/>
  <c r="AJ27" i="12"/>
  <c r="AM27" i="12"/>
  <c r="AQ27" i="12"/>
  <c r="AR27" i="12"/>
  <c r="AT27" i="12"/>
  <c r="AU27" i="12"/>
  <c r="AV27" i="12"/>
  <c r="AW27" i="12"/>
  <c r="AX27" i="12"/>
  <c r="AY27" i="12"/>
  <c r="AZ27" i="12"/>
  <c r="BB27" i="12"/>
  <c r="BC27" i="12"/>
  <c r="BG27" i="12"/>
  <c r="BH27" i="12"/>
  <c r="BJ27" i="12"/>
  <c r="BK27" i="12"/>
  <c r="BL27" i="12"/>
  <c r="BM27" i="12"/>
  <c r="BN27" i="12"/>
  <c r="BO27" i="12"/>
  <c r="BP27" i="12"/>
  <c r="BR27" i="12"/>
  <c r="BS27" i="12"/>
  <c r="BW27" i="12"/>
  <c r="BX27" i="12"/>
  <c r="AA28" i="12"/>
  <c r="AB28" i="12"/>
  <c r="AC28" i="12"/>
  <c r="AD28" i="12"/>
  <c r="AE28" i="12"/>
  <c r="AF28" i="12"/>
  <c r="AF43" i="12" s="1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V43" i="12" s="1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L43" i="12" s="1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BY28" i="12"/>
  <c r="AA29" i="12"/>
  <c r="AB29" i="12"/>
  <c r="AC29" i="12"/>
  <c r="AC43" i="12" s="1"/>
  <c r="AD29" i="12"/>
  <c r="AD43" i="12" s="1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S43" i="12" s="1"/>
  <c r="AT29" i="12"/>
  <c r="AT43" i="12" s="1"/>
  <c r="AU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I43" i="12" s="1"/>
  <c r="BJ29" i="12"/>
  <c r="BJ43" i="12" s="1"/>
  <c r="BK29" i="12"/>
  <c r="BL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BY29" i="12"/>
  <c r="BY43" i="12" s="1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P43" i="12" s="1"/>
  <c r="AQ30" i="12"/>
  <c r="AQ43" i="12" s="1"/>
  <c r="AR30" i="12"/>
  <c r="AS30" i="12"/>
  <c r="AT30" i="12"/>
  <c r="AU30" i="12"/>
  <c r="AV30" i="12"/>
  <c r="AW30" i="12"/>
  <c r="AX30" i="12"/>
  <c r="AY30" i="12"/>
  <c r="AZ30" i="12"/>
  <c r="BA30" i="12"/>
  <c r="BB30" i="12"/>
  <c r="BC30" i="12"/>
  <c r="BD30" i="12"/>
  <c r="BE30" i="12"/>
  <c r="BF30" i="12"/>
  <c r="BF43" i="12" s="1"/>
  <c r="BG30" i="12"/>
  <c r="BG43" i="12" s="1"/>
  <c r="BH30" i="12"/>
  <c r="BI30" i="12"/>
  <c r="BJ30" i="12"/>
  <c r="BK30" i="12"/>
  <c r="BL30" i="12"/>
  <c r="BM30" i="12"/>
  <c r="BN30" i="12"/>
  <c r="BO30" i="12"/>
  <c r="BP30" i="12"/>
  <c r="BQ30" i="12"/>
  <c r="BR30" i="12"/>
  <c r="BS30" i="12"/>
  <c r="BT30" i="12"/>
  <c r="BU30" i="12"/>
  <c r="BV30" i="12"/>
  <c r="BV43" i="12" s="1"/>
  <c r="BW30" i="12"/>
  <c r="BW43" i="12" s="1"/>
  <c r="BX30" i="12"/>
  <c r="BY30" i="12"/>
  <c r="AA31" i="12"/>
  <c r="AB31" i="12"/>
  <c r="AC31" i="12"/>
  <c r="AD31" i="12"/>
  <c r="AE31" i="12"/>
  <c r="AF31" i="12"/>
  <c r="AG31" i="12"/>
  <c r="AH31" i="12"/>
  <c r="AH43" i="12" s="1"/>
  <c r="AI31" i="12"/>
  <c r="AJ31" i="12"/>
  <c r="AK31" i="12"/>
  <c r="AL31" i="12"/>
  <c r="AM31" i="12"/>
  <c r="AM43" i="12" s="1"/>
  <c r="AN31" i="12"/>
  <c r="AN43" i="12" s="1"/>
  <c r="AO31" i="12"/>
  <c r="AP31" i="12"/>
  <c r="AQ31" i="12"/>
  <c r="AR31" i="12"/>
  <c r="AS31" i="12"/>
  <c r="AT31" i="12"/>
  <c r="AU31" i="12"/>
  <c r="AV31" i="12"/>
  <c r="AW31" i="12"/>
  <c r="AX31" i="12"/>
  <c r="AX43" i="12" s="1"/>
  <c r="AY31" i="12"/>
  <c r="AZ31" i="12"/>
  <c r="BA31" i="12"/>
  <c r="BB31" i="12"/>
  <c r="BC31" i="12"/>
  <c r="BC43" i="12" s="1"/>
  <c r="BD31" i="12"/>
  <c r="BD43" i="12" s="1"/>
  <c r="BE31" i="12"/>
  <c r="BF31" i="12"/>
  <c r="BG31" i="12"/>
  <c r="BH31" i="12"/>
  <c r="BI31" i="12"/>
  <c r="BJ31" i="12"/>
  <c r="BK31" i="12"/>
  <c r="BL31" i="12"/>
  <c r="BM31" i="12"/>
  <c r="BN31" i="12"/>
  <c r="BN43" i="12" s="1"/>
  <c r="BO31" i="12"/>
  <c r="BP31" i="12"/>
  <c r="BQ31" i="12"/>
  <c r="BR31" i="12"/>
  <c r="BS31" i="12"/>
  <c r="BS43" i="12" s="1"/>
  <c r="BT31" i="12"/>
  <c r="BT43" i="12" s="1"/>
  <c r="BU31" i="12"/>
  <c r="BV31" i="12"/>
  <c r="BW31" i="12"/>
  <c r="BX31" i="12"/>
  <c r="BY31" i="12"/>
  <c r="AA32" i="12"/>
  <c r="AB32" i="12"/>
  <c r="AC32" i="12"/>
  <c r="AD32" i="12"/>
  <c r="AE32" i="12"/>
  <c r="AF32" i="12"/>
  <c r="AG32" i="12"/>
  <c r="AH32" i="12"/>
  <c r="AI32" i="12"/>
  <c r="AJ32" i="12"/>
  <c r="AJ43" i="12" s="1"/>
  <c r="AK32" i="12"/>
  <c r="AK43" i="12" s="1"/>
  <c r="AL32" i="12"/>
  <c r="AM32" i="12"/>
  <c r="AN32" i="12"/>
  <c r="AO32" i="12"/>
  <c r="AP32" i="12"/>
  <c r="AQ32" i="12"/>
  <c r="AR32" i="12"/>
  <c r="AS32" i="12"/>
  <c r="AT32" i="12"/>
  <c r="AU32" i="12"/>
  <c r="AV32" i="12"/>
  <c r="AW32" i="12"/>
  <c r="AX32" i="12"/>
  <c r="AY32" i="12"/>
  <c r="AZ32" i="12"/>
  <c r="AZ43" i="12" s="1"/>
  <c r="BA32" i="12"/>
  <c r="BA43" i="12" s="1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N32" i="12"/>
  <c r="BO32" i="12"/>
  <c r="BP32" i="12"/>
  <c r="BP43" i="12" s="1"/>
  <c r="BQ32" i="12"/>
  <c r="BQ43" i="12" s="1"/>
  <c r="BR32" i="12"/>
  <c r="BS32" i="12"/>
  <c r="BT32" i="12"/>
  <c r="BU32" i="12"/>
  <c r="BV32" i="12"/>
  <c r="BW32" i="12"/>
  <c r="BX32" i="12"/>
  <c r="BY32" i="12"/>
  <c r="AA33" i="12"/>
  <c r="AB33" i="12"/>
  <c r="AC33" i="12"/>
  <c r="AD33" i="12"/>
  <c r="AE33" i="12"/>
  <c r="AF33" i="12"/>
  <c r="AG33" i="12"/>
  <c r="AG43" i="12" s="1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W43" i="12" s="1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M43" i="12" s="1"/>
  <c r="BN33" i="12"/>
  <c r="BO33" i="12"/>
  <c r="BP33" i="12"/>
  <c r="BQ33" i="12"/>
  <c r="BR33" i="12"/>
  <c r="BS33" i="12"/>
  <c r="BT33" i="12"/>
  <c r="BU33" i="12"/>
  <c r="BV33" i="12"/>
  <c r="BW33" i="12"/>
  <c r="BX33" i="12"/>
  <c r="BY33" i="12"/>
  <c r="AA34" i="12"/>
  <c r="AB34" i="12"/>
  <c r="AC34" i="12"/>
  <c r="AD34" i="12"/>
  <c r="AE34" i="12"/>
  <c r="AE43" i="12" s="1"/>
  <c r="AF34" i="12"/>
  <c r="AG34" i="12"/>
  <c r="AH34" i="12"/>
  <c r="AI34" i="12"/>
  <c r="AJ34" i="12"/>
  <c r="AK34" i="12"/>
  <c r="AL34" i="12"/>
  <c r="AM34" i="12"/>
  <c r="AN34" i="12"/>
  <c r="AO34" i="12"/>
  <c r="AO43" i="12" s="1"/>
  <c r="AP34" i="12"/>
  <c r="AQ34" i="12"/>
  <c r="AR34" i="12"/>
  <c r="AS34" i="12"/>
  <c r="AT34" i="12"/>
  <c r="AU34" i="12"/>
  <c r="AU43" i="12" s="1"/>
  <c r="AV34" i="12"/>
  <c r="AW34" i="12"/>
  <c r="AX34" i="12"/>
  <c r="AY34" i="12"/>
  <c r="AZ34" i="12"/>
  <c r="BA34" i="12"/>
  <c r="BB34" i="12"/>
  <c r="BC34" i="12"/>
  <c r="BD34" i="12"/>
  <c r="BE34" i="12"/>
  <c r="BE43" i="12" s="1"/>
  <c r="BF34" i="12"/>
  <c r="BG34" i="12"/>
  <c r="BH34" i="12"/>
  <c r="BI34" i="12"/>
  <c r="BJ34" i="12"/>
  <c r="BK34" i="12"/>
  <c r="BK43" i="12" s="1"/>
  <c r="BL34" i="12"/>
  <c r="BM34" i="12"/>
  <c r="BN34" i="12"/>
  <c r="BO34" i="12"/>
  <c r="BP34" i="12"/>
  <c r="BQ34" i="12"/>
  <c r="BR34" i="12"/>
  <c r="BS34" i="12"/>
  <c r="BT34" i="12"/>
  <c r="BU34" i="12"/>
  <c r="BU43" i="12" s="1"/>
  <c r="BV34" i="12"/>
  <c r="BW34" i="12"/>
  <c r="BX34" i="12"/>
  <c r="BY34" i="12"/>
  <c r="AA35" i="12"/>
  <c r="AB35" i="12"/>
  <c r="AB43" i="12" s="1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R43" i="12" s="1"/>
  <c r="AS35" i="12"/>
  <c r="AT35" i="12"/>
  <c r="AU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H43" i="12" s="1"/>
  <c r="BI35" i="12"/>
  <c r="BJ35" i="12"/>
  <c r="BK35" i="12"/>
  <c r="BL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BX43" i="12" s="1"/>
  <c r="BY35" i="12"/>
  <c r="AA36" i="12"/>
  <c r="AB36" i="12"/>
  <c r="AC36" i="12"/>
  <c r="AD36" i="12"/>
  <c r="AE36" i="12"/>
  <c r="AF36" i="12"/>
  <c r="AG36" i="12"/>
  <c r="AH36" i="12"/>
  <c r="AI36" i="12"/>
  <c r="AI43" i="12" s="1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X36" i="12"/>
  <c r="AY36" i="12"/>
  <c r="AY43" i="12" s="1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N36" i="12"/>
  <c r="BO36" i="12"/>
  <c r="BO43" i="12" s="1"/>
  <c r="BP36" i="12"/>
  <c r="BQ36" i="12"/>
  <c r="BR36" i="12"/>
  <c r="BS36" i="12"/>
  <c r="BT36" i="12"/>
  <c r="BU36" i="12"/>
  <c r="BV36" i="12"/>
  <c r="BW36" i="12"/>
  <c r="BX36" i="12"/>
  <c r="BY36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BY37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BY38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BY39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BY40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BY41" i="12"/>
  <c r="AL43" i="12"/>
  <c r="BB43" i="12"/>
  <c r="BR43" i="12"/>
  <c r="AA4" i="11"/>
  <c r="AB4" i="11"/>
  <c r="AB19" i="11" s="1"/>
  <c r="AC4" i="11"/>
  <c r="AC19" i="11" s="1"/>
  <c r="AD4" i="11"/>
  <c r="AE4" i="11"/>
  <c r="AF4" i="11"/>
  <c r="AG4" i="11"/>
  <c r="AH4" i="11"/>
  <c r="AI4" i="11"/>
  <c r="AJ4" i="11"/>
  <c r="AK4" i="11"/>
  <c r="AK19" i="11" s="1"/>
  <c r="AL4" i="11"/>
  <c r="AM4" i="11"/>
  <c r="AN4" i="11"/>
  <c r="AN19" i="11" s="1"/>
  <c r="AO4" i="11"/>
  <c r="AO19" i="11" s="1"/>
  <c r="AP4" i="11"/>
  <c r="AP19" i="11" s="1"/>
  <c r="AQ4" i="11"/>
  <c r="AR4" i="11"/>
  <c r="AR19" i="11" s="1"/>
  <c r="AS4" i="11"/>
  <c r="AS19" i="11" s="1"/>
  <c r="AT4" i="11"/>
  <c r="AU4" i="11"/>
  <c r="AV4" i="11"/>
  <c r="AW4" i="11"/>
  <c r="AX4" i="11"/>
  <c r="AY4" i="11"/>
  <c r="AZ4" i="11"/>
  <c r="BA4" i="11"/>
  <c r="BA19" i="11" s="1"/>
  <c r="BB4" i="11"/>
  <c r="BC4" i="11"/>
  <c r="BD4" i="11"/>
  <c r="BD19" i="11" s="1"/>
  <c r="BE4" i="11"/>
  <c r="BE19" i="11" s="1"/>
  <c r="BF4" i="11"/>
  <c r="BF19" i="11" s="1"/>
  <c r="BG4" i="11"/>
  <c r="BH4" i="11"/>
  <c r="BH19" i="11" s="1"/>
  <c r="BI4" i="11"/>
  <c r="BI19" i="11" s="1"/>
  <c r="BJ4" i="11"/>
  <c r="BK4" i="11"/>
  <c r="BL4" i="11"/>
  <c r="BM4" i="11"/>
  <c r="BN4" i="11"/>
  <c r="BO4" i="11"/>
  <c r="BP4" i="11"/>
  <c r="BQ4" i="11"/>
  <c r="BQ19" i="11" s="1"/>
  <c r="BR4" i="11"/>
  <c r="BS4" i="11"/>
  <c r="BT4" i="11"/>
  <c r="BT19" i="11" s="1"/>
  <c r="BU4" i="11"/>
  <c r="BU19" i="11" s="1"/>
  <c r="BV4" i="11"/>
  <c r="BV19" i="11" s="1"/>
  <c r="BW4" i="11"/>
  <c r="BX4" i="11"/>
  <c r="BX19" i="11" s="1"/>
  <c r="BY4" i="11"/>
  <c r="BY19" i="11" s="1"/>
  <c r="AA12" i="11"/>
  <c r="AA10" i="1" s="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A12" i="11"/>
  <c r="BB12" i="11"/>
  <c r="BC12" i="11"/>
  <c r="BD12" i="11"/>
  <c r="BE12" i="11"/>
  <c r="BF12" i="11"/>
  <c r="BG12" i="11"/>
  <c r="BH12" i="11"/>
  <c r="BI12" i="11"/>
  <c r="BJ12" i="11"/>
  <c r="BK12" i="11"/>
  <c r="BL12" i="11"/>
  <c r="BM12" i="11"/>
  <c r="BN12" i="11"/>
  <c r="BO12" i="11"/>
  <c r="BP12" i="11"/>
  <c r="BQ12" i="11"/>
  <c r="BR12" i="11"/>
  <c r="BS12" i="11"/>
  <c r="BT12" i="11"/>
  <c r="BU12" i="11"/>
  <c r="BV12" i="11"/>
  <c r="BW12" i="11"/>
  <c r="BX12" i="11"/>
  <c r="BY12" i="11"/>
  <c r="AA19" i="11"/>
  <c r="AD19" i="11"/>
  <c r="AE19" i="11"/>
  <c r="AF19" i="11"/>
  <c r="AG19" i="11"/>
  <c r="AH19" i="11"/>
  <c r="AI19" i="11"/>
  <c r="AJ19" i="11"/>
  <c r="AL19" i="11"/>
  <c r="AM19" i="11"/>
  <c r="AQ19" i="11"/>
  <c r="AT19" i="11"/>
  <c r="AU19" i="11"/>
  <c r="AV19" i="11"/>
  <c r="AW19" i="11"/>
  <c r="AX19" i="11"/>
  <c r="AY19" i="11"/>
  <c r="AZ19" i="11"/>
  <c r="BB19" i="11"/>
  <c r="BC19" i="11"/>
  <c r="BG19" i="11"/>
  <c r="BJ19" i="11"/>
  <c r="BK19" i="11"/>
  <c r="BL19" i="11"/>
  <c r="BM19" i="11"/>
  <c r="BN19" i="11"/>
  <c r="BO19" i="11"/>
  <c r="BP19" i="11"/>
  <c r="BR19" i="11"/>
  <c r="BS19" i="11"/>
  <c r="BW19" i="11"/>
  <c r="AA20" i="11"/>
  <c r="AB20" i="11"/>
  <c r="AB27" i="11" s="1"/>
  <c r="AC20" i="11"/>
  <c r="AD20" i="11"/>
  <c r="AE20" i="11"/>
  <c r="AF20" i="11"/>
  <c r="AF27" i="11" s="1"/>
  <c r="AG20" i="11"/>
  <c r="AG27" i="11" s="1"/>
  <c r="AH20" i="11"/>
  <c r="AI20" i="11"/>
  <c r="AI27" i="11" s="1"/>
  <c r="AJ20" i="11"/>
  <c r="AJ27" i="11" s="1"/>
  <c r="AK20" i="11"/>
  <c r="AL20" i="11"/>
  <c r="AM20" i="11"/>
  <c r="AN20" i="11"/>
  <c r="AO20" i="11"/>
  <c r="AP20" i="11"/>
  <c r="AQ20" i="11"/>
  <c r="AQ27" i="11" s="1"/>
  <c r="AR20" i="11"/>
  <c r="AR27" i="11" s="1"/>
  <c r="AS20" i="11"/>
  <c r="AT20" i="11"/>
  <c r="AU20" i="11"/>
  <c r="AV20" i="11"/>
  <c r="AV27" i="11" s="1"/>
  <c r="AW20" i="11"/>
  <c r="AW27" i="11" s="1"/>
  <c r="AX20" i="11"/>
  <c r="AY20" i="11"/>
  <c r="AY27" i="11" s="1"/>
  <c r="AZ20" i="11"/>
  <c r="AZ27" i="11" s="1"/>
  <c r="BA20" i="11"/>
  <c r="BB20" i="11"/>
  <c r="BC20" i="11"/>
  <c r="BD20" i="11"/>
  <c r="BE20" i="11"/>
  <c r="BF20" i="11"/>
  <c r="BG20" i="11"/>
  <c r="BG27" i="11" s="1"/>
  <c r="BH20" i="11"/>
  <c r="BH27" i="11" s="1"/>
  <c r="BI20" i="11"/>
  <c r="BJ20" i="11"/>
  <c r="BK20" i="11"/>
  <c r="BL20" i="11"/>
  <c r="BL27" i="11" s="1"/>
  <c r="BM20" i="11"/>
  <c r="BM27" i="11" s="1"/>
  <c r="BN20" i="11"/>
  <c r="BO20" i="11"/>
  <c r="BO27" i="11" s="1"/>
  <c r="BP20" i="11"/>
  <c r="BP27" i="11" s="1"/>
  <c r="BQ20" i="11"/>
  <c r="BR20" i="11"/>
  <c r="BS20" i="11"/>
  <c r="BT20" i="11"/>
  <c r="BU20" i="11"/>
  <c r="BV20" i="11"/>
  <c r="BW20" i="11"/>
  <c r="BW27" i="11" s="1"/>
  <c r="BX20" i="11"/>
  <c r="BX27" i="11" s="1"/>
  <c r="BY20" i="11"/>
  <c r="AA21" i="11"/>
  <c r="AB21" i="11"/>
  <c r="AC21" i="11"/>
  <c r="AC27" i="11" s="1"/>
  <c r="AD21" i="11"/>
  <c r="AD27" i="11" s="1"/>
  <c r="AE21" i="11"/>
  <c r="AF21" i="11"/>
  <c r="AG21" i="11"/>
  <c r="AH21" i="11"/>
  <c r="AI21" i="11"/>
  <c r="AJ21" i="11"/>
  <c r="AK21" i="11"/>
  <c r="AL21" i="11"/>
  <c r="AM21" i="11"/>
  <c r="AN21" i="11"/>
  <c r="AN27" i="11" s="1"/>
  <c r="AO21" i="11"/>
  <c r="AP21" i="11"/>
  <c r="AQ21" i="11"/>
  <c r="AR21" i="11"/>
  <c r="AS21" i="11"/>
  <c r="AS27" i="11" s="1"/>
  <c r="AT21" i="11"/>
  <c r="AT27" i="11" s="1"/>
  <c r="AU21" i="11"/>
  <c r="AV21" i="11"/>
  <c r="AW21" i="11"/>
  <c r="AX21" i="11"/>
  <c r="AY21" i="11"/>
  <c r="AZ21" i="11"/>
  <c r="BA21" i="11"/>
  <c r="BB21" i="11"/>
  <c r="BC21" i="11"/>
  <c r="BD21" i="11"/>
  <c r="BD27" i="11" s="1"/>
  <c r="BE21" i="11"/>
  <c r="BF21" i="11"/>
  <c r="BG21" i="11"/>
  <c r="BH21" i="11"/>
  <c r="BI21" i="11"/>
  <c r="BI27" i="11" s="1"/>
  <c r="BJ21" i="11"/>
  <c r="BJ27" i="11" s="1"/>
  <c r="BK21" i="11"/>
  <c r="BL21" i="11"/>
  <c r="BM21" i="11"/>
  <c r="BN21" i="11"/>
  <c r="BO21" i="11"/>
  <c r="BP21" i="11"/>
  <c r="BQ21" i="11"/>
  <c r="BR21" i="11"/>
  <c r="BS21" i="11"/>
  <c r="BT21" i="11"/>
  <c r="BT27" i="11" s="1"/>
  <c r="BU21" i="11"/>
  <c r="BV21" i="11"/>
  <c r="BW21" i="11"/>
  <c r="BX21" i="11"/>
  <c r="BY21" i="11"/>
  <c r="BY27" i="11" s="1"/>
  <c r="AA22" i="11"/>
  <c r="AB22" i="11"/>
  <c r="AC22" i="11"/>
  <c r="AD22" i="11"/>
  <c r="AE22" i="11"/>
  <c r="AF22" i="11"/>
  <c r="AG22" i="11"/>
  <c r="AH22" i="11"/>
  <c r="AI22" i="11"/>
  <c r="AJ22" i="11"/>
  <c r="AK22" i="11"/>
  <c r="AK27" i="11" s="1"/>
  <c r="AL22" i="11"/>
  <c r="AL27" i="11" s="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A22" i="11"/>
  <c r="BA27" i="11" s="1"/>
  <c r="BB22" i="11"/>
  <c r="BB27" i="11" s="1"/>
  <c r="BC22" i="11"/>
  <c r="BD22" i="11"/>
  <c r="BE22" i="11"/>
  <c r="BF22" i="11"/>
  <c r="BG22" i="11"/>
  <c r="BH22" i="11"/>
  <c r="BI22" i="11"/>
  <c r="BJ22" i="11"/>
  <c r="BK22" i="11"/>
  <c r="BL22" i="11"/>
  <c r="BM22" i="11"/>
  <c r="BN22" i="11"/>
  <c r="BO22" i="11"/>
  <c r="BP22" i="11"/>
  <c r="BQ22" i="11"/>
  <c r="BQ27" i="11" s="1"/>
  <c r="BR22" i="11"/>
  <c r="BR27" i="11" s="1"/>
  <c r="BS22" i="11"/>
  <c r="BT22" i="11"/>
  <c r="BU22" i="11"/>
  <c r="BV22" i="11"/>
  <c r="BW22" i="11"/>
  <c r="BX22" i="11"/>
  <c r="BY22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M27" i="11" s="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A23" i="11"/>
  <c r="BB23" i="11"/>
  <c r="BC23" i="11"/>
  <c r="BC27" i="11" s="1"/>
  <c r="BD23" i="11"/>
  <c r="BE23" i="11"/>
  <c r="BF23" i="11"/>
  <c r="BG23" i="11"/>
  <c r="BH23" i="11"/>
  <c r="BI23" i="11"/>
  <c r="BJ23" i="11"/>
  <c r="BK23" i="11"/>
  <c r="BL23" i="11"/>
  <c r="BM23" i="11"/>
  <c r="BN23" i="11"/>
  <c r="BO23" i="11"/>
  <c r="BP23" i="11"/>
  <c r="BQ23" i="11"/>
  <c r="BR23" i="11"/>
  <c r="BS23" i="11"/>
  <c r="BS27" i="11" s="1"/>
  <c r="BT23" i="11"/>
  <c r="BU23" i="11"/>
  <c r="BV23" i="11"/>
  <c r="BW23" i="11"/>
  <c r="BX23" i="11"/>
  <c r="BY23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A24" i="11"/>
  <c r="BB24" i="11"/>
  <c r="BC24" i="11"/>
  <c r="BD24" i="11"/>
  <c r="BE24" i="11"/>
  <c r="BF24" i="11"/>
  <c r="BG24" i="11"/>
  <c r="BH24" i="11"/>
  <c r="BI24" i="11"/>
  <c r="BJ24" i="11"/>
  <c r="BK24" i="11"/>
  <c r="BL24" i="11"/>
  <c r="BM24" i="11"/>
  <c r="BN24" i="11"/>
  <c r="BO24" i="11"/>
  <c r="BP24" i="11"/>
  <c r="BQ24" i="11"/>
  <c r="BR24" i="11"/>
  <c r="BS24" i="11"/>
  <c r="BT24" i="11"/>
  <c r="BU24" i="11"/>
  <c r="BV24" i="11"/>
  <c r="BW24" i="11"/>
  <c r="BX24" i="11"/>
  <c r="BY24" i="11"/>
  <c r="AA25" i="11"/>
  <c r="AB25" i="11"/>
  <c r="AC25" i="11"/>
  <c r="AD25" i="11"/>
  <c r="AE25" i="11"/>
  <c r="AF25" i="11"/>
  <c r="AG25" i="11"/>
  <c r="AH25" i="11"/>
  <c r="AH27" i="11" s="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X27" i="11" s="1"/>
  <c r="AY25" i="11"/>
  <c r="AZ25" i="11"/>
  <c r="BA25" i="11"/>
  <c r="BB25" i="11"/>
  <c r="BC25" i="11"/>
  <c r="BD25" i="11"/>
  <c r="BE25" i="11"/>
  <c r="BF25" i="11"/>
  <c r="BG25" i="11"/>
  <c r="BH25" i="11"/>
  <c r="BI25" i="11"/>
  <c r="BJ25" i="11"/>
  <c r="BK25" i="11"/>
  <c r="BL25" i="11"/>
  <c r="BM25" i="11"/>
  <c r="BN25" i="11"/>
  <c r="BN27" i="11" s="1"/>
  <c r="BO25" i="11"/>
  <c r="BP25" i="11"/>
  <c r="BQ25" i="11"/>
  <c r="BR25" i="11"/>
  <c r="BS25" i="11"/>
  <c r="BT25" i="11"/>
  <c r="BU25" i="11"/>
  <c r="BV25" i="11"/>
  <c r="BW25" i="11"/>
  <c r="BX25" i="11"/>
  <c r="BY25" i="11"/>
  <c r="AE27" i="11"/>
  <c r="AO27" i="11"/>
  <c r="AP27" i="11"/>
  <c r="AU27" i="11"/>
  <c r="BE27" i="11"/>
  <c r="BF27" i="11"/>
  <c r="BK27" i="11"/>
  <c r="BU27" i="11"/>
  <c r="BV27" i="11"/>
  <c r="AA4" i="10"/>
  <c r="AB4" i="10"/>
  <c r="AC4" i="10"/>
  <c r="AC19" i="10" s="1"/>
  <c r="AD4" i="10"/>
  <c r="AE4" i="10"/>
  <c r="AF4" i="10"/>
  <c r="AG4" i="10"/>
  <c r="AH4" i="10"/>
  <c r="AI4" i="10"/>
  <c r="AJ4" i="10"/>
  <c r="AK4" i="10"/>
  <c r="AK19" i="10" s="1"/>
  <c r="AL4" i="10"/>
  <c r="AL19" i="10" s="1"/>
  <c r="AM4" i="10"/>
  <c r="AM19" i="10" s="1"/>
  <c r="AN4" i="10"/>
  <c r="AN19" i="10" s="1"/>
  <c r="AO4" i="10"/>
  <c r="AO19" i="10" s="1"/>
  <c r="AP4" i="10"/>
  <c r="AP19" i="10" s="1"/>
  <c r="AQ4" i="10"/>
  <c r="AR4" i="10"/>
  <c r="AS4" i="10"/>
  <c r="AS19" i="10" s="1"/>
  <c r="AT4" i="10"/>
  <c r="AU4" i="10"/>
  <c r="AV4" i="10"/>
  <c r="AW4" i="10"/>
  <c r="AX4" i="10"/>
  <c r="AY4" i="10"/>
  <c r="AZ4" i="10"/>
  <c r="BA4" i="10"/>
  <c r="BA19" i="10" s="1"/>
  <c r="BB4" i="10"/>
  <c r="BB19" i="10" s="1"/>
  <c r="BC4" i="10"/>
  <c r="BC19" i="10" s="1"/>
  <c r="BD4" i="10"/>
  <c r="BD19" i="10" s="1"/>
  <c r="BE4" i="10"/>
  <c r="BE19" i="10" s="1"/>
  <c r="BF4" i="10"/>
  <c r="BF19" i="10" s="1"/>
  <c r="BG4" i="10"/>
  <c r="BH4" i="10"/>
  <c r="BI4" i="10"/>
  <c r="BI19" i="10" s="1"/>
  <c r="BJ4" i="10"/>
  <c r="BK4" i="10"/>
  <c r="BL4" i="10"/>
  <c r="BM4" i="10"/>
  <c r="BN4" i="10"/>
  <c r="BO4" i="10"/>
  <c r="BP4" i="10"/>
  <c r="BQ4" i="10"/>
  <c r="BQ19" i="10" s="1"/>
  <c r="BR4" i="10"/>
  <c r="BR19" i="10" s="1"/>
  <c r="BS4" i="10"/>
  <c r="BS19" i="10" s="1"/>
  <c r="BT4" i="10"/>
  <c r="BT19" i="10" s="1"/>
  <c r="BU4" i="10"/>
  <c r="BU19" i="10" s="1"/>
  <c r="BV4" i="10"/>
  <c r="BV19" i="10" s="1"/>
  <c r="BW4" i="10"/>
  <c r="BX4" i="10"/>
  <c r="BY4" i="10"/>
  <c r="BY19" i="10" s="1"/>
  <c r="AA10" i="10"/>
  <c r="AA9" i="1" s="1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BL10" i="10"/>
  <c r="BM10" i="10"/>
  <c r="BN10" i="10"/>
  <c r="BO10" i="10"/>
  <c r="BP10" i="10"/>
  <c r="BQ10" i="10"/>
  <c r="BR10" i="10"/>
  <c r="BS10" i="10"/>
  <c r="BT10" i="10"/>
  <c r="BU10" i="10"/>
  <c r="BV10" i="10"/>
  <c r="BW10" i="10"/>
  <c r="BX10" i="10"/>
  <c r="BY10" i="10"/>
  <c r="AA19" i="10"/>
  <c r="AB19" i="10"/>
  <c r="AD19" i="10"/>
  <c r="AE19" i="10"/>
  <c r="AF19" i="10"/>
  <c r="AG19" i="10"/>
  <c r="AH19" i="10"/>
  <c r="AI19" i="10"/>
  <c r="AJ19" i="10"/>
  <c r="AQ19" i="10"/>
  <c r="AR19" i="10"/>
  <c r="AT19" i="10"/>
  <c r="AU19" i="10"/>
  <c r="AV19" i="10"/>
  <c r="AW19" i="10"/>
  <c r="AX19" i="10"/>
  <c r="AY19" i="10"/>
  <c r="AZ19" i="10"/>
  <c r="BG19" i="10"/>
  <c r="BH19" i="10"/>
  <c r="BJ19" i="10"/>
  <c r="BK19" i="10"/>
  <c r="BL19" i="10"/>
  <c r="BM19" i="10"/>
  <c r="BN19" i="10"/>
  <c r="BO19" i="10"/>
  <c r="BP19" i="10"/>
  <c r="BW19" i="10"/>
  <c r="BX19" i="10"/>
  <c r="AA20" i="10"/>
  <c r="AB20" i="10"/>
  <c r="AC20" i="10"/>
  <c r="AD20" i="10"/>
  <c r="AD25" i="10" s="1"/>
  <c r="AE20" i="10"/>
  <c r="AF20" i="10"/>
  <c r="AG20" i="10"/>
  <c r="AG25" i="10" s="1"/>
  <c r="AH20" i="10"/>
  <c r="AI20" i="10"/>
  <c r="AJ20" i="10"/>
  <c r="AJ25" i="10" s="1"/>
  <c r="AK20" i="10"/>
  <c r="AL20" i="10"/>
  <c r="AM20" i="10"/>
  <c r="AN20" i="10"/>
  <c r="AO20" i="10"/>
  <c r="AP20" i="10"/>
  <c r="AQ20" i="10"/>
  <c r="AQ25" i="10" s="1"/>
  <c r="AR20" i="10"/>
  <c r="AS20" i="10"/>
  <c r="AT20" i="10"/>
  <c r="AT25" i="10" s="1"/>
  <c r="AU20" i="10"/>
  <c r="AV20" i="10"/>
  <c r="AW20" i="10"/>
  <c r="AW25" i="10" s="1"/>
  <c r="AX20" i="10"/>
  <c r="AY20" i="10"/>
  <c r="AZ20" i="10"/>
  <c r="AZ25" i="10" s="1"/>
  <c r="BA20" i="10"/>
  <c r="BB20" i="10"/>
  <c r="BC20" i="10"/>
  <c r="BD20" i="10"/>
  <c r="BE20" i="10"/>
  <c r="BF20" i="10"/>
  <c r="BG20" i="10"/>
  <c r="BG25" i="10" s="1"/>
  <c r="BH20" i="10"/>
  <c r="BI20" i="10"/>
  <c r="BJ20" i="10"/>
  <c r="BJ25" i="10" s="1"/>
  <c r="BK20" i="10"/>
  <c r="BL20" i="10"/>
  <c r="BM20" i="10"/>
  <c r="BM25" i="10" s="1"/>
  <c r="BN20" i="10"/>
  <c r="BO20" i="10"/>
  <c r="BP20" i="10"/>
  <c r="BP25" i="10" s="1"/>
  <c r="BQ20" i="10"/>
  <c r="BR20" i="10"/>
  <c r="BS20" i="10"/>
  <c r="BT20" i="10"/>
  <c r="BU20" i="10"/>
  <c r="BV20" i="10"/>
  <c r="BW20" i="10"/>
  <c r="BW25" i="10" s="1"/>
  <c r="BX20" i="10"/>
  <c r="BY20" i="10"/>
  <c r="AA21" i="10"/>
  <c r="AB21" i="10"/>
  <c r="AC21" i="10"/>
  <c r="AC25" i="10" s="1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P25" i="10" s="1"/>
  <c r="AQ21" i="10"/>
  <c r="AR21" i="10"/>
  <c r="AS21" i="10"/>
  <c r="AS25" i="10" s="1"/>
  <c r="AT21" i="10"/>
  <c r="AU21" i="10"/>
  <c r="AV21" i="10"/>
  <c r="AW21" i="10"/>
  <c r="AX21" i="10"/>
  <c r="AY21" i="10"/>
  <c r="AZ21" i="10"/>
  <c r="BA21" i="10"/>
  <c r="BB21" i="10"/>
  <c r="BC21" i="10"/>
  <c r="BD21" i="10"/>
  <c r="BE21" i="10"/>
  <c r="BF21" i="10"/>
  <c r="BF25" i="10" s="1"/>
  <c r="BG21" i="10"/>
  <c r="BH21" i="10"/>
  <c r="BI21" i="10"/>
  <c r="BI25" i="10" s="1"/>
  <c r="BJ21" i="10"/>
  <c r="BK21" i="10"/>
  <c r="BL21" i="10"/>
  <c r="BM21" i="10"/>
  <c r="BN21" i="10"/>
  <c r="BO21" i="10"/>
  <c r="BP21" i="10"/>
  <c r="BQ21" i="10"/>
  <c r="BR21" i="10"/>
  <c r="BS21" i="10"/>
  <c r="BT21" i="10"/>
  <c r="BU21" i="10"/>
  <c r="BV21" i="10"/>
  <c r="BV25" i="10" s="1"/>
  <c r="BW21" i="10"/>
  <c r="BX21" i="10"/>
  <c r="BY21" i="10"/>
  <c r="BY25" i="10" s="1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M25" i="10" s="1"/>
  <c r="AN22" i="10"/>
  <c r="AN25" i="10" s="1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BC25" i="10" s="1"/>
  <c r="BD22" i="10"/>
  <c r="BD25" i="10" s="1"/>
  <c r="BE22" i="10"/>
  <c r="BF22" i="10"/>
  <c r="BG22" i="10"/>
  <c r="BH22" i="10"/>
  <c r="BI22" i="10"/>
  <c r="BJ22" i="10"/>
  <c r="BK22" i="10"/>
  <c r="BL22" i="10"/>
  <c r="BM22" i="10"/>
  <c r="BN22" i="10"/>
  <c r="BO22" i="10"/>
  <c r="BP22" i="10"/>
  <c r="BQ22" i="10"/>
  <c r="BR22" i="10"/>
  <c r="BS22" i="10"/>
  <c r="BS25" i="10" s="1"/>
  <c r="BT22" i="10"/>
  <c r="BT25" i="10" s="1"/>
  <c r="BU22" i="10"/>
  <c r="BV22" i="10"/>
  <c r="BW22" i="10"/>
  <c r="BX22" i="10"/>
  <c r="BY22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L25" i="10" s="1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BA23" i="10"/>
  <c r="BB23" i="10"/>
  <c r="BB25" i="10" s="1"/>
  <c r="BC23" i="10"/>
  <c r="BD23" i="10"/>
  <c r="BE23" i="10"/>
  <c r="BF23" i="10"/>
  <c r="BG23" i="10"/>
  <c r="BH23" i="10"/>
  <c r="BI23" i="10"/>
  <c r="BJ23" i="10"/>
  <c r="BK23" i="10"/>
  <c r="BL23" i="10"/>
  <c r="BM23" i="10"/>
  <c r="BN23" i="10"/>
  <c r="BO23" i="10"/>
  <c r="BP23" i="10"/>
  <c r="BQ23" i="10"/>
  <c r="BR23" i="10"/>
  <c r="BR25" i="10" s="1"/>
  <c r="BS23" i="10"/>
  <c r="BT23" i="10"/>
  <c r="BU23" i="10"/>
  <c r="BV23" i="10"/>
  <c r="BW23" i="10"/>
  <c r="BX23" i="10"/>
  <c r="BX25" i="10" s="1"/>
  <c r="BY23" i="10"/>
  <c r="AB25" i="10"/>
  <c r="AE25" i="10"/>
  <c r="AF25" i="10"/>
  <c r="AH25" i="10"/>
  <c r="AI25" i="10"/>
  <c r="AK25" i="10"/>
  <c r="AO25" i="10"/>
  <c r="AR25" i="10"/>
  <c r="AU25" i="10"/>
  <c r="AV25" i="10"/>
  <c r="AX25" i="10"/>
  <c r="AY25" i="10"/>
  <c r="BA25" i="10"/>
  <c r="BE25" i="10"/>
  <c r="BH25" i="10"/>
  <c r="BK25" i="10"/>
  <c r="BL25" i="10"/>
  <c r="BN25" i="10"/>
  <c r="BO25" i="10"/>
  <c r="BQ25" i="10"/>
  <c r="BU25" i="10"/>
  <c r="AA4" i="8"/>
  <c r="AB4" i="8"/>
  <c r="AC4" i="8"/>
  <c r="AD4" i="8"/>
  <c r="AE4" i="8"/>
  <c r="AF4" i="8"/>
  <c r="AG4" i="8"/>
  <c r="AH4" i="8"/>
  <c r="AI4" i="8"/>
  <c r="AJ4" i="8"/>
  <c r="AK4" i="8"/>
  <c r="AK21" i="8" s="1"/>
  <c r="AL4" i="8"/>
  <c r="AL21" i="8" s="1"/>
  <c r="AM4" i="8"/>
  <c r="AM21" i="8" s="1"/>
  <c r="AN4" i="8"/>
  <c r="AN21" i="8" s="1"/>
  <c r="AO4" i="8"/>
  <c r="AO21" i="8" s="1"/>
  <c r="AP4" i="8"/>
  <c r="AP21" i="8" s="1"/>
  <c r="AQ4" i="8"/>
  <c r="AR4" i="8"/>
  <c r="AS4" i="8"/>
  <c r="AT4" i="8"/>
  <c r="AU4" i="8"/>
  <c r="AV4" i="8"/>
  <c r="AW4" i="8"/>
  <c r="AX4" i="8"/>
  <c r="AY4" i="8"/>
  <c r="AZ4" i="8"/>
  <c r="BA4" i="8"/>
  <c r="BA21" i="8" s="1"/>
  <c r="BB4" i="8"/>
  <c r="BB21" i="8" s="1"/>
  <c r="BC4" i="8"/>
  <c r="BC21" i="8" s="1"/>
  <c r="BD4" i="8"/>
  <c r="BD21" i="8" s="1"/>
  <c r="BE4" i="8"/>
  <c r="BE21" i="8" s="1"/>
  <c r="BF4" i="8"/>
  <c r="BF21" i="8" s="1"/>
  <c r="BG4" i="8"/>
  <c r="BH4" i="8"/>
  <c r="BI4" i="8"/>
  <c r="BJ4" i="8"/>
  <c r="BK4" i="8"/>
  <c r="BL4" i="8"/>
  <c r="BM4" i="8"/>
  <c r="BN4" i="8"/>
  <c r="BO4" i="8"/>
  <c r="BP4" i="8"/>
  <c r="BQ4" i="8"/>
  <c r="BQ21" i="8" s="1"/>
  <c r="BR4" i="8"/>
  <c r="BR21" i="8" s="1"/>
  <c r="BS4" i="8"/>
  <c r="BS21" i="8" s="1"/>
  <c r="BT4" i="8"/>
  <c r="BT21" i="8" s="1"/>
  <c r="BU4" i="8"/>
  <c r="BU21" i="8" s="1"/>
  <c r="BV4" i="8"/>
  <c r="BV21" i="8" s="1"/>
  <c r="BW4" i="8"/>
  <c r="BX4" i="8"/>
  <c r="BY4" i="8"/>
  <c r="AA14" i="8"/>
  <c r="AA8" i="1" s="1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BJ14" i="8"/>
  <c r="BK14" i="8"/>
  <c r="BL14" i="8"/>
  <c r="BM14" i="8"/>
  <c r="BN14" i="8"/>
  <c r="BO14" i="8"/>
  <c r="BP14" i="8"/>
  <c r="BQ14" i="8"/>
  <c r="BR14" i="8"/>
  <c r="BS14" i="8"/>
  <c r="BT14" i="8"/>
  <c r="BU14" i="8"/>
  <c r="BV14" i="8"/>
  <c r="BW14" i="8"/>
  <c r="BX14" i="8"/>
  <c r="BY14" i="8"/>
  <c r="AA21" i="8"/>
  <c r="AB21" i="8"/>
  <c r="AC21" i="8"/>
  <c r="AD21" i="8"/>
  <c r="AE21" i="8"/>
  <c r="AF21" i="8"/>
  <c r="AG21" i="8"/>
  <c r="AH21" i="8"/>
  <c r="AI21" i="8"/>
  <c r="AJ21" i="8"/>
  <c r="AQ21" i="8"/>
  <c r="AR21" i="8"/>
  <c r="AS21" i="8"/>
  <c r="AT21" i="8"/>
  <c r="AU21" i="8"/>
  <c r="AV21" i="8"/>
  <c r="AW21" i="8"/>
  <c r="AX21" i="8"/>
  <c r="AY21" i="8"/>
  <c r="AZ21" i="8"/>
  <c r="BG21" i="8"/>
  <c r="BH21" i="8"/>
  <c r="BI21" i="8"/>
  <c r="BJ21" i="8"/>
  <c r="BK21" i="8"/>
  <c r="BL21" i="8"/>
  <c r="BM21" i="8"/>
  <c r="BN21" i="8"/>
  <c r="BO21" i="8"/>
  <c r="BP21" i="8"/>
  <c r="BW21" i="8"/>
  <c r="BX21" i="8"/>
  <c r="BY21" i="8"/>
  <c r="AA22" i="8"/>
  <c r="AB22" i="8"/>
  <c r="AB31" i="8" s="1"/>
  <c r="AC22" i="8"/>
  <c r="AC31" i="8" s="1"/>
  <c r="AD22" i="8"/>
  <c r="AD31" i="8" s="1"/>
  <c r="AE22" i="8"/>
  <c r="AF22" i="8"/>
  <c r="AF31" i="8" s="1"/>
  <c r="AG22" i="8"/>
  <c r="AG31" i="8" s="1"/>
  <c r="AH22" i="8"/>
  <c r="AI22" i="8"/>
  <c r="AJ22" i="8"/>
  <c r="AK22" i="8"/>
  <c r="AL22" i="8"/>
  <c r="AM22" i="8"/>
  <c r="AN22" i="8"/>
  <c r="AO22" i="8"/>
  <c r="AP22" i="8"/>
  <c r="AQ22" i="8"/>
  <c r="AR22" i="8"/>
  <c r="AR31" i="8" s="1"/>
  <c r="AS22" i="8"/>
  <c r="AS31" i="8" s="1"/>
  <c r="AT22" i="8"/>
  <c r="AT31" i="8" s="1"/>
  <c r="AU22" i="8"/>
  <c r="AV22" i="8"/>
  <c r="AV31" i="8" s="1"/>
  <c r="AW22" i="8"/>
  <c r="AW31" i="8" s="1"/>
  <c r="AX22" i="8"/>
  <c r="AY22" i="8"/>
  <c r="AZ22" i="8"/>
  <c r="BA22" i="8"/>
  <c r="BB22" i="8"/>
  <c r="BC22" i="8"/>
  <c r="BD22" i="8"/>
  <c r="BE22" i="8"/>
  <c r="BF22" i="8"/>
  <c r="BG22" i="8"/>
  <c r="BH22" i="8"/>
  <c r="BH31" i="8" s="1"/>
  <c r="BI22" i="8"/>
  <c r="BI31" i="8" s="1"/>
  <c r="BJ22" i="8"/>
  <c r="BJ31" i="8" s="1"/>
  <c r="BK22" i="8"/>
  <c r="BL22" i="8"/>
  <c r="BL31" i="8" s="1"/>
  <c r="BM22" i="8"/>
  <c r="BM31" i="8" s="1"/>
  <c r="BN22" i="8"/>
  <c r="BO22" i="8"/>
  <c r="BP22" i="8"/>
  <c r="BQ22" i="8"/>
  <c r="BR22" i="8"/>
  <c r="BS22" i="8"/>
  <c r="BT22" i="8"/>
  <c r="BU22" i="8"/>
  <c r="BV22" i="8"/>
  <c r="BW22" i="8"/>
  <c r="BX22" i="8"/>
  <c r="BX31" i="8" s="1"/>
  <c r="BY22" i="8"/>
  <c r="BY31" i="8" s="1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O31" i="8" s="1"/>
  <c r="AP23" i="8"/>
  <c r="AP31" i="8" s="1"/>
  <c r="AQ23" i="8"/>
  <c r="AQ31" i="8" s="1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E31" i="8" s="1"/>
  <c r="BF23" i="8"/>
  <c r="BF31" i="8" s="1"/>
  <c r="BG23" i="8"/>
  <c r="BG31" i="8" s="1"/>
  <c r="BH23" i="8"/>
  <c r="BI23" i="8"/>
  <c r="BJ23" i="8"/>
  <c r="BK23" i="8"/>
  <c r="BL23" i="8"/>
  <c r="BM23" i="8"/>
  <c r="BN23" i="8"/>
  <c r="BO23" i="8"/>
  <c r="BP23" i="8"/>
  <c r="BQ23" i="8"/>
  <c r="BR23" i="8"/>
  <c r="BS23" i="8"/>
  <c r="BT23" i="8"/>
  <c r="BU23" i="8"/>
  <c r="BU31" i="8" s="1"/>
  <c r="BV23" i="8"/>
  <c r="BV31" i="8" s="1"/>
  <c r="BW23" i="8"/>
  <c r="BW31" i="8" s="1"/>
  <c r="BX23" i="8"/>
  <c r="BY23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M31" i="8" s="1"/>
  <c r="AN24" i="8"/>
  <c r="AN31" i="8" s="1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C31" i="8" s="1"/>
  <c r="BD24" i="8"/>
  <c r="BD31" i="8" s="1"/>
  <c r="BE24" i="8"/>
  <c r="BF24" i="8"/>
  <c r="BG24" i="8"/>
  <c r="BH24" i="8"/>
  <c r="BI24" i="8"/>
  <c r="BJ24" i="8"/>
  <c r="BK24" i="8"/>
  <c r="BL24" i="8"/>
  <c r="BM24" i="8"/>
  <c r="BN24" i="8"/>
  <c r="BO24" i="8"/>
  <c r="BP24" i="8"/>
  <c r="BQ24" i="8"/>
  <c r="BR24" i="8"/>
  <c r="BS24" i="8"/>
  <c r="BS31" i="8" s="1"/>
  <c r="BT24" i="8"/>
  <c r="BT31" i="8" s="1"/>
  <c r="BU24" i="8"/>
  <c r="BV24" i="8"/>
  <c r="BW24" i="8"/>
  <c r="BX24" i="8"/>
  <c r="BY24" i="8"/>
  <c r="AA25" i="8"/>
  <c r="AB25" i="8"/>
  <c r="AC25" i="8"/>
  <c r="AD25" i="8"/>
  <c r="AE25" i="8"/>
  <c r="AF25" i="8"/>
  <c r="AG25" i="8"/>
  <c r="AH25" i="8"/>
  <c r="AI25" i="8"/>
  <c r="AI31" i="8" s="1"/>
  <c r="AJ25" i="8"/>
  <c r="AK25" i="8"/>
  <c r="AK31" i="8" s="1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Y31" i="8" s="1"/>
  <c r="AZ25" i="8"/>
  <c r="BA25" i="8"/>
  <c r="BA31" i="8" s="1"/>
  <c r="BB25" i="8"/>
  <c r="BC25" i="8"/>
  <c r="BD25" i="8"/>
  <c r="BE25" i="8"/>
  <c r="BF25" i="8"/>
  <c r="BG25" i="8"/>
  <c r="BH25" i="8"/>
  <c r="BI25" i="8"/>
  <c r="BJ25" i="8"/>
  <c r="BK25" i="8"/>
  <c r="BL25" i="8"/>
  <c r="BM25" i="8"/>
  <c r="BN25" i="8"/>
  <c r="BO25" i="8"/>
  <c r="BO31" i="8" s="1"/>
  <c r="BP25" i="8"/>
  <c r="BQ25" i="8"/>
  <c r="BQ31" i="8" s="1"/>
  <c r="BR25" i="8"/>
  <c r="BS25" i="8"/>
  <c r="BT25" i="8"/>
  <c r="BU25" i="8"/>
  <c r="BV25" i="8"/>
  <c r="BW25" i="8"/>
  <c r="BX25" i="8"/>
  <c r="BY25" i="8"/>
  <c r="AA26" i="8"/>
  <c r="AB26" i="8"/>
  <c r="AC26" i="8"/>
  <c r="AD26" i="8"/>
  <c r="AE26" i="8"/>
  <c r="AF26" i="8"/>
  <c r="AG26" i="8"/>
  <c r="AH26" i="8"/>
  <c r="AH31" i="8" s="1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X31" i="8" s="1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L26" i="8"/>
  <c r="BM26" i="8"/>
  <c r="BN26" i="8"/>
  <c r="BN31" i="8" s="1"/>
  <c r="BO26" i="8"/>
  <c r="BP26" i="8"/>
  <c r="BQ26" i="8"/>
  <c r="BR26" i="8"/>
  <c r="BS26" i="8"/>
  <c r="BT26" i="8"/>
  <c r="BU26" i="8"/>
  <c r="BV26" i="8"/>
  <c r="BW26" i="8"/>
  <c r="BX26" i="8"/>
  <c r="BY26" i="8"/>
  <c r="AA27" i="8"/>
  <c r="AB27" i="8"/>
  <c r="AC27" i="8"/>
  <c r="AD27" i="8"/>
  <c r="AE27" i="8"/>
  <c r="AE31" i="8" s="1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U31" i="8" s="1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BJ27" i="8"/>
  <c r="BK27" i="8"/>
  <c r="BK31" i="8" s="1"/>
  <c r="BL27" i="8"/>
  <c r="BM27" i="8"/>
  <c r="BN27" i="8"/>
  <c r="BO27" i="8"/>
  <c r="BP27" i="8"/>
  <c r="BQ27" i="8"/>
  <c r="BR27" i="8"/>
  <c r="BS27" i="8"/>
  <c r="BT27" i="8"/>
  <c r="BU27" i="8"/>
  <c r="BV27" i="8"/>
  <c r="BW27" i="8"/>
  <c r="BX27" i="8"/>
  <c r="BY27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BJ28" i="8"/>
  <c r="BK28" i="8"/>
  <c r="BL28" i="8"/>
  <c r="BM28" i="8"/>
  <c r="BN28" i="8"/>
  <c r="BO28" i="8"/>
  <c r="BP28" i="8"/>
  <c r="BQ28" i="8"/>
  <c r="BR28" i="8"/>
  <c r="BS28" i="8"/>
  <c r="BT28" i="8"/>
  <c r="BU28" i="8"/>
  <c r="BV28" i="8"/>
  <c r="BW28" i="8"/>
  <c r="BX28" i="8"/>
  <c r="BY28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L29" i="8"/>
  <c r="BM29" i="8"/>
  <c r="BN29" i="8"/>
  <c r="BO29" i="8"/>
  <c r="BP29" i="8"/>
  <c r="BQ29" i="8"/>
  <c r="BR29" i="8"/>
  <c r="BS29" i="8"/>
  <c r="BT29" i="8"/>
  <c r="BU29" i="8"/>
  <c r="BV29" i="8"/>
  <c r="BW29" i="8"/>
  <c r="BX29" i="8"/>
  <c r="BY29" i="8"/>
  <c r="AJ31" i="8"/>
  <c r="AL31" i="8"/>
  <c r="AZ31" i="8"/>
  <c r="BB31" i="8"/>
  <c r="BP31" i="8"/>
  <c r="BR31" i="8"/>
  <c r="AA4" i="7"/>
  <c r="AA21" i="7" s="1"/>
  <c r="AB4" i="7"/>
  <c r="AC4" i="7"/>
  <c r="AD4" i="7"/>
  <c r="AD21" i="7" s="1"/>
  <c r="AE4" i="7"/>
  <c r="AE21" i="7" s="1"/>
  <c r="AF4" i="7"/>
  <c r="AG4" i="7"/>
  <c r="AH4" i="7"/>
  <c r="AI4" i="7"/>
  <c r="AJ4" i="7"/>
  <c r="AK4" i="7"/>
  <c r="AL4" i="7"/>
  <c r="AL21" i="7" s="1"/>
  <c r="AM4" i="7"/>
  <c r="AM21" i="7" s="1"/>
  <c r="AN4" i="7"/>
  <c r="AO4" i="7"/>
  <c r="AP4" i="7"/>
  <c r="AP21" i="7" s="1"/>
  <c r="AQ4" i="7"/>
  <c r="AQ21" i="7" s="1"/>
  <c r="AR4" i="7"/>
  <c r="AS4" i="7"/>
  <c r="AT4" i="7"/>
  <c r="AT21" i="7" s="1"/>
  <c r="AU4" i="7"/>
  <c r="AU21" i="7" s="1"/>
  <c r="AV4" i="7"/>
  <c r="AW4" i="7"/>
  <c r="AX4" i="7"/>
  <c r="AY4" i="7"/>
  <c r="AZ4" i="7"/>
  <c r="BA4" i="7"/>
  <c r="BB4" i="7"/>
  <c r="BB21" i="7" s="1"/>
  <c r="BC4" i="7"/>
  <c r="BC21" i="7" s="1"/>
  <c r="BD4" i="7"/>
  <c r="BE4" i="7"/>
  <c r="BF4" i="7"/>
  <c r="BF21" i="7" s="1"/>
  <c r="BG4" i="7"/>
  <c r="BG21" i="7" s="1"/>
  <c r="BH4" i="7"/>
  <c r="BI4" i="7"/>
  <c r="BJ4" i="7"/>
  <c r="BJ21" i="7" s="1"/>
  <c r="BK4" i="7"/>
  <c r="BK21" i="7" s="1"/>
  <c r="BL4" i="7"/>
  <c r="BM4" i="7"/>
  <c r="BN4" i="7"/>
  <c r="BO4" i="7"/>
  <c r="BP4" i="7"/>
  <c r="BQ4" i="7"/>
  <c r="BR4" i="7"/>
  <c r="BR21" i="7" s="1"/>
  <c r="BS4" i="7"/>
  <c r="BS21" i="7" s="1"/>
  <c r="BT4" i="7"/>
  <c r="BU4" i="7"/>
  <c r="BV4" i="7"/>
  <c r="BV21" i="7" s="1"/>
  <c r="BW4" i="7"/>
  <c r="BW21" i="7" s="1"/>
  <c r="BX4" i="7"/>
  <c r="BY4" i="7"/>
  <c r="AA13" i="7"/>
  <c r="AA7" i="1" s="1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AB21" i="7"/>
  <c r="AC21" i="7"/>
  <c r="AF21" i="7"/>
  <c r="AG21" i="7"/>
  <c r="AH21" i="7"/>
  <c r="AI21" i="7"/>
  <c r="AJ21" i="7"/>
  <c r="AK21" i="7"/>
  <c r="AN21" i="7"/>
  <c r="AO21" i="7"/>
  <c r="AR21" i="7"/>
  <c r="AS21" i="7"/>
  <c r="AV21" i="7"/>
  <c r="AW21" i="7"/>
  <c r="AX21" i="7"/>
  <c r="AY21" i="7"/>
  <c r="AZ21" i="7"/>
  <c r="BA21" i="7"/>
  <c r="BD21" i="7"/>
  <c r="BE21" i="7"/>
  <c r="BH21" i="7"/>
  <c r="BI21" i="7"/>
  <c r="BL21" i="7"/>
  <c r="BM21" i="7"/>
  <c r="BN21" i="7"/>
  <c r="BO21" i="7"/>
  <c r="BP21" i="7"/>
  <c r="BQ21" i="7"/>
  <c r="BT21" i="7"/>
  <c r="BU21" i="7"/>
  <c r="BX21" i="7"/>
  <c r="BY21" i="7"/>
  <c r="AA22" i="7"/>
  <c r="AB22" i="7"/>
  <c r="AC22" i="7"/>
  <c r="AC30" i="7" s="1"/>
  <c r="AD22" i="7"/>
  <c r="AD30" i="7" s="1"/>
  <c r="AE22" i="7"/>
  <c r="AF22" i="7"/>
  <c r="AG22" i="7"/>
  <c r="AH22" i="7"/>
  <c r="AI22" i="7"/>
  <c r="AJ22" i="7"/>
  <c r="AK22" i="7"/>
  <c r="AK30" i="7" s="1"/>
  <c r="AL22" i="7"/>
  <c r="AL30" i="7" s="1"/>
  <c r="AM22" i="7"/>
  <c r="AN22" i="7"/>
  <c r="AO22" i="7"/>
  <c r="AP22" i="7"/>
  <c r="AQ22" i="7"/>
  <c r="AR22" i="7"/>
  <c r="AS22" i="7"/>
  <c r="AS30" i="7" s="1"/>
  <c r="AT22" i="7"/>
  <c r="AT30" i="7" s="1"/>
  <c r="AU22" i="7"/>
  <c r="AV22" i="7"/>
  <c r="AW22" i="7"/>
  <c r="AX22" i="7"/>
  <c r="AY22" i="7"/>
  <c r="AZ22" i="7"/>
  <c r="BA22" i="7"/>
  <c r="BA30" i="7" s="1"/>
  <c r="BB22" i="7"/>
  <c r="BB30" i="7" s="1"/>
  <c r="BC22" i="7"/>
  <c r="BD22" i="7"/>
  <c r="BE22" i="7"/>
  <c r="BF22" i="7"/>
  <c r="BG22" i="7"/>
  <c r="BH22" i="7"/>
  <c r="BI22" i="7"/>
  <c r="BI30" i="7" s="1"/>
  <c r="BJ22" i="7"/>
  <c r="BJ30" i="7" s="1"/>
  <c r="BK22" i="7"/>
  <c r="BL22" i="7"/>
  <c r="BM22" i="7"/>
  <c r="BN22" i="7"/>
  <c r="BO22" i="7"/>
  <c r="BP22" i="7"/>
  <c r="BQ22" i="7"/>
  <c r="BQ30" i="7" s="1"/>
  <c r="BR22" i="7"/>
  <c r="BR30" i="7" s="1"/>
  <c r="BS22" i="7"/>
  <c r="BT22" i="7"/>
  <c r="BU22" i="7"/>
  <c r="BV22" i="7"/>
  <c r="BW22" i="7"/>
  <c r="BX22" i="7"/>
  <c r="BY22" i="7"/>
  <c r="BY30" i="7" s="1"/>
  <c r="AA23" i="7"/>
  <c r="AB23" i="7"/>
  <c r="AC23" i="7"/>
  <c r="AD23" i="7"/>
  <c r="AE23" i="7"/>
  <c r="AF23" i="7"/>
  <c r="AG23" i="7"/>
  <c r="AH23" i="7"/>
  <c r="AH30" i="7" s="1"/>
  <c r="AI23" i="7"/>
  <c r="AI30" i="7" s="1"/>
  <c r="AJ23" i="7"/>
  <c r="AK23" i="7"/>
  <c r="AL23" i="7"/>
  <c r="AM23" i="7"/>
  <c r="AN23" i="7"/>
  <c r="AO23" i="7"/>
  <c r="AP23" i="7"/>
  <c r="AP30" i="7" s="1"/>
  <c r="AQ23" i="7"/>
  <c r="AQ30" i="7" s="1"/>
  <c r="AR23" i="7"/>
  <c r="AS23" i="7"/>
  <c r="AT23" i="7"/>
  <c r="AU23" i="7"/>
  <c r="AV23" i="7"/>
  <c r="AW23" i="7"/>
  <c r="AX23" i="7"/>
  <c r="AX30" i="7" s="1"/>
  <c r="AY23" i="7"/>
  <c r="AY30" i="7" s="1"/>
  <c r="AZ23" i="7"/>
  <c r="BA23" i="7"/>
  <c r="BB23" i="7"/>
  <c r="BC23" i="7"/>
  <c r="BD23" i="7"/>
  <c r="BE23" i="7"/>
  <c r="BF23" i="7"/>
  <c r="BF30" i="7" s="1"/>
  <c r="BG23" i="7"/>
  <c r="BG30" i="7" s="1"/>
  <c r="BH23" i="7"/>
  <c r="BI23" i="7"/>
  <c r="BJ23" i="7"/>
  <c r="BK23" i="7"/>
  <c r="BL23" i="7"/>
  <c r="BM23" i="7"/>
  <c r="BN23" i="7"/>
  <c r="BN30" i="7" s="1"/>
  <c r="BO23" i="7"/>
  <c r="BO30" i="7" s="1"/>
  <c r="BP23" i="7"/>
  <c r="BQ23" i="7"/>
  <c r="BR23" i="7"/>
  <c r="BS23" i="7"/>
  <c r="BT23" i="7"/>
  <c r="BU23" i="7"/>
  <c r="BV23" i="7"/>
  <c r="BV30" i="7" s="1"/>
  <c r="BW23" i="7"/>
  <c r="BW30" i="7" s="1"/>
  <c r="BX23" i="7"/>
  <c r="BY23" i="7"/>
  <c r="AA24" i="7"/>
  <c r="AB24" i="7"/>
  <c r="AC24" i="7"/>
  <c r="AD24" i="7"/>
  <c r="AE24" i="7"/>
  <c r="AE30" i="7" s="1"/>
  <c r="AF24" i="7"/>
  <c r="AF30" i="7" s="1"/>
  <c r="AG24" i="7"/>
  <c r="AH24" i="7"/>
  <c r="AI24" i="7"/>
  <c r="AJ24" i="7"/>
  <c r="AK24" i="7"/>
  <c r="AL24" i="7"/>
  <c r="AM24" i="7"/>
  <c r="AM30" i="7" s="1"/>
  <c r="AN24" i="7"/>
  <c r="AO24" i="7"/>
  <c r="AP24" i="7"/>
  <c r="AQ24" i="7"/>
  <c r="AR24" i="7"/>
  <c r="AS24" i="7"/>
  <c r="AT24" i="7"/>
  <c r="AU24" i="7"/>
  <c r="AU30" i="7" s="1"/>
  <c r="AV24" i="7"/>
  <c r="AV30" i="7" s="1"/>
  <c r="AW24" i="7"/>
  <c r="AX24" i="7"/>
  <c r="AY24" i="7"/>
  <c r="AZ24" i="7"/>
  <c r="BA24" i="7"/>
  <c r="BB24" i="7"/>
  <c r="BC24" i="7"/>
  <c r="BC30" i="7" s="1"/>
  <c r="BD24" i="7"/>
  <c r="BE24" i="7"/>
  <c r="BF24" i="7"/>
  <c r="BG24" i="7"/>
  <c r="BH24" i="7"/>
  <c r="BI24" i="7"/>
  <c r="BJ24" i="7"/>
  <c r="BK24" i="7"/>
  <c r="BK30" i="7" s="1"/>
  <c r="BL24" i="7"/>
  <c r="BL30" i="7" s="1"/>
  <c r="BM24" i="7"/>
  <c r="BN24" i="7"/>
  <c r="BO24" i="7"/>
  <c r="BP24" i="7"/>
  <c r="BQ24" i="7"/>
  <c r="BR24" i="7"/>
  <c r="BS24" i="7"/>
  <c r="BS30" i="7" s="1"/>
  <c r="BT24" i="7"/>
  <c r="BU24" i="7"/>
  <c r="BV24" i="7"/>
  <c r="BW24" i="7"/>
  <c r="BX24" i="7"/>
  <c r="BY24" i="7"/>
  <c r="AA25" i="7"/>
  <c r="AB25" i="7"/>
  <c r="AC25" i="7"/>
  <c r="AD25" i="7"/>
  <c r="AE25" i="7"/>
  <c r="AF25" i="7"/>
  <c r="AG25" i="7"/>
  <c r="AH25" i="7"/>
  <c r="AI25" i="7"/>
  <c r="AJ25" i="7"/>
  <c r="AJ30" i="7" s="1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AZ30" i="7" s="1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P30" i="7" s="1"/>
  <c r="BQ25" i="7"/>
  <c r="BR25" i="7"/>
  <c r="BS25" i="7"/>
  <c r="BT25" i="7"/>
  <c r="BU25" i="7"/>
  <c r="BV25" i="7"/>
  <c r="BW25" i="7"/>
  <c r="BX25" i="7"/>
  <c r="BY25" i="7"/>
  <c r="AA26" i="7"/>
  <c r="AB26" i="7"/>
  <c r="AC26" i="7"/>
  <c r="AD26" i="7"/>
  <c r="AE26" i="7"/>
  <c r="AF26" i="7"/>
  <c r="AG26" i="7"/>
  <c r="AG30" i="7" s="1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W30" i="7" s="1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M30" i="7" s="1"/>
  <c r="BN26" i="7"/>
  <c r="BO26" i="7"/>
  <c r="BP26" i="7"/>
  <c r="BQ26" i="7"/>
  <c r="BR26" i="7"/>
  <c r="BS26" i="7"/>
  <c r="BT26" i="7"/>
  <c r="BU26" i="7"/>
  <c r="BV26" i="7"/>
  <c r="BW26" i="7"/>
  <c r="BX26" i="7"/>
  <c r="BY26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BX27" i="7"/>
  <c r="BY27" i="7"/>
  <c r="AA28" i="7"/>
  <c r="AB28" i="7"/>
  <c r="AB30" i="7" s="1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R30" i="7" s="1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H30" i="7" s="1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X30" i="7" s="1"/>
  <c r="BY28" i="7"/>
  <c r="AN30" i="7"/>
  <c r="AO30" i="7"/>
  <c r="BD30" i="7"/>
  <c r="BE30" i="7"/>
  <c r="BT30" i="7"/>
  <c r="BU30" i="7"/>
  <c r="AA10" i="6"/>
  <c r="AA6" i="1" s="1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AA20" i="6"/>
  <c r="AB20" i="6"/>
  <c r="AB25" i="6" s="1"/>
  <c r="AC20" i="6"/>
  <c r="AC25" i="6" s="1"/>
  <c r="AD20" i="6"/>
  <c r="AE20" i="6"/>
  <c r="AE25" i="6" s="1"/>
  <c r="AF20" i="6"/>
  <c r="AG20" i="6"/>
  <c r="AG25" i="6" s="1"/>
  <c r="AH20" i="6"/>
  <c r="AH25" i="6" s="1"/>
  <c r="AI20" i="6"/>
  <c r="AI25" i="6" s="1"/>
  <c r="AJ20" i="6"/>
  <c r="AJ25" i="6" s="1"/>
  <c r="AK20" i="6"/>
  <c r="AL20" i="6"/>
  <c r="AM20" i="6"/>
  <c r="AN20" i="6"/>
  <c r="AO20" i="6"/>
  <c r="AP20" i="6"/>
  <c r="AQ20" i="6"/>
  <c r="AR20" i="6"/>
  <c r="AR25" i="6" s="1"/>
  <c r="AS20" i="6"/>
  <c r="AS25" i="6" s="1"/>
  <c r="AT20" i="6"/>
  <c r="AU20" i="6"/>
  <c r="AU25" i="6" s="1"/>
  <c r="AV20" i="6"/>
  <c r="AW20" i="6"/>
  <c r="AW25" i="6" s="1"/>
  <c r="AX20" i="6"/>
  <c r="AX25" i="6" s="1"/>
  <c r="AY20" i="6"/>
  <c r="AY25" i="6" s="1"/>
  <c r="AZ20" i="6"/>
  <c r="AZ25" i="6" s="1"/>
  <c r="BA20" i="6"/>
  <c r="BB20" i="6"/>
  <c r="BC20" i="6"/>
  <c r="BD20" i="6"/>
  <c r="BE20" i="6"/>
  <c r="BF20" i="6"/>
  <c r="BG20" i="6"/>
  <c r="BH20" i="6"/>
  <c r="BH25" i="6" s="1"/>
  <c r="BI20" i="6"/>
  <c r="BI25" i="6" s="1"/>
  <c r="BJ20" i="6"/>
  <c r="BK20" i="6"/>
  <c r="BK25" i="6" s="1"/>
  <c r="BL20" i="6"/>
  <c r="BM20" i="6"/>
  <c r="BM25" i="6" s="1"/>
  <c r="BN20" i="6"/>
  <c r="BN25" i="6" s="1"/>
  <c r="BO20" i="6"/>
  <c r="BO25" i="6" s="1"/>
  <c r="BP20" i="6"/>
  <c r="BP25" i="6" s="1"/>
  <c r="BQ20" i="6"/>
  <c r="BR20" i="6"/>
  <c r="BS20" i="6"/>
  <c r="BT20" i="6"/>
  <c r="BU20" i="6"/>
  <c r="BV20" i="6"/>
  <c r="BW20" i="6"/>
  <c r="BX20" i="6"/>
  <c r="BX25" i="6" s="1"/>
  <c r="BY20" i="6"/>
  <c r="BY25" i="6" s="1"/>
  <c r="AA21" i="6"/>
  <c r="AB21" i="6"/>
  <c r="AC21" i="6"/>
  <c r="AD21" i="6"/>
  <c r="AD25" i="6" s="1"/>
  <c r="AE21" i="6"/>
  <c r="AF21" i="6"/>
  <c r="AF25" i="6" s="1"/>
  <c r="AG21" i="6"/>
  <c r="AH21" i="6"/>
  <c r="AI21" i="6"/>
  <c r="AJ21" i="6"/>
  <c r="AK21" i="6"/>
  <c r="AL21" i="6"/>
  <c r="AM21" i="6"/>
  <c r="AN21" i="6"/>
  <c r="AO21" i="6"/>
  <c r="AO25" i="6" s="1"/>
  <c r="AP21" i="6"/>
  <c r="AQ21" i="6"/>
  <c r="AR21" i="6"/>
  <c r="AS21" i="6"/>
  <c r="AT21" i="6"/>
  <c r="AT25" i="6" s="1"/>
  <c r="AU21" i="6"/>
  <c r="AV21" i="6"/>
  <c r="AV25" i="6" s="1"/>
  <c r="AW21" i="6"/>
  <c r="AX21" i="6"/>
  <c r="AY21" i="6"/>
  <c r="AZ21" i="6"/>
  <c r="BA21" i="6"/>
  <c r="BB21" i="6"/>
  <c r="BC21" i="6"/>
  <c r="BD21" i="6"/>
  <c r="BE21" i="6"/>
  <c r="BE25" i="6" s="1"/>
  <c r="BF21" i="6"/>
  <c r="BG21" i="6"/>
  <c r="BH21" i="6"/>
  <c r="BI21" i="6"/>
  <c r="BJ21" i="6"/>
  <c r="BJ25" i="6" s="1"/>
  <c r="BK21" i="6"/>
  <c r="BL21" i="6"/>
  <c r="BL25" i="6" s="1"/>
  <c r="BM21" i="6"/>
  <c r="BN21" i="6"/>
  <c r="BO21" i="6"/>
  <c r="BP21" i="6"/>
  <c r="BQ21" i="6"/>
  <c r="BR21" i="6"/>
  <c r="BS21" i="6"/>
  <c r="BT21" i="6"/>
  <c r="BU21" i="6"/>
  <c r="BU25" i="6" s="1"/>
  <c r="BV21" i="6"/>
  <c r="BW21" i="6"/>
  <c r="BX21" i="6"/>
  <c r="BY21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L25" i="6" s="1"/>
  <c r="AM22" i="6"/>
  <c r="AN22" i="6"/>
  <c r="AO22" i="6"/>
  <c r="AP22" i="6"/>
  <c r="AP25" i="6" s="1"/>
  <c r="AQ22" i="6"/>
  <c r="AQ25" i="6" s="1"/>
  <c r="AR22" i="6"/>
  <c r="AS22" i="6"/>
  <c r="AT22" i="6"/>
  <c r="AU22" i="6"/>
  <c r="AV22" i="6"/>
  <c r="AW22" i="6"/>
  <c r="AX22" i="6"/>
  <c r="AY22" i="6"/>
  <c r="AZ22" i="6"/>
  <c r="BA22" i="6"/>
  <c r="BB22" i="6"/>
  <c r="BB25" i="6" s="1"/>
  <c r="BC22" i="6"/>
  <c r="BD22" i="6"/>
  <c r="BE22" i="6"/>
  <c r="BF22" i="6"/>
  <c r="BF25" i="6" s="1"/>
  <c r="BG22" i="6"/>
  <c r="BG25" i="6" s="1"/>
  <c r="BH22" i="6"/>
  <c r="BI22" i="6"/>
  <c r="BJ22" i="6"/>
  <c r="BK22" i="6"/>
  <c r="BL22" i="6"/>
  <c r="BM22" i="6"/>
  <c r="BN22" i="6"/>
  <c r="BO22" i="6"/>
  <c r="BP22" i="6"/>
  <c r="BQ22" i="6"/>
  <c r="BR22" i="6"/>
  <c r="BR25" i="6" s="1"/>
  <c r="BS22" i="6"/>
  <c r="BT22" i="6"/>
  <c r="BU22" i="6"/>
  <c r="BV22" i="6"/>
  <c r="BV25" i="6" s="1"/>
  <c r="BW22" i="6"/>
  <c r="BW25" i="6" s="1"/>
  <c r="BX22" i="6"/>
  <c r="BY22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AK25" i="6"/>
  <c r="AM25" i="6"/>
  <c r="AN25" i="6"/>
  <c r="BA25" i="6"/>
  <c r="BC25" i="6"/>
  <c r="BD25" i="6"/>
  <c r="BQ25" i="6"/>
  <c r="BS25" i="6"/>
  <c r="BT25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AB54" i="5"/>
  <c r="AB145" i="5" s="1"/>
  <c r="AC54" i="5"/>
  <c r="AD54" i="5"/>
  <c r="AE54" i="5"/>
  <c r="AF54" i="5"/>
  <c r="AG54" i="5"/>
  <c r="AH54" i="5"/>
  <c r="AI54" i="5"/>
  <c r="AI145" i="5" s="1"/>
  <c r="AI150" i="5" s="1"/>
  <c r="AI181" i="5" s="1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Y145" i="5" s="1"/>
  <c r="AY150" i="5" s="1"/>
  <c r="AY181" i="5" s="1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O145" i="5" s="1"/>
  <c r="BO150" i="5" s="1"/>
  <c r="BO181" i="5" s="1"/>
  <c r="BP54" i="5"/>
  <c r="BQ54" i="5"/>
  <c r="BR54" i="5"/>
  <c r="BS54" i="5"/>
  <c r="BT54" i="5"/>
  <c r="BU54" i="5"/>
  <c r="BV54" i="5"/>
  <c r="BW54" i="5"/>
  <c r="BX54" i="5"/>
  <c r="BY54" i="5"/>
  <c r="BZ54" i="5"/>
  <c r="AB55" i="5"/>
  <c r="AC55" i="5"/>
  <c r="AD55" i="5"/>
  <c r="AE55" i="5"/>
  <c r="AF55" i="5"/>
  <c r="AF146" i="5" s="1"/>
  <c r="AF150" i="5" s="1"/>
  <c r="AF181" i="5" s="1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V146" i="5" s="1"/>
  <c r="AV150" i="5" s="1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L146" i="5" s="1"/>
  <c r="BL150" i="5" s="1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AB56" i="5"/>
  <c r="AC56" i="5"/>
  <c r="AC147" i="5" s="1"/>
  <c r="AC150" i="5" s="1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S147" i="5" s="1"/>
  <c r="AS150" i="5" s="1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I147" i="5" s="1"/>
  <c r="BI150" i="5" s="1"/>
  <c r="BI181" i="5" s="1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Y147" i="5" s="1"/>
  <c r="BY150" i="5" s="1"/>
  <c r="BZ56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P148" i="5" s="1"/>
  <c r="AP150" i="5" s="1"/>
  <c r="AP181" i="5" s="1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F148" i="5" s="1"/>
  <c r="BF150" i="5" s="1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V148" i="5" s="1"/>
  <c r="BV150" i="5" s="1"/>
  <c r="BV181" i="5" s="1"/>
  <c r="BW57" i="5"/>
  <c r="BX57" i="5"/>
  <c r="BY57" i="5"/>
  <c r="BZ57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M149" i="5" s="1"/>
  <c r="AM150" i="5" s="1"/>
  <c r="AM181" i="5" s="1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C149" i="5" s="1"/>
  <c r="BC150" i="5" s="1"/>
  <c r="BC181" i="5" s="1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S149" i="5" s="1"/>
  <c r="BS150" i="5" s="1"/>
  <c r="BS181" i="5" s="1"/>
  <c r="BT58" i="5"/>
  <c r="BU58" i="5"/>
  <c r="BV58" i="5"/>
  <c r="BW58" i="5"/>
  <c r="BX58" i="5"/>
  <c r="BY58" i="5"/>
  <c r="BZ58" i="5"/>
  <c r="AB64" i="5"/>
  <c r="AC64" i="5"/>
  <c r="AD64" i="5"/>
  <c r="AE64" i="5"/>
  <c r="AF64" i="5"/>
  <c r="AG64" i="5"/>
  <c r="AH64" i="5"/>
  <c r="AI64" i="5"/>
  <c r="AJ64" i="5"/>
  <c r="AJ80" i="5" s="1"/>
  <c r="AJ96" i="5" s="1"/>
  <c r="AJ107" i="5" s="1"/>
  <c r="AJ123" i="5" s="1"/>
  <c r="AJ144" i="5" s="1"/>
  <c r="AJ155" i="5" s="1"/>
  <c r="AJ171" i="5" s="1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AZ80" i="5" s="1"/>
  <c r="AZ96" i="5" s="1"/>
  <c r="AZ107" i="5" s="1"/>
  <c r="AZ123" i="5" s="1"/>
  <c r="AZ144" i="5" s="1"/>
  <c r="AZ155" i="5" s="1"/>
  <c r="AZ171" i="5" s="1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P80" i="5" s="1"/>
  <c r="BP96" i="5" s="1"/>
  <c r="BP107" i="5" s="1"/>
  <c r="BP123" i="5" s="1"/>
  <c r="BP144" i="5" s="1"/>
  <c r="BP155" i="5" s="1"/>
  <c r="BP171" i="5" s="1"/>
  <c r="BQ64" i="5"/>
  <c r="BR64" i="5"/>
  <c r="BS64" i="5"/>
  <c r="BT64" i="5"/>
  <c r="BU64" i="5"/>
  <c r="BV64" i="5"/>
  <c r="BW64" i="5"/>
  <c r="BX64" i="5"/>
  <c r="BY64" i="5"/>
  <c r="BZ64" i="5"/>
  <c r="AB65" i="5"/>
  <c r="AB156" i="5" s="1"/>
  <c r="AC65" i="5"/>
  <c r="AD65" i="5"/>
  <c r="AE65" i="5"/>
  <c r="AF65" i="5"/>
  <c r="AG65" i="5"/>
  <c r="AG156" i="5" s="1"/>
  <c r="AG166" i="5" s="1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W156" i="5" s="1"/>
  <c r="AW166" i="5" s="1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M156" i="5" s="1"/>
  <c r="BM166" i="5" s="1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AB66" i="5"/>
  <c r="AC66" i="5"/>
  <c r="AD66" i="5"/>
  <c r="AD157" i="5" s="1"/>
  <c r="AD166" i="5" s="1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T157" i="5" s="1"/>
  <c r="AT166" i="5" s="1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J157" i="5" s="1"/>
  <c r="BJ166" i="5" s="1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BZ157" i="5" s="1"/>
  <c r="BZ166" i="5" s="1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Q158" i="5" s="1"/>
  <c r="AQ166" i="5" s="1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G158" i="5" s="1"/>
  <c r="BG166" i="5" s="1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W158" i="5" s="1"/>
  <c r="BW166" i="5" s="1"/>
  <c r="BX67" i="5"/>
  <c r="BY67" i="5"/>
  <c r="BZ67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N159" i="5" s="1"/>
  <c r="AN166" i="5" s="1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D159" i="5" s="1"/>
  <c r="BD166" i="5" s="1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T159" i="5" s="1"/>
  <c r="BT166" i="5" s="1"/>
  <c r="BU68" i="5"/>
  <c r="BV68" i="5"/>
  <c r="BW68" i="5"/>
  <c r="BX68" i="5"/>
  <c r="BY68" i="5"/>
  <c r="BZ68" i="5"/>
  <c r="AB69" i="5"/>
  <c r="AC69" i="5"/>
  <c r="AD69" i="5"/>
  <c r="AE69" i="5"/>
  <c r="AF69" i="5"/>
  <c r="AG69" i="5"/>
  <c r="AH69" i="5"/>
  <c r="AI69" i="5"/>
  <c r="AJ69" i="5"/>
  <c r="AK69" i="5"/>
  <c r="AK160" i="5" s="1"/>
  <c r="AK166" i="5" s="1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A160" i="5" s="1"/>
  <c r="BA166" i="5" s="1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Q160" i="5" s="1"/>
  <c r="BQ166" i="5" s="1"/>
  <c r="BR69" i="5"/>
  <c r="BS69" i="5"/>
  <c r="BT69" i="5"/>
  <c r="BU69" i="5"/>
  <c r="BV69" i="5"/>
  <c r="BW69" i="5"/>
  <c r="BX69" i="5"/>
  <c r="BY69" i="5"/>
  <c r="BZ69" i="5"/>
  <c r="AB70" i="5"/>
  <c r="AB161" i="5" s="1"/>
  <c r="AC70" i="5"/>
  <c r="AD70" i="5"/>
  <c r="AE70" i="5"/>
  <c r="AF70" i="5"/>
  <c r="AG70" i="5"/>
  <c r="AH70" i="5"/>
  <c r="AH161" i="5" s="1"/>
  <c r="AH166" i="5" s="1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X161" i="5" s="1"/>
  <c r="AX166" i="5" s="1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N161" i="5" s="1"/>
  <c r="BN166" i="5" s="1"/>
  <c r="BO70" i="5"/>
  <c r="BP70" i="5"/>
  <c r="BQ70" i="5"/>
  <c r="BR70" i="5"/>
  <c r="BS70" i="5"/>
  <c r="BT70" i="5"/>
  <c r="BU70" i="5"/>
  <c r="BV70" i="5"/>
  <c r="BW70" i="5"/>
  <c r="BX70" i="5"/>
  <c r="BY70" i="5"/>
  <c r="BZ70" i="5"/>
  <c r="AB71" i="5"/>
  <c r="AC71" i="5"/>
  <c r="AD71" i="5"/>
  <c r="AE71" i="5"/>
  <c r="AE162" i="5" s="1"/>
  <c r="AE166" i="5" s="1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U162" i="5" s="1"/>
  <c r="AU166" i="5" s="1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K162" i="5" s="1"/>
  <c r="BK166" i="5" s="1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AB72" i="5"/>
  <c r="AB163" i="5" s="1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R163" i="5" s="1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H163" i="5" s="1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X163" i="5" s="1"/>
  <c r="BY72" i="5"/>
  <c r="BZ72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O164" i="5" s="1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E164" i="5" s="1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U164" i="5" s="1"/>
  <c r="BV73" i="5"/>
  <c r="BW73" i="5"/>
  <c r="BX73" i="5"/>
  <c r="BY73" i="5"/>
  <c r="BZ73" i="5"/>
  <c r="AB74" i="5"/>
  <c r="AC74" i="5"/>
  <c r="AD74" i="5"/>
  <c r="AE74" i="5"/>
  <c r="AF74" i="5"/>
  <c r="AG74" i="5"/>
  <c r="AH74" i="5"/>
  <c r="AI74" i="5"/>
  <c r="AJ74" i="5"/>
  <c r="AK74" i="5"/>
  <c r="AL74" i="5"/>
  <c r="AL165" i="5" s="1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B165" i="5" s="1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R165" i="5" s="1"/>
  <c r="BS74" i="5"/>
  <c r="BT74" i="5"/>
  <c r="BU74" i="5"/>
  <c r="BV74" i="5"/>
  <c r="BW74" i="5"/>
  <c r="BX74" i="5"/>
  <c r="BY74" i="5"/>
  <c r="BZ74" i="5"/>
  <c r="AB80" i="5"/>
  <c r="AC80" i="5"/>
  <c r="AD80" i="5"/>
  <c r="AE80" i="5"/>
  <c r="AF80" i="5"/>
  <c r="AG80" i="5"/>
  <c r="AH80" i="5"/>
  <c r="AI80" i="5"/>
  <c r="AI96" i="5" s="1"/>
  <c r="AI107" i="5" s="1"/>
  <c r="AI123" i="5" s="1"/>
  <c r="AI144" i="5" s="1"/>
  <c r="AI155" i="5" s="1"/>
  <c r="AI171" i="5" s="1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Y96" i="5" s="1"/>
  <c r="AY107" i="5" s="1"/>
  <c r="AY123" i="5" s="1"/>
  <c r="AY144" i="5" s="1"/>
  <c r="AY155" i="5" s="1"/>
  <c r="AY171" i="5" s="1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O96" i="5" s="1"/>
  <c r="BO107" i="5" s="1"/>
  <c r="BO123" i="5" s="1"/>
  <c r="BO144" i="5" s="1"/>
  <c r="BO155" i="5" s="1"/>
  <c r="BO171" i="5" s="1"/>
  <c r="BQ80" i="5"/>
  <c r="BR80" i="5"/>
  <c r="BS80" i="5"/>
  <c r="BT80" i="5"/>
  <c r="BU80" i="5"/>
  <c r="BV80" i="5"/>
  <c r="BW80" i="5"/>
  <c r="BX80" i="5"/>
  <c r="BY80" i="5"/>
  <c r="BZ80" i="5"/>
  <c r="AB81" i="5"/>
  <c r="AB172" i="5" s="1"/>
  <c r="AC81" i="5"/>
  <c r="AD81" i="5"/>
  <c r="AE81" i="5"/>
  <c r="AF81" i="5"/>
  <c r="AF172" i="5" s="1"/>
  <c r="AF179" i="5" s="1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V172" i="5" s="1"/>
  <c r="AV179" i="5" s="1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L172" i="5" s="1"/>
  <c r="BL179" i="5" s="1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AB82" i="5"/>
  <c r="AC82" i="5"/>
  <c r="AC173" i="5" s="1"/>
  <c r="AC179" i="5" s="1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S173" i="5" s="1"/>
  <c r="AS179" i="5" s="1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I173" i="5" s="1"/>
  <c r="BI179" i="5" s="1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Y173" i="5" s="1"/>
  <c r="BY179" i="5" s="1"/>
  <c r="BZ82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P174" i="5" s="1"/>
  <c r="AP179" i="5" s="1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F174" i="5" s="1"/>
  <c r="BF179" i="5" s="1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V174" i="5" s="1"/>
  <c r="BV179" i="5" s="1"/>
  <c r="BW83" i="5"/>
  <c r="BX83" i="5"/>
  <c r="BY83" i="5"/>
  <c r="BZ83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M175" i="5" s="1"/>
  <c r="AM179" i="5" s="1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C175" i="5" s="1"/>
  <c r="BC179" i="5" s="1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S175" i="5" s="1"/>
  <c r="BS179" i="5" s="1"/>
  <c r="BT84" i="5"/>
  <c r="BU84" i="5"/>
  <c r="BV84" i="5"/>
  <c r="BW84" i="5"/>
  <c r="BX84" i="5"/>
  <c r="BY84" i="5"/>
  <c r="BZ84" i="5"/>
  <c r="AB85" i="5"/>
  <c r="AC85" i="5"/>
  <c r="AD85" i="5"/>
  <c r="AE85" i="5"/>
  <c r="AF85" i="5"/>
  <c r="AG85" i="5"/>
  <c r="AH85" i="5"/>
  <c r="AI85" i="5"/>
  <c r="AJ85" i="5"/>
  <c r="AJ176" i="5" s="1"/>
  <c r="AJ179" i="5" s="1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AZ176" i="5" s="1"/>
  <c r="AZ179" i="5" s="1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P176" i="5" s="1"/>
  <c r="BP179" i="5" s="1"/>
  <c r="BQ85" i="5"/>
  <c r="BR85" i="5"/>
  <c r="BS85" i="5"/>
  <c r="BT85" i="5"/>
  <c r="BU85" i="5"/>
  <c r="BV85" i="5"/>
  <c r="BW85" i="5"/>
  <c r="BX85" i="5"/>
  <c r="BY85" i="5"/>
  <c r="BZ85" i="5"/>
  <c r="AB86" i="5"/>
  <c r="AC86" i="5"/>
  <c r="AD86" i="5"/>
  <c r="AE86" i="5"/>
  <c r="AF86" i="5"/>
  <c r="AG86" i="5"/>
  <c r="AG177" i="5" s="1"/>
  <c r="AG179" i="5" s="1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W177" i="5" s="1"/>
  <c r="AW179" i="5" s="1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M177" i="5" s="1"/>
  <c r="BM179" i="5" s="1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AB87" i="5"/>
  <c r="AC87" i="5"/>
  <c r="AD87" i="5"/>
  <c r="AD178" i="5" s="1"/>
  <c r="AD179" i="5" s="1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T178" i="5" s="1"/>
  <c r="AT179" i="5" s="1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J178" i="5" s="1"/>
  <c r="BJ179" i="5" s="1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BZ178" i="5" s="1"/>
  <c r="BZ179" i="5" s="1"/>
  <c r="AB96" i="5"/>
  <c r="AC96" i="5"/>
  <c r="AD96" i="5"/>
  <c r="AE96" i="5"/>
  <c r="AF96" i="5"/>
  <c r="AG96" i="5"/>
  <c r="AH96" i="5"/>
  <c r="AK96" i="5"/>
  <c r="AL96" i="5"/>
  <c r="AM96" i="5"/>
  <c r="AN96" i="5"/>
  <c r="AO96" i="5"/>
  <c r="AP96" i="5"/>
  <c r="AQ96" i="5"/>
  <c r="AQ107" i="5" s="1"/>
  <c r="AQ123" i="5" s="1"/>
  <c r="AQ144" i="5" s="1"/>
  <c r="AQ155" i="5" s="1"/>
  <c r="AQ171" i="5" s="1"/>
  <c r="AR96" i="5"/>
  <c r="AS96" i="5"/>
  <c r="AT96" i="5"/>
  <c r="AU96" i="5"/>
  <c r="AV96" i="5"/>
  <c r="AW96" i="5"/>
  <c r="AX96" i="5"/>
  <c r="BA96" i="5"/>
  <c r="BB96" i="5"/>
  <c r="BC96" i="5"/>
  <c r="BD96" i="5"/>
  <c r="BE96" i="5"/>
  <c r="BF96" i="5"/>
  <c r="BG96" i="5"/>
  <c r="BG107" i="5" s="1"/>
  <c r="BG123" i="5" s="1"/>
  <c r="BG144" i="5" s="1"/>
  <c r="BG155" i="5" s="1"/>
  <c r="BG171" i="5" s="1"/>
  <c r="BH96" i="5"/>
  <c r="BI96" i="5"/>
  <c r="BJ96" i="5"/>
  <c r="BK96" i="5"/>
  <c r="BL96" i="5"/>
  <c r="BM96" i="5"/>
  <c r="BN96" i="5"/>
  <c r="BQ96" i="5"/>
  <c r="BR96" i="5"/>
  <c r="BS96" i="5"/>
  <c r="BT96" i="5"/>
  <c r="BU96" i="5"/>
  <c r="BV96" i="5"/>
  <c r="BW96" i="5"/>
  <c r="BW107" i="5" s="1"/>
  <c r="BW123" i="5" s="1"/>
  <c r="BW144" i="5" s="1"/>
  <c r="BW155" i="5" s="1"/>
  <c r="BW171" i="5" s="1"/>
  <c r="BX96" i="5"/>
  <c r="BY96" i="5"/>
  <c r="BZ96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N102" i="5" s="1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D102" i="5" s="1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T102" i="5" s="1"/>
  <c r="BU97" i="5"/>
  <c r="BV97" i="5"/>
  <c r="BW97" i="5"/>
  <c r="BX97" i="5"/>
  <c r="BY97" i="5"/>
  <c r="BZ97" i="5"/>
  <c r="AB98" i="5"/>
  <c r="AC98" i="5"/>
  <c r="AD98" i="5"/>
  <c r="AE98" i="5"/>
  <c r="AF98" i="5"/>
  <c r="AG98" i="5"/>
  <c r="AH98" i="5"/>
  <c r="AI98" i="5"/>
  <c r="AJ98" i="5"/>
  <c r="AK98" i="5"/>
  <c r="AK102" i="5" s="1"/>
  <c r="AK135" i="5" s="1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A102" i="5" s="1"/>
  <c r="BA135" i="5" s="1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Q102" i="5" s="1"/>
  <c r="BQ135" i="5" s="1"/>
  <c r="BR98" i="5"/>
  <c r="BS98" i="5"/>
  <c r="BT98" i="5"/>
  <c r="BU98" i="5"/>
  <c r="BV98" i="5"/>
  <c r="BW98" i="5"/>
  <c r="BX98" i="5"/>
  <c r="BY98" i="5"/>
  <c r="BZ98" i="5"/>
  <c r="AB99" i="5"/>
  <c r="AC99" i="5"/>
  <c r="AD99" i="5"/>
  <c r="AE99" i="5"/>
  <c r="AF99" i="5"/>
  <c r="AG99" i="5"/>
  <c r="AH99" i="5"/>
  <c r="AH102" i="5" s="1"/>
  <c r="AH135" i="5" s="1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X102" i="5" s="1"/>
  <c r="AX135" i="5" s="1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N102" i="5" s="1"/>
  <c r="BN135" i="5" s="1"/>
  <c r="BO99" i="5"/>
  <c r="BP99" i="5"/>
  <c r="BQ99" i="5"/>
  <c r="BR99" i="5"/>
  <c r="BS99" i="5"/>
  <c r="BT99" i="5"/>
  <c r="BU99" i="5"/>
  <c r="BV99" i="5"/>
  <c r="BW99" i="5"/>
  <c r="BX99" i="5"/>
  <c r="BY99" i="5"/>
  <c r="BZ99" i="5"/>
  <c r="AB100" i="5"/>
  <c r="AC100" i="5"/>
  <c r="AD100" i="5"/>
  <c r="AE100" i="5"/>
  <c r="AE102" i="5" s="1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U102" i="5" s="1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K102" i="5" s="1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R102" i="5" s="1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H102" i="5" s="1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X102" i="5" s="1"/>
  <c r="BY101" i="5"/>
  <c r="BZ101" i="5"/>
  <c r="AC102" i="5"/>
  <c r="AD102" i="5"/>
  <c r="AF102" i="5"/>
  <c r="AG102" i="5"/>
  <c r="AI102" i="5"/>
  <c r="AJ102" i="5"/>
  <c r="AL102" i="5"/>
  <c r="AM102" i="5"/>
  <c r="AO102" i="5"/>
  <c r="AP102" i="5"/>
  <c r="AQ102" i="5"/>
  <c r="AS102" i="5"/>
  <c r="AT102" i="5"/>
  <c r="AV102" i="5"/>
  <c r="AW102" i="5"/>
  <c r="AY102" i="5"/>
  <c r="AZ102" i="5"/>
  <c r="BB102" i="5"/>
  <c r="BC102" i="5"/>
  <c r="BE102" i="5"/>
  <c r="BF102" i="5"/>
  <c r="BG102" i="5"/>
  <c r="BI102" i="5"/>
  <c r="BJ102" i="5"/>
  <c r="BL102" i="5"/>
  <c r="BM102" i="5"/>
  <c r="BO102" i="5"/>
  <c r="BP102" i="5"/>
  <c r="BR102" i="5"/>
  <c r="BS102" i="5"/>
  <c r="BU102" i="5"/>
  <c r="BV102" i="5"/>
  <c r="BW102" i="5"/>
  <c r="BY102" i="5"/>
  <c r="BZ102" i="5"/>
  <c r="AB107" i="5"/>
  <c r="AC107" i="5"/>
  <c r="AD107" i="5"/>
  <c r="AE107" i="5"/>
  <c r="AF107" i="5"/>
  <c r="AG107" i="5"/>
  <c r="AH107" i="5"/>
  <c r="AK107" i="5"/>
  <c r="AL107" i="5"/>
  <c r="AL123" i="5" s="1"/>
  <c r="AL144" i="5" s="1"/>
  <c r="AL155" i="5" s="1"/>
  <c r="AL171" i="5" s="1"/>
  <c r="AM107" i="5"/>
  <c r="AN107" i="5"/>
  <c r="AO107" i="5"/>
  <c r="AP107" i="5"/>
  <c r="AR107" i="5"/>
  <c r="AS107" i="5"/>
  <c r="AT107" i="5"/>
  <c r="AU107" i="5"/>
  <c r="AV107" i="5"/>
  <c r="AW107" i="5"/>
  <c r="AX107" i="5"/>
  <c r="BA107" i="5"/>
  <c r="BB107" i="5"/>
  <c r="BB123" i="5" s="1"/>
  <c r="BB144" i="5" s="1"/>
  <c r="BB155" i="5" s="1"/>
  <c r="BB171" i="5" s="1"/>
  <c r="BC107" i="5"/>
  <c r="BD107" i="5"/>
  <c r="BE107" i="5"/>
  <c r="BF107" i="5"/>
  <c r="BH107" i="5"/>
  <c r="BI107" i="5"/>
  <c r="BJ107" i="5"/>
  <c r="BK107" i="5"/>
  <c r="BL107" i="5"/>
  <c r="BM107" i="5"/>
  <c r="BN107" i="5"/>
  <c r="BQ107" i="5"/>
  <c r="BR107" i="5"/>
  <c r="BR123" i="5" s="1"/>
  <c r="BR144" i="5" s="1"/>
  <c r="BR155" i="5" s="1"/>
  <c r="BR171" i="5" s="1"/>
  <c r="BS107" i="5"/>
  <c r="BT107" i="5"/>
  <c r="BU107" i="5"/>
  <c r="BV107" i="5"/>
  <c r="BX107" i="5"/>
  <c r="BY107" i="5"/>
  <c r="BZ107" i="5"/>
  <c r="AB108" i="5"/>
  <c r="AC108" i="5"/>
  <c r="AD108" i="5"/>
  <c r="AE108" i="5"/>
  <c r="AF108" i="5"/>
  <c r="AG108" i="5"/>
  <c r="AH108" i="5"/>
  <c r="AI108" i="5"/>
  <c r="AI118" i="5" s="1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Y118" i="5" s="1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O118" i="5" s="1"/>
  <c r="BP108" i="5"/>
  <c r="BQ108" i="5"/>
  <c r="BR108" i="5"/>
  <c r="BS108" i="5"/>
  <c r="BT108" i="5"/>
  <c r="BU108" i="5"/>
  <c r="BV108" i="5"/>
  <c r="BW108" i="5"/>
  <c r="BX108" i="5"/>
  <c r="BY108" i="5"/>
  <c r="BZ108" i="5"/>
  <c r="AB109" i="5"/>
  <c r="AC109" i="5"/>
  <c r="AD109" i="5"/>
  <c r="AE109" i="5"/>
  <c r="AF109" i="5"/>
  <c r="AF118" i="5" s="1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V118" i="5" s="1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L118" i="5" s="1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AB110" i="5"/>
  <c r="AC110" i="5"/>
  <c r="AC118" i="5" s="1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S118" i="5" s="1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I118" i="5" s="1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Y118" i="5" s="1"/>
  <c r="BZ110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P118" i="5" s="1"/>
  <c r="AP135" i="5" s="1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F118" i="5" s="1"/>
  <c r="BF135" i="5" s="1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V118" i="5" s="1"/>
  <c r="BV135" i="5" s="1"/>
  <c r="BW111" i="5"/>
  <c r="BX111" i="5"/>
  <c r="BY111" i="5"/>
  <c r="BZ111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M118" i="5" s="1"/>
  <c r="AM135" i="5" s="1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C118" i="5" s="1"/>
  <c r="BC135" i="5" s="1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S118" i="5" s="1"/>
  <c r="BS135" i="5" s="1"/>
  <c r="BT112" i="5"/>
  <c r="BU112" i="5"/>
  <c r="BV112" i="5"/>
  <c r="BW112" i="5"/>
  <c r="BX112" i="5"/>
  <c r="BY112" i="5"/>
  <c r="BZ112" i="5"/>
  <c r="AB113" i="5"/>
  <c r="AC113" i="5"/>
  <c r="AD113" i="5"/>
  <c r="AE113" i="5"/>
  <c r="AF113" i="5"/>
  <c r="AG113" i="5"/>
  <c r="AH113" i="5"/>
  <c r="AI113" i="5"/>
  <c r="AJ113" i="5"/>
  <c r="AJ118" i="5" s="1"/>
  <c r="AJ135" i="5" s="1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AZ118" i="5" s="1"/>
  <c r="AZ135" i="5" s="1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P118" i="5" s="1"/>
  <c r="BP135" i="5" s="1"/>
  <c r="BQ113" i="5"/>
  <c r="BR113" i="5"/>
  <c r="BS113" i="5"/>
  <c r="BT113" i="5"/>
  <c r="BU113" i="5"/>
  <c r="BV113" i="5"/>
  <c r="BW113" i="5"/>
  <c r="BX113" i="5"/>
  <c r="BY113" i="5"/>
  <c r="BZ113" i="5"/>
  <c r="AB114" i="5"/>
  <c r="AB118" i="5" s="1"/>
  <c r="AC114" i="5"/>
  <c r="AD114" i="5"/>
  <c r="AE114" i="5"/>
  <c r="AF114" i="5"/>
  <c r="AG114" i="5"/>
  <c r="AG118" i="5" s="1"/>
  <c r="AG135" i="5" s="1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W118" i="5" s="1"/>
  <c r="AW135" i="5" s="1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M118" i="5" s="1"/>
  <c r="BM135" i="5" s="1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AB115" i="5"/>
  <c r="AC115" i="5"/>
  <c r="AD115" i="5"/>
  <c r="AD118" i="5" s="1"/>
  <c r="AD135" i="5" s="1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T118" i="5" s="1"/>
  <c r="AT135" i="5" s="1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J118" i="5" s="1"/>
  <c r="BJ135" i="5" s="1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BZ118" i="5" s="1"/>
  <c r="BZ135" i="5" s="1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Q118" i="5" s="1"/>
  <c r="AQ135" i="5" s="1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G118" i="5" s="1"/>
  <c r="BG135" i="5" s="1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W118" i="5" s="1"/>
  <c r="BW135" i="5" s="1"/>
  <c r="BX116" i="5"/>
  <c r="BY116" i="5"/>
  <c r="BZ116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N118" i="5" s="1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D118" i="5" s="1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T118" i="5" s="1"/>
  <c r="BU117" i="5"/>
  <c r="BV117" i="5"/>
  <c r="BW117" i="5"/>
  <c r="BX117" i="5"/>
  <c r="BY117" i="5"/>
  <c r="BZ117" i="5"/>
  <c r="AE118" i="5"/>
  <c r="AH118" i="5"/>
  <c r="AK118" i="5"/>
  <c r="AL118" i="5"/>
  <c r="AO118" i="5"/>
  <c r="AR118" i="5"/>
  <c r="AU118" i="5"/>
  <c r="AX118" i="5"/>
  <c r="BA118" i="5"/>
  <c r="BB118" i="5"/>
  <c r="BE118" i="5"/>
  <c r="BH118" i="5"/>
  <c r="BK118" i="5"/>
  <c r="BN118" i="5"/>
  <c r="BQ118" i="5"/>
  <c r="BR118" i="5"/>
  <c r="BU118" i="5"/>
  <c r="BX118" i="5"/>
  <c r="AB123" i="5"/>
  <c r="AC123" i="5"/>
  <c r="AD123" i="5"/>
  <c r="AE123" i="5"/>
  <c r="AF123" i="5"/>
  <c r="AG123" i="5"/>
  <c r="AH123" i="5"/>
  <c r="AH144" i="5" s="1"/>
  <c r="AH155" i="5" s="1"/>
  <c r="AH171" i="5" s="1"/>
  <c r="AK123" i="5"/>
  <c r="AM123" i="5"/>
  <c r="AN123" i="5"/>
  <c r="AO123" i="5"/>
  <c r="AP123" i="5"/>
  <c r="AR123" i="5"/>
  <c r="AS123" i="5"/>
  <c r="AT123" i="5"/>
  <c r="AU123" i="5"/>
  <c r="AV123" i="5"/>
  <c r="AW123" i="5"/>
  <c r="AX123" i="5"/>
  <c r="AX144" i="5" s="1"/>
  <c r="AX155" i="5" s="1"/>
  <c r="AX171" i="5" s="1"/>
  <c r="BA123" i="5"/>
  <c r="BC123" i="5"/>
  <c r="BD123" i="5"/>
  <c r="BE123" i="5"/>
  <c r="BF123" i="5"/>
  <c r="BH123" i="5"/>
  <c r="BI123" i="5"/>
  <c r="BJ123" i="5"/>
  <c r="BK123" i="5"/>
  <c r="BL123" i="5"/>
  <c r="BM123" i="5"/>
  <c r="BN123" i="5"/>
  <c r="BN144" i="5" s="1"/>
  <c r="BN155" i="5" s="1"/>
  <c r="BN171" i="5" s="1"/>
  <c r="BQ123" i="5"/>
  <c r="BS123" i="5"/>
  <c r="BT123" i="5"/>
  <c r="BU123" i="5"/>
  <c r="BV123" i="5"/>
  <c r="BX123" i="5"/>
  <c r="BY123" i="5"/>
  <c r="BZ123" i="5"/>
  <c r="AB124" i="5"/>
  <c r="AC124" i="5"/>
  <c r="AD124" i="5"/>
  <c r="AE124" i="5"/>
  <c r="AE131" i="5" s="1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U131" i="5" s="1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K131" i="5" s="1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R131" i="5" s="1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H131" i="5" s="1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X131" i="5" s="1"/>
  <c r="BY125" i="5"/>
  <c r="BZ125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O131" i="5" s="1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E131" i="5" s="1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U131" i="5" s="1"/>
  <c r="BV126" i="5"/>
  <c r="BW126" i="5"/>
  <c r="BX126" i="5"/>
  <c r="BY126" i="5"/>
  <c r="BZ126" i="5"/>
  <c r="AB127" i="5"/>
  <c r="AC127" i="5"/>
  <c r="AD127" i="5"/>
  <c r="AE127" i="5"/>
  <c r="AF127" i="5"/>
  <c r="AG127" i="5"/>
  <c r="AH127" i="5"/>
  <c r="AI127" i="5"/>
  <c r="AJ127" i="5"/>
  <c r="AK127" i="5"/>
  <c r="AL127" i="5"/>
  <c r="AL131" i="5" s="1"/>
  <c r="AL135" i="5" s="1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B131" i="5" s="1"/>
  <c r="BB135" i="5" s="1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R131" i="5" s="1"/>
  <c r="BR135" i="5" s="1"/>
  <c r="BS127" i="5"/>
  <c r="BT127" i="5"/>
  <c r="BU127" i="5"/>
  <c r="BV127" i="5"/>
  <c r="BW127" i="5"/>
  <c r="BX127" i="5"/>
  <c r="BY127" i="5"/>
  <c r="BZ127" i="5"/>
  <c r="AB128" i="5"/>
  <c r="AC128" i="5"/>
  <c r="AD128" i="5"/>
  <c r="AE128" i="5"/>
  <c r="AF128" i="5"/>
  <c r="AG128" i="5"/>
  <c r="AH128" i="5"/>
  <c r="AI128" i="5"/>
  <c r="AI131" i="5" s="1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Y131" i="5" s="1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O131" i="5" s="1"/>
  <c r="BP128" i="5"/>
  <c r="BQ128" i="5"/>
  <c r="BR128" i="5"/>
  <c r="BS128" i="5"/>
  <c r="BT128" i="5"/>
  <c r="BU128" i="5"/>
  <c r="BV128" i="5"/>
  <c r="BW128" i="5"/>
  <c r="BX128" i="5"/>
  <c r="BY128" i="5"/>
  <c r="BZ128" i="5"/>
  <c r="AB129" i="5"/>
  <c r="AC129" i="5"/>
  <c r="AD129" i="5"/>
  <c r="AE129" i="5"/>
  <c r="AF129" i="5"/>
  <c r="AF131" i="5" s="1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V131" i="5" s="1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L131" i="5" s="1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AB130" i="5"/>
  <c r="AC130" i="5"/>
  <c r="AC131" i="5" s="1"/>
  <c r="AD130" i="5"/>
  <c r="AE130" i="5"/>
  <c r="AF130" i="5"/>
  <c r="AG130" i="5"/>
  <c r="AH130" i="5"/>
  <c r="AI130" i="5"/>
  <c r="AJ130" i="5"/>
  <c r="AJ131" i="5" s="1"/>
  <c r="AK130" i="5"/>
  <c r="AL130" i="5"/>
  <c r="AM130" i="5"/>
  <c r="AN130" i="5"/>
  <c r="AO130" i="5"/>
  <c r="AP130" i="5"/>
  <c r="AQ130" i="5"/>
  <c r="AR130" i="5"/>
  <c r="AS130" i="5"/>
  <c r="AS131" i="5" s="1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I131" i="5" s="1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Y131" i="5" s="1"/>
  <c r="BZ130" i="5"/>
  <c r="AD131" i="5"/>
  <c r="AG131" i="5"/>
  <c r="AH131" i="5"/>
  <c r="AK131" i="5"/>
  <c r="AM131" i="5"/>
  <c r="AN131" i="5"/>
  <c r="AP131" i="5"/>
  <c r="AQ131" i="5"/>
  <c r="AT131" i="5"/>
  <c r="AW131" i="5"/>
  <c r="AX131" i="5"/>
  <c r="AZ131" i="5"/>
  <c r="BA131" i="5"/>
  <c r="BC131" i="5"/>
  <c r="BD131" i="5"/>
  <c r="BF131" i="5"/>
  <c r="BG131" i="5"/>
  <c r="BJ131" i="5"/>
  <c r="BM131" i="5"/>
  <c r="BN131" i="5"/>
  <c r="BP131" i="5"/>
  <c r="BQ131" i="5"/>
  <c r="BS131" i="5"/>
  <c r="BT131" i="5"/>
  <c r="BV131" i="5"/>
  <c r="BW131" i="5"/>
  <c r="BZ131" i="5"/>
  <c r="AB144" i="5"/>
  <c r="AC144" i="5"/>
  <c r="AD144" i="5"/>
  <c r="AE144" i="5"/>
  <c r="AF144" i="5"/>
  <c r="AG144" i="5"/>
  <c r="AK144" i="5"/>
  <c r="AM144" i="5"/>
  <c r="AN144" i="5"/>
  <c r="AO144" i="5"/>
  <c r="AP144" i="5"/>
  <c r="AR144" i="5"/>
  <c r="AS144" i="5"/>
  <c r="AT144" i="5"/>
  <c r="AU144" i="5"/>
  <c r="AV144" i="5"/>
  <c r="AW144" i="5"/>
  <c r="BA144" i="5"/>
  <c r="BC144" i="5"/>
  <c r="BD144" i="5"/>
  <c r="BE144" i="5"/>
  <c r="BF144" i="5"/>
  <c r="BH144" i="5"/>
  <c r="BI144" i="5"/>
  <c r="BJ144" i="5"/>
  <c r="BK144" i="5"/>
  <c r="BL144" i="5"/>
  <c r="BM144" i="5"/>
  <c r="BQ144" i="5"/>
  <c r="BS144" i="5"/>
  <c r="BT144" i="5"/>
  <c r="BU144" i="5"/>
  <c r="BV144" i="5"/>
  <c r="BX144" i="5"/>
  <c r="BY144" i="5"/>
  <c r="BZ144" i="5"/>
  <c r="AC145" i="5"/>
  <c r="AD145" i="5"/>
  <c r="AE145" i="5"/>
  <c r="AF145" i="5"/>
  <c r="AG145" i="5"/>
  <c r="AG150" i="5" s="1"/>
  <c r="AH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W150" i="5" s="1"/>
  <c r="AX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BM145" i="5"/>
  <c r="BM150" i="5" s="1"/>
  <c r="BN145" i="5"/>
  <c r="BP145" i="5"/>
  <c r="BQ145" i="5"/>
  <c r="BR145" i="5"/>
  <c r="BS145" i="5"/>
  <c r="BT145" i="5"/>
  <c r="BU145" i="5"/>
  <c r="BV145" i="5"/>
  <c r="BW145" i="5"/>
  <c r="BX145" i="5"/>
  <c r="BY145" i="5"/>
  <c r="BZ145" i="5"/>
  <c r="AB146" i="5"/>
  <c r="AC146" i="5"/>
  <c r="AD146" i="5"/>
  <c r="AD150" i="5" s="1"/>
  <c r="AD181" i="5" s="1"/>
  <c r="AE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T150" i="5" s="1"/>
  <c r="AT181" i="5" s="1"/>
  <c r="AU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J150" i="5" s="1"/>
  <c r="BJ181" i="5" s="1"/>
  <c r="BK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BZ150" i="5" s="1"/>
  <c r="BZ181" i="5" s="1"/>
  <c r="AB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Q150" i="5" s="1"/>
  <c r="AR147" i="5"/>
  <c r="AT147" i="5"/>
  <c r="AU147" i="5"/>
  <c r="AV147" i="5"/>
  <c r="AW147" i="5"/>
  <c r="AX147" i="5"/>
  <c r="AY147" i="5"/>
  <c r="AZ147" i="5"/>
  <c r="BA147" i="5"/>
  <c r="BB147" i="5"/>
  <c r="BC147" i="5"/>
  <c r="BD147" i="5"/>
  <c r="BE147" i="5"/>
  <c r="BF147" i="5"/>
  <c r="BG147" i="5"/>
  <c r="BG150" i="5" s="1"/>
  <c r="BG181" i="5" s="1"/>
  <c r="BH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W150" i="5" s="1"/>
  <c r="BX147" i="5"/>
  <c r="BZ147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N150" i="5" s="1"/>
  <c r="AO148" i="5"/>
  <c r="AQ148" i="5"/>
  <c r="AR148" i="5"/>
  <c r="AS148" i="5"/>
  <c r="AT148" i="5"/>
  <c r="AU148" i="5"/>
  <c r="AV148" i="5"/>
  <c r="AW148" i="5"/>
  <c r="AX148" i="5"/>
  <c r="AY148" i="5"/>
  <c r="AZ148" i="5"/>
  <c r="AZ150" i="5" s="1"/>
  <c r="BA148" i="5"/>
  <c r="BB148" i="5"/>
  <c r="BC148" i="5"/>
  <c r="BD148" i="5"/>
  <c r="BD150" i="5" s="1"/>
  <c r="BE148" i="5"/>
  <c r="BG148" i="5"/>
  <c r="BH148" i="5"/>
  <c r="BI148" i="5"/>
  <c r="BJ148" i="5"/>
  <c r="BK148" i="5"/>
  <c r="BL148" i="5"/>
  <c r="BM148" i="5"/>
  <c r="BN148" i="5"/>
  <c r="BO148" i="5"/>
  <c r="BP148" i="5"/>
  <c r="BP150" i="5" s="1"/>
  <c r="BP181" i="5" s="1"/>
  <c r="BQ148" i="5"/>
  <c r="BR148" i="5"/>
  <c r="BS148" i="5"/>
  <c r="BT148" i="5"/>
  <c r="BT150" i="5" s="1"/>
  <c r="BU148" i="5"/>
  <c r="BW148" i="5"/>
  <c r="BX148" i="5"/>
  <c r="BY148" i="5"/>
  <c r="BZ148" i="5"/>
  <c r="AB149" i="5"/>
  <c r="AC149" i="5"/>
  <c r="AD149" i="5"/>
  <c r="AE149" i="5"/>
  <c r="AE150" i="5" s="1"/>
  <c r="AE181" i="5" s="1"/>
  <c r="AF149" i="5"/>
  <c r="AG149" i="5"/>
  <c r="AH149" i="5"/>
  <c r="AI149" i="5"/>
  <c r="AJ149" i="5"/>
  <c r="AJ150" i="5" s="1"/>
  <c r="AK149" i="5"/>
  <c r="AK150" i="5" s="1"/>
  <c r="AL149" i="5"/>
  <c r="AN149" i="5"/>
  <c r="AO149" i="5"/>
  <c r="AP149" i="5"/>
  <c r="AQ149" i="5"/>
  <c r="AR149" i="5"/>
  <c r="AS149" i="5"/>
  <c r="AT149" i="5"/>
  <c r="AU149" i="5"/>
  <c r="AU150" i="5" s="1"/>
  <c r="AU181" i="5" s="1"/>
  <c r="AV149" i="5"/>
  <c r="AW149" i="5"/>
  <c r="AX149" i="5"/>
  <c r="AY149" i="5"/>
  <c r="AZ149" i="5"/>
  <c r="BA149" i="5"/>
  <c r="BA150" i="5" s="1"/>
  <c r="BB149" i="5"/>
  <c r="BD149" i="5"/>
  <c r="BE149" i="5"/>
  <c r="BF149" i="5"/>
  <c r="BG149" i="5"/>
  <c r="BH149" i="5"/>
  <c r="BI149" i="5"/>
  <c r="BJ149" i="5"/>
  <c r="BK149" i="5"/>
  <c r="BK150" i="5" s="1"/>
  <c r="BK181" i="5" s="1"/>
  <c r="BL149" i="5"/>
  <c r="BM149" i="5"/>
  <c r="BN149" i="5"/>
  <c r="BO149" i="5"/>
  <c r="BP149" i="5"/>
  <c r="BQ149" i="5"/>
  <c r="BQ150" i="5" s="1"/>
  <c r="BR149" i="5"/>
  <c r="BT149" i="5"/>
  <c r="BU149" i="5"/>
  <c r="BV149" i="5"/>
  <c r="BW149" i="5"/>
  <c r="BX149" i="5"/>
  <c r="BY149" i="5"/>
  <c r="BZ149" i="5"/>
  <c r="AH150" i="5"/>
  <c r="AH181" i="5" s="1"/>
  <c r="AL150" i="5"/>
  <c r="AO150" i="5"/>
  <c r="AR150" i="5"/>
  <c r="AX150" i="5"/>
  <c r="BB150" i="5"/>
  <c r="BE150" i="5"/>
  <c r="BH150" i="5"/>
  <c r="BN150" i="5"/>
  <c r="BR150" i="5"/>
  <c r="BU150" i="5"/>
  <c r="BX150" i="5"/>
  <c r="AB155" i="5"/>
  <c r="AC155" i="5"/>
  <c r="AD155" i="5"/>
  <c r="AE155" i="5"/>
  <c r="AE171" i="5" s="1"/>
  <c r="AF155" i="5"/>
  <c r="AG155" i="5"/>
  <c r="AK155" i="5"/>
  <c r="AM155" i="5"/>
  <c r="AN155" i="5"/>
  <c r="AO155" i="5"/>
  <c r="AP155" i="5"/>
  <c r="AR155" i="5"/>
  <c r="AS155" i="5"/>
  <c r="AT155" i="5"/>
  <c r="AU155" i="5"/>
  <c r="AU171" i="5" s="1"/>
  <c r="AV155" i="5"/>
  <c r="AW155" i="5"/>
  <c r="BA155" i="5"/>
  <c r="BC155" i="5"/>
  <c r="BD155" i="5"/>
  <c r="BE155" i="5"/>
  <c r="BF155" i="5"/>
  <c r="BH155" i="5"/>
  <c r="BI155" i="5"/>
  <c r="BJ155" i="5"/>
  <c r="BK155" i="5"/>
  <c r="BK171" i="5" s="1"/>
  <c r="BL155" i="5"/>
  <c r="BM155" i="5"/>
  <c r="BQ155" i="5"/>
  <c r="BS155" i="5"/>
  <c r="BT155" i="5"/>
  <c r="BU155" i="5"/>
  <c r="BV155" i="5"/>
  <c r="BX155" i="5"/>
  <c r="BY155" i="5"/>
  <c r="BZ155" i="5"/>
  <c r="AC156" i="5"/>
  <c r="AD156" i="5"/>
  <c r="AE156" i="5"/>
  <c r="AF156" i="5"/>
  <c r="AH156" i="5"/>
  <c r="AI156" i="5"/>
  <c r="AJ156" i="5"/>
  <c r="AK156" i="5"/>
  <c r="AL156" i="5"/>
  <c r="AM156" i="5"/>
  <c r="AN156" i="5"/>
  <c r="AO156" i="5"/>
  <c r="AP156" i="5"/>
  <c r="AQ156" i="5"/>
  <c r="AR156" i="5"/>
  <c r="AR166" i="5" s="1"/>
  <c r="AR181" i="5" s="1"/>
  <c r="AS156" i="5"/>
  <c r="AT156" i="5"/>
  <c r="AU156" i="5"/>
  <c r="AV156" i="5"/>
  <c r="AX156" i="5"/>
  <c r="AY156" i="5"/>
  <c r="AZ156" i="5"/>
  <c r="BA156" i="5"/>
  <c r="BB156" i="5"/>
  <c r="BC156" i="5"/>
  <c r="BD156" i="5"/>
  <c r="BE156" i="5"/>
  <c r="BF156" i="5"/>
  <c r="BG156" i="5"/>
  <c r="BH156" i="5"/>
  <c r="BI156" i="5"/>
  <c r="BJ156" i="5"/>
  <c r="BK156" i="5"/>
  <c r="BL156" i="5"/>
  <c r="BN156" i="5"/>
  <c r="BO156" i="5"/>
  <c r="BP156" i="5"/>
  <c r="BQ156" i="5"/>
  <c r="BR156" i="5"/>
  <c r="BS156" i="5"/>
  <c r="BT156" i="5"/>
  <c r="BU156" i="5"/>
  <c r="BV156" i="5"/>
  <c r="BW156" i="5"/>
  <c r="BX156" i="5"/>
  <c r="BY156" i="5"/>
  <c r="BZ156" i="5"/>
  <c r="AB157" i="5"/>
  <c r="AC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AS157" i="5"/>
  <c r="AU157" i="5"/>
  <c r="AV157" i="5"/>
  <c r="AW157" i="5"/>
  <c r="AX157" i="5"/>
  <c r="AY157" i="5"/>
  <c r="AZ157" i="5"/>
  <c r="BA157" i="5"/>
  <c r="BB157" i="5"/>
  <c r="BC157" i="5"/>
  <c r="BD157" i="5"/>
  <c r="BE157" i="5"/>
  <c r="BF157" i="5"/>
  <c r="BG157" i="5"/>
  <c r="BH157" i="5"/>
  <c r="BI157" i="5"/>
  <c r="BK157" i="5"/>
  <c r="BL157" i="5"/>
  <c r="BM157" i="5"/>
  <c r="BN157" i="5"/>
  <c r="BO157" i="5"/>
  <c r="BP157" i="5"/>
  <c r="BQ157" i="5"/>
  <c r="BR157" i="5"/>
  <c r="BS157" i="5"/>
  <c r="BT157" i="5"/>
  <c r="BU157" i="5"/>
  <c r="BV157" i="5"/>
  <c r="BW157" i="5"/>
  <c r="BX157" i="5"/>
  <c r="BY157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R158" i="5"/>
  <c r="AS158" i="5"/>
  <c r="AT158" i="5"/>
  <c r="AU158" i="5"/>
  <c r="AV158" i="5"/>
  <c r="AW158" i="5"/>
  <c r="AX158" i="5"/>
  <c r="AY158" i="5"/>
  <c r="AZ158" i="5"/>
  <c r="BA158" i="5"/>
  <c r="BB158" i="5"/>
  <c r="BC158" i="5"/>
  <c r="BD158" i="5"/>
  <c r="BE158" i="5"/>
  <c r="BF158" i="5"/>
  <c r="BH158" i="5"/>
  <c r="BI158" i="5"/>
  <c r="BJ158" i="5"/>
  <c r="BK158" i="5"/>
  <c r="BL158" i="5"/>
  <c r="BM158" i="5"/>
  <c r="BN158" i="5"/>
  <c r="BO158" i="5"/>
  <c r="BP158" i="5"/>
  <c r="BQ158" i="5"/>
  <c r="BR158" i="5"/>
  <c r="BS158" i="5"/>
  <c r="BT158" i="5"/>
  <c r="BU158" i="5"/>
  <c r="BV158" i="5"/>
  <c r="BX158" i="5"/>
  <c r="BY158" i="5"/>
  <c r="BZ158" i="5"/>
  <c r="AB159" i="5"/>
  <c r="AC159" i="5"/>
  <c r="AD159" i="5"/>
  <c r="AE159" i="5"/>
  <c r="AF159" i="5"/>
  <c r="AG159" i="5"/>
  <c r="AH159" i="5"/>
  <c r="AI159" i="5"/>
  <c r="AI166" i="5" s="1"/>
  <c r="AJ159" i="5"/>
  <c r="AK159" i="5"/>
  <c r="AL159" i="5"/>
  <c r="AM159" i="5"/>
  <c r="AO159" i="5"/>
  <c r="AP159" i="5"/>
  <c r="AQ159" i="5"/>
  <c r="AR159" i="5"/>
  <c r="AS159" i="5"/>
  <c r="AT159" i="5"/>
  <c r="AU159" i="5"/>
  <c r="AV159" i="5"/>
  <c r="AW159" i="5"/>
  <c r="AX159" i="5"/>
  <c r="AY159" i="5"/>
  <c r="AY166" i="5" s="1"/>
  <c r="AZ159" i="5"/>
  <c r="BA159" i="5"/>
  <c r="BB159" i="5"/>
  <c r="BC159" i="5"/>
  <c r="BE159" i="5"/>
  <c r="BF159" i="5"/>
  <c r="BG159" i="5"/>
  <c r="BH159" i="5"/>
  <c r="BI159" i="5"/>
  <c r="BJ159" i="5"/>
  <c r="BK159" i="5"/>
  <c r="BL159" i="5"/>
  <c r="BM159" i="5"/>
  <c r="BN159" i="5"/>
  <c r="BO159" i="5"/>
  <c r="BO166" i="5" s="1"/>
  <c r="BP159" i="5"/>
  <c r="BQ159" i="5"/>
  <c r="BR159" i="5"/>
  <c r="BS159" i="5"/>
  <c r="BU159" i="5"/>
  <c r="BV159" i="5"/>
  <c r="BW159" i="5"/>
  <c r="BX159" i="5"/>
  <c r="BY159" i="5"/>
  <c r="BZ159" i="5"/>
  <c r="AB160" i="5"/>
  <c r="AC160" i="5"/>
  <c r="AD160" i="5"/>
  <c r="AE160" i="5"/>
  <c r="AF160" i="5"/>
  <c r="AF166" i="5" s="1"/>
  <c r="AG160" i="5"/>
  <c r="AH160" i="5"/>
  <c r="AI160" i="5"/>
  <c r="AJ160" i="5"/>
  <c r="AL160" i="5"/>
  <c r="AM160" i="5"/>
  <c r="AN160" i="5"/>
  <c r="AO160" i="5"/>
  <c r="AP160" i="5"/>
  <c r="AQ160" i="5"/>
  <c r="AR160" i="5"/>
  <c r="AS160" i="5"/>
  <c r="AT160" i="5"/>
  <c r="AU160" i="5"/>
  <c r="AV160" i="5"/>
  <c r="AV166" i="5" s="1"/>
  <c r="AW160" i="5"/>
  <c r="AX160" i="5"/>
  <c r="AY160" i="5"/>
  <c r="AZ160" i="5"/>
  <c r="BB160" i="5"/>
  <c r="BC160" i="5"/>
  <c r="BD160" i="5"/>
  <c r="BE160" i="5"/>
  <c r="BF160" i="5"/>
  <c r="BG160" i="5"/>
  <c r="BH160" i="5"/>
  <c r="BI160" i="5"/>
  <c r="BJ160" i="5"/>
  <c r="BK160" i="5"/>
  <c r="BL160" i="5"/>
  <c r="BL166" i="5" s="1"/>
  <c r="BM160" i="5"/>
  <c r="BN160" i="5"/>
  <c r="BO160" i="5"/>
  <c r="BP160" i="5"/>
  <c r="BR160" i="5"/>
  <c r="BS160" i="5"/>
  <c r="BT160" i="5"/>
  <c r="BU160" i="5"/>
  <c r="BV160" i="5"/>
  <c r="BW160" i="5"/>
  <c r="BX160" i="5"/>
  <c r="BY160" i="5"/>
  <c r="BZ160" i="5"/>
  <c r="AC161" i="5"/>
  <c r="AC166" i="5" s="1"/>
  <c r="AD161" i="5"/>
  <c r="AE161" i="5"/>
  <c r="AF161" i="5"/>
  <c r="AG161" i="5"/>
  <c r="AI161" i="5"/>
  <c r="AJ161" i="5"/>
  <c r="AK161" i="5"/>
  <c r="AL161" i="5"/>
  <c r="AM161" i="5"/>
  <c r="AN161" i="5"/>
  <c r="AO161" i="5"/>
  <c r="AP161" i="5"/>
  <c r="AQ161" i="5"/>
  <c r="AR161" i="5"/>
  <c r="AS161" i="5"/>
  <c r="AS166" i="5" s="1"/>
  <c r="AT161" i="5"/>
  <c r="AU161" i="5"/>
  <c r="AV161" i="5"/>
  <c r="AW161" i="5"/>
  <c r="AY161" i="5"/>
  <c r="AZ161" i="5"/>
  <c r="BA161" i="5"/>
  <c r="BB161" i="5"/>
  <c r="BC161" i="5"/>
  <c r="BD161" i="5"/>
  <c r="BE161" i="5"/>
  <c r="BF161" i="5"/>
  <c r="BG161" i="5"/>
  <c r="BH161" i="5"/>
  <c r="BI161" i="5"/>
  <c r="BI166" i="5" s="1"/>
  <c r="BJ161" i="5"/>
  <c r="BK161" i="5"/>
  <c r="BL161" i="5"/>
  <c r="BM161" i="5"/>
  <c r="BO161" i="5"/>
  <c r="BP161" i="5"/>
  <c r="BQ161" i="5"/>
  <c r="BR161" i="5"/>
  <c r="BS161" i="5"/>
  <c r="BT161" i="5"/>
  <c r="BU161" i="5"/>
  <c r="BV161" i="5"/>
  <c r="BW161" i="5"/>
  <c r="BX161" i="5"/>
  <c r="BY161" i="5"/>
  <c r="BY166" i="5" s="1"/>
  <c r="BZ161" i="5"/>
  <c r="AB162" i="5"/>
  <c r="AC162" i="5"/>
  <c r="AD162" i="5"/>
  <c r="AF162" i="5"/>
  <c r="AG162" i="5"/>
  <c r="AH162" i="5"/>
  <c r="AI162" i="5"/>
  <c r="AJ162" i="5"/>
  <c r="AK162" i="5"/>
  <c r="AL162" i="5"/>
  <c r="AM162" i="5"/>
  <c r="AN162" i="5"/>
  <c r="AO162" i="5"/>
  <c r="AP162" i="5"/>
  <c r="AP166" i="5" s="1"/>
  <c r="AQ162" i="5"/>
  <c r="AR162" i="5"/>
  <c r="AS162" i="5"/>
  <c r="AT162" i="5"/>
  <c r="AV162" i="5"/>
  <c r="AW162" i="5"/>
  <c r="AX162" i="5"/>
  <c r="AY162" i="5"/>
  <c r="AZ162" i="5"/>
  <c r="BA162" i="5"/>
  <c r="BB162" i="5"/>
  <c r="BC162" i="5"/>
  <c r="BD162" i="5"/>
  <c r="BE162" i="5"/>
  <c r="BF162" i="5"/>
  <c r="BF166" i="5" s="1"/>
  <c r="BG162" i="5"/>
  <c r="BH162" i="5"/>
  <c r="BI162" i="5"/>
  <c r="BJ162" i="5"/>
  <c r="BL162" i="5"/>
  <c r="BM162" i="5"/>
  <c r="BN162" i="5"/>
  <c r="BO162" i="5"/>
  <c r="BP162" i="5"/>
  <c r="BQ162" i="5"/>
  <c r="BR162" i="5"/>
  <c r="BS162" i="5"/>
  <c r="BT162" i="5"/>
  <c r="BU162" i="5"/>
  <c r="BV162" i="5"/>
  <c r="BV166" i="5" s="1"/>
  <c r="BW162" i="5"/>
  <c r="BX162" i="5"/>
  <c r="BY162" i="5"/>
  <c r="BZ162" i="5"/>
  <c r="AC163" i="5"/>
  <c r="AD163" i="5"/>
  <c r="AE163" i="5"/>
  <c r="AF163" i="5"/>
  <c r="AG163" i="5"/>
  <c r="AH163" i="5"/>
  <c r="AI163" i="5"/>
  <c r="AJ163" i="5"/>
  <c r="AK163" i="5"/>
  <c r="AL163" i="5"/>
  <c r="AM163" i="5"/>
  <c r="AM166" i="5" s="1"/>
  <c r="AN163" i="5"/>
  <c r="AO163" i="5"/>
  <c r="AP163" i="5"/>
  <c r="AQ163" i="5"/>
  <c r="AS163" i="5"/>
  <c r="AT163" i="5"/>
  <c r="AU163" i="5"/>
  <c r="AV163" i="5"/>
  <c r="AW163" i="5"/>
  <c r="AX163" i="5"/>
  <c r="AY163" i="5"/>
  <c r="AZ163" i="5"/>
  <c r="BA163" i="5"/>
  <c r="BB163" i="5"/>
  <c r="BC163" i="5"/>
  <c r="BC166" i="5" s="1"/>
  <c r="BD163" i="5"/>
  <c r="BE163" i="5"/>
  <c r="BF163" i="5"/>
  <c r="BG163" i="5"/>
  <c r="BI163" i="5"/>
  <c r="BJ163" i="5"/>
  <c r="BK163" i="5"/>
  <c r="BL163" i="5"/>
  <c r="BM163" i="5"/>
  <c r="BN163" i="5"/>
  <c r="BO163" i="5"/>
  <c r="BP163" i="5"/>
  <c r="BQ163" i="5"/>
  <c r="BR163" i="5"/>
  <c r="BS163" i="5"/>
  <c r="BS166" i="5" s="1"/>
  <c r="BT163" i="5"/>
  <c r="BU163" i="5"/>
  <c r="BV163" i="5"/>
  <c r="BW163" i="5"/>
  <c r="BY163" i="5"/>
  <c r="BZ163" i="5"/>
  <c r="AB164" i="5"/>
  <c r="AC164" i="5"/>
  <c r="AD164" i="5"/>
  <c r="AE164" i="5"/>
  <c r="AF164" i="5"/>
  <c r="AG164" i="5"/>
  <c r="AH164" i="5"/>
  <c r="AI164" i="5"/>
  <c r="AJ164" i="5"/>
  <c r="AJ166" i="5" s="1"/>
  <c r="AK164" i="5"/>
  <c r="AL164" i="5"/>
  <c r="AM164" i="5"/>
  <c r="AN164" i="5"/>
  <c r="AP164" i="5"/>
  <c r="AQ164" i="5"/>
  <c r="AR164" i="5"/>
  <c r="AS164" i="5"/>
  <c r="AT164" i="5"/>
  <c r="AU164" i="5"/>
  <c r="AV164" i="5"/>
  <c r="AW164" i="5"/>
  <c r="AX164" i="5"/>
  <c r="AY164" i="5"/>
  <c r="AZ164" i="5"/>
  <c r="AZ166" i="5" s="1"/>
  <c r="BA164" i="5"/>
  <c r="BB164" i="5"/>
  <c r="BC164" i="5"/>
  <c r="BD164" i="5"/>
  <c r="BF164" i="5"/>
  <c r="BG164" i="5"/>
  <c r="BH164" i="5"/>
  <c r="BI164" i="5"/>
  <c r="BJ164" i="5"/>
  <c r="BK164" i="5"/>
  <c r="BL164" i="5"/>
  <c r="BM164" i="5"/>
  <c r="BN164" i="5"/>
  <c r="BO164" i="5"/>
  <c r="BP164" i="5"/>
  <c r="BP166" i="5" s="1"/>
  <c r="BQ164" i="5"/>
  <c r="BR164" i="5"/>
  <c r="BS164" i="5"/>
  <c r="BT164" i="5"/>
  <c r="BV164" i="5"/>
  <c r="BW164" i="5"/>
  <c r="BX164" i="5"/>
  <c r="BY164" i="5"/>
  <c r="BZ164" i="5"/>
  <c r="AB165" i="5"/>
  <c r="AC165" i="5"/>
  <c r="AD165" i="5"/>
  <c r="AE165" i="5"/>
  <c r="AF165" i="5"/>
  <c r="AG165" i="5"/>
  <c r="AH165" i="5"/>
  <c r="AI165" i="5"/>
  <c r="AJ165" i="5"/>
  <c r="AK165" i="5"/>
  <c r="AM165" i="5"/>
  <c r="AN165" i="5"/>
  <c r="AO165" i="5"/>
  <c r="AP165" i="5"/>
  <c r="AQ165" i="5"/>
  <c r="AR165" i="5"/>
  <c r="AS165" i="5"/>
  <c r="AT165" i="5"/>
  <c r="AU165" i="5"/>
  <c r="AV165" i="5"/>
  <c r="AW165" i="5"/>
  <c r="AX165" i="5"/>
  <c r="AY165" i="5"/>
  <c r="AZ165" i="5"/>
  <c r="BA165" i="5"/>
  <c r="BC165" i="5"/>
  <c r="BD165" i="5"/>
  <c r="BE165" i="5"/>
  <c r="BF165" i="5"/>
  <c r="BG165" i="5"/>
  <c r="BH165" i="5"/>
  <c r="BI165" i="5"/>
  <c r="BJ165" i="5"/>
  <c r="BK165" i="5"/>
  <c r="BL165" i="5"/>
  <c r="BM165" i="5"/>
  <c r="BN165" i="5"/>
  <c r="BO165" i="5"/>
  <c r="BP165" i="5"/>
  <c r="BQ165" i="5"/>
  <c r="BS165" i="5"/>
  <c r="BT165" i="5"/>
  <c r="BU165" i="5"/>
  <c r="BV165" i="5"/>
  <c r="BW165" i="5"/>
  <c r="BX165" i="5"/>
  <c r="BY165" i="5"/>
  <c r="BZ165" i="5"/>
  <c r="AB171" i="5"/>
  <c r="AC171" i="5"/>
  <c r="AD171" i="5"/>
  <c r="AF171" i="5"/>
  <c r="AG171" i="5"/>
  <c r="AK171" i="5"/>
  <c r="AM171" i="5"/>
  <c r="AN171" i="5"/>
  <c r="AO171" i="5"/>
  <c r="AP171" i="5"/>
  <c r="AR171" i="5"/>
  <c r="AS171" i="5"/>
  <c r="AT171" i="5"/>
  <c r="AV171" i="5"/>
  <c r="AW171" i="5"/>
  <c r="BA171" i="5"/>
  <c r="BC171" i="5"/>
  <c r="BD171" i="5"/>
  <c r="BE171" i="5"/>
  <c r="BF171" i="5"/>
  <c r="BH171" i="5"/>
  <c r="BI171" i="5"/>
  <c r="BJ171" i="5"/>
  <c r="BL171" i="5"/>
  <c r="BM171" i="5"/>
  <c r="BQ171" i="5"/>
  <c r="BS171" i="5"/>
  <c r="BT171" i="5"/>
  <c r="BU171" i="5"/>
  <c r="BV171" i="5"/>
  <c r="BX171" i="5"/>
  <c r="BY171" i="5"/>
  <c r="BZ171" i="5"/>
  <c r="AC172" i="5"/>
  <c r="AD172" i="5"/>
  <c r="AE172" i="5"/>
  <c r="AG172" i="5"/>
  <c r="AH172" i="5"/>
  <c r="AH179" i="5" s="1"/>
  <c r="AI172" i="5"/>
  <c r="AJ172" i="5"/>
  <c r="AK172" i="5"/>
  <c r="AL172" i="5"/>
  <c r="AM172" i="5"/>
  <c r="AN172" i="5"/>
  <c r="AN179" i="5" s="1"/>
  <c r="AO172" i="5"/>
  <c r="AP172" i="5"/>
  <c r="AQ172" i="5"/>
  <c r="AQ179" i="5" s="1"/>
  <c r="AR172" i="5"/>
  <c r="AS172" i="5"/>
  <c r="AT172" i="5"/>
  <c r="AU172" i="5"/>
  <c r="AW172" i="5"/>
  <c r="AX172" i="5"/>
  <c r="AY172" i="5"/>
  <c r="AZ172" i="5"/>
  <c r="BA172" i="5"/>
  <c r="BB172" i="5"/>
  <c r="BC172" i="5"/>
  <c r="BD172" i="5"/>
  <c r="BD179" i="5" s="1"/>
  <c r="BE172" i="5"/>
  <c r="BF172" i="5"/>
  <c r="BG172" i="5"/>
  <c r="BG179" i="5" s="1"/>
  <c r="BH172" i="5"/>
  <c r="BI172" i="5"/>
  <c r="BJ172" i="5"/>
  <c r="BK172" i="5"/>
  <c r="BM172" i="5"/>
  <c r="BN172" i="5"/>
  <c r="BO172" i="5"/>
  <c r="BP172" i="5"/>
  <c r="BQ172" i="5"/>
  <c r="BR172" i="5"/>
  <c r="BS172" i="5"/>
  <c r="BT172" i="5"/>
  <c r="BT179" i="5" s="1"/>
  <c r="BU172" i="5"/>
  <c r="BV172" i="5"/>
  <c r="BW172" i="5"/>
  <c r="BW179" i="5" s="1"/>
  <c r="BX172" i="5"/>
  <c r="BY172" i="5"/>
  <c r="BZ172" i="5"/>
  <c r="AB173" i="5"/>
  <c r="AD173" i="5"/>
  <c r="AE173" i="5"/>
  <c r="AE179" i="5" s="1"/>
  <c r="AF173" i="5"/>
  <c r="AG173" i="5"/>
  <c r="AH173" i="5"/>
  <c r="AI173" i="5"/>
  <c r="AJ173" i="5"/>
  <c r="AK173" i="5"/>
  <c r="AK179" i="5" s="1"/>
  <c r="AL173" i="5"/>
  <c r="AM173" i="5"/>
  <c r="AN173" i="5"/>
  <c r="AO173" i="5"/>
  <c r="AP173" i="5"/>
  <c r="AQ173" i="5"/>
  <c r="AR173" i="5"/>
  <c r="AT173" i="5"/>
  <c r="AU173" i="5"/>
  <c r="AU179" i="5" s="1"/>
  <c r="AV173" i="5"/>
  <c r="AW173" i="5"/>
  <c r="AX173" i="5"/>
  <c r="AY173" i="5"/>
  <c r="AZ173" i="5"/>
  <c r="BA173" i="5"/>
  <c r="BA179" i="5" s="1"/>
  <c r="BB173" i="5"/>
  <c r="BC173" i="5"/>
  <c r="BD173" i="5"/>
  <c r="BE173" i="5"/>
  <c r="BF173" i="5"/>
  <c r="BG173" i="5"/>
  <c r="BH173" i="5"/>
  <c r="BJ173" i="5"/>
  <c r="BK173" i="5"/>
  <c r="BK179" i="5" s="1"/>
  <c r="BL173" i="5"/>
  <c r="BM173" i="5"/>
  <c r="BN173" i="5"/>
  <c r="BO173" i="5"/>
  <c r="BP173" i="5"/>
  <c r="BQ173" i="5"/>
  <c r="BQ179" i="5" s="1"/>
  <c r="BR173" i="5"/>
  <c r="BS173" i="5"/>
  <c r="BT173" i="5"/>
  <c r="BU173" i="5"/>
  <c r="BV173" i="5"/>
  <c r="BW173" i="5"/>
  <c r="BX173" i="5"/>
  <c r="BZ173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Q174" i="5"/>
  <c r="AR174" i="5"/>
  <c r="AR179" i="5" s="1"/>
  <c r="AS174" i="5"/>
  <c r="AT174" i="5"/>
  <c r="AU174" i="5"/>
  <c r="AV174" i="5"/>
  <c r="AW174" i="5"/>
  <c r="AX174" i="5"/>
  <c r="AX179" i="5" s="1"/>
  <c r="AY174" i="5"/>
  <c r="AZ174" i="5"/>
  <c r="BA174" i="5"/>
  <c r="BB174" i="5"/>
  <c r="BC174" i="5"/>
  <c r="BD174" i="5"/>
  <c r="BE174" i="5"/>
  <c r="BG174" i="5"/>
  <c r="BH174" i="5"/>
  <c r="BH179" i="5" s="1"/>
  <c r="BI174" i="5"/>
  <c r="BJ174" i="5"/>
  <c r="BK174" i="5"/>
  <c r="BL174" i="5"/>
  <c r="BM174" i="5"/>
  <c r="BN174" i="5"/>
  <c r="BN179" i="5" s="1"/>
  <c r="BO174" i="5"/>
  <c r="BP174" i="5"/>
  <c r="BQ174" i="5"/>
  <c r="BR174" i="5"/>
  <c r="BS174" i="5"/>
  <c r="BT174" i="5"/>
  <c r="BU174" i="5"/>
  <c r="BW174" i="5"/>
  <c r="BX174" i="5"/>
  <c r="BX179" i="5" s="1"/>
  <c r="BY174" i="5"/>
  <c r="BZ174" i="5"/>
  <c r="AB175" i="5"/>
  <c r="AC175" i="5"/>
  <c r="AD175" i="5"/>
  <c r="AE175" i="5"/>
  <c r="AF175" i="5"/>
  <c r="AG175" i="5"/>
  <c r="AH175" i="5"/>
  <c r="AI175" i="5"/>
  <c r="AJ175" i="5"/>
  <c r="AK175" i="5"/>
  <c r="AL175" i="5"/>
  <c r="AN175" i="5"/>
  <c r="AO175" i="5"/>
  <c r="AO179" i="5" s="1"/>
  <c r="AP175" i="5"/>
  <c r="AQ175" i="5"/>
  <c r="AR175" i="5"/>
  <c r="AS175" i="5"/>
  <c r="AT175" i="5"/>
  <c r="AU175" i="5"/>
  <c r="AV175" i="5"/>
  <c r="AW175" i="5"/>
  <c r="AX175" i="5"/>
  <c r="AY175" i="5"/>
  <c r="AZ175" i="5"/>
  <c r="BA175" i="5"/>
  <c r="BB175" i="5"/>
  <c r="BD175" i="5"/>
  <c r="BE175" i="5"/>
  <c r="BE179" i="5" s="1"/>
  <c r="BF175" i="5"/>
  <c r="BG175" i="5"/>
  <c r="BH175" i="5"/>
  <c r="BI175" i="5"/>
  <c r="BJ175" i="5"/>
  <c r="BK175" i="5"/>
  <c r="BL175" i="5"/>
  <c r="BM175" i="5"/>
  <c r="BN175" i="5"/>
  <c r="BO175" i="5"/>
  <c r="BP175" i="5"/>
  <c r="BQ175" i="5"/>
  <c r="BR175" i="5"/>
  <c r="BT175" i="5"/>
  <c r="BU175" i="5"/>
  <c r="BU179" i="5" s="1"/>
  <c r="BV175" i="5"/>
  <c r="BW175" i="5"/>
  <c r="BX175" i="5"/>
  <c r="BY175" i="5"/>
  <c r="BZ175" i="5"/>
  <c r="AB176" i="5"/>
  <c r="AC176" i="5"/>
  <c r="AD176" i="5"/>
  <c r="AE176" i="5"/>
  <c r="AF176" i="5"/>
  <c r="AG176" i="5"/>
  <c r="AH176" i="5"/>
  <c r="AI176" i="5"/>
  <c r="AK176" i="5"/>
  <c r="AL176" i="5"/>
  <c r="AL179" i="5" s="1"/>
  <c r="AM176" i="5"/>
  <c r="AN176" i="5"/>
  <c r="AO176" i="5"/>
  <c r="AP176" i="5"/>
  <c r="AQ176" i="5"/>
  <c r="AR176" i="5"/>
  <c r="AS176" i="5"/>
  <c r="AT176" i="5"/>
  <c r="AU176" i="5"/>
  <c r="AV176" i="5"/>
  <c r="AW176" i="5"/>
  <c r="AX176" i="5"/>
  <c r="AY176" i="5"/>
  <c r="BA176" i="5"/>
  <c r="BB176" i="5"/>
  <c r="BB179" i="5" s="1"/>
  <c r="BC176" i="5"/>
  <c r="BD176" i="5"/>
  <c r="BE176" i="5"/>
  <c r="BF176" i="5"/>
  <c r="BG176" i="5"/>
  <c r="BH176" i="5"/>
  <c r="BI176" i="5"/>
  <c r="BJ176" i="5"/>
  <c r="BK176" i="5"/>
  <c r="BL176" i="5"/>
  <c r="BM176" i="5"/>
  <c r="BN176" i="5"/>
  <c r="BO176" i="5"/>
  <c r="BQ176" i="5"/>
  <c r="BR176" i="5"/>
  <c r="BR179" i="5" s="1"/>
  <c r="BS176" i="5"/>
  <c r="BT176" i="5"/>
  <c r="BU176" i="5"/>
  <c r="BV176" i="5"/>
  <c r="BW176" i="5"/>
  <c r="BX176" i="5"/>
  <c r="BY176" i="5"/>
  <c r="BZ176" i="5"/>
  <c r="AB177" i="5"/>
  <c r="AC177" i="5"/>
  <c r="AD177" i="5"/>
  <c r="AE177" i="5"/>
  <c r="AF177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AV177" i="5"/>
  <c r="AX177" i="5"/>
  <c r="AY177" i="5"/>
  <c r="AZ177" i="5"/>
  <c r="BA177" i="5"/>
  <c r="BB177" i="5"/>
  <c r="BC177" i="5"/>
  <c r="BD177" i="5"/>
  <c r="BE177" i="5"/>
  <c r="BF177" i="5"/>
  <c r="BG177" i="5"/>
  <c r="BH177" i="5"/>
  <c r="BI177" i="5"/>
  <c r="BJ177" i="5"/>
  <c r="BK177" i="5"/>
  <c r="BL177" i="5"/>
  <c r="BN177" i="5"/>
  <c r="BO177" i="5"/>
  <c r="BP177" i="5"/>
  <c r="BQ177" i="5"/>
  <c r="BR177" i="5"/>
  <c r="BS177" i="5"/>
  <c r="BT177" i="5"/>
  <c r="BU177" i="5"/>
  <c r="BV177" i="5"/>
  <c r="BW177" i="5"/>
  <c r="BX177" i="5"/>
  <c r="BY177" i="5"/>
  <c r="BZ177" i="5"/>
  <c r="AB178" i="5"/>
  <c r="AC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AR178" i="5"/>
  <c r="AS178" i="5"/>
  <c r="AU178" i="5"/>
  <c r="AV178" i="5"/>
  <c r="AW178" i="5"/>
  <c r="AX178" i="5"/>
  <c r="AY178" i="5"/>
  <c r="AZ178" i="5"/>
  <c r="BA178" i="5"/>
  <c r="BB178" i="5"/>
  <c r="BC178" i="5"/>
  <c r="BD178" i="5"/>
  <c r="BE178" i="5"/>
  <c r="BF178" i="5"/>
  <c r="BG178" i="5"/>
  <c r="BH178" i="5"/>
  <c r="BI178" i="5"/>
  <c r="BK178" i="5"/>
  <c r="BL178" i="5"/>
  <c r="BM178" i="5"/>
  <c r="BN178" i="5"/>
  <c r="BO178" i="5"/>
  <c r="BP178" i="5"/>
  <c r="BQ178" i="5"/>
  <c r="BR178" i="5"/>
  <c r="BS178" i="5"/>
  <c r="BT178" i="5"/>
  <c r="BU178" i="5"/>
  <c r="BV178" i="5"/>
  <c r="BW178" i="5"/>
  <c r="BX178" i="5"/>
  <c r="BY178" i="5"/>
  <c r="AI179" i="5"/>
  <c r="AY179" i="5"/>
  <c r="BO179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AA48" i="16" l="1"/>
  <c r="AA28" i="1" s="1"/>
  <c r="AA77" i="14"/>
  <c r="AA27" i="1" s="1"/>
  <c r="AA43" i="12"/>
  <c r="AA25" i="1" s="1"/>
  <c r="AA27" i="11"/>
  <c r="AA24" i="1" s="1"/>
  <c r="AA25" i="10"/>
  <c r="AA23" i="1" s="1"/>
  <c r="AA31" i="8"/>
  <c r="AA22" i="1" s="1"/>
  <c r="AA30" i="7"/>
  <c r="AA21" i="1" s="1"/>
  <c r="AA25" i="6"/>
  <c r="AA20" i="1" s="1"/>
  <c r="AB131" i="5"/>
  <c r="AB179" i="5"/>
  <c r="AB150" i="5"/>
  <c r="AB102" i="5"/>
  <c r="AB166" i="5"/>
  <c r="AO135" i="5"/>
  <c r="BH166" i="5"/>
  <c r="BH181" i="5" s="1"/>
  <c r="AQ181" i="5"/>
  <c r="BX166" i="5"/>
  <c r="BX181" i="5" s="1"/>
  <c r="BF181" i="5"/>
  <c r="BY181" i="5"/>
  <c r="AS181" i="5"/>
  <c r="AC181" i="5"/>
  <c r="BL181" i="5"/>
  <c r="AV181" i="5"/>
  <c r="AO166" i="5"/>
  <c r="AO181" i="5" s="1"/>
  <c r="BW181" i="5"/>
  <c r="AN181" i="5"/>
  <c r="BY135" i="5"/>
  <c r="BI135" i="5"/>
  <c r="AS135" i="5"/>
  <c r="AC135" i="5"/>
  <c r="BL135" i="5"/>
  <c r="AV135" i="5"/>
  <c r="AF135" i="5"/>
  <c r="BO135" i="5"/>
  <c r="AY135" i="5"/>
  <c r="AI135" i="5"/>
  <c r="BU166" i="5"/>
  <c r="BU181" i="5" s="1"/>
  <c r="BD181" i="5"/>
  <c r="BE135" i="5"/>
  <c r="AL166" i="5"/>
  <c r="AL181" i="5" s="1"/>
  <c r="BT181" i="5"/>
  <c r="BB166" i="5"/>
  <c r="BB181" i="5" s="1"/>
  <c r="BN181" i="5"/>
  <c r="AK181" i="5"/>
  <c r="BR166" i="5"/>
  <c r="BR181" i="5" s="1"/>
  <c r="BA181" i="5"/>
  <c r="AJ181" i="5"/>
  <c r="BE166" i="5"/>
  <c r="BE181" i="5" s="1"/>
  <c r="BQ181" i="5"/>
  <c r="AZ181" i="5"/>
  <c r="AG181" i="5"/>
  <c r="BU135" i="5"/>
  <c r="AX181" i="5"/>
  <c r="AW181" i="5"/>
  <c r="BX135" i="5"/>
  <c r="BH135" i="5"/>
  <c r="AR135" i="5"/>
  <c r="BK135" i="5"/>
  <c r="AU135" i="5"/>
  <c r="AE135" i="5"/>
  <c r="BT135" i="5"/>
  <c r="BD135" i="5"/>
  <c r="AN135" i="5"/>
  <c r="BM181" i="5"/>
  <c r="M172" i="5"/>
  <c r="M179" i="5" s="1"/>
  <c r="N172" i="5"/>
  <c r="N179" i="5" s="1"/>
  <c r="O172" i="5"/>
  <c r="O179" i="5" s="1"/>
  <c r="P172" i="5"/>
  <c r="P179" i="5" s="1"/>
  <c r="Q172" i="5"/>
  <c r="Q179" i="5" s="1"/>
  <c r="R172" i="5"/>
  <c r="R179" i="5" s="1"/>
  <c r="S172" i="5"/>
  <c r="M173" i="5"/>
  <c r="N173" i="5"/>
  <c r="O173" i="5"/>
  <c r="P173" i="5"/>
  <c r="Q173" i="5"/>
  <c r="R173" i="5"/>
  <c r="S173" i="5"/>
  <c r="S179" i="5" s="1"/>
  <c r="M174" i="5"/>
  <c r="N174" i="5"/>
  <c r="O174" i="5"/>
  <c r="P174" i="5"/>
  <c r="Q174" i="5"/>
  <c r="R174" i="5"/>
  <c r="S174" i="5"/>
  <c r="M175" i="5"/>
  <c r="N175" i="5"/>
  <c r="O175" i="5"/>
  <c r="P175" i="5"/>
  <c r="Q175" i="5"/>
  <c r="R175" i="5"/>
  <c r="S175" i="5"/>
  <c r="M176" i="5"/>
  <c r="N176" i="5"/>
  <c r="O176" i="5"/>
  <c r="P176" i="5"/>
  <c r="Q176" i="5"/>
  <c r="R176" i="5"/>
  <c r="S176" i="5"/>
  <c r="M177" i="5"/>
  <c r="N177" i="5"/>
  <c r="O177" i="5"/>
  <c r="P177" i="5"/>
  <c r="Q177" i="5"/>
  <c r="R177" i="5"/>
  <c r="S177" i="5"/>
  <c r="M178" i="5"/>
  <c r="N178" i="5"/>
  <c r="O178" i="5"/>
  <c r="P178" i="5"/>
  <c r="Q178" i="5"/>
  <c r="R178" i="5"/>
  <c r="S178" i="5"/>
  <c r="AB135" i="5" l="1"/>
  <c r="AA5" i="1" s="1"/>
  <c r="AA15" i="1" s="1"/>
  <c r="AA34" i="1" s="1"/>
  <c r="AB181" i="5"/>
  <c r="AA19" i="1" s="1"/>
  <c r="AA29" i="1" s="1"/>
  <c r="AA35" i="1" s="1"/>
  <c r="P5" i="1"/>
  <c r="O5" i="1" l="1"/>
  <c r="M21" i="1" l="1"/>
  <c r="M22" i="1"/>
  <c r="M23" i="1"/>
  <c r="M24" i="1"/>
  <c r="M25" i="1"/>
  <c r="M26" i="1"/>
  <c r="M27" i="1"/>
  <c r="M28" i="1"/>
  <c r="M5" i="1"/>
  <c r="N5" i="1"/>
  <c r="M7" i="1"/>
  <c r="M8" i="1"/>
  <c r="M9" i="1"/>
  <c r="M10" i="1"/>
  <c r="M11" i="1"/>
  <c r="M12" i="1"/>
  <c r="M13" i="1"/>
  <c r="M14" i="1"/>
  <c r="M23" i="16" l="1"/>
  <c r="N23" i="16"/>
  <c r="N14" i="1" s="1"/>
  <c r="O23" i="16"/>
  <c r="O14" i="1" s="1"/>
  <c r="P23" i="16"/>
  <c r="P14" i="1" s="1"/>
  <c r="Q23" i="16"/>
  <c r="Q14" i="1" s="1"/>
  <c r="R23" i="16"/>
  <c r="R14" i="1" s="1"/>
  <c r="S23" i="16"/>
  <c r="S14" i="1" s="1"/>
  <c r="T23" i="16"/>
  <c r="T14" i="1" s="1"/>
  <c r="U23" i="16"/>
  <c r="U14" i="1" s="1"/>
  <c r="V23" i="16"/>
  <c r="V14" i="1" s="1"/>
  <c r="W23" i="16"/>
  <c r="W14" i="1" s="1"/>
  <c r="X23" i="16"/>
  <c r="X14" i="1" s="1"/>
  <c r="Y23" i="16"/>
  <c r="Y14" i="1" s="1"/>
  <c r="Z23" i="16"/>
  <c r="Z14" i="1" s="1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X4" i="16"/>
  <c r="Y4" i="16"/>
  <c r="Z4" i="16"/>
  <c r="M4" i="16"/>
  <c r="N4" i="16"/>
  <c r="O4" i="16"/>
  <c r="P4" i="16"/>
  <c r="Q4" i="16"/>
  <c r="R4" i="16"/>
  <c r="S4" i="16"/>
  <c r="T4" i="16"/>
  <c r="U4" i="16"/>
  <c r="V4" i="16"/>
  <c r="W4" i="16"/>
  <c r="M37" i="14"/>
  <c r="N37" i="14"/>
  <c r="N13" i="1" s="1"/>
  <c r="O37" i="14"/>
  <c r="O13" i="1" s="1"/>
  <c r="P37" i="14"/>
  <c r="P13" i="1" s="1"/>
  <c r="Q37" i="14"/>
  <c r="Q13" i="1" s="1"/>
  <c r="R37" i="14"/>
  <c r="R13" i="1" s="1"/>
  <c r="S37" i="14"/>
  <c r="S13" i="1" s="1"/>
  <c r="T37" i="14"/>
  <c r="T13" i="1" s="1"/>
  <c r="U37" i="14"/>
  <c r="U13" i="1" s="1"/>
  <c r="V37" i="14"/>
  <c r="V13" i="1" s="1"/>
  <c r="W37" i="14"/>
  <c r="W13" i="1" s="1"/>
  <c r="X37" i="14"/>
  <c r="X13" i="1" s="1"/>
  <c r="Y37" i="14"/>
  <c r="Y13" i="1" s="1"/>
  <c r="Z37" i="14"/>
  <c r="Z13" i="1" s="1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Z4" i="14"/>
  <c r="Y4" i="14"/>
  <c r="M4" i="14"/>
  <c r="N4" i="14"/>
  <c r="O4" i="14"/>
  <c r="P4" i="14"/>
  <c r="Q4" i="14"/>
  <c r="R4" i="14"/>
  <c r="S4" i="14"/>
  <c r="T4" i="14"/>
  <c r="U4" i="14"/>
  <c r="V4" i="14"/>
  <c r="W4" i="14"/>
  <c r="X4" i="14"/>
  <c r="M16" i="13"/>
  <c r="N16" i="13"/>
  <c r="N12" i="1" s="1"/>
  <c r="O16" i="13"/>
  <c r="O12" i="1" s="1"/>
  <c r="P16" i="13"/>
  <c r="P12" i="1" s="1"/>
  <c r="Q16" i="13"/>
  <c r="Q12" i="1" s="1"/>
  <c r="R16" i="13"/>
  <c r="R12" i="1" s="1"/>
  <c r="S16" i="13"/>
  <c r="S12" i="1" s="1"/>
  <c r="T16" i="13"/>
  <c r="T12" i="1" s="1"/>
  <c r="U16" i="13"/>
  <c r="U12" i="1" s="1"/>
  <c r="V16" i="13"/>
  <c r="V12" i="1" s="1"/>
  <c r="W16" i="13"/>
  <c r="W12" i="1" s="1"/>
  <c r="X16" i="13"/>
  <c r="X12" i="1" s="1"/>
  <c r="Y16" i="13"/>
  <c r="Y12" i="1" s="1"/>
  <c r="Z16" i="13"/>
  <c r="Z12" i="1" s="1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M27" i="13"/>
  <c r="N27" i="13"/>
  <c r="O27" i="13"/>
  <c r="P27" i="13"/>
  <c r="Q27" i="13"/>
  <c r="Q35" i="13" s="1"/>
  <c r="Q26" i="1" s="1"/>
  <c r="R27" i="13"/>
  <c r="S27" i="13"/>
  <c r="T27" i="13"/>
  <c r="U27" i="13"/>
  <c r="V27" i="13"/>
  <c r="W27" i="13"/>
  <c r="X27" i="13"/>
  <c r="Y27" i="13"/>
  <c r="Z27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M20" i="12"/>
  <c r="N20" i="12"/>
  <c r="N11" i="1" s="1"/>
  <c r="O20" i="12"/>
  <c r="O11" i="1" s="1"/>
  <c r="P20" i="12"/>
  <c r="P11" i="1" s="1"/>
  <c r="Q20" i="12"/>
  <c r="Q11" i="1" s="1"/>
  <c r="R20" i="12"/>
  <c r="R11" i="1" s="1"/>
  <c r="S20" i="12"/>
  <c r="S11" i="1" s="1"/>
  <c r="T20" i="12"/>
  <c r="T11" i="1" s="1"/>
  <c r="U20" i="12"/>
  <c r="U11" i="1" s="1"/>
  <c r="V20" i="12"/>
  <c r="V11" i="1" s="1"/>
  <c r="W20" i="12"/>
  <c r="W11" i="1" s="1"/>
  <c r="X20" i="12"/>
  <c r="X11" i="1" s="1"/>
  <c r="Y20" i="12"/>
  <c r="Y11" i="1" s="1"/>
  <c r="Z20" i="12"/>
  <c r="Z11" i="1" s="1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Z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M12" i="11"/>
  <c r="N12" i="11"/>
  <c r="N10" i="1" s="1"/>
  <c r="O12" i="11"/>
  <c r="O10" i="1" s="1"/>
  <c r="P12" i="11"/>
  <c r="P10" i="1" s="1"/>
  <c r="Q12" i="11"/>
  <c r="Q10" i="1" s="1"/>
  <c r="R12" i="11"/>
  <c r="R10" i="1" s="1"/>
  <c r="S12" i="11"/>
  <c r="S10" i="1" s="1"/>
  <c r="T12" i="11"/>
  <c r="T10" i="1" s="1"/>
  <c r="U12" i="11"/>
  <c r="U10" i="1" s="1"/>
  <c r="V12" i="11"/>
  <c r="V10" i="1" s="1"/>
  <c r="W12" i="11"/>
  <c r="W10" i="1" s="1"/>
  <c r="X12" i="11"/>
  <c r="X10" i="1" s="1"/>
  <c r="Y12" i="11"/>
  <c r="Y10" i="1" s="1"/>
  <c r="Z12" i="11"/>
  <c r="Z10" i="1" s="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X27" i="11" s="1"/>
  <c r="X24" i="1" s="1"/>
  <c r="Y21" i="11"/>
  <c r="Z21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M10" i="10"/>
  <c r="N10" i="10"/>
  <c r="N9" i="1" s="1"/>
  <c r="O10" i="10"/>
  <c r="O9" i="1" s="1"/>
  <c r="P10" i="10"/>
  <c r="P9" i="1" s="1"/>
  <c r="Q10" i="10"/>
  <c r="Q9" i="1" s="1"/>
  <c r="R10" i="10"/>
  <c r="R9" i="1" s="1"/>
  <c r="S10" i="10"/>
  <c r="S9" i="1" s="1"/>
  <c r="T10" i="10"/>
  <c r="T9" i="1" s="1"/>
  <c r="U10" i="10"/>
  <c r="U9" i="1" s="1"/>
  <c r="V10" i="10"/>
  <c r="V9" i="1" s="1"/>
  <c r="W10" i="10"/>
  <c r="W9" i="1" s="1"/>
  <c r="X10" i="10"/>
  <c r="X9" i="1" s="1"/>
  <c r="Y10" i="10"/>
  <c r="Y9" i="1" s="1"/>
  <c r="Z10" i="10"/>
  <c r="Z9" i="1" s="1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M20" i="10"/>
  <c r="N20" i="10"/>
  <c r="O20" i="10"/>
  <c r="P20" i="10"/>
  <c r="Q20" i="10"/>
  <c r="R20" i="10"/>
  <c r="S20" i="10"/>
  <c r="T20" i="10"/>
  <c r="U20" i="10"/>
  <c r="U25" i="10" s="1"/>
  <c r="U23" i="1" s="1"/>
  <c r="V20" i="10"/>
  <c r="W20" i="10"/>
  <c r="X20" i="10"/>
  <c r="Y20" i="10"/>
  <c r="Z20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M14" i="8"/>
  <c r="N14" i="8"/>
  <c r="N8" i="1" s="1"/>
  <c r="O14" i="8"/>
  <c r="O8" i="1" s="1"/>
  <c r="P14" i="8"/>
  <c r="P8" i="1" s="1"/>
  <c r="Q14" i="8"/>
  <c r="Q8" i="1" s="1"/>
  <c r="R14" i="8"/>
  <c r="R8" i="1" s="1"/>
  <c r="S14" i="8"/>
  <c r="S8" i="1" s="1"/>
  <c r="T14" i="8"/>
  <c r="T8" i="1" s="1"/>
  <c r="U14" i="8"/>
  <c r="U8" i="1" s="1"/>
  <c r="V14" i="8"/>
  <c r="V8" i="1" s="1"/>
  <c r="W14" i="8"/>
  <c r="W8" i="1" s="1"/>
  <c r="X14" i="8"/>
  <c r="X8" i="1" s="1"/>
  <c r="Y14" i="8"/>
  <c r="Y8" i="1" s="1"/>
  <c r="Z14" i="8"/>
  <c r="Z8" i="1" s="1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Z4" i="8"/>
  <c r="M4" i="8"/>
  <c r="N4" i="8"/>
  <c r="O4" i="8"/>
  <c r="P4" i="8"/>
  <c r="Q4" i="8"/>
  <c r="R4" i="8"/>
  <c r="S4" i="8"/>
  <c r="T4" i="8"/>
  <c r="U4" i="8"/>
  <c r="V4" i="8"/>
  <c r="W4" i="8"/>
  <c r="X4" i="8"/>
  <c r="Y4" i="8"/>
  <c r="M13" i="7"/>
  <c r="N13" i="7"/>
  <c r="N7" i="1" s="1"/>
  <c r="O13" i="7"/>
  <c r="O7" i="1" s="1"/>
  <c r="P13" i="7"/>
  <c r="P7" i="1" s="1"/>
  <c r="Q13" i="7"/>
  <c r="Q7" i="1" s="1"/>
  <c r="R13" i="7"/>
  <c r="R7" i="1" s="1"/>
  <c r="S13" i="7"/>
  <c r="S7" i="1" s="1"/>
  <c r="T13" i="7"/>
  <c r="T7" i="1" s="1"/>
  <c r="U13" i="7"/>
  <c r="U7" i="1" s="1"/>
  <c r="V13" i="7"/>
  <c r="V7" i="1" s="1"/>
  <c r="W13" i="7"/>
  <c r="W7" i="1" s="1"/>
  <c r="X13" i="7"/>
  <c r="X7" i="1" s="1"/>
  <c r="Y13" i="7"/>
  <c r="Y7" i="1" s="1"/>
  <c r="Z13" i="7"/>
  <c r="Z7" i="1" s="1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W4" i="7"/>
  <c r="X4" i="7"/>
  <c r="Y4" i="7"/>
  <c r="Z4" i="7"/>
  <c r="M4" i="7"/>
  <c r="N4" i="7"/>
  <c r="O4" i="7"/>
  <c r="P4" i="7"/>
  <c r="Q4" i="7"/>
  <c r="R4" i="7"/>
  <c r="S4" i="7"/>
  <c r="T4" i="7"/>
  <c r="U4" i="7"/>
  <c r="V4" i="7"/>
  <c r="M10" i="6"/>
  <c r="M6" i="1" s="1"/>
  <c r="M15" i="1" s="1"/>
  <c r="M34" i="1" s="1"/>
  <c r="N10" i="6"/>
  <c r="N6" i="1" s="1"/>
  <c r="O10" i="6"/>
  <c r="O6" i="1" s="1"/>
  <c r="P10" i="6"/>
  <c r="P6" i="1" s="1"/>
  <c r="Q10" i="6"/>
  <c r="Q6" i="1" s="1"/>
  <c r="R10" i="6"/>
  <c r="R6" i="1" s="1"/>
  <c r="S10" i="6"/>
  <c r="S6" i="1" s="1"/>
  <c r="T10" i="6"/>
  <c r="T6" i="1" s="1"/>
  <c r="U10" i="6"/>
  <c r="U6" i="1" s="1"/>
  <c r="V10" i="6"/>
  <c r="V6" i="1" s="1"/>
  <c r="W10" i="6"/>
  <c r="W6" i="1" s="1"/>
  <c r="X10" i="6"/>
  <c r="X6" i="1" s="1"/>
  <c r="Y10" i="6"/>
  <c r="Y6" i="1" s="1"/>
  <c r="Z10" i="6"/>
  <c r="Z6" i="1" s="1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W4" i="6"/>
  <c r="X4" i="6"/>
  <c r="Y4" i="6"/>
  <c r="Z4" i="6"/>
  <c r="M4" i="6"/>
  <c r="N4" i="6"/>
  <c r="O4" i="6"/>
  <c r="P4" i="6"/>
  <c r="Q4" i="6"/>
  <c r="R4" i="6"/>
  <c r="S4" i="6"/>
  <c r="T4" i="6"/>
  <c r="U4" i="6"/>
  <c r="V4" i="6"/>
  <c r="O53" i="5"/>
  <c r="P53" i="5"/>
  <c r="Q53" i="5"/>
  <c r="Q64" i="5" s="1"/>
  <c r="Q80" i="5" s="1"/>
  <c r="Q96" i="5" s="1"/>
  <c r="Q107" i="5" s="1"/>
  <c r="Q123" i="5" s="1"/>
  <c r="Q144" i="5" s="1"/>
  <c r="Q155" i="5" s="1"/>
  <c r="Q171" i="5" s="1"/>
  <c r="R53" i="5"/>
  <c r="R64" i="5" s="1"/>
  <c r="R80" i="5" s="1"/>
  <c r="R96" i="5" s="1"/>
  <c r="R107" i="5" s="1"/>
  <c r="R123" i="5" s="1"/>
  <c r="R144" i="5" s="1"/>
  <c r="R155" i="5" s="1"/>
  <c r="R171" i="5" s="1"/>
  <c r="S53" i="5"/>
  <c r="T53" i="5"/>
  <c r="U53" i="5"/>
  <c r="V53" i="5"/>
  <c r="W53" i="5"/>
  <c r="X53" i="5"/>
  <c r="Y53" i="5"/>
  <c r="Y64" i="5" s="1"/>
  <c r="Y80" i="5" s="1"/>
  <c r="Y96" i="5" s="1"/>
  <c r="Y107" i="5" s="1"/>
  <c r="Y123" i="5" s="1"/>
  <c r="Y144" i="5" s="1"/>
  <c r="Y155" i="5" s="1"/>
  <c r="Y171" i="5" s="1"/>
  <c r="Z53" i="5"/>
  <c r="Z64" i="5" s="1"/>
  <c r="Z80" i="5" s="1"/>
  <c r="Z96" i="5" s="1"/>
  <c r="Z107" i="5" s="1"/>
  <c r="Z123" i="5" s="1"/>
  <c r="Z144" i="5" s="1"/>
  <c r="Z155" i="5" s="1"/>
  <c r="Z171" i="5" s="1"/>
  <c r="AA53" i="5"/>
  <c r="O54" i="5"/>
  <c r="P54" i="5"/>
  <c r="P145" i="5" s="1"/>
  <c r="Q54" i="5"/>
  <c r="Q145" i="5" s="1"/>
  <c r="R54" i="5"/>
  <c r="S54" i="5"/>
  <c r="T54" i="5"/>
  <c r="T145" i="5" s="1"/>
  <c r="U54" i="5"/>
  <c r="U145" i="5" s="1"/>
  <c r="V54" i="5"/>
  <c r="W54" i="5"/>
  <c r="X54" i="5"/>
  <c r="Y54" i="5"/>
  <c r="Z54" i="5"/>
  <c r="Z145" i="5" s="1"/>
  <c r="AA54" i="5"/>
  <c r="O55" i="5"/>
  <c r="O146" i="5" s="1"/>
  <c r="P55" i="5"/>
  <c r="P146" i="5" s="1"/>
  <c r="Q55" i="5"/>
  <c r="R55" i="5"/>
  <c r="S55" i="5"/>
  <c r="S146" i="5" s="1"/>
  <c r="T55" i="5"/>
  <c r="T146" i="5" s="1"/>
  <c r="U55" i="5"/>
  <c r="V55" i="5"/>
  <c r="W55" i="5"/>
  <c r="W146" i="5" s="1"/>
  <c r="X55" i="5"/>
  <c r="X146" i="5" s="1"/>
  <c r="Y55" i="5"/>
  <c r="Z55" i="5"/>
  <c r="AA55" i="5"/>
  <c r="O56" i="5"/>
  <c r="O147" i="5" s="1"/>
  <c r="P56" i="5"/>
  <c r="P147" i="5" s="1"/>
  <c r="Q56" i="5"/>
  <c r="R56" i="5"/>
  <c r="R147" i="5" s="1"/>
  <c r="S56" i="5"/>
  <c r="S147" i="5" s="1"/>
  <c r="T56" i="5"/>
  <c r="U56" i="5"/>
  <c r="U147" i="5" s="1"/>
  <c r="V56" i="5"/>
  <c r="V147" i="5" s="1"/>
  <c r="W56" i="5"/>
  <c r="W147" i="5" s="1"/>
  <c r="X56" i="5"/>
  <c r="X147" i="5" s="1"/>
  <c r="Y56" i="5"/>
  <c r="Y147" i="5" s="1"/>
  <c r="Z56" i="5"/>
  <c r="Z147" i="5" s="1"/>
  <c r="AA56" i="5"/>
  <c r="AA147" i="5" s="1"/>
  <c r="O57" i="5"/>
  <c r="P57" i="5"/>
  <c r="P148" i="5" s="1"/>
  <c r="Q57" i="5"/>
  <c r="R57" i="5"/>
  <c r="S57" i="5"/>
  <c r="T57" i="5"/>
  <c r="T148" i="5" s="1"/>
  <c r="U57" i="5"/>
  <c r="U148" i="5" s="1"/>
  <c r="V57" i="5"/>
  <c r="V148" i="5" s="1"/>
  <c r="W57" i="5"/>
  <c r="X57" i="5"/>
  <c r="X148" i="5" s="1"/>
  <c r="Y57" i="5"/>
  <c r="Y148" i="5" s="1"/>
  <c r="Z57" i="5"/>
  <c r="Z148" i="5" s="1"/>
  <c r="AA57" i="5"/>
  <c r="O58" i="5"/>
  <c r="P58" i="5"/>
  <c r="P149" i="5" s="1"/>
  <c r="Q58" i="5"/>
  <c r="Q149" i="5" s="1"/>
  <c r="R58" i="5"/>
  <c r="S58" i="5"/>
  <c r="S149" i="5" s="1"/>
  <c r="T58" i="5"/>
  <c r="U58" i="5"/>
  <c r="V58" i="5"/>
  <c r="W58" i="5"/>
  <c r="X58" i="5"/>
  <c r="X149" i="5" s="1"/>
  <c r="Y58" i="5"/>
  <c r="Y149" i="5" s="1"/>
  <c r="Z58" i="5"/>
  <c r="AA58" i="5"/>
  <c r="AA149" i="5" s="1"/>
  <c r="O64" i="5"/>
  <c r="O80" i="5" s="1"/>
  <c r="O96" i="5" s="1"/>
  <c r="O107" i="5" s="1"/>
  <c r="O123" i="5" s="1"/>
  <c r="O144" i="5" s="1"/>
  <c r="O155" i="5" s="1"/>
  <c r="O171" i="5" s="1"/>
  <c r="P64" i="5"/>
  <c r="P80" i="5" s="1"/>
  <c r="P96" i="5" s="1"/>
  <c r="P107" i="5" s="1"/>
  <c r="P123" i="5" s="1"/>
  <c r="P144" i="5" s="1"/>
  <c r="P155" i="5" s="1"/>
  <c r="P171" i="5" s="1"/>
  <c r="S64" i="5"/>
  <c r="S80" i="5" s="1"/>
  <c r="S96" i="5" s="1"/>
  <c r="S107" i="5" s="1"/>
  <c r="S123" i="5" s="1"/>
  <c r="S144" i="5" s="1"/>
  <c r="S155" i="5" s="1"/>
  <c r="S171" i="5" s="1"/>
  <c r="T64" i="5"/>
  <c r="T80" i="5" s="1"/>
  <c r="T96" i="5" s="1"/>
  <c r="T107" i="5" s="1"/>
  <c r="T123" i="5" s="1"/>
  <c r="T144" i="5" s="1"/>
  <c r="T155" i="5" s="1"/>
  <c r="T171" i="5" s="1"/>
  <c r="U64" i="5"/>
  <c r="V64" i="5"/>
  <c r="W64" i="5"/>
  <c r="X64" i="5"/>
  <c r="AA64" i="5"/>
  <c r="AA80" i="5" s="1"/>
  <c r="AA96" i="5" s="1"/>
  <c r="AA107" i="5" s="1"/>
  <c r="AA123" i="5" s="1"/>
  <c r="AA144" i="5" s="1"/>
  <c r="AA155" i="5" s="1"/>
  <c r="AA171" i="5" s="1"/>
  <c r="O65" i="5"/>
  <c r="O156" i="5" s="1"/>
  <c r="P65" i="5"/>
  <c r="Q65" i="5"/>
  <c r="R65" i="5"/>
  <c r="R156" i="5" s="1"/>
  <c r="S65" i="5"/>
  <c r="S156" i="5" s="1"/>
  <c r="T65" i="5"/>
  <c r="U65" i="5"/>
  <c r="V65" i="5"/>
  <c r="V156" i="5" s="1"/>
  <c r="W65" i="5"/>
  <c r="W156" i="5" s="1"/>
  <c r="X65" i="5"/>
  <c r="Y65" i="5"/>
  <c r="Z65" i="5"/>
  <c r="AA65" i="5"/>
  <c r="AA156" i="5" s="1"/>
  <c r="O66" i="5"/>
  <c r="P66" i="5"/>
  <c r="Q66" i="5"/>
  <c r="Q157" i="5" s="1"/>
  <c r="R66" i="5"/>
  <c r="R157" i="5" s="1"/>
  <c r="S66" i="5"/>
  <c r="S157" i="5" s="1"/>
  <c r="T66" i="5"/>
  <c r="T157" i="5" s="1"/>
  <c r="U66" i="5"/>
  <c r="U157" i="5" s="1"/>
  <c r="V66" i="5"/>
  <c r="V157" i="5" s="1"/>
  <c r="W66" i="5"/>
  <c r="X66" i="5"/>
  <c r="Y66" i="5"/>
  <c r="Y157" i="5" s="1"/>
  <c r="Z66" i="5"/>
  <c r="Z157" i="5" s="1"/>
  <c r="AA66" i="5"/>
  <c r="O67" i="5"/>
  <c r="O158" i="5" s="1"/>
  <c r="P67" i="5"/>
  <c r="P158" i="5" s="1"/>
  <c r="Q67" i="5"/>
  <c r="R67" i="5"/>
  <c r="S67" i="5"/>
  <c r="T67" i="5"/>
  <c r="T158" i="5" s="1"/>
  <c r="U67" i="5"/>
  <c r="U158" i="5" s="1"/>
  <c r="V67" i="5"/>
  <c r="W67" i="5"/>
  <c r="W158" i="5" s="1"/>
  <c r="X67" i="5"/>
  <c r="X158" i="5" s="1"/>
  <c r="Y67" i="5"/>
  <c r="Y158" i="5" s="1"/>
  <c r="Z67" i="5"/>
  <c r="AA67" i="5"/>
  <c r="AA158" i="5" s="1"/>
  <c r="O68" i="5"/>
  <c r="O159" i="5" s="1"/>
  <c r="P68" i="5"/>
  <c r="P159" i="5" s="1"/>
  <c r="Q68" i="5"/>
  <c r="R68" i="5"/>
  <c r="S68" i="5"/>
  <c r="S159" i="5" s="1"/>
  <c r="T68" i="5"/>
  <c r="U68" i="5"/>
  <c r="V68" i="5"/>
  <c r="W68" i="5"/>
  <c r="W159" i="5" s="1"/>
  <c r="X68" i="5"/>
  <c r="X159" i="5" s="1"/>
  <c r="Y68" i="5"/>
  <c r="Y159" i="5" s="1"/>
  <c r="Z68" i="5"/>
  <c r="Z159" i="5" s="1"/>
  <c r="AA68" i="5"/>
  <c r="AA159" i="5" s="1"/>
  <c r="O69" i="5"/>
  <c r="O160" i="5" s="1"/>
  <c r="P69" i="5"/>
  <c r="Q69" i="5"/>
  <c r="R69" i="5"/>
  <c r="R160" i="5" s="1"/>
  <c r="S69" i="5"/>
  <c r="S160" i="5" s="1"/>
  <c r="T69" i="5"/>
  <c r="U69" i="5"/>
  <c r="V69" i="5"/>
  <c r="W69" i="5"/>
  <c r="X69" i="5"/>
  <c r="Y69" i="5"/>
  <c r="Z69" i="5"/>
  <c r="Z160" i="5" s="1"/>
  <c r="AA69" i="5"/>
  <c r="AA160" i="5" s="1"/>
  <c r="O70" i="5"/>
  <c r="O161" i="5" s="1"/>
  <c r="P70" i="5"/>
  <c r="Q70" i="5"/>
  <c r="Q161" i="5" s="1"/>
  <c r="R70" i="5"/>
  <c r="R161" i="5" s="1"/>
  <c r="S70" i="5"/>
  <c r="T70" i="5"/>
  <c r="U70" i="5"/>
  <c r="U161" i="5" s="1"/>
  <c r="V70" i="5"/>
  <c r="V161" i="5" s="1"/>
  <c r="W70" i="5"/>
  <c r="X70" i="5"/>
  <c r="X161" i="5" s="1"/>
  <c r="Y70" i="5"/>
  <c r="Z70" i="5"/>
  <c r="AA70" i="5"/>
  <c r="O71" i="5"/>
  <c r="P71" i="5"/>
  <c r="P162" i="5" s="1"/>
  <c r="Q71" i="5"/>
  <c r="Q162" i="5" s="1"/>
  <c r="R71" i="5"/>
  <c r="R162" i="5" s="1"/>
  <c r="S71" i="5"/>
  <c r="T71" i="5"/>
  <c r="T162" i="5" s="1"/>
  <c r="U71" i="5"/>
  <c r="U162" i="5" s="1"/>
  <c r="V71" i="5"/>
  <c r="W71" i="5"/>
  <c r="X71" i="5"/>
  <c r="X162" i="5" s="1"/>
  <c r="Y71" i="5"/>
  <c r="Y162" i="5" s="1"/>
  <c r="Z71" i="5"/>
  <c r="AA71" i="5"/>
  <c r="O72" i="5"/>
  <c r="O163" i="5" s="1"/>
  <c r="P72" i="5"/>
  <c r="P163" i="5" s="1"/>
  <c r="Q72" i="5"/>
  <c r="Q163" i="5" s="1"/>
  <c r="R72" i="5"/>
  <c r="S72" i="5"/>
  <c r="S163" i="5" s="1"/>
  <c r="T72" i="5"/>
  <c r="T163" i="5" s="1"/>
  <c r="U72" i="5"/>
  <c r="V72" i="5"/>
  <c r="V163" i="5" s="1"/>
  <c r="W72" i="5"/>
  <c r="W163" i="5" s="1"/>
  <c r="X72" i="5"/>
  <c r="X163" i="5" s="1"/>
  <c r="Y72" i="5"/>
  <c r="Z72" i="5"/>
  <c r="AA72" i="5"/>
  <c r="AA163" i="5" s="1"/>
  <c r="O73" i="5"/>
  <c r="O164" i="5" s="1"/>
  <c r="P73" i="5"/>
  <c r="Q73" i="5"/>
  <c r="Q164" i="5" s="1"/>
  <c r="R73" i="5"/>
  <c r="S73" i="5"/>
  <c r="S164" i="5" s="1"/>
  <c r="T73" i="5"/>
  <c r="U73" i="5"/>
  <c r="V73" i="5"/>
  <c r="V164" i="5" s="1"/>
  <c r="W73" i="5"/>
  <c r="W164" i="5" s="1"/>
  <c r="X73" i="5"/>
  <c r="Y73" i="5"/>
  <c r="Z73" i="5"/>
  <c r="Z164" i="5" s="1"/>
  <c r="AA73" i="5"/>
  <c r="AA164" i="5" s="1"/>
  <c r="O74" i="5"/>
  <c r="P74" i="5"/>
  <c r="Q74" i="5"/>
  <c r="Q165" i="5" s="1"/>
  <c r="R74" i="5"/>
  <c r="R165" i="5" s="1"/>
  <c r="S74" i="5"/>
  <c r="T74" i="5"/>
  <c r="U74" i="5"/>
  <c r="U165" i="5" s="1"/>
  <c r="V74" i="5"/>
  <c r="W74" i="5"/>
  <c r="X74" i="5"/>
  <c r="Y74" i="5"/>
  <c r="Y165" i="5" s="1"/>
  <c r="Z74" i="5"/>
  <c r="Z165" i="5" s="1"/>
  <c r="AA74" i="5"/>
  <c r="U80" i="5"/>
  <c r="U96" i="5" s="1"/>
  <c r="U107" i="5" s="1"/>
  <c r="U123" i="5" s="1"/>
  <c r="U144" i="5" s="1"/>
  <c r="U155" i="5" s="1"/>
  <c r="U171" i="5" s="1"/>
  <c r="V80" i="5"/>
  <c r="W80" i="5"/>
  <c r="X80" i="5"/>
  <c r="O81" i="5"/>
  <c r="P81" i="5"/>
  <c r="Q81" i="5"/>
  <c r="R81" i="5"/>
  <c r="S81" i="5"/>
  <c r="T81" i="5"/>
  <c r="T172" i="5" s="1"/>
  <c r="U81" i="5"/>
  <c r="U172" i="5" s="1"/>
  <c r="V81" i="5"/>
  <c r="V172" i="5" s="1"/>
  <c r="W81" i="5"/>
  <c r="W172" i="5" s="1"/>
  <c r="X81" i="5"/>
  <c r="X172" i="5" s="1"/>
  <c r="Y81" i="5"/>
  <c r="Y172" i="5" s="1"/>
  <c r="Z81" i="5"/>
  <c r="Z172" i="5" s="1"/>
  <c r="AA81" i="5"/>
  <c r="AA172" i="5" s="1"/>
  <c r="O82" i="5"/>
  <c r="P82" i="5"/>
  <c r="Q82" i="5"/>
  <c r="R82" i="5"/>
  <c r="S82" i="5"/>
  <c r="T82" i="5"/>
  <c r="T173" i="5" s="1"/>
  <c r="U82" i="5"/>
  <c r="U173" i="5" s="1"/>
  <c r="V82" i="5"/>
  <c r="V173" i="5" s="1"/>
  <c r="W82" i="5"/>
  <c r="W173" i="5" s="1"/>
  <c r="X82" i="5"/>
  <c r="X173" i="5" s="1"/>
  <c r="Y82" i="5"/>
  <c r="Y173" i="5" s="1"/>
  <c r="Z82" i="5"/>
  <c r="Z173" i="5" s="1"/>
  <c r="AA82" i="5"/>
  <c r="AA173" i="5" s="1"/>
  <c r="O83" i="5"/>
  <c r="P83" i="5"/>
  <c r="Q83" i="5"/>
  <c r="R83" i="5"/>
  <c r="S83" i="5"/>
  <c r="T83" i="5"/>
  <c r="T174" i="5" s="1"/>
  <c r="U83" i="5"/>
  <c r="U174" i="5" s="1"/>
  <c r="V83" i="5"/>
  <c r="V174" i="5" s="1"/>
  <c r="W83" i="5"/>
  <c r="W174" i="5" s="1"/>
  <c r="X83" i="5"/>
  <c r="X174" i="5" s="1"/>
  <c r="Y83" i="5"/>
  <c r="Y174" i="5" s="1"/>
  <c r="Z83" i="5"/>
  <c r="Z174" i="5" s="1"/>
  <c r="AA83" i="5"/>
  <c r="AA174" i="5" s="1"/>
  <c r="O84" i="5"/>
  <c r="P84" i="5"/>
  <c r="Q84" i="5"/>
  <c r="R84" i="5"/>
  <c r="S84" i="5"/>
  <c r="T84" i="5"/>
  <c r="T175" i="5" s="1"/>
  <c r="U84" i="5"/>
  <c r="U175" i="5" s="1"/>
  <c r="V84" i="5"/>
  <c r="V175" i="5" s="1"/>
  <c r="W84" i="5"/>
  <c r="W175" i="5" s="1"/>
  <c r="X84" i="5"/>
  <c r="X175" i="5" s="1"/>
  <c r="Y84" i="5"/>
  <c r="Y175" i="5" s="1"/>
  <c r="Z84" i="5"/>
  <c r="Z175" i="5" s="1"/>
  <c r="AA84" i="5"/>
  <c r="AA175" i="5" s="1"/>
  <c r="O85" i="5"/>
  <c r="P85" i="5"/>
  <c r="Q85" i="5"/>
  <c r="R85" i="5"/>
  <c r="S85" i="5"/>
  <c r="T85" i="5"/>
  <c r="T176" i="5" s="1"/>
  <c r="U85" i="5"/>
  <c r="U176" i="5" s="1"/>
  <c r="V85" i="5"/>
  <c r="V176" i="5" s="1"/>
  <c r="W85" i="5"/>
  <c r="W176" i="5" s="1"/>
  <c r="X85" i="5"/>
  <c r="X176" i="5" s="1"/>
  <c r="Y85" i="5"/>
  <c r="Y176" i="5" s="1"/>
  <c r="Z85" i="5"/>
  <c r="Z176" i="5" s="1"/>
  <c r="AA85" i="5"/>
  <c r="AA176" i="5" s="1"/>
  <c r="O86" i="5"/>
  <c r="P86" i="5"/>
  <c r="Q86" i="5"/>
  <c r="R86" i="5"/>
  <c r="S86" i="5"/>
  <c r="T86" i="5"/>
  <c r="T177" i="5" s="1"/>
  <c r="U86" i="5"/>
  <c r="U177" i="5" s="1"/>
  <c r="V86" i="5"/>
  <c r="V177" i="5" s="1"/>
  <c r="W86" i="5"/>
  <c r="W177" i="5" s="1"/>
  <c r="X86" i="5"/>
  <c r="X177" i="5" s="1"/>
  <c r="Y86" i="5"/>
  <c r="Y177" i="5" s="1"/>
  <c r="Z86" i="5"/>
  <c r="Z177" i="5" s="1"/>
  <c r="AA86" i="5"/>
  <c r="AA177" i="5" s="1"/>
  <c r="O87" i="5"/>
  <c r="P87" i="5"/>
  <c r="Q87" i="5"/>
  <c r="R87" i="5"/>
  <c r="S87" i="5"/>
  <c r="T87" i="5"/>
  <c r="T178" i="5" s="1"/>
  <c r="U87" i="5"/>
  <c r="U178" i="5" s="1"/>
  <c r="V87" i="5"/>
  <c r="V178" i="5" s="1"/>
  <c r="W87" i="5"/>
  <c r="W178" i="5" s="1"/>
  <c r="X87" i="5"/>
  <c r="X178" i="5" s="1"/>
  <c r="Y87" i="5"/>
  <c r="Y178" i="5" s="1"/>
  <c r="Z87" i="5"/>
  <c r="Z178" i="5" s="1"/>
  <c r="AA87" i="5"/>
  <c r="AA178" i="5" s="1"/>
  <c r="V96" i="5"/>
  <c r="W96" i="5"/>
  <c r="W107" i="5" s="1"/>
  <c r="W123" i="5" s="1"/>
  <c r="W144" i="5" s="1"/>
  <c r="W155" i="5" s="1"/>
  <c r="W171" i="5" s="1"/>
  <c r="X96" i="5"/>
  <c r="X107" i="5" s="1"/>
  <c r="X123" i="5" s="1"/>
  <c r="X144" i="5" s="1"/>
  <c r="X155" i="5" s="1"/>
  <c r="X171" i="5" s="1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V107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V123" i="5"/>
  <c r="V144" i="5" s="1"/>
  <c r="V155" i="5" s="1"/>
  <c r="V171" i="5" s="1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O145" i="5"/>
  <c r="R145" i="5"/>
  <c r="S145" i="5"/>
  <c r="V145" i="5"/>
  <c r="W145" i="5"/>
  <c r="X145" i="5"/>
  <c r="Y145" i="5"/>
  <c r="AA145" i="5"/>
  <c r="Q146" i="5"/>
  <c r="R146" i="5"/>
  <c r="U146" i="5"/>
  <c r="V146" i="5"/>
  <c r="Y146" i="5"/>
  <c r="Z146" i="5"/>
  <c r="AA146" i="5"/>
  <c r="Q147" i="5"/>
  <c r="T147" i="5"/>
  <c r="O148" i="5"/>
  <c r="Q148" i="5"/>
  <c r="R148" i="5"/>
  <c r="S148" i="5"/>
  <c r="W148" i="5"/>
  <c r="AA148" i="5"/>
  <c r="O149" i="5"/>
  <c r="R149" i="5"/>
  <c r="T149" i="5"/>
  <c r="U149" i="5"/>
  <c r="V149" i="5"/>
  <c r="W149" i="5"/>
  <c r="Z149" i="5"/>
  <c r="P156" i="5"/>
  <c r="Q156" i="5"/>
  <c r="T156" i="5"/>
  <c r="U156" i="5"/>
  <c r="X156" i="5"/>
  <c r="Y156" i="5"/>
  <c r="Z156" i="5"/>
  <c r="O157" i="5"/>
  <c r="P157" i="5"/>
  <c r="W157" i="5"/>
  <c r="X157" i="5"/>
  <c r="AA157" i="5"/>
  <c r="Q158" i="5"/>
  <c r="R158" i="5"/>
  <c r="S158" i="5"/>
  <c r="V158" i="5"/>
  <c r="Z158" i="5"/>
  <c r="Q159" i="5"/>
  <c r="R159" i="5"/>
  <c r="T159" i="5"/>
  <c r="U159" i="5"/>
  <c r="V159" i="5"/>
  <c r="P160" i="5"/>
  <c r="Q160" i="5"/>
  <c r="T160" i="5"/>
  <c r="U160" i="5"/>
  <c r="V160" i="5"/>
  <c r="W160" i="5"/>
  <c r="X160" i="5"/>
  <c r="Y160" i="5"/>
  <c r="P161" i="5"/>
  <c r="S161" i="5"/>
  <c r="T161" i="5"/>
  <c r="W161" i="5"/>
  <c r="Y161" i="5"/>
  <c r="Z161" i="5"/>
  <c r="AA161" i="5"/>
  <c r="O162" i="5"/>
  <c r="S162" i="5"/>
  <c r="V162" i="5"/>
  <c r="W162" i="5"/>
  <c r="Z162" i="5"/>
  <c r="AA162" i="5"/>
  <c r="R163" i="5"/>
  <c r="U163" i="5"/>
  <c r="Y163" i="5"/>
  <c r="Z163" i="5"/>
  <c r="P164" i="5"/>
  <c r="R164" i="5"/>
  <c r="T164" i="5"/>
  <c r="U164" i="5"/>
  <c r="X164" i="5"/>
  <c r="Y164" i="5"/>
  <c r="O165" i="5"/>
  <c r="P165" i="5"/>
  <c r="S165" i="5"/>
  <c r="T165" i="5"/>
  <c r="V165" i="5"/>
  <c r="W165" i="5"/>
  <c r="X165" i="5"/>
  <c r="AA165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A3" i="5"/>
  <c r="O3" i="5"/>
  <c r="P3" i="5"/>
  <c r="Q3" i="5"/>
  <c r="R3" i="5"/>
  <c r="S3" i="5"/>
  <c r="T3" i="5"/>
  <c r="U3" i="5"/>
  <c r="V3" i="5"/>
  <c r="W3" i="5"/>
  <c r="X3" i="5"/>
  <c r="Y3" i="5"/>
  <c r="Z3" i="5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N53" i="5"/>
  <c r="N54" i="5"/>
  <c r="N145" i="5" s="1"/>
  <c r="N55" i="5"/>
  <c r="N56" i="5"/>
  <c r="N147" i="5" s="1"/>
  <c r="N57" i="5"/>
  <c r="N148" i="5" s="1"/>
  <c r="N58" i="5"/>
  <c r="N149" i="5" s="1"/>
  <c r="N64" i="5"/>
  <c r="N65" i="5"/>
  <c r="N156" i="5" s="1"/>
  <c r="N66" i="5"/>
  <c r="N157" i="5" s="1"/>
  <c r="N67" i="5"/>
  <c r="N158" i="5" s="1"/>
  <c r="N68" i="5"/>
  <c r="N159" i="5" s="1"/>
  <c r="N69" i="5"/>
  <c r="N160" i="5" s="1"/>
  <c r="N70" i="5"/>
  <c r="N161" i="5" s="1"/>
  <c r="N71" i="5"/>
  <c r="N162" i="5" s="1"/>
  <c r="N72" i="5"/>
  <c r="N163" i="5" s="1"/>
  <c r="N73" i="5"/>
  <c r="N164" i="5" s="1"/>
  <c r="N74" i="5"/>
  <c r="N165" i="5" s="1"/>
  <c r="N80" i="5"/>
  <c r="N81" i="5"/>
  <c r="N82" i="5"/>
  <c r="N83" i="5"/>
  <c r="N84" i="5"/>
  <c r="N85" i="5"/>
  <c r="N86" i="5"/>
  <c r="N87" i="5"/>
  <c r="N96" i="5"/>
  <c r="N107" i="5" s="1"/>
  <c r="N123" i="5" s="1"/>
  <c r="N144" i="5" s="1"/>
  <c r="N155" i="5" s="1"/>
  <c r="N171" i="5" s="1"/>
  <c r="N97" i="5"/>
  <c r="N98" i="5"/>
  <c r="N99" i="5"/>
  <c r="N100" i="5"/>
  <c r="N101" i="5"/>
  <c r="N108" i="5"/>
  <c r="N109" i="5"/>
  <c r="N110" i="5"/>
  <c r="N111" i="5"/>
  <c r="N112" i="5"/>
  <c r="N113" i="5"/>
  <c r="N114" i="5"/>
  <c r="N115" i="5"/>
  <c r="N116" i="5"/>
  <c r="N117" i="5"/>
  <c r="N124" i="5"/>
  <c r="N125" i="5"/>
  <c r="N126" i="5"/>
  <c r="N127" i="5"/>
  <c r="N128" i="5"/>
  <c r="N129" i="5"/>
  <c r="N130" i="5"/>
  <c r="N146" i="5"/>
  <c r="N30" i="5"/>
  <c r="N14" i="5"/>
  <c r="N3" i="5"/>
  <c r="M18" i="1"/>
  <c r="M33" i="1"/>
  <c r="Z48" i="16" l="1"/>
  <c r="Z28" i="1" s="1"/>
  <c r="Z77" i="14"/>
  <c r="Z27" i="1" s="1"/>
  <c r="Z35" i="13"/>
  <c r="Z26" i="1" s="1"/>
  <c r="Z43" i="12"/>
  <c r="Z25" i="1" s="1"/>
  <c r="Z27" i="11"/>
  <c r="Z24" i="1" s="1"/>
  <c r="Z25" i="10"/>
  <c r="Z23" i="1" s="1"/>
  <c r="Z31" i="8"/>
  <c r="Z22" i="1" s="1"/>
  <c r="Z30" i="7"/>
  <c r="Z21" i="1" s="1"/>
  <c r="Z25" i="6"/>
  <c r="Z20" i="1" s="1"/>
  <c r="AA131" i="5"/>
  <c r="AA179" i="5"/>
  <c r="AA150" i="5"/>
  <c r="AA118" i="5"/>
  <c r="AA102" i="5"/>
  <c r="Y48" i="16"/>
  <c r="Y28" i="1" s="1"/>
  <c r="Y77" i="14"/>
  <c r="Y27" i="1" s="1"/>
  <c r="Y35" i="13"/>
  <c r="Y26" i="1" s="1"/>
  <c r="Y43" i="12"/>
  <c r="Y25" i="1" s="1"/>
  <c r="Y27" i="11"/>
  <c r="Y24" i="1" s="1"/>
  <c r="Y25" i="10"/>
  <c r="Y23" i="1" s="1"/>
  <c r="Y31" i="8"/>
  <c r="Y22" i="1" s="1"/>
  <c r="Y30" i="7"/>
  <c r="Y21" i="1" s="1"/>
  <c r="Y25" i="6"/>
  <c r="Y20" i="1" s="1"/>
  <c r="Z131" i="5"/>
  <c r="Z179" i="5"/>
  <c r="Z102" i="5"/>
  <c r="Z118" i="5"/>
  <c r="Z166" i="5"/>
  <c r="Z150" i="5"/>
  <c r="X48" i="16"/>
  <c r="X28" i="1" s="1"/>
  <c r="X77" i="14"/>
  <c r="X27" i="1" s="1"/>
  <c r="X35" i="13"/>
  <c r="X26" i="1" s="1"/>
  <c r="X43" i="12"/>
  <c r="X25" i="1" s="1"/>
  <c r="X25" i="10"/>
  <c r="X23" i="1" s="1"/>
  <c r="X31" i="8"/>
  <c r="X22" i="1" s="1"/>
  <c r="X30" i="7"/>
  <c r="X21" i="1" s="1"/>
  <c r="X25" i="6"/>
  <c r="X20" i="1" s="1"/>
  <c r="Y179" i="5"/>
  <c r="Y131" i="5"/>
  <c r="Y118" i="5"/>
  <c r="Y102" i="5"/>
  <c r="W48" i="16"/>
  <c r="W28" i="1" s="1"/>
  <c r="W77" i="14"/>
  <c r="W27" i="1" s="1"/>
  <c r="W35" i="13"/>
  <c r="W26" i="1" s="1"/>
  <c r="W43" i="12"/>
  <c r="W25" i="1" s="1"/>
  <c r="W27" i="11"/>
  <c r="W24" i="1" s="1"/>
  <c r="W25" i="10"/>
  <c r="W23" i="1" s="1"/>
  <c r="W31" i="8"/>
  <c r="W22" i="1" s="1"/>
  <c r="W30" i="7"/>
  <c r="W21" i="1" s="1"/>
  <c r="W25" i="6"/>
  <c r="W20" i="1" s="1"/>
  <c r="X179" i="5"/>
  <c r="X131" i="5"/>
  <c r="X118" i="5"/>
  <c r="X102" i="5"/>
  <c r="X150" i="5"/>
  <c r="V48" i="16"/>
  <c r="V28" i="1" s="1"/>
  <c r="V77" i="14"/>
  <c r="V27" i="1" s="1"/>
  <c r="V35" i="13"/>
  <c r="V26" i="1" s="1"/>
  <c r="V43" i="12"/>
  <c r="V25" i="1" s="1"/>
  <c r="V27" i="11"/>
  <c r="V24" i="1" s="1"/>
  <c r="V25" i="10"/>
  <c r="V23" i="1" s="1"/>
  <c r="V31" i="8"/>
  <c r="V22" i="1" s="1"/>
  <c r="V30" i="7"/>
  <c r="V21" i="1" s="1"/>
  <c r="V25" i="6"/>
  <c r="V20" i="1" s="1"/>
  <c r="W179" i="5"/>
  <c r="W131" i="5"/>
  <c r="W166" i="5"/>
  <c r="W102" i="5"/>
  <c r="W118" i="5"/>
  <c r="U48" i="16"/>
  <c r="U28" i="1" s="1"/>
  <c r="U77" i="14"/>
  <c r="U27" i="1" s="1"/>
  <c r="U35" i="13"/>
  <c r="U26" i="1" s="1"/>
  <c r="U43" i="12"/>
  <c r="U25" i="1" s="1"/>
  <c r="U27" i="11"/>
  <c r="U24" i="1" s="1"/>
  <c r="U31" i="8"/>
  <c r="U22" i="1" s="1"/>
  <c r="U30" i="7"/>
  <c r="U21" i="1" s="1"/>
  <c r="U25" i="6"/>
  <c r="U20" i="1" s="1"/>
  <c r="V131" i="5"/>
  <c r="V179" i="5"/>
  <c r="V102" i="5"/>
  <c r="V118" i="5"/>
  <c r="T48" i="16"/>
  <c r="T28" i="1" s="1"/>
  <c r="T77" i="14"/>
  <c r="T27" i="1" s="1"/>
  <c r="T35" i="13"/>
  <c r="T26" i="1" s="1"/>
  <c r="T43" i="12"/>
  <c r="T25" i="1" s="1"/>
  <c r="T27" i="11"/>
  <c r="T24" i="1" s="1"/>
  <c r="T25" i="10"/>
  <c r="T23" i="1" s="1"/>
  <c r="T31" i="8"/>
  <c r="T22" i="1" s="1"/>
  <c r="T30" i="7"/>
  <c r="T21" i="1" s="1"/>
  <c r="T25" i="6"/>
  <c r="T20" i="1" s="1"/>
  <c r="U131" i="5"/>
  <c r="U179" i="5"/>
  <c r="U118" i="5"/>
  <c r="U150" i="5"/>
  <c r="U102" i="5"/>
  <c r="S48" i="16"/>
  <c r="S28" i="1" s="1"/>
  <c r="S77" i="14"/>
  <c r="S27" i="1" s="1"/>
  <c r="S35" i="13"/>
  <c r="S26" i="1" s="1"/>
  <c r="S43" i="12"/>
  <c r="S25" i="1" s="1"/>
  <c r="S27" i="11"/>
  <c r="S24" i="1" s="1"/>
  <c r="S25" i="10"/>
  <c r="S23" i="1" s="1"/>
  <c r="S31" i="8"/>
  <c r="S22" i="1" s="1"/>
  <c r="S30" i="7"/>
  <c r="S21" i="1" s="1"/>
  <c r="S25" i="6"/>
  <c r="S20" i="1" s="1"/>
  <c r="T131" i="5"/>
  <c r="T179" i="5"/>
  <c r="T166" i="5"/>
  <c r="T118" i="5"/>
  <c r="T102" i="5"/>
  <c r="R30" i="7"/>
  <c r="R21" i="1" s="1"/>
  <c r="R48" i="16"/>
  <c r="R28" i="1" s="1"/>
  <c r="R77" i="14"/>
  <c r="R27" i="1" s="1"/>
  <c r="R35" i="13"/>
  <c r="R26" i="1" s="1"/>
  <c r="R43" i="12"/>
  <c r="R25" i="1" s="1"/>
  <c r="R27" i="11"/>
  <c r="R24" i="1" s="1"/>
  <c r="R25" i="10"/>
  <c r="R23" i="1" s="1"/>
  <c r="R31" i="8"/>
  <c r="R22" i="1" s="1"/>
  <c r="R25" i="6"/>
  <c r="R20" i="1" s="1"/>
  <c r="S131" i="5"/>
  <c r="S118" i="5"/>
  <c r="S102" i="5"/>
  <c r="S166" i="5"/>
  <c r="Q48" i="16"/>
  <c r="Q28" i="1" s="1"/>
  <c r="Q77" i="14"/>
  <c r="Q27" i="1" s="1"/>
  <c r="Q43" i="12"/>
  <c r="Q25" i="1" s="1"/>
  <c r="Q27" i="11"/>
  <c r="Q24" i="1" s="1"/>
  <c r="Q25" i="10"/>
  <c r="Q23" i="1" s="1"/>
  <c r="Q31" i="8"/>
  <c r="Q22" i="1" s="1"/>
  <c r="Q30" i="7"/>
  <c r="Q21" i="1" s="1"/>
  <c r="Q25" i="6"/>
  <c r="Q20" i="1" s="1"/>
  <c r="R131" i="5"/>
  <c r="R118" i="5"/>
  <c r="R102" i="5"/>
  <c r="R150" i="5"/>
  <c r="P48" i="16"/>
  <c r="P28" i="1" s="1"/>
  <c r="P77" i="14"/>
  <c r="P27" i="1" s="1"/>
  <c r="P35" i="13"/>
  <c r="P26" i="1" s="1"/>
  <c r="P43" i="12"/>
  <c r="P25" i="1" s="1"/>
  <c r="P27" i="11"/>
  <c r="P24" i="1" s="1"/>
  <c r="P25" i="10"/>
  <c r="P23" i="1" s="1"/>
  <c r="P31" i="8"/>
  <c r="P22" i="1" s="1"/>
  <c r="P30" i="7"/>
  <c r="P21" i="1" s="1"/>
  <c r="P15" i="1"/>
  <c r="P34" i="1" s="1"/>
  <c r="P25" i="6"/>
  <c r="P20" i="1" s="1"/>
  <c r="Q131" i="5"/>
  <c r="Q118" i="5"/>
  <c r="Q102" i="5"/>
  <c r="Q150" i="5"/>
  <c r="O48" i="16"/>
  <c r="O28" i="1" s="1"/>
  <c r="O77" i="14"/>
  <c r="O27" i="1" s="1"/>
  <c r="O35" i="13"/>
  <c r="O26" i="1" s="1"/>
  <c r="O43" i="12"/>
  <c r="O25" i="1" s="1"/>
  <c r="O27" i="11"/>
  <c r="O24" i="1" s="1"/>
  <c r="O25" i="10"/>
  <c r="O23" i="1" s="1"/>
  <c r="O31" i="8"/>
  <c r="O22" i="1" s="1"/>
  <c r="O15" i="1"/>
  <c r="O34" i="1" s="1"/>
  <c r="O30" i="7"/>
  <c r="O21" i="1" s="1"/>
  <c r="O25" i="6"/>
  <c r="O20" i="1" s="1"/>
  <c r="P131" i="5"/>
  <c r="P118" i="5"/>
  <c r="P166" i="5"/>
  <c r="P102" i="5"/>
  <c r="P135" i="5" s="1"/>
  <c r="N48" i="16"/>
  <c r="N28" i="1" s="1"/>
  <c r="N77" i="14"/>
  <c r="N27" i="1" s="1"/>
  <c r="N35" i="13"/>
  <c r="N26" i="1" s="1"/>
  <c r="N43" i="12"/>
  <c r="N25" i="1" s="1"/>
  <c r="N27" i="11"/>
  <c r="N24" i="1" s="1"/>
  <c r="N25" i="10"/>
  <c r="N23" i="1" s="1"/>
  <c r="N31" i="8"/>
  <c r="N22" i="1" s="1"/>
  <c r="N15" i="1"/>
  <c r="N34" i="1" s="1"/>
  <c r="N30" i="7"/>
  <c r="N21" i="1" s="1"/>
  <c r="N25" i="6"/>
  <c r="N20" i="1" s="1"/>
  <c r="O131" i="5"/>
  <c r="O118" i="5"/>
  <c r="O102" i="5"/>
  <c r="O150" i="5"/>
  <c r="M48" i="16"/>
  <c r="M77" i="14"/>
  <c r="M35" i="13"/>
  <c r="M43" i="12"/>
  <c r="M27" i="11"/>
  <c r="M25" i="10"/>
  <c r="M31" i="8"/>
  <c r="M30" i="7"/>
  <c r="M25" i="6"/>
  <c r="M20" i="1" s="1"/>
  <c r="N131" i="5"/>
  <c r="N102" i="5"/>
  <c r="N118" i="5"/>
  <c r="N150" i="5"/>
  <c r="X166" i="5"/>
  <c r="X181" i="5" s="1"/>
  <c r="W19" i="1" s="1"/>
  <c r="Y150" i="5"/>
  <c r="Y166" i="5"/>
  <c r="V166" i="5"/>
  <c r="P150" i="5"/>
  <c r="V150" i="5"/>
  <c r="U166" i="5"/>
  <c r="R166" i="5"/>
  <c r="R181" i="5" s="1"/>
  <c r="Q19" i="1" s="1"/>
  <c r="Q135" i="5"/>
  <c r="O166" i="5"/>
  <c r="Q166" i="5"/>
  <c r="Q181" i="5" s="1"/>
  <c r="P19" i="1" s="1"/>
  <c r="W150" i="5"/>
  <c r="W181" i="5" s="1"/>
  <c r="V19" i="1" s="1"/>
  <c r="T150" i="5"/>
  <c r="T181" i="5" s="1"/>
  <c r="S19" i="1" s="1"/>
  <c r="S150" i="5"/>
  <c r="AA166" i="5"/>
  <c r="AA181" i="5" s="1"/>
  <c r="Z19" i="1" s="1"/>
  <c r="N166" i="5"/>
  <c r="H12" i="11"/>
  <c r="Z29" i="1" l="1"/>
  <c r="Z35" i="1" s="1"/>
  <c r="AA135" i="5"/>
  <c r="Z5" i="1" s="1"/>
  <c r="Z15" i="1" s="1"/>
  <c r="Z34" i="1" s="1"/>
  <c r="Z135" i="5"/>
  <c r="Y5" i="1" s="1"/>
  <c r="Y15" i="1" s="1"/>
  <c r="Y34" i="1" s="1"/>
  <c r="Z181" i="5"/>
  <c r="Y19" i="1" s="1"/>
  <c r="Y29" i="1" s="1"/>
  <c r="Y35" i="1" s="1"/>
  <c r="Y135" i="5"/>
  <c r="X5" i="1" s="1"/>
  <c r="X15" i="1" s="1"/>
  <c r="X34" i="1" s="1"/>
  <c r="W29" i="1"/>
  <c r="W35" i="1" s="1"/>
  <c r="X135" i="5"/>
  <c r="W5" i="1" s="1"/>
  <c r="W15" i="1" s="1"/>
  <c r="W34" i="1" s="1"/>
  <c r="V29" i="1"/>
  <c r="V35" i="1" s="1"/>
  <c r="W135" i="5"/>
  <c r="V5" i="1" s="1"/>
  <c r="V15" i="1" s="1"/>
  <c r="V34" i="1" s="1"/>
  <c r="V135" i="5"/>
  <c r="U5" i="1" s="1"/>
  <c r="U15" i="1" s="1"/>
  <c r="U34" i="1" s="1"/>
  <c r="U135" i="5"/>
  <c r="T5" i="1" s="1"/>
  <c r="T15" i="1" s="1"/>
  <c r="T34" i="1" s="1"/>
  <c r="U181" i="5"/>
  <c r="T19" i="1" s="1"/>
  <c r="T29" i="1" s="1"/>
  <c r="T35" i="1" s="1"/>
  <c r="S29" i="1"/>
  <c r="S35" i="1" s="1"/>
  <c r="T135" i="5"/>
  <c r="S5" i="1" s="1"/>
  <c r="S15" i="1" s="1"/>
  <c r="S34" i="1" s="1"/>
  <c r="S135" i="5"/>
  <c r="R5" i="1" s="1"/>
  <c r="R15" i="1" s="1"/>
  <c r="R34" i="1" s="1"/>
  <c r="Q29" i="1"/>
  <c r="Q35" i="1" s="1"/>
  <c r="R135" i="5"/>
  <c r="Q5" i="1" s="1"/>
  <c r="Q15" i="1" s="1"/>
  <c r="Q34" i="1" s="1"/>
  <c r="P29" i="1"/>
  <c r="P35" i="1" s="1"/>
  <c r="O29" i="1"/>
  <c r="O35" i="1" s="1"/>
  <c r="P181" i="5"/>
  <c r="O19" i="1" s="1"/>
  <c r="O181" i="5"/>
  <c r="N19" i="1" s="1"/>
  <c r="N29" i="1" s="1"/>
  <c r="N35" i="1" s="1"/>
  <c r="O135" i="5"/>
  <c r="N135" i="5"/>
  <c r="N181" i="5"/>
  <c r="M19" i="1" s="1"/>
  <c r="M29" i="1" s="1"/>
  <c r="M35" i="1" s="1"/>
  <c r="V181" i="5"/>
  <c r="U19" i="1" s="1"/>
  <c r="U29" i="1" s="1"/>
  <c r="U35" i="1" s="1"/>
  <c r="S181" i="5"/>
  <c r="R19" i="1" s="1"/>
  <c r="R29" i="1" s="1"/>
  <c r="R35" i="1" s="1"/>
  <c r="Y181" i="5"/>
  <c r="X19" i="1" s="1"/>
  <c r="X29" i="1" s="1"/>
  <c r="X35" i="1" s="1"/>
  <c r="D172" i="5"/>
  <c r="E172" i="5"/>
  <c r="F172" i="5"/>
  <c r="G172" i="5"/>
  <c r="H172" i="5"/>
  <c r="I172" i="5"/>
  <c r="D173" i="5"/>
  <c r="E173" i="5"/>
  <c r="F173" i="5"/>
  <c r="G173" i="5"/>
  <c r="H173" i="5"/>
  <c r="I173" i="5"/>
  <c r="D174" i="5"/>
  <c r="E174" i="5"/>
  <c r="F174" i="5"/>
  <c r="G174" i="5"/>
  <c r="H174" i="5"/>
  <c r="I174" i="5"/>
  <c r="D175" i="5"/>
  <c r="E175" i="5"/>
  <c r="F175" i="5"/>
  <c r="G175" i="5"/>
  <c r="H175" i="5"/>
  <c r="I175" i="5"/>
  <c r="D176" i="5"/>
  <c r="E176" i="5"/>
  <c r="F176" i="5"/>
  <c r="G176" i="5"/>
  <c r="H176" i="5"/>
  <c r="I176" i="5"/>
  <c r="D177" i="5"/>
  <c r="E177" i="5"/>
  <c r="F177" i="5"/>
  <c r="G177" i="5"/>
  <c r="H177" i="5"/>
  <c r="I177" i="5"/>
  <c r="D178" i="5"/>
  <c r="E178" i="5"/>
  <c r="F178" i="5"/>
  <c r="G178" i="5"/>
  <c r="H178" i="5"/>
  <c r="I178" i="5"/>
  <c r="C173" i="5"/>
  <c r="C174" i="5"/>
  <c r="C175" i="5"/>
  <c r="C176" i="5"/>
  <c r="C177" i="5"/>
  <c r="C178" i="5"/>
  <c r="C172" i="5"/>
  <c r="H28" i="1"/>
  <c r="H14" i="1"/>
  <c r="H48" i="16"/>
  <c r="I30" i="16"/>
  <c r="J30" i="16"/>
  <c r="K30" i="16"/>
  <c r="L30" i="16"/>
  <c r="I31" i="16"/>
  <c r="J31" i="16"/>
  <c r="K31" i="16"/>
  <c r="L31" i="16"/>
  <c r="I32" i="16"/>
  <c r="J32" i="16"/>
  <c r="K32" i="16"/>
  <c r="L32" i="16"/>
  <c r="I33" i="16"/>
  <c r="J33" i="16"/>
  <c r="K33" i="16"/>
  <c r="L33" i="16"/>
  <c r="I34" i="16"/>
  <c r="J34" i="16"/>
  <c r="K34" i="16"/>
  <c r="L34" i="16"/>
  <c r="I35" i="16"/>
  <c r="J35" i="16"/>
  <c r="K35" i="16"/>
  <c r="L35" i="16"/>
  <c r="I36" i="16"/>
  <c r="J36" i="16"/>
  <c r="K36" i="16"/>
  <c r="L36" i="16"/>
  <c r="I37" i="16"/>
  <c r="J37" i="16"/>
  <c r="K37" i="16"/>
  <c r="L37" i="16"/>
  <c r="I38" i="16"/>
  <c r="J38" i="16"/>
  <c r="K38" i="16"/>
  <c r="L38" i="16"/>
  <c r="I39" i="16"/>
  <c r="J39" i="16"/>
  <c r="K39" i="16"/>
  <c r="L39" i="16"/>
  <c r="I40" i="16"/>
  <c r="J40" i="16"/>
  <c r="K40" i="16"/>
  <c r="L40" i="16"/>
  <c r="I41" i="16"/>
  <c r="J41" i="16"/>
  <c r="K41" i="16"/>
  <c r="L41" i="16"/>
  <c r="I42" i="16"/>
  <c r="J42" i="16"/>
  <c r="K42" i="16"/>
  <c r="L42" i="16"/>
  <c r="I43" i="16"/>
  <c r="J43" i="16"/>
  <c r="K43" i="16"/>
  <c r="L43" i="16"/>
  <c r="I44" i="16"/>
  <c r="J44" i="16"/>
  <c r="K44" i="16"/>
  <c r="L44" i="16"/>
  <c r="I45" i="16"/>
  <c r="J45" i="16"/>
  <c r="K45" i="16"/>
  <c r="L45" i="16"/>
  <c r="I46" i="16"/>
  <c r="J46" i="16"/>
  <c r="K46" i="16"/>
  <c r="L46" i="16"/>
  <c r="C30" i="16"/>
  <c r="C48" i="16" s="1"/>
  <c r="D30" i="16"/>
  <c r="E30" i="16"/>
  <c r="E48" i="16" s="1"/>
  <c r="F30" i="16"/>
  <c r="F48" i="16" s="1"/>
  <c r="G30" i="16"/>
  <c r="G48" i="16" s="1"/>
  <c r="H30" i="16"/>
  <c r="C31" i="16"/>
  <c r="D31" i="16"/>
  <c r="E31" i="16"/>
  <c r="F31" i="16"/>
  <c r="G31" i="16"/>
  <c r="H31" i="16"/>
  <c r="C32" i="16"/>
  <c r="D32" i="16"/>
  <c r="D48" i="16" s="1"/>
  <c r="E32" i="16"/>
  <c r="F32" i="16"/>
  <c r="G32" i="16"/>
  <c r="H32" i="16"/>
  <c r="C33" i="16"/>
  <c r="D33" i="16"/>
  <c r="E33" i="16"/>
  <c r="F33" i="16"/>
  <c r="G33" i="16"/>
  <c r="H33" i="16"/>
  <c r="C34" i="16"/>
  <c r="D34" i="16"/>
  <c r="E34" i="16"/>
  <c r="F34" i="16"/>
  <c r="G34" i="16"/>
  <c r="H34" i="16"/>
  <c r="C35" i="16"/>
  <c r="D35" i="16"/>
  <c r="E35" i="16"/>
  <c r="F35" i="16"/>
  <c r="G35" i="16"/>
  <c r="H35" i="16"/>
  <c r="C36" i="16"/>
  <c r="D36" i="16"/>
  <c r="E36" i="16"/>
  <c r="F36" i="16"/>
  <c r="G36" i="16"/>
  <c r="H36" i="16"/>
  <c r="C37" i="16"/>
  <c r="D37" i="16"/>
  <c r="E37" i="16"/>
  <c r="F37" i="16"/>
  <c r="G37" i="16"/>
  <c r="H37" i="16"/>
  <c r="C38" i="16"/>
  <c r="D38" i="16"/>
  <c r="E38" i="16"/>
  <c r="F38" i="16"/>
  <c r="G38" i="16"/>
  <c r="H38" i="16"/>
  <c r="C39" i="16"/>
  <c r="D39" i="16"/>
  <c r="E39" i="16"/>
  <c r="F39" i="16"/>
  <c r="G39" i="16"/>
  <c r="H39" i="16"/>
  <c r="C40" i="16"/>
  <c r="D40" i="16"/>
  <c r="E40" i="16"/>
  <c r="F40" i="16"/>
  <c r="G40" i="16"/>
  <c r="H40" i="16"/>
  <c r="C41" i="16"/>
  <c r="D41" i="16"/>
  <c r="E41" i="16"/>
  <c r="F41" i="16"/>
  <c r="G41" i="16"/>
  <c r="H41" i="16"/>
  <c r="C42" i="16"/>
  <c r="D42" i="16"/>
  <c r="E42" i="16"/>
  <c r="F42" i="16"/>
  <c r="G42" i="16"/>
  <c r="H42" i="16"/>
  <c r="C43" i="16"/>
  <c r="D43" i="16"/>
  <c r="E43" i="16"/>
  <c r="F43" i="16"/>
  <c r="G43" i="16"/>
  <c r="H43" i="16"/>
  <c r="C44" i="16"/>
  <c r="D44" i="16"/>
  <c r="E44" i="16"/>
  <c r="F44" i="16"/>
  <c r="G44" i="16"/>
  <c r="H44" i="16"/>
  <c r="C45" i="16"/>
  <c r="D45" i="16"/>
  <c r="E45" i="16"/>
  <c r="F45" i="16"/>
  <c r="G45" i="16"/>
  <c r="H45" i="16"/>
  <c r="C46" i="16"/>
  <c r="D46" i="16"/>
  <c r="E46" i="16"/>
  <c r="F46" i="16"/>
  <c r="G46" i="16"/>
  <c r="H46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30" i="16"/>
  <c r="B48" i="16" s="1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30" i="16"/>
  <c r="C29" i="16"/>
  <c r="D29" i="16"/>
  <c r="E29" i="16"/>
  <c r="F29" i="16"/>
  <c r="G29" i="16"/>
  <c r="H29" i="16"/>
  <c r="B29" i="16"/>
  <c r="I23" i="16"/>
  <c r="I14" i="1" s="1"/>
  <c r="J23" i="16"/>
  <c r="J14" i="1" s="1"/>
  <c r="K23" i="16"/>
  <c r="K14" i="1" s="1"/>
  <c r="L23" i="16"/>
  <c r="L14" i="1" s="1"/>
  <c r="C23" i="16"/>
  <c r="D23" i="16"/>
  <c r="E23" i="16"/>
  <c r="F23" i="16"/>
  <c r="G23" i="16"/>
  <c r="H23" i="16"/>
  <c r="B23" i="16"/>
  <c r="C4" i="16"/>
  <c r="D4" i="16"/>
  <c r="E4" i="16"/>
  <c r="F4" i="16"/>
  <c r="G4" i="16"/>
  <c r="H4" i="16"/>
  <c r="B4" i="16"/>
  <c r="H5" i="1"/>
  <c r="I3" i="5"/>
  <c r="G21" i="1"/>
  <c r="G22" i="1"/>
  <c r="G23" i="1"/>
  <c r="G24" i="1"/>
  <c r="G25" i="1"/>
  <c r="G26" i="1"/>
  <c r="G27" i="1"/>
  <c r="G5" i="1"/>
  <c r="G7" i="1"/>
  <c r="G8" i="1"/>
  <c r="G9" i="1"/>
  <c r="G10" i="1"/>
  <c r="G11" i="1"/>
  <c r="G12" i="1"/>
  <c r="G13" i="1"/>
  <c r="L48" i="16" l="1"/>
  <c r="L28" i="1" s="1"/>
  <c r="K48" i="16"/>
  <c r="K28" i="1" s="1"/>
  <c r="J48" i="16"/>
  <c r="J28" i="1" s="1"/>
  <c r="I48" i="16"/>
  <c r="I28" i="1" s="1"/>
  <c r="G77" i="14"/>
  <c r="C45" i="14"/>
  <c r="D45" i="14"/>
  <c r="E45" i="14"/>
  <c r="F45" i="14"/>
  <c r="G45" i="14"/>
  <c r="H45" i="14"/>
  <c r="I45" i="14"/>
  <c r="J45" i="14"/>
  <c r="K45" i="14"/>
  <c r="L45" i="14"/>
  <c r="C46" i="14"/>
  <c r="D46" i="14"/>
  <c r="E46" i="14"/>
  <c r="F46" i="14"/>
  <c r="G46" i="14"/>
  <c r="H46" i="14"/>
  <c r="I46" i="14"/>
  <c r="J46" i="14"/>
  <c r="K46" i="14"/>
  <c r="L46" i="14"/>
  <c r="C47" i="14"/>
  <c r="D47" i="14"/>
  <c r="E47" i="14"/>
  <c r="F47" i="14"/>
  <c r="G47" i="14"/>
  <c r="H47" i="14"/>
  <c r="I47" i="14"/>
  <c r="J47" i="14"/>
  <c r="K47" i="14"/>
  <c r="L47" i="14"/>
  <c r="C48" i="14"/>
  <c r="D48" i="14"/>
  <c r="E48" i="14"/>
  <c r="F48" i="14"/>
  <c r="G48" i="14"/>
  <c r="H48" i="14"/>
  <c r="I48" i="14"/>
  <c r="J48" i="14"/>
  <c r="K48" i="14"/>
  <c r="L48" i="14"/>
  <c r="C49" i="14"/>
  <c r="D49" i="14"/>
  <c r="E49" i="14"/>
  <c r="F49" i="14"/>
  <c r="G49" i="14"/>
  <c r="H49" i="14"/>
  <c r="I49" i="14"/>
  <c r="J49" i="14"/>
  <c r="K49" i="14"/>
  <c r="L49" i="14"/>
  <c r="C50" i="14"/>
  <c r="D50" i="14"/>
  <c r="E50" i="14"/>
  <c r="F50" i="14"/>
  <c r="G50" i="14"/>
  <c r="H50" i="14"/>
  <c r="I50" i="14"/>
  <c r="J50" i="14"/>
  <c r="K50" i="14"/>
  <c r="L50" i="14"/>
  <c r="C51" i="14"/>
  <c r="D51" i="14"/>
  <c r="E51" i="14"/>
  <c r="F51" i="14"/>
  <c r="G51" i="14"/>
  <c r="H51" i="14"/>
  <c r="I51" i="14"/>
  <c r="J51" i="14"/>
  <c r="K51" i="14"/>
  <c r="L51" i="14"/>
  <c r="C52" i="14"/>
  <c r="D52" i="14"/>
  <c r="E52" i="14"/>
  <c r="F52" i="14"/>
  <c r="G52" i="14"/>
  <c r="H52" i="14"/>
  <c r="I52" i="14"/>
  <c r="J52" i="14"/>
  <c r="K52" i="14"/>
  <c r="L52" i="14"/>
  <c r="C53" i="14"/>
  <c r="D53" i="14"/>
  <c r="E53" i="14"/>
  <c r="F53" i="14"/>
  <c r="G53" i="14"/>
  <c r="H53" i="14"/>
  <c r="I53" i="14"/>
  <c r="J53" i="14"/>
  <c r="K53" i="14"/>
  <c r="L53" i="14"/>
  <c r="C54" i="14"/>
  <c r="D54" i="14"/>
  <c r="E54" i="14"/>
  <c r="F54" i="14"/>
  <c r="G54" i="14"/>
  <c r="H54" i="14"/>
  <c r="I54" i="14"/>
  <c r="J54" i="14"/>
  <c r="K54" i="14"/>
  <c r="L54" i="14"/>
  <c r="C55" i="14"/>
  <c r="D55" i="14"/>
  <c r="E55" i="14"/>
  <c r="F55" i="14"/>
  <c r="G55" i="14"/>
  <c r="H55" i="14"/>
  <c r="I55" i="14"/>
  <c r="J55" i="14"/>
  <c r="K55" i="14"/>
  <c r="L55" i="14"/>
  <c r="C56" i="14"/>
  <c r="D56" i="14"/>
  <c r="E56" i="14"/>
  <c r="F56" i="14"/>
  <c r="G56" i="14"/>
  <c r="H56" i="14"/>
  <c r="I56" i="14"/>
  <c r="J56" i="14"/>
  <c r="K56" i="14"/>
  <c r="L56" i="14"/>
  <c r="C57" i="14"/>
  <c r="D57" i="14"/>
  <c r="E57" i="14"/>
  <c r="F57" i="14"/>
  <c r="G57" i="14"/>
  <c r="H57" i="14"/>
  <c r="I57" i="14"/>
  <c r="J57" i="14"/>
  <c r="K57" i="14"/>
  <c r="L57" i="14"/>
  <c r="C58" i="14"/>
  <c r="D58" i="14"/>
  <c r="E58" i="14"/>
  <c r="F58" i="14"/>
  <c r="G58" i="14"/>
  <c r="H58" i="14"/>
  <c r="I58" i="14"/>
  <c r="J58" i="14"/>
  <c r="K58" i="14"/>
  <c r="L58" i="14"/>
  <c r="C59" i="14"/>
  <c r="D59" i="14"/>
  <c r="E59" i="14"/>
  <c r="F59" i="14"/>
  <c r="G59" i="14"/>
  <c r="H59" i="14"/>
  <c r="I59" i="14"/>
  <c r="J59" i="14"/>
  <c r="K59" i="14"/>
  <c r="L59" i="14"/>
  <c r="C60" i="14"/>
  <c r="D60" i="14"/>
  <c r="E60" i="14"/>
  <c r="F60" i="14"/>
  <c r="G60" i="14"/>
  <c r="H60" i="14"/>
  <c r="I60" i="14"/>
  <c r="J60" i="14"/>
  <c r="K60" i="14"/>
  <c r="L60" i="14"/>
  <c r="C61" i="14"/>
  <c r="D61" i="14"/>
  <c r="E61" i="14"/>
  <c r="F61" i="14"/>
  <c r="G61" i="14"/>
  <c r="H61" i="14"/>
  <c r="I61" i="14"/>
  <c r="J61" i="14"/>
  <c r="K61" i="14"/>
  <c r="L61" i="14"/>
  <c r="C62" i="14"/>
  <c r="D62" i="14"/>
  <c r="E62" i="14"/>
  <c r="F62" i="14"/>
  <c r="G62" i="14"/>
  <c r="H62" i="14"/>
  <c r="I62" i="14"/>
  <c r="J62" i="14"/>
  <c r="K62" i="14"/>
  <c r="L62" i="14"/>
  <c r="C63" i="14"/>
  <c r="D63" i="14"/>
  <c r="E63" i="14"/>
  <c r="F63" i="14"/>
  <c r="G63" i="14"/>
  <c r="H63" i="14"/>
  <c r="I63" i="14"/>
  <c r="J63" i="14"/>
  <c r="K63" i="14"/>
  <c r="L63" i="14"/>
  <c r="C64" i="14"/>
  <c r="D64" i="14"/>
  <c r="E64" i="14"/>
  <c r="F64" i="14"/>
  <c r="G64" i="14"/>
  <c r="H64" i="14"/>
  <c r="I64" i="14"/>
  <c r="J64" i="14"/>
  <c r="K64" i="14"/>
  <c r="L64" i="14"/>
  <c r="C65" i="14"/>
  <c r="D65" i="14"/>
  <c r="E65" i="14"/>
  <c r="F65" i="14"/>
  <c r="G65" i="14"/>
  <c r="H65" i="14"/>
  <c r="I65" i="14"/>
  <c r="J65" i="14"/>
  <c r="K65" i="14"/>
  <c r="L65" i="14"/>
  <c r="C66" i="14"/>
  <c r="D66" i="14"/>
  <c r="E66" i="14"/>
  <c r="F66" i="14"/>
  <c r="G66" i="14"/>
  <c r="H66" i="14"/>
  <c r="I66" i="14"/>
  <c r="J66" i="14"/>
  <c r="K66" i="14"/>
  <c r="L66" i="14"/>
  <c r="C67" i="14"/>
  <c r="D67" i="14"/>
  <c r="E67" i="14"/>
  <c r="F67" i="14"/>
  <c r="G67" i="14"/>
  <c r="H67" i="14"/>
  <c r="I67" i="14"/>
  <c r="J67" i="14"/>
  <c r="K67" i="14"/>
  <c r="L67" i="14"/>
  <c r="C68" i="14"/>
  <c r="D68" i="14"/>
  <c r="E68" i="14"/>
  <c r="F68" i="14"/>
  <c r="G68" i="14"/>
  <c r="H68" i="14"/>
  <c r="I68" i="14"/>
  <c r="J68" i="14"/>
  <c r="K68" i="14"/>
  <c r="L68" i="14"/>
  <c r="C69" i="14"/>
  <c r="D69" i="14"/>
  <c r="E69" i="14"/>
  <c r="F69" i="14"/>
  <c r="G69" i="14"/>
  <c r="H69" i="14"/>
  <c r="I69" i="14"/>
  <c r="J69" i="14"/>
  <c r="K69" i="14"/>
  <c r="L69" i="14"/>
  <c r="C70" i="14"/>
  <c r="D70" i="14"/>
  <c r="E70" i="14"/>
  <c r="F70" i="14"/>
  <c r="G70" i="14"/>
  <c r="H70" i="14"/>
  <c r="I70" i="14"/>
  <c r="J70" i="14"/>
  <c r="K70" i="14"/>
  <c r="L70" i="14"/>
  <c r="C71" i="14"/>
  <c r="D71" i="14"/>
  <c r="E71" i="14"/>
  <c r="F71" i="14"/>
  <c r="G71" i="14"/>
  <c r="H71" i="14"/>
  <c r="I71" i="14"/>
  <c r="J71" i="14"/>
  <c r="K71" i="14"/>
  <c r="L71" i="14"/>
  <c r="C72" i="14"/>
  <c r="D72" i="14"/>
  <c r="E72" i="14"/>
  <c r="F72" i="14"/>
  <c r="G72" i="14"/>
  <c r="H72" i="14"/>
  <c r="I72" i="14"/>
  <c r="J72" i="14"/>
  <c r="K72" i="14"/>
  <c r="L72" i="14"/>
  <c r="C73" i="14"/>
  <c r="D73" i="14"/>
  <c r="E73" i="14"/>
  <c r="F73" i="14"/>
  <c r="G73" i="14"/>
  <c r="H73" i="14"/>
  <c r="I73" i="14"/>
  <c r="J73" i="14"/>
  <c r="K73" i="14"/>
  <c r="L73" i="14"/>
  <c r="C74" i="14"/>
  <c r="D74" i="14"/>
  <c r="E74" i="14"/>
  <c r="F74" i="14"/>
  <c r="G74" i="14"/>
  <c r="H74" i="14"/>
  <c r="I74" i="14"/>
  <c r="J74" i="14"/>
  <c r="K74" i="14"/>
  <c r="L74" i="14"/>
  <c r="C75" i="14"/>
  <c r="D75" i="14"/>
  <c r="E75" i="14"/>
  <c r="F75" i="14"/>
  <c r="G75" i="14"/>
  <c r="H75" i="14"/>
  <c r="I75" i="14"/>
  <c r="J75" i="14"/>
  <c r="K75" i="14"/>
  <c r="L7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45" i="14"/>
  <c r="C24" i="13"/>
  <c r="D24" i="13"/>
  <c r="E24" i="13"/>
  <c r="F24" i="13"/>
  <c r="G24" i="13"/>
  <c r="H24" i="13"/>
  <c r="I24" i="13"/>
  <c r="J24" i="13"/>
  <c r="K24" i="13"/>
  <c r="L24" i="13"/>
  <c r="C25" i="13"/>
  <c r="D25" i="13"/>
  <c r="E25" i="13"/>
  <c r="F25" i="13"/>
  <c r="G25" i="13"/>
  <c r="H25" i="13"/>
  <c r="I25" i="13"/>
  <c r="J25" i="13"/>
  <c r="K25" i="13"/>
  <c r="L25" i="13"/>
  <c r="C26" i="13"/>
  <c r="D26" i="13"/>
  <c r="E26" i="13"/>
  <c r="F26" i="13"/>
  <c r="G26" i="13"/>
  <c r="H26" i="13"/>
  <c r="I26" i="13"/>
  <c r="J26" i="13"/>
  <c r="K26" i="13"/>
  <c r="L26" i="13"/>
  <c r="C27" i="13"/>
  <c r="D27" i="13"/>
  <c r="E27" i="13"/>
  <c r="F27" i="13"/>
  <c r="G27" i="13"/>
  <c r="H27" i="13"/>
  <c r="I27" i="13"/>
  <c r="J27" i="13"/>
  <c r="K27" i="13"/>
  <c r="L27" i="13"/>
  <c r="C28" i="13"/>
  <c r="D28" i="13"/>
  <c r="E28" i="13"/>
  <c r="F28" i="13"/>
  <c r="G28" i="13"/>
  <c r="H28" i="13"/>
  <c r="I28" i="13"/>
  <c r="J28" i="13"/>
  <c r="K28" i="13"/>
  <c r="L28" i="13"/>
  <c r="C29" i="13"/>
  <c r="D29" i="13"/>
  <c r="E29" i="13"/>
  <c r="F29" i="13"/>
  <c r="G29" i="13"/>
  <c r="H29" i="13"/>
  <c r="I29" i="13"/>
  <c r="J29" i="13"/>
  <c r="K29" i="13"/>
  <c r="L29" i="13"/>
  <c r="C30" i="13"/>
  <c r="D30" i="13"/>
  <c r="E30" i="13"/>
  <c r="F30" i="13"/>
  <c r="G30" i="13"/>
  <c r="H30" i="13"/>
  <c r="I30" i="13"/>
  <c r="J30" i="13"/>
  <c r="K30" i="13"/>
  <c r="L30" i="13"/>
  <c r="C31" i="13"/>
  <c r="D31" i="13"/>
  <c r="E31" i="13"/>
  <c r="F31" i="13"/>
  <c r="G31" i="13"/>
  <c r="H31" i="13"/>
  <c r="I31" i="13"/>
  <c r="J31" i="13"/>
  <c r="K31" i="13"/>
  <c r="L31" i="13"/>
  <c r="C32" i="13"/>
  <c r="D32" i="13"/>
  <c r="E32" i="13"/>
  <c r="F32" i="13"/>
  <c r="G32" i="13"/>
  <c r="H32" i="13"/>
  <c r="I32" i="13"/>
  <c r="J32" i="13"/>
  <c r="K32" i="13"/>
  <c r="L32" i="13"/>
  <c r="C33" i="13"/>
  <c r="D33" i="13"/>
  <c r="E33" i="13"/>
  <c r="F33" i="13"/>
  <c r="G33" i="13"/>
  <c r="H33" i="13"/>
  <c r="I33" i="13"/>
  <c r="J33" i="13"/>
  <c r="K33" i="13"/>
  <c r="L33" i="13"/>
  <c r="B25" i="13"/>
  <c r="B26" i="13"/>
  <c r="B27" i="13"/>
  <c r="B28" i="13"/>
  <c r="B29" i="13"/>
  <c r="B30" i="13"/>
  <c r="B31" i="13"/>
  <c r="B32" i="13"/>
  <c r="B33" i="13"/>
  <c r="B24" i="13"/>
  <c r="C28" i="12"/>
  <c r="D28" i="12"/>
  <c r="E28" i="12"/>
  <c r="F28" i="12"/>
  <c r="G28" i="12"/>
  <c r="H28" i="12"/>
  <c r="I28" i="12"/>
  <c r="J28" i="12"/>
  <c r="K28" i="12"/>
  <c r="L28" i="12"/>
  <c r="C29" i="12"/>
  <c r="D29" i="12"/>
  <c r="E29" i="12"/>
  <c r="F29" i="12"/>
  <c r="G29" i="12"/>
  <c r="H29" i="12"/>
  <c r="I29" i="12"/>
  <c r="J29" i="12"/>
  <c r="K29" i="12"/>
  <c r="L29" i="12"/>
  <c r="C30" i="12"/>
  <c r="D30" i="12"/>
  <c r="E30" i="12"/>
  <c r="F30" i="12"/>
  <c r="G30" i="12"/>
  <c r="H30" i="12"/>
  <c r="I30" i="12"/>
  <c r="J30" i="12"/>
  <c r="K30" i="12"/>
  <c r="L30" i="12"/>
  <c r="C31" i="12"/>
  <c r="D31" i="12"/>
  <c r="E31" i="12"/>
  <c r="F31" i="12"/>
  <c r="G31" i="12"/>
  <c r="H31" i="12"/>
  <c r="I31" i="12"/>
  <c r="J31" i="12"/>
  <c r="K31" i="12"/>
  <c r="L31" i="12"/>
  <c r="C32" i="12"/>
  <c r="D32" i="12"/>
  <c r="E32" i="12"/>
  <c r="F32" i="12"/>
  <c r="G32" i="12"/>
  <c r="H32" i="12"/>
  <c r="I32" i="12"/>
  <c r="J32" i="12"/>
  <c r="K32" i="12"/>
  <c r="L32" i="12"/>
  <c r="C33" i="12"/>
  <c r="D33" i="12"/>
  <c r="E33" i="12"/>
  <c r="F33" i="12"/>
  <c r="G33" i="12"/>
  <c r="H33" i="12"/>
  <c r="I33" i="12"/>
  <c r="J33" i="12"/>
  <c r="K33" i="12"/>
  <c r="L33" i="12"/>
  <c r="C34" i="12"/>
  <c r="D34" i="12"/>
  <c r="E34" i="12"/>
  <c r="F34" i="12"/>
  <c r="G34" i="12"/>
  <c r="H34" i="12"/>
  <c r="I34" i="12"/>
  <c r="J34" i="12"/>
  <c r="K34" i="12"/>
  <c r="L34" i="12"/>
  <c r="C35" i="12"/>
  <c r="D35" i="12"/>
  <c r="E35" i="12"/>
  <c r="F35" i="12"/>
  <c r="G35" i="12"/>
  <c r="H35" i="12"/>
  <c r="I35" i="12"/>
  <c r="J35" i="12"/>
  <c r="K35" i="12"/>
  <c r="L35" i="12"/>
  <c r="C36" i="12"/>
  <c r="D36" i="12"/>
  <c r="E36" i="12"/>
  <c r="F36" i="12"/>
  <c r="G36" i="12"/>
  <c r="H36" i="12"/>
  <c r="I36" i="12"/>
  <c r="J36" i="12"/>
  <c r="K36" i="12"/>
  <c r="L36" i="12"/>
  <c r="C37" i="12"/>
  <c r="D37" i="12"/>
  <c r="E37" i="12"/>
  <c r="F37" i="12"/>
  <c r="G37" i="12"/>
  <c r="H37" i="12"/>
  <c r="I37" i="12"/>
  <c r="J37" i="12"/>
  <c r="K37" i="12"/>
  <c r="L37" i="12"/>
  <c r="C38" i="12"/>
  <c r="D38" i="12"/>
  <c r="E38" i="12"/>
  <c r="F38" i="12"/>
  <c r="G38" i="12"/>
  <c r="H38" i="12"/>
  <c r="I38" i="12"/>
  <c r="J38" i="12"/>
  <c r="K38" i="12"/>
  <c r="L38" i="12"/>
  <c r="C39" i="12"/>
  <c r="D39" i="12"/>
  <c r="E39" i="12"/>
  <c r="F39" i="12"/>
  <c r="G39" i="12"/>
  <c r="H39" i="12"/>
  <c r="I39" i="12"/>
  <c r="J39" i="12"/>
  <c r="K39" i="12"/>
  <c r="L39" i="12"/>
  <c r="C40" i="12"/>
  <c r="D40" i="12"/>
  <c r="E40" i="12"/>
  <c r="F40" i="12"/>
  <c r="G40" i="12"/>
  <c r="H40" i="12"/>
  <c r="I40" i="12"/>
  <c r="J40" i="12"/>
  <c r="K40" i="12"/>
  <c r="L40" i="12"/>
  <c r="C41" i="12"/>
  <c r="D41" i="12"/>
  <c r="E41" i="12"/>
  <c r="F41" i="12"/>
  <c r="G41" i="12"/>
  <c r="H41" i="12"/>
  <c r="I41" i="12"/>
  <c r="J41" i="12"/>
  <c r="K41" i="12"/>
  <c r="L41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28" i="12"/>
  <c r="C20" i="11"/>
  <c r="D20" i="11"/>
  <c r="E20" i="11"/>
  <c r="F20" i="11"/>
  <c r="G20" i="11"/>
  <c r="H20" i="11"/>
  <c r="I20" i="11"/>
  <c r="J20" i="11"/>
  <c r="K20" i="11"/>
  <c r="L20" i="11"/>
  <c r="C21" i="11"/>
  <c r="D21" i="11"/>
  <c r="E21" i="11"/>
  <c r="F21" i="11"/>
  <c r="G21" i="11"/>
  <c r="H21" i="11"/>
  <c r="I21" i="11"/>
  <c r="J21" i="11"/>
  <c r="K21" i="11"/>
  <c r="L21" i="11"/>
  <c r="C22" i="11"/>
  <c r="D22" i="11"/>
  <c r="E22" i="11"/>
  <c r="F22" i="11"/>
  <c r="G22" i="11"/>
  <c r="H22" i="11"/>
  <c r="I22" i="11"/>
  <c r="J22" i="11"/>
  <c r="K22" i="11"/>
  <c r="L22" i="11"/>
  <c r="C23" i="11"/>
  <c r="D23" i="11"/>
  <c r="E23" i="11"/>
  <c r="F23" i="11"/>
  <c r="G23" i="11"/>
  <c r="H23" i="11"/>
  <c r="I23" i="11"/>
  <c r="J23" i="11"/>
  <c r="K23" i="11"/>
  <c r="L23" i="11"/>
  <c r="C24" i="11"/>
  <c r="D24" i="11"/>
  <c r="E24" i="11"/>
  <c r="F24" i="11"/>
  <c r="G24" i="11"/>
  <c r="H24" i="11"/>
  <c r="I24" i="11"/>
  <c r="J24" i="11"/>
  <c r="K24" i="11"/>
  <c r="L24" i="11"/>
  <c r="C25" i="11"/>
  <c r="D25" i="11"/>
  <c r="E25" i="11"/>
  <c r="F25" i="11"/>
  <c r="G25" i="11"/>
  <c r="H25" i="11"/>
  <c r="I25" i="11"/>
  <c r="J25" i="11"/>
  <c r="K25" i="11"/>
  <c r="L25" i="11"/>
  <c r="B21" i="11"/>
  <c r="B22" i="11"/>
  <c r="B23" i="11"/>
  <c r="B24" i="11"/>
  <c r="B25" i="11"/>
  <c r="B20" i="11"/>
  <c r="C20" i="10"/>
  <c r="D20" i="10"/>
  <c r="E20" i="10"/>
  <c r="F20" i="10"/>
  <c r="G20" i="10"/>
  <c r="H20" i="10"/>
  <c r="I20" i="10"/>
  <c r="J20" i="10"/>
  <c r="K20" i="10"/>
  <c r="L20" i="10"/>
  <c r="C21" i="10"/>
  <c r="D21" i="10"/>
  <c r="E21" i="10"/>
  <c r="F21" i="10"/>
  <c r="G21" i="10"/>
  <c r="H21" i="10"/>
  <c r="I21" i="10"/>
  <c r="J21" i="10"/>
  <c r="K21" i="10"/>
  <c r="L21" i="10"/>
  <c r="C22" i="10"/>
  <c r="D22" i="10"/>
  <c r="E22" i="10"/>
  <c r="F22" i="10"/>
  <c r="G22" i="10"/>
  <c r="H22" i="10"/>
  <c r="I22" i="10"/>
  <c r="J22" i="10"/>
  <c r="K22" i="10"/>
  <c r="L22" i="10"/>
  <c r="C23" i="10"/>
  <c r="D23" i="10"/>
  <c r="E23" i="10"/>
  <c r="F23" i="10"/>
  <c r="G23" i="10"/>
  <c r="H23" i="10"/>
  <c r="I23" i="10"/>
  <c r="J23" i="10"/>
  <c r="K23" i="10"/>
  <c r="L23" i="10"/>
  <c r="B21" i="10"/>
  <c r="B22" i="10"/>
  <c r="B23" i="10"/>
  <c r="B20" i="10"/>
  <c r="C22" i="8"/>
  <c r="D22" i="8"/>
  <c r="E22" i="8"/>
  <c r="F22" i="8"/>
  <c r="G22" i="8"/>
  <c r="H22" i="8"/>
  <c r="I22" i="8"/>
  <c r="J22" i="8"/>
  <c r="K22" i="8"/>
  <c r="L22" i="8"/>
  <c r="C23" i="8"/>
  <c r="D23" i="8"/>
  <c r="E23" i="8"/>
  <c r="F23" i="8"/>
  <c r="G23" i="8"/>
  <c r="H23" i="8"/>
  <c r="I23" i="8"/>
  <c r="J23" i="8"/>
  <c r="K23" i="8"/>
  <c r="L23" i="8"/>
  <c r="C24" i="8"/>
  <c r="D24" i="8"/>
  <c r="E24" i="8"/>
  <c r="F24" i="8"/>
  <c r="G24" i="8"/>
  <c r="H24" i="8"/>
  <c r="I24" i="8"/>
  <c r="J24" i="8"/>
  <c r="K24" i="8"/>
  <c r="L24" i="8"/>
  <c r="C25" i="8"/>
  <c r="D25" i="8"/>
  <c r="E25" i="8"/>
  <c r="F25" i="8"/>
  <c r="G25" i="8"/>
  <c r="H25" i="8"/>
  <c r="I25" i="8"/>
  <c r="J25" i="8"/>
  <c r="K25" i="8"/>
  <c r="L25" i="8"/>
  <c r="C26" i="8"/>
  <c r="D26" i="8"/>
  <c r="E26" i="8"/>
  <c r="F26" i="8"/>
  <c r="G26" i="8"/>
  <c r="H26" i="8"/>
  <c r="I26" i="8"/>
  <c r="J26" i="8"/>
  <c r="K26" i="8"/>
  <c r="L26" i="8"/>
  <c r="C27" i="8"/>
  <c r="D27" i="8"/>
  <c r="E27" i="8"/>
  <c r="F27" i="8"/>
  <c r="G27" i="8"/>
  <c r="H27" i="8"/>
  <c r="I27" i="8"/>
  <c r="J27" i="8"/>
  <c r="K27" i="8"/>
  <c r="L27" i="8"/>
  <c r="C28" i="8"/>
  <c r="D28" i="8"/>
  <c r="E28" i="8"/>
  <c r="F28" i="8"/>
  <c r="G28" i="8"/>
  <c r="H28" i="8"/>
  <c r="I28" i="8"/>
  <c r="J28" i="8"/>
  <c r="K28" i="8"/>
  <c r="L28" i="8"/>
  <c r="C29" i="8"/>
  <c r="D29" i="8"/>
  <c r="E29" i="8"/>
  <c r="F29" i="8"/>
  <c r="G29" i="8"/>
  <c r="H29" i="8"/>
  <c r="I29" i="8"/>
  <c r="J29" i="8"/>
  <c r="K29" i="8"/>
  <c r="L29" i="8"/>
  <c r="B23" i="8"/>
  <c r="B24" i="8"/>
  <c r="B25" i="8"/>
  <c r="B26" i="8"/>
  <c r="B27" i="8"/>
  <c r="B28" i="8"/>
  <c r="B29" i="8"/>
  <c r="B22" i="8"/>
  <c r="C20" i="6"/>
  <c r="D20" i="6"/>
  <c r="E20" i="6"/>
  <c r="F20" i="6"/>
  <c r="G20" i="6"/>
  <c r="H20" i="6"/>
  <c r="I20" i="6"/>
  <c r="J20" i="6"/>
  <c r="K20" i="6"/>
  <c r="L20" i="6"/>
  <c r="C21" i="6"/>
  <c r="D21" i="6"/>
  <c r="E21" i="6"/>
  <c r="F21" i="6"/>
  <c r="G21" i="6"/>
  <c r="H21" i="6"/>
  <c r="I21" i="6"/>
  <c r="J21" i="6"/>
  <c r="K21" i="6"/>
  <c r="L21" i="6"/>
  <c r="C22" i="6"/>
  <c r="D22" i="6"/>
  <c r="E22" i="6"/>
  <c r="F22" i="6"/>
  <c r="G22" i="6"/>
  <c r="H22" i="6"/>
  <c r="I22" i="6"/>
  <c r="J22" i="6"/>
  <c r="K22" i="6"/>
  <c r="L22" i="6"/>
  <c r="C23" i="6"/>
  <c r="D23" i="6"/>
  <c r="E23" i="6"/>
  <c r="F23" i="6"/>
  <c r="G23" i="6"/>
  <c r="H23" i="6"/>
  <c r="I23" i="6"/>
  <c r="J23" i="6"/>
  <c r="K23" i="6"/>
  <c r="L23" i="6"/>
  <c r="B21" i="6"/>
  <c r="B22" i="6"/>
  <c r="B23" i="6"/>
  <c r="B20" i="6"/>
  <c r="C22" i="7"/>
  <c r="D22" i="7"/>
  <c r="E22" i="7"/>
  <c r="F22" i="7"/>
  <c r="G22" i="7"/>
  <c r="H22" i="7"/>
  <c r="I22" i="7"/>
  <c r="J22" i="7"/>
  <c r="K22" i="7"/>
  <c r="L22" i="7"/>
  <c r="C23" i="7"/>
  <c r="D23" i="7"/>
  <c r="E23" i="7"/>
  <c r="F23" i="7"/>
  <c r="G23" i="7"/>
  <c r="H23" i="7"/>
  <c r="I23" i="7"/>
  <c r="J23" i="7"/>
  <c r="K23" i="7"/>
  <c r="L23" i="7"/>
  <c r="C24" i="7"/>
  <c r="D24" i="7"/>
  <c r="E24" i="7"/>
  <c r="F24" i="7"/>
  <c r="G24" i="7"/>
  <c r="H24" i="7"/>
  <c r="I24" i="7"/>
  <c r="J24" i="7"/>
  <c r="K24" i="7"/>
  <c r="L24" i="7"/>
  <c r="C25" i="7"/>
  <c r="D25" i="7"/>
  <c r="E25" i="7"/>
  <c r="F25" i="7"/>
  <c r="G25" i="7"/>
  <c r="H25" i="7"/>
  <c r="I25" i="7"/>
  <c r="J25" i="7"/>
  <c r="K25" i="7"/>
  <c r="L25" i="7"/>
  <c r="C26" i="7"/>
  <c r="D26" i="7"/>
  <c r="E26" i="7"/>
  <c r="F26" i="7"/>
  <c r="G26" i="7"/>
  <c r="H26" i="7"/>
  <c r="I26" i="7"/>
  <c r="J26" i="7"/>
  <c r="K26" i="7"/>
  <c r="L26" i="7"/>
  <c r="C27" i="7"/>
  <c r="D27" i="7"/>
  <c r="E27" i="7"/>
  <c r="F27" i="7"/>
  <c r="G27" i="7"/>
  <c r="H27" i="7"/>
  <c r="I27" i="7"/>
  <c r="J27" i="7"/>
  <c r="K27" i="7"/>
  <c r="L27" i="7"/>
  <c r="C28" i="7"/>
  <c r="D28" i="7"/>
  <c r="E28" i="7"/>
  <c r="F28" i="7"/>
  <c r="G28" i="7"/>
  <c r="H28" i="7"/>
  <c r="I28" i="7"/>
  <c r="J28" i="7"/>
  <c r="K28" i="7"/>
  <c r="L28" i="7"/>
  <c r="B23" i="7"/>
  <c r="B24" i="7"/>
  <c r="B25" i="7"/>
  <c r="B26" i="7"/>
  <c r="B27" i="7"/>
  <c r="B28" i="7"/>
  <c r="B22" i="7"/>
  <c r="C124" i="5"/>
  <c r="C125" i="5"/>
  <c r="C126" i="5"/>
  <c r="C127" i="5"/>
  <c r="C128" i="5"/>
  <c r="C129" i="5"/>
  <c r="C130" i="5"/>
  <c r="D124" i="5"/>
  <c r="E124" i="5"/>
  <c r="F124" i="5"/>
  <c r="G124" i="5"/>
  <c r="H124" i="5"/>
  <c r="I124" i="5"/>
  <c r="J124" i="5"/>
  <c r="K124" i="5"/>
  <c r="L124" i="5"/>
  <c r="M124" i="5"/>
  <c r="D125" i="5"/>
  <c r="E125" i="5"/>
  <c r="F125" i="5"/>
  <c r="G125" i="5"/>
  <c r="H125" i="5"/>
  <c r="I125" i="5"/>
  <c r="J125" i="5"/>
  <c r="K125" i="5"/>
  <c r="L125" i="5"/>
  <c r="M125" i="5"/>
  <c r="D126" i="5"/>
  <c r="E126" i="5"/>
  <c r="F126" i="5"/>
  <c r="G126" i="5"/>
  <c r="H126" i="5"/>
  <c r="I126" i="5"/>
  <c r="J126" i="5"/>
  <c r="K126" i="5"/>
  <c r="L126" i="5"/>
  <c r="M126" i="5"/>
  <c r="D127" i="5"/>
  <c r="E127" i="5"/>
  <c r="F127" i="5"/>
  <c r="G127" i="5"/>
  <c r="H127" i="5"/>
  <c r="I127" i="5"/>
  <c r="J127" i="5"/>
  <c r="K127" i="5"/>
  <c r="L127" i="5"/>
  <c r="M127" i="5"/>
  <c r="D128" i="5"/>
  <c r="E128" i="5"/>
  <c r="F128" i="5"/>
  <c r="G128" i="5"/>
  <c r="H128" i="5"/>
  <c r="I128" i="5"/>
  <c r="J128" i="5"/>
  <c r="K128" i="5"/>
  <c r="L128" i="5"/>
  <c r="M128" i="5"/>
  <c r="D129" i="5"/>
  <c r="E129" i="5"/>
  <c r="F129" i="5"/>
  <c r="G129" i="5"/>
  <c r="H129" i="5"/>
  <c r="I129" i="5"/>
  <c r="J129" i="5"/>
  <c r="K129" i="5"/>
  <c r="L129" i="5"/>
  <c r="M129" i="5"/>
  <c r="D130" i="5"/>
  <c r="E130" i="5"/>
  <c r="F130" i="5"/>
  <c r="G130" i="5"/>
  <c r="H130" i="5"/>
  <c r="I130" i="5"/>
  <c r="J130" i="5"/>
  <c r="K130" i="5"/>
  <c r="L130" i="5"/>
  <c r="M130" i="5"/>
  <c r="D81" i="5" l="1"/>
  <c r="E81" i="5"/>
  <c r="F81" i="5"/>
  <c r="G81" i="5"/>
  <c r="H81" i="5"/>
  <c r="I81" i="5"/>
  <c r="J81" i="5"/>
  <c r="J172" i="5" s="1"/>
  <c r="K81" i="5"/>
  <c r="K172" i="5" s="1"/>
  <c r="L81" i="5"/>
  <c r="L172" i="5" s="1"/>
  <c r="M81" i="5"/>
  <c r="D82" i="5"/>
  <c r="E82" i="5"/>
  <c r="F82" i="5"/>
  <c r="G82" i="5"/>
  <c r="H82" i="5"/>
  <c r="I82" i="5"/>
  <c r="J82" i="5"/>
  <c r="J173" i="5" s="1"/>
  <c r="K82" i="5"/>
  <c r="K173" i="5" s="1"/>
  <c r="L82" i="5"/>
  <c r="L173" i="5" s="1"/>
  <c r="M82" i="5"/>
  <c r="D83" i="5"/>
  <c r="E83" i="5"/>
  <c r="F83" i="5"/>
  <c r="G83" i="5"/>
  <c r="H83" i="5"/>
  <c r="I83" i="5"/>
  <c r="J83" i="5"/>
  <c r="J174" i="5" s="1"/>
  <c r="K83" i="5"/>
  <c r="K174" i="5" s="1"/>
  <c r="L83" i="5"/>
  <c r="L174" i="5" s="1"/>
  <c r="M83" i="5"/>
  <c r="D84" i="5"/>
  <c r="E84" i="5"/>
  <c r="F84" i="5"/>
  <c r="G84" i="5"/>
  <c r="H84" i="5"/>
  <c r="I84" i="5"/>
  <c r="J84" i="5"/>
  <c r="J175" i="5" s="1"/>
  <c r="K84" i="5"/>
  <c r="K175" i="5" s="1"/>
  <c r="L84" i="5"/>
  <c r="L175" i="5" s="1"/>
  <c r="M84" i="5"/>
  <c r="D85" i="5"/>
  <c r="E85" i="5"/>
  <c r="F85" i="5"/>
  <c r="G85" i="5"/>
  <c r="H85" i="5"/>
  <c r="I85" i="5"/>
  <c r="J85" i="5"/>
  <c r="J176" i="5" s="1"/>
  <c r="K85" i="5"/>
  <c r="K176" i="5" s="1"/>
  <c r="L85" i="5"/>
  <c r="L176" i="5" s="1"/>
  <c r="M85" i="5"/>
  <c r="D86" i="5"/>
  <c r="E86" i="5"/>
  <c r="F86" i="5"/>
  <c r="G86" i="5"/>
  <c r="H86" i="5"/>
  <c r="I86" i="5"/>
  <c r="J86" i="5"/>
  <c r="J177" i="5" s="1"/>
  <c r="K86" i="5"/>
  <c r="K177" i="5" s="1"/>
  <c r="L86" i="5"/>
  <c r="L177" i="5" s="1"/>
  <c r="M86" i="5"/>
  <c r="D87" i="5"/>
  <c r="E87" i="5"/>
  <c r="F87" i="5"/>
  <c r="G87" i="5"/>
  <c r="H87" i="5"/>
  <c r="I87" i="5"/>
  <c r="J87" i="5"/>
  <c r="J178" i="5" s="1"/>
  <c r="K87" i="5"/>
  <c r="K178" i="5" s="1"/>
  <c r="L87" i="5"/>
  <c r="L178" i="5" s="1"/>
  <c r="M87" i="5"/>
  <c r="C82" i="5"/>
  <c r="C83" i="5"/>
  <c r="C84" i="5"/>
  <c r="C85" i="5"/>
  <c r="C86" i="5"/>
  <c r="C87" i="5"/>
  <c r="M131" i="5" l="1"/>
  <c r="L131" i="5"/>
  <c r="K131" i="5"/>
  <c r="J131" i="5"/>
  <c r="I131" i="5"/>
  <c r="H131" i="5"/>
  <c r="G131" i="5"/>
  <c r="F131" i="5"/>
  <c r="E131" i="5"/>
  <c r="D131" i="5"/>
  <c r="C131" i="5"/>
  <c r="M117" i="5"/>
  <c r="L117" i="5"/>
  <c r="K117" i="5"/>
  <c r="J117" i="5"/>
  <c r="I117" i="5"/>
  <c r="H117" i="5"/>
  <c r="G117" i="5"/>
  <c r="F117" i="5"/>
  <c r="E117" i="5"/>
  <c r="D117" i="5"/>
  <c r="C117" i="5"/>
  <c r="M116" i="5"/>
  <c r="L116" i="5"/>
  <c r="K116" i="5"/>
  <c r="J116" i="5"/>
  <c r="I116" i="5"/>
  <c r="H116" i="5"/>
  <c r="G116" i="5"/>
  <c r="F116" i="5"/>
  <c r="E116" i="5"/>
  <c r="D116" i="5"/>
  <c r="C116" i="5"/>
  <c r="M115" i="5"/>
  <c r="L115" i="5"/>
  <c r="K115" i="5"/>
  <c r="J115" i="5"/>
  <c r="I115" i="5"/>
  <c r="H115" i="5"/>
  <c r="G115" i="5"/>
  <c r="F115" i="5"/>
  <c r="E115" i="5"/>
  <c r="D115" i="5"/>
  <c r="C115" i="5"/>
  <c r="M114" i="5"/>
  <c r="L114" i="5"/>
  <c r="K114" i="5"/>
  <c r="J114" i="5"/>
  <c r="I114" i="5"/>
  <c r="H114" i="5"/>
  <c r="G114" i="5"/>
  <c r="F114" i="5"/>
  <c r="E114" i="5"/>
  <c r="D114" i="5"/>
  <c r="C114" i="5"/>
  <c r="M113" i="5"/>
  <c r="L113" i="5"/>
  <c r="K113" i="5"/>
  <c r="J113" i="5"/>
  <c r="I113" i="5"/>
  <c r="H113" i="5"/>
  <c r="G113" i="5"/>
  <c r="F113" i="5"/>
  <c r="E113" i="5"/>
  <c r="D113" i="5"/>
  <c r="C113" i="5"/>
  <c r="M112" i="5"/>
  <c r="L112" i="5"/>
  <c r="K112" i="5"/>
  <c r="J112" i="5"/>
  <c r="I112" i="5"/>
  <c r="H112" i="5"/>
  <c r="G112" i="5"/>
  <c r="F112" i="5"/>
  <c r="E112" i="5"/>
  <c r="D112" i="5"/>
  <c r="C112" i="5"/>
  <c r="M111" i="5"/>
  <c r="L111" i="5"/>
  <c r="K111" i="5"/>
  <c r="J111" i="5"/>
  <c r="I111" i="5"/>
  <c r="H111" i="5"/>
  <c r="G111" i="5"/>
  <c r="F111" i="5"/>
  <c r="E111" i="5"/>
  <c r="D111" i="5"/>
  <c r="C111" i="5"/>
  <c r="M110" i="5"/>
  <c r="L110" i="5"/>
  <c r="K110" i="5"/>
  <c r="J110" i="5"/>
  <c r="I110" i="5"/>
  <c r="H110" i="5"/>
  <c r="G110" i="5"/>
  <c r="F110" i="5"/>
  <c r="E110" i="5"/>
  <c r="D110" i="5"/>
  <c r="C110" i="5"/>
  <c r="M109" i="5"/>
  <c r="L109" i="5"/>
  <c r="K109" i="5"/>
  <c r="J109" i="5"/>
  <c r="I109" i="5"/>
  <c r="H109" i="5"/>
  <c r="G109" i="5"/>
  <c r="F109" i="5"/>
  <c r="E109" i="5"/>
  <c r="D109" i="5"/>
  <c r="C109" i="5"/>
  <c r="M108" i="5"/>
  <c r="L108" i="5"/>
  <c r="K108" i="5"/>
  <c r="J108" i="5"/>
  <c r="I108" i="5"/>
  <c r="H108" i="5"/>
  <c r="G108" i="5"/>
  <c r="G118" i="5" s="1"/>
  <c r="F108" i="5"/>
  <c r="E108" i="5"/>
  <c r="D108" i="5"/>
  <c r="C108" i="5"/>
  <c r="M101" i="5"/>
  <c r="L101" i="5"/>
  <c r="K101" i="5"/>
  <c r="J101" i="5"/>
  <c r="I101" i="5"/>
  <c r="H101" i="5"/>
  <c r="G101" i="5"/>
  <c r="F101" i="5"/>
  <c r="E101" i="5"/>
  <c r="D101" i="5"/>
  <c r="C101" i="5"/>
  <c r="M100" i="5"/>
  <c r="L100" i="5"/>
  <c r="K100" i="5"/>
  <c r="J100" i="5"/>
  <c r="I100" i="5"/>
  <c r="H100" i="5"/>
  <c r="G100" i="5"/>
  <c r="F100" i="5"/>
  <c r="E100" i="5"/>
  <c r="D100" i="5"/>
  <c r="C100" i="5"/>
  <c r="M99" i="5"/>
  <c r="L99" i="5"/>
  <c r="K99" i="5"/>
  <c r="J99" i="5"/>
  <c r="I99" i="5"/>
  <c r="H99" i="5"/>
  <c r="G99" i="5"/>
  <c r="F99" i="5"/>
  <c r="E99" i="5"/>
  <c r="D99" i="5"/>
  <c r="C99" i="5"/>
  <c r="M98" i="5"/>
  <c r="L98" i="5"/>
  <c r="K98" i="5"/>
  <c r="J98" i="5"/>
  <c r="I98" i="5"/>
  <c r="H98" i="5"/>
  <c r="G98" i="5"/>
  <c r="F98" i="5"/>
  <c r="E98" i="5"/>
  <c r="D98" i="5"/>
  <c r="C98" i="5"/>
  <c r="M97" i="5"/>
  <c r="L97" i="5"/>
  <c r="K97" i="5"/>
  <c r="J97" i="5"/>
  <c r="I97" i="5"/>
  <c r="H97" i="5"/>
  <c r="G97" i="5"/>
  <c r="F97" i="5"/>
  <c r="E97" i="5"/>
  <c r="D97" i="5"/>
  <c r="C97" i="5"/>
  <c r="L179" i="5"/>
  <c r="K179" i="5"/>
  <c r="J179" i="5"/>
  <c r="I179" i="5"/>
  <c r="H179" i="5"/>
  <c r="G179" i="5"/>
  <c r="F179" i="5"/>
  <c r="E179" i="5"/>
  <c r="D179" i="5"/>
  <c r="C81" i="5"/>
  <c r="C179" i="5" s="1"/>
  <c r="M74" i="5"/>
  <c r="M165" i="5" s="1"/>
  <c r="L74" i="5"/>
  <c r="L165" i="5" s="1"/>
  <c r="K74" i="5"/>
  <c r="K165" i="5" s="1"/>
  <c r="J74" i="5"/>
  <c r="J165" i="5" s="1"/>
  <c r="I74" i="5"/>
  <c r="I165" i="5" s="1"/>
  <c r="H74" i="5"/>
  <c r="H165" i="5" s="1"/>
  <c r="G74" i="5"/>
  <c r="G165" i="5" s="1"/>
  <c r="F74" i="5"/>
  <c r="F165" i="5" s="1"/>
  <c r="E74" i="5"/>
  <c r="E165" i="5" s="1"/>
  <c r="D74" i="5"/>
  <c r="D165" i="5" s="1"/>
  <c r="C74" i="5"/>
  <c r="C165" i="5" s="1"/>
  <c r="M73" i="5"/>
  <c r="M164" i="5" s="1"/>
  <c r="L73" i="5"/>
  <c r="L164" i="5" s="1"/>
  <c r="K73" i="5"/>
  <c r="K164" i="5" s="1"/>
  <c r="J73" i="5"/>
  <c r="J164" i="5" s="1"/>
  <c r="I73" i="5"/>
  <c r="I164" i="5" s="1"/>
  <c r="H73" i="5"/>
  <c r="H164" i="5" s="1"/>
  <c r="G73" i="5"/>
  <c r="G164" i="5" s="1"/>
  <c r="F73" i="5"/>
  <c r="F164" i="5" s="1"/>
  <c r="E73" i="5"/>
  <c r="E164" i="5" s="1"/>
  <c r="D73" i="5"/>
  <c r="D164" i="5" s="1"/>
  <c r="C73" i="5"/>
  <c r="C164" i="5" s="1"/>
  <c r="M72" i="5"/>
  <c r="M163" i="5" s="1"/>
  <c r="L72" i="5"/>
  <c r="L163" i="5" s="1"/>
  <c r="K72" i="5"/>
  <c r="K163" i="5" s="1"/>
  <c r="J72" i="5"/>
  <c r="J163" i="5" s="1"/>
  <c r="I72" i="5"/>
  <c r="I163" i="5" s="1"/>
  <c r="H72" i="5"/>
  <c r="H163" i="5" s="1"/>
  <c r="G72" i="5"/>
  <c r="G163" i="5" s="1"/>
  <c r="F72" i="5"/>
  <c r="F163" i="5" s="1"/>
  <c r="E72" i="5"/>
  <c r="E163" i="5" s="1"/>
  <c r="D72" i="5"/>
  <c r="D163" i="5" s="1"/>
  <c r="C72" i="5"/>
  <c r="C163" i="5" s="1"/>
  <c r="M71" i="5"/>
  <c r="M162" i="5" s="1"/>
  <c r="L71" i="5"/>
  <c r="L162" i="5" s="1"/>
  <c r="K71" i="5"/>
  <c r="K162" i="5" s="1"/>
  <c r="J71" i="5"/>
  <c r="J162" i="5" s="1"/>
  <c r="I71" i="5"/>
  <c r="I162" i="5" s="1"/>
  <c r="H71" i="5"/>
  <c r="H162" i="5" s="1"/>
  <c r="G71" i="5"/>
  <c r="G162" i="5" s="1"/>
  <c r="F71" i="5"/>
  <c r="F162" i="5" s="1"/>
  <c r="E71" i="5"/>
  <c r="E162" i="5" s="1"/>
  <c r="D71" i="5"/>
  <c r="D162" i="5" s="1"/>
  <c r="C71" i="5"/>
  <c r="C162" i="5" s="1"/>
  <c r="M70" i="5"/>
  <c r="M161" i="5" s="1"/>
  <c r="L70" i="5"/>
  <c r="L161" i="5" s="1"/>
  <c r="K70" i="5"/>
  <c r="K161" i="5" s="1"/>
  <c r="J70" i="5"/>
  <c r="J161" i="5" s="1"/>
  <c r="I70" i="5"/>
  <c r="I161" i="5" s="1"/>
  <c r="H70" i="5"/>
  <c r="H161" i="5" s="1"/>
  <c r="G70" i="5"/>
  <c r="G161" i="5" s="1"/>
  <c r="F70" i="5"/>
  <c r="F161" i="5" s="1"/>
  <c r="E70" i="5"/>
  <c r="E161" i="5" s="1"/>
  <c r="D70" i="5"/>
  <c r="D161" i="5" s="1"/>
  <c r="C70" i="5"/>
  <c r="C161" i="5" s="1"/>
  <c r="M69" i="5"/>
  <c r="M160" i="5" s="1"/>
  <c r="L69" i="5"/>
  <c r="L160" i="5" s="1"/>
  <c r="K69" i="5"/>
  <c r="K160" i="5" s="1"/>
  <c r="J69" i="5"/>
  <c r="J160" i="5" s="1"/>
  <c r="I69" i="5"/>
  <c r="I160" i="5" s="1"/>
  <c r="H69" i="5"/>
  <c r="H160" i="5" s="1"/>
  <c r="G69" i="5"/>
  <c r="G160" i="5" s="1"/>
  <c r="F69" i="5"/>
  <c r="F160" i="5" s="1"/>
  <c r="E69" i="5"/>
  <c r="E160" i="5" s="1"/>
  <c r="D69" i="5"/>
  <c r="D160" i="5" s="1"/>
  <c r="C69" i="5"/>
  <c r="C160" i="5" s="1"/>
  <c r="M68" i="5"/>
  <c r="M159" i="5" s="1"/>
  <c r="L68" i="5"/>
  <c r="L159" i="5" s="1"/>
  <c r="K68" i="5"/>
  <c r="K159" i="5" s="1"/>
  <c r="J68" i="5"/>
  <c r="J159" i="5" s="1"/>
  <c r="I68" i="5"/>
  <c r="I159" i="5" s="1"/>
  <c r="H68" i="5"/>
  <c r="H159" i="5" s="1"/>
  <c r="G68" i="5"/>
  <c r="G159" i="5" s="1"/>
  <c r="F68" i="5"/>
  <c r="F159" i="5" s="1"/>
  <c r="E68" i="5"/>
  <c r="E159" i="5" s="1"/>
  <c r="D68" i="5"/>
  <c r="D159" i="5" s="1"/>
  <c r="C68" i="5"/>
  <c r="C159" i="5" s="1"/>
  <c r="M67" i="5"/>
  <c r="M158" i="5" s="1"/>
  <c r="L67" i="5"/>
  <c r="L158" i="5" s="1"/>
  <c r="K67" i="5"/>
  <c r="K158" i="5" s="1"/>
  <c r="J67" i="5"/>
  <c r="J158" i="5" s="1"/>
  <c r="I67" i="5"/>
  <c r="I158" i="5" s="1"/>
  <c r="H67" i="5"/>
  <c r="H158" i="5" s="1"/>
  <c r="G67" i="5"/>
  <c r="G158" i="5" s="1"/>
  <c r="F67" i="5"/>
  <c r="F158" i="5" s="1"/>
  <c r="E67" i="5"/>
  <c r="E158" i="5" s="1"/>
  <c r="D67" i="5"/>
  <c r="D158" i="5" s="1"/>
  <c r="C67" i="5"/>
  <c r="C158" i="5" s="1"/>
  <c r="M66" i="5"/>
  <c r="M157" i="5" s="1"/>
  <c r="L66" i="5"/>
  <c r="L157" i="5" s="1"/>
  <c r="K66" i="5"/>
  <c r="K157" i="5" s="1"/>
  <c r="J66" i="5"/>
  <c r="J157" i="5" s="1"/>
  <c r="I66" i="5"/>
  <c r="I157" i="5" s="1"/>
  <c r="H66" i="5"/>
  <c r="H157" i="5" s="1"/>
  <c r="G66" i="5"/>
  <c r="G157" i="5" s="1"/>
  <c r="F66" i="5"/>
  <c r="F157" i="5" s="1"/>
  <c r="E66" i="5"/>
  <c r="E157" i="5" s="1"/>
  <c r="D66" i="5"/>
  <c r="D157" i="5" s="1"/>
  <c r="C66" i="5"/>
  <c r="C157" i="5" s="1"/>
  <c r="M65" i="5"/>
  <c r="M156" i="5" s="1"/>
  <c r="L65" i="5"/>
  <c r="L156" i="5" s="1"/>
  <c r="K65" i="5"/>
  <c r="K156" i="5" s="1"/>
  <c r="J65" i="5"/>
  <c r="J156" i="5" s="1"/>
  <c r="I65" i="5"/>
  <c r="I156" i="5" s="1"/>
  <c r="H65" i="5"/>
  <c r="H156" i="5" s="1"/>
  <c r="G65" i="5"/>
  <c r="G156" i="5" s="1"/>
  <c r="F65" i="5"/>
  <c r="F156" i="5" s="1"/>
  <c r="E65" i="5"/>
  <c r="E156" i="5" s="1"/>
  <c r="D65" i="5"/>
  <c r="D156" i="5" s="1"/>
  <c r="C65" i="5"/>
  <c r="C156" i="5" s="1"/>
  <c r="K102" i="5" l="1"/>
  <c r="D166" i="5"/>
  <c r="H118" i="5"/>
  <c r="E102" i="5"/>
  <c r="M118" i="5"/>
  <c r="I102" i="5"/>
  <c r="J102" i="5"/>
  <c r="C118" i="5"/>
  <c r="D118" i="5"/>
  <c r="I118" i="5"/>
  <c r="F118" i="5"/>
  <c r="E166" i="5"/>
  <c r="M102" i="5"/>
  <c r="M135" i="5" s="1"/>
  <c r="L5" i="1" s="1"/>
  <c r="F166" i="5"/>
  <c r="L102" i="5"/>
  <c r="F102" i="5"/>
  <c r="J118" i="5"/>
  <c r="J135" i="5" s="1"/>
  <c r="I5" i="1" s="1"/>
  <c r="C102" i="5"/>
  <c r="K118" i="5"/>
  <c r="E118" i="5"/>
  <c r="E135" i="5" s="1"/>
  <c r="D5" i="1" s="1"/>
  <c r="D102" i="5"/>
  <c r="D135" i="5" s="1"/>
  <c r="C5" i="1" s="1"/>
  <c r="L118" i="5"/>
  <c r="G102" i="5"/>
  <c r="G135" i="5" s="1"/>
  <c r="H102" i="5"/>
  <c r="G166" i="5"/>
  <c r="J166" i="5"/>
  <c r="K166" i="5"/>
  <c r="L166" i="5"/>
  <c r="M166" i="5"/>
  <c r="F135" i="5"/>
  <c r="E5" i="1" s="1"/>
  <c r="C166" i="5"/>
  <c r="H166" i="5"/>
  <c r="I166" i="5"/>
  <c r="F37" i="14"/>
  <c r="L77" i="14"/>
  <c r="L27" i="1" s="1"/>
  <c r="G37" i="14"/>
  <c r="H37" i="14"/>
  <c r="H13" i="1" s="1"/>
  <c r="I37" i="14"/>
  <c r="I13" i="1" s="1"/>
  <c r="J37" i="14"/>
  <c r="J13" i="1" s="1"/>
  <c r="K37" i="14"/>
  <c r="K13" i="1" s="1"/>
  <c r="L37" i="14"/>
  <c r="L13" i="1" s="1"/>
  <c r="I35" i="13"/>
  <c r="I26" i="1" s="1"/>
  <c r="J35" i="13"/>
  <c r="J26" i="1" s="1"/>
  <c r="K35" i="13"/>
  <c r="K26" i="1" s="1"/>
  <c r="L35" i="13"/>
  <c r="L26" i="1" s="1"/>
  <c r="H35" i="13"/>
  <c r="H26" i="1" s="1"/>
  <c r="F16" i="13"/>
  <c r="F12" i="1" s="1"/>
  <c r="G16" i="13"/>
  <c r="H16" i="13"/>
  <c r="H12" i="1" s="1"/>
  <c r="I16" i="13"/>
  <c r="I12" i="1" s="1"/>
  <c r="J16" i="13"/>
  <c r="J12" i="1" s="1"/>
  <c r="K16" i="13"/>
  <c r="K12" i="1" s="1"/>
  <c r="L16" i="13"/>
  <c r="L12" i="1" s="1"/>
  <c r="I43" i="12"/>
  <c r="I25" i="1" s="1"/>
  <c r="J43" i="12"/>
  <c r="J25" i="1" s="1"/>
  <c r="K43" i="12"/>
  <c r="K25" i="1" s="1"/>
  <c r="L43" i="12"/>
  <c r="L25" i="1" s="1"/>
  <c r="H43" i="12"/>
  <c r="H25" i="1" s="1"/>
  <c r="F20" i="12"/>
  <c r="F11" i="1" s="1"/>
  <c r="G20" i="12"/>
  <c r="H20" i="12"/>
  <c r="H11" i="1" s="1"/>
  <c r="I20" i="12"/>
  <c r="I11" i="1" s="1"/>
  <c r="J20" i="12"/>
  <c r="J11" i="1" s="1"/>
  <c r="K20" i="12"/>
  <c r="K11" i="1" s="1"/>
  <c r="L20" i="12"/>
  <c r="L11" i="1" s="1"/>
  <c r="I27" i="11"/>
  <c r="I24" i="1" s="1"/>
  <c r="J27" i="11"/>
  <c r="J24" i="1" s="1"/>
  <c r="L27" i="11"/>
  <c r="L24" i="1" s="1"/>
  <c r="H27" i="11"/>
  <c r="H24" i="1" s="1"/>
  <c r="K27" i="11"/>
  <c r="K24" i="1" s="1"/>
  <c r="F12" i="11"/>
  <c r="F10" i="1" s="1"/>
  <c r="G12" i="11"/>
  <c r="H10" i="1"/>
  <c r="I12" i="11"/>
  <c r="I10" i="1" s="1"/>
  <c r="J12" i="11"/>
  <c r="J10" i="1" s="1"/>
  <c r="K12" i="11"/>
  <c r="K10" i="1" s="1"/>
  <c r="L12" i="11"/>
  <c r="L10" i="1" s="1"/>
  <c r="J25" i="10"/>
  <c r="J23" i="1" s="1"/>
  <c r="L25" i="10"/>
  <c r="L23" i="1" s="1"/>
  <c r="H25" i="10"/>
  <c r="H23" i="1" s="1"/>
  <c r="I25" i="10"/>
  <c r="I23" i="1" s="1"/>
  <c r="K25" i="10"/>
  <c r="K23" i="1" s="1"/>
  <c r="F10" i="10"/>
  <c r="F9" i="1" s="1"/>
  <c r="G10" i="10"/>
  <c r="H10" i="10"/>
  <c r="H9" i="1" s="1"/>
  <c r="I10" i="10"/>
  <c r="I9" i="1" s="1"/>
  <c r="J10" i="10"/>
  <c r="J9" i="1" s="1"/>
  <c r="K10" i="10"/>
  <c r="K9" i="1" s="1"/>
  <c r="L10" i="10"/>
  <c r="L9" i="1" s="1"/>
  <c r="I31" i="8"/>
  <c r="I22" i="1" s="1"/>
  <c r="J31" i="8"/>
  <c r="J22" i="1" s="1"/>
  <c r="K31" i="8"/>
  <c r="K22" i="1" s="1"/>
  <c r="L31" i="8"/>
  <c r="L22" i="1" s="1"/>
  <c r="H31" i="8"/>
  <c r="H22" i="1" s="1"/>
  <c r="F14" i="8"/>
  <c r="F8" i="1" s="1"/>
  <c r="G14" i="8"/>
  <c r="H14" i="8"/>
  <c r="H8" i="1" s="1"/>
  <c r="I14" i="8"/>
  <c r="I8" i="1" s="1"/>
  <c r="J14" i="8"/>
  <c r="J8" i="1" s="1"/>
  <c r="K14" i="8"/>
  <c r="K8" i="1" s="1"/>
  <c r="L14" i="8"/>
  <c r="L8" i="1" s="1"/>
  <c r="I30" i="7"/>
  <c r="I21" i="1" s="1"/>
  <c r="J30" i="7"/>
  <c r="J21" i="1" s="1"/>
  <c r="K30" i="7"/>
  <c r="K21" i="1" s="1"/>
  <c r="L30" i="7"/>
  <c r="L21" i="1" s="1"/>
  <c r="H30" i="7"/>
  <c r="H21" i="1" s="1"/>
  <c r="F13" i="7"/>
  <c r="F7" i="1" s="1"/>
  <c r="G13" i="7"/>
  <c r="H13" i="7"/>
  <c r="H7" i="1" s="1"/>
  <c r="I13" i="7"/>
  <c r="I7" i="1" s="1"/>
  <c r="J13" i="7"/>
  <c r="J7" i="1" s="1"/>
  <c r="K13" i="7"/>
  <c r="K7" i="1" s="1"/>
  <c r="L13" i="7"/>
  <c r="L7" i="1" s="1"/>
  <c r="J25" i="6"/>
  <c r="J20" i="1" s="1"/>
  <c r="K25" i="6"/>
  <c r="K20" i="1" s="1"/>
  <c r="L25" i="6"/>
  <c r="L20" i="1" s="1"/>
  <c r="H25" i="6"/>
  <c r="H20" i="1" s="1"/>
  <c r="I25" i="6"/>
  <c r="I20" i="1" s="1"/>
  <c r="F10" i="6"/>
  <c r="F6" i="1" s="1"/>
  <c r="F15" i="1" s="1"/>
  <c r="G10" i="6"/>
  <c r="G6" i="1" s="1"/>
  <c r="G15" i="1" s="1"/>
  <c r="G34" i="1" s="1"/>
  <c r="H10" i="6"/>
  <c r="H6" i="1" s="1"/>
  <c r="I10" i="6"/>
  <c r="I6" i="1" s="1"/>
  <c r="J10" i="6"/>
  <c r="J6" i="1" s="1"/>
  <c r="K10" i="6"/>
  <c r="K6" i="1" s="1"/>
  <c r="L10" i="6"/>
  <c r="L6" i="1" s="1"/>
  <c r="G54" i="5"/>
  <c r="G145" i="5" s="1"/>
  <c r="H54" i="5"/>
  <c r="H145" i="5" s="1"/>
  <c r="I54" i="5"/>
  <c r="I145" i="5" s="1"/>
  <c r="J54" i="5"/>
  <c r="J145" i="5" s="1"/>
  <c r="K54" i="5"/>
  <c r="K145" i="5" s="1"/>
  <c r="L54" i="5"/>
  <c r="L145" i="5" s="1"/>
  <c r="M54" i="5"/>
  <c r="M145" i="5" s="1"/>
  <c r="G55" i="5"/>
  <c r="G146" i="5" s="1"/>
  <c r="H55" i="5"/>
  <c r="H146" i="5" s="1"/>
  <c r="I55" i="5"/>
  <c r="I146" i="5" s="1"/>
  <c r="J55" i="5"/>
  <c r="J146" i="5" s="1"/>
  <c r="K55" i="5"/>
  <c r="K146" i="5" s="1"/>
  <c r="L55" i="5"/>
  <c r="L146" i="5" s="1"/>
  <c r="M55" i="5"/>
  <c r="M146" i="5" s="1"/>
  <c r="G56" i="5"/>
  <c r="G147" i="5" s="1"/>
  <c r="H56" i="5"/>
  <c r="H147" i="5" s="1"/>
  <c r="I56" i="5"/>
  <c r="I147" i="5" s="1"/>
  <c r="J56" i="5"/>
  <c r="J147" i="5" s="1"/>
  <c r="K56" i="5"/>
  <c r="K147" i="5" s="1"/>
  <c r="L56" i="5"/>
  <c r="L147" i="5" s="1"/>
  <c r="M56" i="5"/>
  <c r="M147" i="5" s="1"/>
  <c r="G57" i="5"/>
  <c r="G148" i="5" s="1"/>
  <c r="H57" i="5"/>
  <c r="H148" i="5" s="1"/>
  <c r="I57" i="5"/>
  <c r="I148" i="5" s="1"/>
  <c r="J57" i="5"/>
  <c r="J148" i="5" s="1"/>
  <c r="K57" i="5"/>
  <c r="K148" i="5" s="1"/>
  <c r="L57" i="5"/>
  <c r="L148" i="5" s="1"/>
  <c r="M57" i="5"/>
  <c r="M148" i="5" s="1"/>
  <c r="G58" i="5"/>
  <c r="G149" i="5" s="1"/>
  <c r="H58" i="5"/>
  <c r="H149" i="5" s="1"/>
  <c r="I58" i="5"/>
  <c r="I149" i="5" s="1"/>
  <c r="J58" i="5"/>
  <c r="J149" i="5" s="1"/>
  <c r="K58" i="5"/>
  <c r="K149" i="5" s="1"/>
  <c r="L58" i="5"/>
  <c r="L149" i="5" s="1"/>
  <c r="M58" i="5"/>
  <c r="M149" i="5" s="1"/>
  <c r="F5" i="1"/>
  <c r="F13" i="1"/>
  <c r="C33" i="1"/>
  <c r="D33" i="1"/>
  <c r="E33" i="1"/>
  <c r="F33" i="1"/>
  <c r="G33" i="1"/>
  <c r="H33" i="1"/>
  <c r="I33" i="1"/>
  <c r="J33" i="1"/>
  <c r="K33" i="1"/>
  <c r="L33" i="1"/>
  <c r="B33" i="1"/>
  <c r="C27" i="1"/>
  <c r="B13" i="1"/>
  <c r="C77" i="14"/>
  <c r="D77" i="14"/>
  <c r="D27" i="1" s="1"/>
  <c r="E77" i="14"/>
  <c r="E27" i="1" s="1"/>
  <c r="B77" i="14"/>
  <c r="B27" i="1" s="1"/>
  <c r="C37" i="14"/>
  <c r="C13" i="1" s="1"/>
  <c r="D37" i="14"/>
  <c r="D13" i="1" s="1"/>
  <c r="E37" i="14"/>
  <c r="E13" i="1" s="1"/>
  <c r="B37" i="14"/>
  <c r="E44" i="14"/>
  <c r="D44" i="14"/>
  <c r="L4" i="14"/>
  <c r="K4" i="14"/>
  <c r="J4" i="14"/>
  <c r="I4" i="14"/>
  <c r="H4" i="14"/>
  <c r="H44" i="14" s="1"/>
  <c r="G4" i="14"/>
  <c r="G44" i="14" s="1"/>
  <c r="F4" i="14"/>
  <c r="F44" i="14" s="1"/>
  <c r="E4" i="14"/>
  <c r="D4" i="14"/>
  <c r="C4" i="14"/>
  <c r="C44" i="14" s="1"/>
  <c r="B4" i="14"/>
  <c r="B44" i="14" s="1"/>
  <c r="C26" i="1"/>
  <c r="D26" i="1"/>
  <c r="C12" i="1"/>
  <c r="D12" i="1"/>
  <c r="E12" i="1"/>
  <c r="B12" i="1"/>
  <c r="C35" i="13"/>
  <c r="D35" i="13"/>
  <c r="E35" i="13"/>
  <c r="E26" i="1" s="1"/>
  <c r="B35" i="13"/>
  <c r="B26" i="1" s="1"/>
  <c r="C16" i="13"/>
  <c r="D16" i="13"/>
  <c r="E16" i="13"/>
  <c r="B16" i="13"/>
  <c r="L4" i="13"/>
  <c r="L23" i="13" s="1"/>
  <c r="K4" i="13"/>
  <c r="K23" i="13" s="1"/>
  <c r="J4" i="13"/>
  <c r="J23" i="13" s="1"/>
  <c r="I4" i="13"/>
  <c r="I23" i="13" s="1"/>
  <c r="H4" i="13"/>
  <c r="H23" i="13" s="1"/>
  <c r="G4" i="13"/>
  <c r="G23" i="13" s="1"/>
  <c r="F4" i="13"/>
  <c r="F23" i="13" s="1"/>
  <c r="E4" i="13"/>
  <c r="E23" i="13" s="1"/>
  <c r="D4" i="13"/>
  <c r="D23" i="13" s="1"/>
  <c r="C4" i="13"/>
  <c r="C23" i="13" s="1"/>
  <c r="B4" i="13"/>
  <c r="B23" i="13" s="1"/>
  <c r="C25" i="1"/>
  <c r="E25" i="1"/>
  <c r="C11" i="1"/>
  <c r="D11" i="1"/>
  <c r="E11" i="1"/>
  <c r="B11" i="1"/>
  <c r="C43" i="12"/>
  <c r="D43" i="12"/>
  <c r="D25" i="1" s="1"/>
  <c r="E43" i="12"/>
  <c r="B43" i="12"/>
  <c r="B25" i="1" s="1"/>
  <c r="I27" i="12"/>
  <c r="C20" i="12"/>
  <c r="D20" i="12"/>
  <c r="E20" i="12"/>
  <c r="B20" i="12"/>
  <c r="L4" i="12"/>
  <c r="L27" i="12" s="1"/>
  <c r="K4" i="12"/>
  <c r="K27" i="12" s="1"/>
  <c r="J4" i="12"/>
  <c r="J27" i="12" s="1"/>
  <c r="I4" i="12"/>
  <c r="H4" i="12"/>
  <c r="H27" i="12" s="1"/>
  <c r="G4" i="12"/>
  <c r="G27" i="12" s="1"/>
  <c r="F4" i="12"/>
  <c r="F27" i="12" s="1"/>
  <c r="E4" i="12"/>
  <c r="E27" i="12" s="1"/>
  <c r="D4" i="12"/>
  <c r="D27" i="12" s="1"/>
  <c r="C4" i="12"/>
  <c r="C27" i="12" s="1"/>
  <c r="B4" i="12"/>
  <c r="B27" i="12" s="1"/>
  <c r="B24" i="1"/>
  <c r="C10" i="1"/>
  <c r="D10" i="1"/>
  <c r="E10" i="1"/>
  <c r="B10" i="1"/>
  <c r="C27" i="11"/>
  <c r="C24" i="1" s="1"/>
  <c r="D27" i="11"/>
  <c r="D24" i="1" s="1"/>
  <c r="E27" i="11"/>
  <c r="E24" i="1" s="1"/>
  <c r="B27" i="11"/>
  <c r="C12" i="11"/>
  <c r="D12" i="11"/>
  <c r="E12" i="11"/>
  <c r="B12" i="11"/>
  <c r="B19" i="11"/>
  <c r="L4" i="11"/>
  <c r="L19" i="11" s="1"/>
  <c r="K4" i="11"/>
  <c r="K19" i="11" s="1"/>
  <c r="J4" i="11"/>
  <c r="J19" i="11" s="1"/>
  <c r="I4" i="11"/>
  <c r="I19" i="11" s="1"/>
  <c r="H4" i="11"/>
  <c r="H19" i="11" s="1"/>
  <c r="G4" i="11"/>
  <c r="G19" i="11" s="1"/>
  <c r="F4" i="11"/>
  <c r="F19" i="11" s="1"/>
  <c r="E4" i="11"/>
  <c r="E19" i="11" s="1"/>
  <c r="D4" i="11"/>
  <c r="D19" i="11" s="1"/>
  <c r="C4" i="11"/>
  <c r="C19" i="11" s="1"/>
  <c r="B4" i="11"/>
  <c r="C9" i="1"/>
  <c r="D9" i="1"/>
  <c r="E9" i="1"/>
  <c r="B9" i="1"/>
  <c r="C8" i="1"/>
  <c r="D8" i="1"/>
  <c r="E8" i="1"/>
  <c r="B8" i="1"/>
  <c r="C21" i="1"/>
  <c r="E21" i="1"/>
  <c r="C7" i="1"/>
  <c r="D7" i="1"/>
  <c r="E7" i="1"/>
  <c r="B7" i="1"/>
  <c r="E25" i="10"/>
  <c r="E23" i="1" s="1"/>
  <c r="D25" i="10"/>
  <c r="D23" i="1" s="1"/>
  <c r="C25" i="10"/>
  <c r="C23" i="1" s="1"/>
  <c r="B25" i="10"/>
  <c r="B23" i="1" s="1"/>
  <c r="E10" i="10"/>
  <c r="D10" i="10"/>
  <c r="C10" i="10"/>
  <c r="B10" i="10"/>
  <c r="L4" i="10"/>
  <c r="L19" i="10" s="1"/>
  <c r="K4" i="10"/>
  <c r="K19" i="10" s="1"/>
  <c r="J4" i="10"/>
  <c r="J19" i="10" s="1"/>
  <c r="I4" i="10"/>
  <c r="I19" i="10" s="1"/>
  <c r="H4" i="10"/>
  <c r="H19" i="10" s="1"/>
  <c r="G4" i="10"/>
  <c r="G19" i="10" s="1"/>
  <c r="F4" i="10"/>
  <c r="F19" i="10" s="1"/>
  <c r="E4" i="10"/>
  <c r="E19" i="10" s="1"/>
  <c r="D4" i="10"/>
  <c r="D19" i="10" s="1"/>
  <c r="C4" i="10"/>
  <c r="C19" i="10" s="1"/>
  <c r="B4" i="10"/>
  <c r="B19" i="10" s="1"/>
  <c r="C31" i="8"/>
  <c r="C22" i="1" s="1"/>
  <c r="D31" i="8"/>
  <c r="D22" i="1" s="1"/>
  <c r="E31" i="8"/>
  <c r="E22" i="1" s="1"/>
  <c r="B31" i="8"/>
  <c r="B22" i="1" s="1"/>
  <c r="C14" i="8"/>
  <c r="D14" i="8"/>
  <c r="E14" i="8"/>
  <c r="B14" i="8"/>
  <c r="C30" i="7"/>
  <c r="D30" i="7"/>
  <c r="D21" i="1" s="1"/>
  <c r="E30" i="7"/>
  <c r="B30" i="7"/>
  <c r="B21" i="1" s="1"/>
  <c r="B21" i="7"/>
  <c r="C13" i="7"/>
  <c r="D13" i="7"/>
  <c r="E13" i="7"/>
  <c r="B13" i="7"/>
  <c r="E4" i="7"/>
  <c r="E21" i="7" s="1"/>
  <c r="F4" i="7"/>
  <c r="F21" i="7" s="1"/>
  <c r="B4" i="7"/>
  <c r="D6" i="1"/>
  <c r="D15" i="1" s="1"/>
  <c r="E6" i="1"/>
  <c r="E15" i="1" s="1"/>
  <c r="B6" i="1"/>
  <c r="B15" i="1" s="1"/>
  <c r="C25" i="6"/>
  <c r="C20" i="1" s="1"/>
  <c r="D25" i="6"/>
  <c r="D20" i="1" s="1"/>
  <c r="E25" i="6"/>
  <c r="E20" i="1" s="1"/>
  <c r="B25" i="6"/>
  <c r="B20" i="1" s="1"/>
  <c r="C10" i="6"/>
  <c r="C6" i="1" s="1"/>
  <c r="C15" i="1" s="1"/>
  <c r="D10" i="6"/>
  <c r="E10" i="6"/>
  <c r="B10" i="6"/>
  <c r="C4" i="6"/>
  <c r="C19" i="6" s="1"/>
  <c r="D4" i="6"/>
  <c r="D19" i="6" s="1"/>
  <c r="E4" i="6"/>
  <c r="E19" i="6" s="1"/>
  <c r="F4" i="6"/>
  <c r="F4" i="8" s="1"/>
  <c r="F21" i="8" s="1"/>
  <c r="G4" i="6"/>
  <c r="G4" i="8" s="1"/>
  <c r="G21" i="8" s="1"/>
  <c r="H4" i="6"/>
  <c r="H4" i="7" s="1"/>
  <c r="H21" i="7" s="1"/>
  <c r="I4" i="6"/>
  <c r="I4" i="7" s="1"/>
  <c r="I21" i="7" s="1"/>
  <c r="J4" i="6"/>
  <c r="J4" i="7" s="1"/>
  <c r="J21" i="7" s="1"/>
  <c r="K4" i="6"/>
  <c r="K4" i="8" s="1"/>
  <c r="K21" i="8" s="1"/>
  <c r="L4" i="6"/>
  <c r="L4" i="8" s="1"/>
  <c r="L21" i="8" s="1"/>
  <c r="B4" i="6"/>
  <c r="B19" i="6" s="1"/>
  <c r="D54" i="5"/>
  <c r="D145" i="5" s="1"/>
  <c r="E54" i="5"/>
  <c r="E145" i="5" s="1"/>
  <c r="F54" i="5"/>
  <c r="F145" i="5" s="1"/>
  <c r="D55" i="5"/>
  <c r="D146" i="5" s="1"/>
  <c r="E55" i="5"/>
  <c r="E146" i="5" s="1"/>
  <c r="F55" i="5"/>
  <c r="F146" i="5" s="1"/>
  <c r="D56" i="5"/>
  <c r="D147" i="5" s="1"/>
  <c r="E56" i="5"/>
  <c r="E147" i="5" s="1"/>
  <c r="F56" i="5"/>
  <c r="F147" i="5" s="1"/>
  <c r="D57" i="5"/>
  <c r="D148" i="5" s="1"/>
  <c r="E57" i="5"/>
  <c r="E148" i="5" s="1"/>
  <c r="F57" i="5"/>
  <c r="F148" i="5" s="1"/>
  <c r="D58" i="5"/>
  <c r="D149" i="5" s="1"/>
  <c r="E58" i="5"/>
  <c r="E149" i="5" s="1"/>
  <c r="F58" i="5"/>
  <c r="F149" i="5" s="1"/>
  <c r="C55" i="5"/>
  <c r="C146" i="5" s="1"/>
  <c r="C56" i="5"/>
  <c r="C147" i="5" s="1"/>
  <c r="C57" i="5"/>
  <c r="C148" i="5" s="1"/>
  <c r="C58" i="5"/>
  <c r="C149" i="5" s="1"/>
  <c r="C54" i="5"/>
  <c r="C145" i="5" s="1"/>
  <c r="C53" i="5"/>
  <c r="C64" i="5" s="1"/>
  <c r="C80" i="5" s="1"/>
  <c r="C96" i="5" s="1"/>
  <c r="C107" i="5" s="1"/>
  <c r="C123" i="5" s="1"/>
  <c r="C144" i="5" s="1"/>
  <c r="C155" i="5" s="1"/>
  <c r="C171" i="5" s="1"/>
  <c r="M3" i="5"/>
  <c r="M14" i="5" s="1"/>
  <c r="M30" i="5" s="1"/>
  <c r="M53" i="5" s="1"/>
  <c r="M64" i="5" s="1"/>
  <c r="M80" i="5" s="1"/>
  <c r="M96" i="5" s="1"/>
  <c r="M107" i="5" s="1"/>
  <c r="M123" i="5" s="1"/>
  <c r="M144" i="5" s="1"/>
  <c r="M155" i="5" s="1"/>
  <c r="M171" i="5" s="1"/>
  <c r="L3" i="5"/>
  <c r="L14" i="5" s="1"/>
  <c r="L30" i="5" s="1"/>
  <c r="L53" i="5" s="1"/>
  <c r="L64" i="5" s="1"/>
  <c r="L80" i="5" s="1"/>
  <c r="L96" i="5" s="1"/>
  <c r="L107" i="5" s="1"/>
  <c r="L123" i="5" s="1"/>
  <c r="L144" i="5" s="1"/>
  <c r="L155" i="5" s="1"/>
  <c r="L171" i="5" s="1"/>
  <c r="K3" i="5"/>
  <c r="K14" i="5" s="1"/>
  <c r="K30" i="5" s="1"/>
  <c r="K53" i="5" s="1"/>
  <c r="K64" i="5" s="1"/>
  <c r="K80" i="5" s="1"/>
  <c r="K96" i="5" s="1"/>
  <c r="K107" i="5" s="1"/>
  <c r="K123" i="5" s="1"/>
  <c r="K144" i="5" s="1"/>
  <c r="K155" i="5" s="1"/>
  <c r="K171" i="5" s="1"/>
  <c r="J3" i="5"/>
  <c r="J14" i="5" s="1"/>
  <c r="J30" i="5" s="1"/>
  <c r="J53" i="5" s="1"/>
  <c r="J64" i="5" s="1"/>
  <c r="J80" i="5" s="1"/>
  <c r="J96" i="5" s="1"/>
  <c r="J107" i="5" s="1"/>
  <c r="J123" i="5" s="1"/>
  <c r="J144" i="5" s="1"/>
  <c r="J155" i="5" s="1"/>
  <c r="J171" i="5" s="1"/>
  <c r="I14" i="5"/>
  <c r="I30" i="5" s="1"/>
  <c r="I53" i="5" s="1"/>
  <c r="I64" i="5" s="1"/>
  <c r="I80" i="5" s="1"/>
  <c r="I96" i="5" s="1"/>
  <c r="I107" i="5" s="1"/>
  <c r="I123" i="5" s="1"/>
  <c r="I144" i="5" s="1"/>
  <c r="I155" i="5" s="1"/>
  <c r="I171" i="5" s="1"/>
  <c r="H3" i="5"/>
  <c r="H14" i="5" s="1"/>
  <c r="H30" i="5" s="1"/>
  <c r="H53" i="5" s="1"/>
  <c r="H64" i="5" s="1"/>
  <c r="H80" i="5" s="1"/>
  <c r="H96" i="5" s="1"/>
  <c r="H107" i="5" s="1"/>
  <c r="H123" i="5" s="1"/>
  <c r="H144" i="5" s="1"/>
  <c r="H155" i="5" s="1"/>
  <c r="H171" i="5" s="1"/>
  <c r="G3" i="5"/>
  <c r="G14" i="5" s="1"/>
  <c r="G30" i="5" s="1"/>
  <c r="G53" i="5" s="1"/>
  <c r="G64" i="5" s="1"/>
  <c r="G80" i="5" s="1"/>
  <c r="G96" i="5" s="1"/>
  <c r="G107" i="5" s="1"/>
  <c r="G123" i="5" s="1"/>
  <c r="G144" i="5" s="1"/>
  <c r="G155" i="5" s="1"/>
  <c r="G171" i="5" s="1"/>
  <c r="F3" i="5"/>
  <c r="F14" i="5" s="1"/>
  <c r="F30" i="5" s="1"/>
  <c r="F53" i="5" s="1"/>
  <c r="F64" i="5" s="1"/>
  <c r="F80" i="5" s="1"/>
  <c r="F96" i="5" s="1"/>
  <c r="F107" i="5" s="1"/>
  <c r="F123" i="5" s="1"/>
  <c r="F144" i="5" s="1"/>
  <c r="F155" i="5" s="1"/>
  <c r="F171" i="5" s="1"/>
  <c r="E3" i="5"/>
  <c r="E14" i="5" s="1"/>
  <c r="E30" i="5" s="1"/>
  <c r="E53" i="5" s="1"/>
  <c r="E64" i="5" s="1"/>
  <c r="E80" i="5" s="1"/>
  <c r="E96" i="5" s="1"/>
  <c r="E107" i="5" s="1"/>
  <c r="E123" i="5" s="1"/>
  <c r="E144" i="5" s="1"/>
  <c r="E155" i="5" s="1"/>
  <c r="E171" i="5" s="1"/>
  <c r="D3" i="5"/>
  <c r="D14" i="5" s="1"/>
  <c r="D30" i="5" s="1"/>
  <c r="D53" i="5" s="1"/>
  <c r="D64" i="5" s="1"/>
  <c r="D80" i="5" s="1"/>
  <c r="D96" i="5" s="1"/>
  <c r="D107" i="5" s="1"/>
  <c r="D123" i="5" s="1"/>
  <c r="D144" i="5" s="1"/>
  <c r="D155" i="5" s="1"/>
  <c r="D171" i="5" s="1"/>
  <c r="C3" i="5"/>
  <c r="C14" i="5" s="1"/>
  <c r="C30" i="5" s="1"/>
  <c r="C18" i="1"/>
  <c r="D18" i="1"/>
  <c r="E18" i="1"/>
  <c r="F18" i="1"/>
  <c r="G18" i="1"/>
  <c r="H18" i="1"/>
  <c r="I18" i="1"/>
  <c r="J18" i="1"/>
  <c r="K18" i="1"/>
  <c r="L18" i="1"/>
  <c r="B18" i="1"/>
  <c r="H15" i="1" l="1"/>
  <c r="L15" i="1"/>
  <c r="L34" i="1" s="1"/>
  <c r="L44" i="14"/>
  <c r="L4" i="16"/>
  <c r="L29" i="16" s="1"/>
  <c r="L135" i="5"/>
  <c r="K5" i="1" s="1"/>
  <c r="K15" i="1" s="1"/>
  <c r="K34" i="1" s="1"/>
  <c r="K4" i="7"/>
  <c r="K21" i="7" s="1"/>
  <c r="K44" i="14"/>
  <c r="K4" i="16"/>
  <c r="K29" i="16" s="1"/>
  <c r="K135" i="5"/>
  <c r="J5" i="1" s="1"/>
  <c r="J15" i="1" s="1"/>
  <c r="J34" i="1" s="1"/>
  <c r="J44" i="14"/>
  <c r="J4" i="16"/>
  <c r="J29" i="16" s="1"/>
  <c r="I15" i="1"/>
  <c r="I34" i="1" s="1"/>
  <c r="I44" i="14"/>
  <c r="I4" i="16"/>
  <c r="I29" i="16" s="1"/>
  <c r="H34" i="1"/>
  <c r="K19" i="6"/>
  <c r="I19" i="6"/>
  <c r="F19" i="6"/>
  <c r="B4" i="8"/>
  <c r="B21" i="8" s="1"/>
  <c r="D4" i="7"/>
  <c r="D21" i="7" s="1"/>
  <c r="C4" i="7"/>
  <c r="C21" i="7" s="1"/>
  <c r="C4" i="8"/>
  <c r="C21" i="8" s="1"/>
  <c r="D4" i="8"/>
  <c r="D21" i="8" s="1"/>
  <c r="L19" i="6"/>
  <c r="E4" i="8"/>
  <c r="E21" i="8" s="1"/>
  <c r="H4" i="8"/>
  <c r="H21" i="8" s="1"/>
  <c r="J19" i="6"/>
  <c r="I4" i="8"/>
  <c r="I21" i="8" s="1"/>
  <c r="J4" i="8"/>
  <c r="J21" i="8" s="1"/>
  <c r="H19" i="6"/>
  <c r="L4" i="7"/>
  <c r="L21" i="7" s="1"/>
  <c r="I135" i="5"/>
  <c r="F77" i="14"/>
  <c r="F27" i="1" s="1"/>
  <c r="G35" i="13"/>
  <c r="G43" i="12"/>
  <c r="G27" i="11"/>
  <c r="G25" i="10"/>
  <c r="G31" i="8"/>
  <c r="G30" i="7"/>
  <c r="G25" i="6"/>
  <c r="G20" i="1" s="1"/>
  <c r="H135" i="5"/>
  <c r="G19" i="6"/>
  <c r="G4" i="7"/>
  <c r="G21" i="7" s="1"/>
  <c r="C150" i="5"/>
  <c r="C135" i="5"/>
  <c r="B5" i="1" s="1"/>
  <c r="B34" i="1" s="1"/>
  <c r="M150" i="5"/>
  <c r="M181" i="5" s="1"/>
  <c r="L19" i="1" s="1"/>
  <c r="L29" i="1" s="1"/>
  <c r="L35" i="1" s="1"/>
  <c r="L150" i="5"/>
  <c r="L181" i="5" s="1"/>
  <c r="K19" i="1" s="1"/>
  <c r="K150" i="5"/>
  <c r="K181" i="5" s="1"/>
  <c r="J19" i="1" s="1"/>
  <c r="J150" i="5"/>
  <c r="J181" i="5" s="1"/>
  <c r="I19" i="1" s="1"/>
  <c r="H150" i="5"/>
  <c r="H181" i="5" s="1"/>
  <c r="G19" i="1" s="1"/>
  <c r="F150" i="5"/>
  <c r="F181" i="5" s="1"/>
  <c r="E19" i="1" s="1"/>
  <c r="G150" i="5"/>
  <c r="G181" i="5" s="1"/>
  <c r="F19" i="1" s="1"/>
  <c r="E150" i="5"/>
  <c r="E181" i="5" s="1"/>
  <c r="D19" i="1" s="1"/>
  <c r="D150" i="5"/>
  <c r="D181" i="5" s="1"/>
  <c r="C19" i="1" s="1"/>
  <c r="I150" i="5"/>
  <c r="I181" i="5" s="1"/>
  <c r="H19" i="1" s="1"/>
  <c r="H29" i="1" s="1"/>
  <c r="C181" i="5"/>
  <c r="B19" i="1" s="1"/>
  <c r="D34" i="1"/>
  <c r="C34" i="1"/>
  <c r="I77" i="14"/>
  <c r="I27" i="1" s="1"/>
  <c r="K77" i="14"/>
  <c r="K27" i="1" s="1"/>
  <c r="H77" i="14"/>
  <c r="H27" i="1" s="1"/>
  <c r="H35" i="1" s="1"/>
  <c r="J77" i="14"/>
  <c r="J27" i="1" s="1"/>
  <c r="F35" i="13"/>
  <c r="F26" i="1" s="1"/>
  <c r="F43" i="12"/>
  <c r="F25" i="1" s="1"/>
  <c r="F27" i="11"/>
  <c r="F24" i="1" s="1"/>
  <c r="F25" i="10"/>
  <c r="F23" i="1" s="1"/>
  <c r="F31" i="8"/>
  <c r="F22" i="1" s="1"/>
  <c r="F30" i="7"/>
  <c r="F21" i="1" s="1"/>
  <c r="F25" i="6"/>
  <c r="F20" i="1" s="1"/>
  <c r="F34" i="1"/>
  <c r="E34" i="1"/>
  <c r="F29" i="1" l="1"/>
  <c r="G29" i="1"/>
  <c r="G35" i="1" s="1"/>
  <c r="K29" i="1"/>
  <c r="K35" i="1" s="1"/>
  <c r="J29" i="1"/>
  <c r="J35" i="1" s="1"/>
  <c r="I29" i="1"/>
  <c r="I35" i="1" s="1"/>
  <c r="D29" i="1"/>
  <c r="D35" i="1" s="1"/>
  <c r="C29" i="1"/>
  <c r="C35" i="1" s="1"/>
  <c r="E29" i="1"/>
  <c r="E35" i="1" s="1"/>
  <c r="B29" i="1"/>
  <c r="B35" i="1" s="1"/>
  <c r="F35" i="1"/>
</calcChain>
</file>

<file path=xl/sharedStrings.xml><?xml version="1.0" encoding="utf-8"?>
<sst xmlns="http://schemas.openxmlformats.org/spreadsheetml/2006/main" count="375" uniqueCount="148">
  <si>
    <t>Knives</t>
  </si>
  <si>
    <t>Investments</t>
  </si>
  <si>
    <t>AWP</t>
  </si>
  <si>
    <t>Total Value</t>
  </si>
  <si>
    <t>M4A4</t>
  </si>
  <si>
    <t>M4A1-S</t>
  </si>
  <si>
    <t>AK-47</t>
  </si>
  <si>
    <t>SMG</t>
  </si>
  <si>
    <t>Heavy</t>
  </si>
  <si>
    <t>Pistols</t>
  </si>
  <si>
    <t>Total Sale Value</t>
  </si>
  <si>
    <t>Amount</t>
  </si>
  <si>
    <t>Name</t>
  </si>
  <si>
    <t>Danger Zone Cases</t>
  </si>
  <si>
    <t>Horizon Cases</t>
  </si>
  <si>
    <t>Prisma 2 Cases</t>
  </si>
  <si>
    <t>CS20-Cases</t>
  </si>
  <si>
    <t>Fracture Cases</t>
  </si>
  <si>
    <t>Ingame Drops</t>
  </si>
  <si>
    <t>Prisma 2 Case</t>
  </si>
  <si>
    <t>Prisma Case</t>
  </si>
  <si>
    <t>Fracture Case</t>
  </si>
  <si>
    <t>Danger Zone Case</t>
  </si>
  <si>
    <t>Clutch Case</t>
  </si>
  <si>
    <t>CS20 Case</t>
  </si>
  <si>
    <t>Shattered Web Case</t>
  </si>
  <si>
    <t>Spectrum 2 Case</t>
  </si>
  <si>
    <t>Horizon Case</t>
  </si>
  <si>
    <t>Spectrum Case</t>
  </si>
  <si>
    <t>Weapon Skin Inventory</t>
  </si>
  <si>
    <t>M4A4 Dark Blossom FN</t>
  </si>
  <si>
    <t>Totals</t>
  </si>
  <si>
    <t>CHANGE DATES HERE</t>
  </si>
  <si>
    <t>Sale-Value</t>
  </si>
  <si>
    <t>Total if sold</t>
  </si>
  <si>
    <t>TOTAL</t>
  </si>
  <si>
    <t>Bayonet Rust Coat BS</t>
  </si>
  <si>
    <t>Butterfly Knife Tiger Tooth FN</t>
  </si>
  <si>
    <t>Flip Knife Freehand FN</t>
  </si>
  <si>
    <t>Karambit Ultraviolet FT</t>
  </si>
  <si>
    <t>Fewer Dream MW</t>
  </si>
  <si>
    <t>Elite Build FT</t>
  </si>
  <si>
    <t>Stattrak Hyper Beast FT</t>
  </si>
  <si>
    <t>Mortis MW</t>
  </si>
  <si>
    <t>Boom MW</t>
  </si>
  <si>
    <t>Neo-Noir FN</t>
  </si>
  <si>
    <t>Atheris MW</t>
  </si>
  <si>
    <t>Stattrak Dragon King MW</t>
  </si>
  <si>
    <t>Desolate Space MW</t>
  </si>
  <si>
    <t>Bullet Rain MW</t>
  </si>
  <si>
    <t>Evil Daimyo FN</t>
  </si>
  <si>
    <t>Hellfire MW</t>
  </si>
  <si>
    <t>Neo-Noir MW</t>
  </si>
  <si>
    <t>The Battlestar FN</t>
  </si>
  <si>
    <t>Stattrak Cyber Security MW</t>
  </si>
  <si>
    <t>Golden Coil FT</t>
  </si>
  <si>
    <t>Hyper Beast MW</t>
  </si>
  <si>
    <t>Stattrak Cyrex MW</t>
  </si>
  <si>
    <t>Flashback FN</t>
  </si>
  <si>
    <t>AK47</t>
  </si>
  <si>
    <t>Redline FT</t>
  </si>
  <si>
    <t>Vulcan MW</t>
  </si>
  <si>
    <t>Bloodsport MW</t>
  </si>
  <si>
    <t>Stattrak Point Disarray FT</t>
  </si>
  <si>
    <t>Frontside Misty MW</t>
  </si>
  <si>
    <t>Aquamarine Revenge MW</t>
  </si>
  <si>
    <t>Stattrak PP-Bizon Osiris FT</t>
  </si>
  <si>
    <t>P90 Asiimov Ft</t>
  </si>
  <si>
    <t>Stattrak MP9 Dart MW</t>
  </si>
  <si>
    <t>Stattrak UMP-45 Primal Saber FT</t>
  </si>
  <si>
    <t>MP7 Bloodsport MW</t>
  </si>
  <si>
    <t>UMP-45 Momentum FN</t>
  </si>
  <si>
    <t>Stattrak MAC-10 Neon Rider MW</t>
  </si>
  <si>
    <t>MP5-SD Bamboo Garden MW</t>
  </si>
  <si>
    <t>MAC-10 Malachite MW</t>
  </si>
  <si>
    <t>MP7 Impire MW</t>
  </si>
  <si>
    <t>MP9 Hydra MW</t>
  </si>
  <si>
    <t>PP-Bizon Fuel Rod FT</t>
  </si>
  <si>
    <t>UMP-45 Plastique MW</t>
  </si>
  <si>
    <t>Stattrak MAG-7 Heat FT</t>
  </si>
  <si>
    <t>Sawed-Off The Kraken MW</t>
  </si>
  <si>
    <t>XM1014 Heaven Guard FT</t>
  </si>
  <si>
    <t>Nova Hyper Beast FT</t>
  </si>
  <si>
    <t>Nova Wild Six FT</t>
  </si>
  <si>
    <t>Nova Toy Soldier MW</t>
  </si>
  <si>
    <t>MAG-7 Swag-7 FT</t>
  </si>
  <si>
    <t>Souvenir XM1014 VariCamo Blue FN</t>
  </si>
  <si>
    <t>MAG-7 Popdog FN</t>
  </si>
  <si>
    <t>Sawed-Off Limelight MW</t>
  </si>
  <si>
    <t>Pistol</t>
  </si>
  <si>
    <t>USP-S Kill Confirmed BS</t>
  </si>
  <si>
    <t>Stattrak Dual Berettas Dualing Dragons MW</t>
  </si>
  <si>
    <t>Stattrak P250 Wingshot MW</t>
  </si>
  <si>
    <t>Stattrak Tec-9 Avalanche FT</t>
  </si>
  <si>
    <t>Desert Eagle Kumicho Dragon MW</t>
  </si>
  <si>
    <t>Stattrak P2000 Imperial Dragon FT</t>
  </si>
  <si>
    <t>Stattrak CZ75-Auto Red Astor MW</t>
  </si>
  <si>
    <t>R8 Revolver Reboot FT</t>
  </si>
  <si>
    <t>Stattrak Glock-18 Water Elemental FT</t>
  </si>
  <si>
    <t>Dual Berettas Urban Shock MW</t>
  </si>
  <si>
    <t>Stattrak USP-S Cyrex FN</t>
  </si>
  <si>
    <t>Stattrak CZ75-Auto Eco MW</t>
  </si>
  <si>
    <t>Stattrak Five-Seven Monkey Business FT</t>
  </si>
  <si>
    <t>USP-S Cyrex WW</t>
  </si>
  <si>
    <t>Glock-18 Candy Apple MW</t>
  </si>
  <si>
    <t>Stattrak Desert Eagle Conspiracy MW</t>
  </si>
  <si>
    <t>Glock-18 Wasteland Rebel MW</t>
  </si>
  <si>
    <t>P250 See Ya Later MW</t>
  </si>
  <si>
    <t>Five-Seven Angry Mob MW</t>
  </si>
  <si>
    <t>Five-Seven Hyper Beast MW</t>
  </si>
  <si>
    <t>Desert Eagle Light Rail FN</t>
  </si>
  <si>
    <t>Desert Eagle Hypnotic FN</t>
  </si>
  <si>
    <t>Desert Eagle Code Red MW</t>
  </si>
  <si>
    <t>Stattrak Glock-18 Weasel FT</t>
  </si>
  <si>
    <t>Stattrak Five-Seven Buddy MW</t>
  </si>
  <si>
    <t>R8 Revolver Canal Spray FT</t>
  </si>
  <si>
    <t>Desert Eagle Midnight Storm MW</t>
  </si>
  <si>
    <t>Dual Berettas Emerald FN</t>
  </si>
  <si>
    <t>Five-Seven Hot Shot MW</t>
  </si>
  <si>
    <t>Glock-18 Nuclear Garden FT</t>
  </si>
  <si>
    <t>USP-S Flashback MW</t>
  </si>
  <si>
    <t>Raw Value</t>
  </si>
  <si>
    <t>Sale-Revenue</t>
  </si>
  <si>
    <t>M4A4 Dark Blossom MW</t>
  </si>
  <si>
    <t>XM1014 Banana Leaf MW</t>
  </si>
  <si>
    <t>XM1014 Banana Leaf FN</t>
  </si>
  <si>
    <t>Tec-9 Rust Leaf MW</t>
  </si>
  <si>
    <t>Tec-9 Rust Leaf FN</t>
  </si>
  <si>
    <t>P90 Sunset Lily FN</t>
  </si>
  <si>
    <t>Other Rifles</t>
  </si>
  <si>
    <t>SCAR-20 Cardiac FT</t>
  </si>
  <si>
    <t>AUG Chameleon MW</t>
  </si>
  <si>
    <t>SSG 08 Blood in the Water MW</t>
  </si>
  <si>
    <t>G3SG1 Stinger FN</t>
  </si>
  <si>
    <t>Stattrak FAMAS Valence FT</t>
  </si>
  <si>
    <t>FAMAS Roll Cage MW</t>
  </si>
  <si>
    <t>Stattrak SSG 08 Death's Head MW</t>
  </si>
  <si>
    <t>Stattrak Galil AR Stone Cold FT</t>
  </si>
  <si>
    <t>Stattrak AUG Momentum MW</t>
  </si>
  <si>
    <t>Galil AR Tornado BS</t>
  </si>
  <si>
    <t>FAMAS Night Borre FT</t>
  </si>
  <si>
    <t>FAMAS Macabre MW</t>
  </si>
  <si>
    <t>Galil AR Eco FT</t>
  </si>
  <si>
    <t>SCAR-20 Powercore MW</t>
  </si>
  <si>
    <t>SG 553 Atlas FN</t>
  </si>
  <si>
    <t>SSG 08 Necropos MW</t>
  </si>
  <si>
    <t>Stattrak SG 553 Tiger Moth FT</t>
  </si>
  <si>
    <t>MP7 Nemesis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</si>
</sst>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CH"/>
              <a:t>Total Inventory Value &amp; Sale-Revenue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Totals!$A$34</c:f>
              <c:strCache>
                <c:ptCount val="1"/>
                <c:pt idx="0">
                  <c:v>Raw Value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Totals!$B$33:$BY$33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Totals!$B$34:$BY$34</c:f>
              <c:numCache>
                <c:formatCode>General</c:formatCode>
                <c:ptCount val="76"/>
                <c:pt idx="0">
                  <c:v>4004.8099999999986</c:v>
                </c:pt>
                <c:pt idx="1">
                  <c:v>4000.21</c:v>
                </c:pt>
                <c:pt idx="2">
                  <c:v>4058.05</c:v>
                </c:pt>
                <c:pt idx="3">
                  <c:v>4121.28</c:v>
                </c:pt>
                <c:pt idx="4">
                  <c:v>4156.71</c:v>
                </c:pt>
                <c:pt idx="5">
                  <c:v>4254.2599999999993</c:v>
                </c:pt>
                <c:pt idx="6">
                  <c:v>4363.28</c:v>
                </c:pt>
                <c:pt idx="7">
                  <c:v>4454.08</c:v>
                </c:pt>
                <c:pt idx="8">
                  <c:v>4423.8500000000004</c:v>
                </c:pt>
                <c:pt idx="9">
                  <c:v>4761.1400000000003</c:v>
                </c:pt>
                <c:pt idx="10">
                  <c:v>4811.6000000000004</c:v>
                </c:pt>
                <c:pt idx="11">
                  <c:v>4777.24</c:v>
                </c:pt>
                <c:pt idx="12">
                  <c:v>4676.1499999999996</c:v>
                </c:pt>
                <c:pt idx="13">
                  <c:v>4634.8600000000006</c:v>
                </c:pt>
                <c:pt idx="14">
                  <c:v>4592.6799999999994</c:v>
                </c:pt>
                <c:pt idx="15">
                  <c:v>4667.3200000000006</c:v>
                </c:pt>
                <c:pt idx="16">
                  <c:v>4792.9000000000015</c:v>
                </c:pt>
                <c:pt idx="17">
                  <c:v>4863.38</c:v>
                </c:pt>
                <c:pt idx="18">
                  <c:v>5029.26</c:v>
                </c:pt>
                <c:pt idx="19">
                  <c:v>5383.1600000000008</c:v>
                </c:pt>
                <c:pt idx="20">
                  <c:v>5276.61</c:v>
                </c:pt>
                <c:pt idx="21">
                  <c:v>5227.8900000000003</c:v>
                </c:pt>
                <c:pt idx="22">
                  <c:v>5245.6100000000006</c:v>
                </c:pt>
                <c:pt idx="23">
                  <c:v>5258.8499999999985</c:v>
                </c:pt>
                <c:pt idx="24">
                  <c:v>5201.4400000000005</c:v>
                </c:pt>
                <c:pt idx="25">
                  <c:v>5245.7199999999993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3-411E-B60B-67021EBC96E9}"/>
            </c:ext>
          </c:extLst>
        </c:ser>
        <c:ser>
          <c:idx val="1"/>
          <c:order val="1"/>
          <c:tx>
            <c:strRef>
              <c:f>Totals!$A$35</c:f>
              <c:strCache>
                <c:ptCount val="1"/>
                <c:pt idx="0">
                  <c:v>Sale-Revenue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Totals!$B$33:$BY$33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Totals!$B$35:$BY$35</c:f>
              <c:numCache>
                <c:formatCode>General</c:formatCode>
                <c:ptCount val="76"/>
                <c:pt idx="0">
                  <c:v>2731.9499999999994</c:v>
                </c:pt>
                <c:pt idx="1">
                  <c:v>2728.77</c:v>
                </c:pt>
                <c:pt idx="2">
                  <c:v>2768.26</c:v>
                </c:pt>
                <c:pt idx="3">
                  <c:v>2815.4100000000003</c:v>
                </c:pt>
                <c:pt idx="4">
                  <c:v>2840.45</c:v>
                </c:pt>
                <c:pt idx="5">
                  <c:v>2907.9299999999994</c:v>
                </c:pt>
                <c:pt idx="6">
                  <c:v>2974.829999999999</c:v>
                </c:pt>
                <c:pt idx="7">
                  <c:v>3042.8</c:v>
                </c:pt>
                <c:pt idx="8">
                  <c:v>3021.5399999999995</c:v>
                </c:pt>
                <c:pt idx="9">
                  <c:v>3252.0699999999997</c:v>
                </c:pt>
                <c:pt idx="10">
                  <c:v>3285.5200000000004</c:v>
                </c:pt>
                <c:pt idx="11">
                  <c:v>3259.64</c:v>
                </c:pt>
                <c:pt idx="12">
                  <c:v>3190.1199999999994</c:v>
                </c:pt>
                <c:pt idx="13">
                  <c:v>3159.12</c:v>
                </c:pt>
                <c:pt idx="14">
                  <c:v>3137.7300000000005</c:v>
                </c:pt>
                <c:pt idx="15">
                  <c:v>3188.02</c:v>
                </c:pt>
                <c:pt idx="16">
                  <c:v>3273.3599999999997</c:v>
                </c:pt>
                <c:pt idx="17">
                  <c:v>3321.4799999999987</c:v>
                </c:pt>
                <c:pt idx="18">
                  <c:v>3460.8700000000003</c:v>
                </c:pt>
                <c:pt idx="19">
                  <c:v>3723.47</c:v>
                </c:pt>
                <c:pt idx="20">
                  <c:v>3622.130000000001</c:v>
                </c:pt>
                <c:pt idx="21">
                  <c:v>3605.4999999999995</c:v>
                </c:pt>
                <c:pt idx="22">
                  <c:v>3618.33</c:v>
                </c:pt>
                <c:pt idx="23">
                  <c:v>3624.2199999999993</c:v>
                </c:pt>
                <c:pt idx="24">
                  <c:v>3587.0999999999995</c:v>
                </c:pt>
                <c:pt idx="25">
                  <c:v>3624.6300000000006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3-411E-B60B-67021EBC9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221167"/>
        <c:axId val="1695596047"/>
      </c:lineChart>
      <c:dateAx>
        <c:axId val="17092211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95596047"/>
        <c:crosses val="autoZero"/>
        <c:auto val="1"/>
        <c:lblOffset val="100"/>
        <c:baseTimeUnit val="days"/>
      </c:dateAx>
      <c:valAx>
        <c:axId val="16955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0922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Invested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Investments!$B$4</c:f>
              <c:strCache>
                <c:ptCount val="1"/>
                <c:pt idx="0">
                  <c:v>Danger Zone 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Investments!$C$3:$BZ$3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Investments!$C$4:$BZ$4</c:f>
              <c:numCache>
                <c:formatCode>General</c:formatCode>
                <c:ptCount val="76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0.08</c:v>
                </c:pt>
                <c:pt idx="21">
                  <c:v>0.09</c:v>
                </c:pt>
                <c:pt idx="22">
                  <c:v>0.09</c:v>
                </c:pt>
                <c:pt idx="23">
                  <c:v>0.08</c:v>
                </c:pt>
                <c:pt idx="24">
                  <c:v>0.09</c:v>
                </c:pt>
                <c:pt idx="25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4-49D7-BADF-31AADAD0A672}"/>
            </c:ext>
          </c:extLst>
        </c:ser>
        <c:ser>
          <c:idx val="1"/>
          <c:order val="1"/>
          <c:tx>
            <c:strRef>
              <c:f>Investments!$B$5</c:f>
              <c:strCache>
                <c:ptCount val="1"/>
                <c:pt idx="0">
                  <c:v>Horizon Cases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Investments!$C$3:$BZ$3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Investments!$C$5:$BZ$5</c:f>
              <c:numCache>
                <c:formatCode>General</c:formatCode>
                <c:ptCount val="76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0.12</c:v>
                </c:pt>
                <c:pt idx="19">
                  <c:v>0.14000000000000001</c:v>
                </c:pt>
                <c:pt idx="20">
                  <c:v>0.11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4-49D7-BADF-31AADAD0A672}"/>
            </c:ext>
          </c:extLst>
        </c:ser>
        <c:ser>
          <c:idx val="2"/>
          <c:order val="2"/>
          <c:tx>
            <c:strRef>
              <c:f>Investments!$B$6</c:f>
              <c:strCache>
                <c:ptCount val="1"/>
                <c:pt idx="0">
                  <c:v>Prisma 2 Cases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Investments!$C$3:$BZ$3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Investments!$C$6:$BZ$6</c:f>
              <c:numCache>
                <c:formatCode>General</c:formatCode>
                <c:ptCount val="76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0.08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  <c:pt idx="2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E4-49D7-BADF-31AADAD0A672}"/>
            </c:ext>
          </c:extLst>
        </c:ser>
        <c:ser>
          <c:idx val="3"/>
          <c:order val="3"/>
          <c:tx>
            <c:strRef>
              <c:f>Investments!$B$7</c:f>
              <c:strCache>
                <c:ptCount val="1"/>
                <c:pt idx="0">
                  <c:v>CS20-Cases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Investments!$C$3:$BZ$3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Investments!$C$7:$BZ$7</c:f>
              <c:numCache>
                <c:formatCode>General</c:formatCode>
                <c:ptCount val="76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0.16</c:v>
                </c:pt>
                <c:pt idx="19">
                  <c:v>0.21</c:v>
                </c:pt>
                <c:pt idx="20">
                  <c:v>0.17</c:v>
                </c:pt>
                <c:pt idx="21">
                  <c:v>0.18</c:v>
                </c:pt>
                <c:pt idx="22">
                  <c:v>0.18</c:v>
                </c:pt>
                <c:pt idx="23">
                  <c:v>0.2</c:v>
                </c:pt>
                <c:pt idx="24">
                  <c:v>0.23</c:v>
                </c:pt>
                <c:pt idx="25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E4-49D7-BADF-31AADAD0A672}"/>
            </c:ext>
          </c:extLst>
        </c:ser>
        <c:ser>
          <c:idx val="4"/>
          <c:order val="4"/>
          <c:tx>
            <c:strRef>
              <c:f>Investments!$B$8</c:f>
              <c:strCache>
                <c:ptCount val="1"/>
                <c:pt idx="0">
                  <c:v>Fracture Cases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Investments!$C$3:$BZ$3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Investments!$C$8:$BZ$8</c:f>
              <c:numCache>
                <c:formatCode>General</c:formatCode>
                <c:ptCount val="76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0.31</c:v>
                </c:pt>
                <c:pt idx="4">
                  <c:v>0.3</c:v>
                </c:pt>
                <c:pt idx="5">
                  <c:v>0.34</c:v>
                </c:pt>
                <c:pt idx="6">
                  <c:v>0.3</c:v>
                </c:pt>
                <c:pt idx="7">
                  <c:v>0.3</c:v>
                </c:pt>
                <c:pt idx="8">
                  <c:v>0.31</c:v>
                </c:pt>
                <c:pt idx="9">
                  <c:v>0.3</c:v>
                </c:pt>
                <c:pt idx="10">
                  <c:v>0.31</c:v>
                </c:pt>
                <c:pt idx="11">
                  <c:v>0.3</c:v>
                </c:pt>
                <c:pt idx="12">
                  <c:v>0.32</c:v>
                </c:pt>
                <c:pt idx="13">
                  <c:v>0.32</c:v>
                </c:pt>
                <c:pt idx="14">
                  <c:v>0.34</c:v>
                </c:pt>
                <c:pt idx="15">
                  <c:v>0.3</c:v>
                </c:pt>
                <c:pt idx="16">
                  <c:v>0.32</c:v>
                </c:pt>
                <c:pt idx="17">
                  <c:v>0.3</c:v>
                </c:pt>
                <c:pt idx="18">
                  <c:v>0.35</c:v>
                </c:pt>
                <c:pt idx="19">
                  <c:v>0.35</c:v>
                </c:pt>
                <c:pt idx="20">
                  <c:v>0.32</c:v>
                </c:pt>
                <c:pt idx="21">
                  <c:v>0.32</c:v>
                </c:pt>
                <c:pt idx="22">
                  <c:v>0.3</c:v>
                </c:pt>
                <c:pt idx="23">
                  <c:v>0.31</c:v>
                </c:pt>
                <c:pt idx="24">
                  <c:v>0.3</c:v>
                </c:pt>
                <c:pt idx="2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E4-49D7-BADF-31AADAD0A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356911"/>
        <c:axId val="1695312111"/>
      </c:lineChart>
      <c:dateAx>
        <c:axId val="18093569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95312111"/>
        <c:crosses val="autoZero"/>
        <c:auto val="1"/>
        <c:lblOffset val="100"/>
        <c:baseTimeUnit val="days"/>
      </c:dateAx>
      <c:valAx>
        <c:axId val="169531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0935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Ingame-Drops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Investments!$B$15</c:f>
              <c:strCache>
                <c:ptCount val="1"/>
                <c:pt idx="0">
                  <c:v>Prisma 2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Investments!$D$14:$BZ$14</c:f>
              <c:numCache>
                <c:formatCode>m/d/yyyy</c:formatCode>
                <c:ptCount val="75"/>
                <c:pt idx="0">
                  <c:v>44332</c:v>
                </c:pt>
                <c:pt idx="1">
                  <c:v>44334</c:v>
                </c:pt>
                <c:pt idx="2">
                  <c:v>44336</c:v>
                </c:pt>
                <c:pt idx="3">
                  <c:v>44337</c:v>
                </c:pt>
                <c:pt idx="4">
                  <c:v>44338</c:v>
                </c:pt>
                <c:pt idx="5">
                  <c:v>44339</c:v>
                </c:pt>
                <c:pt idx="6">
                  <c:v>44340</c:v>
                </c:pt>
                <c:pt idx="7">
                  <c:v>44341</c:v>
                </c:pt>
                <c:pt idx="8">
                  <c:v>44342</c:v>
                </c:pt>
                <c:pt idx="9">
                  <c:v>44343</c:v>
                </c:pt>
                <c:pt idx="10">
                  <c:v>44344</c:v>
                </c:pt>
                <c:pt idx="11">
                  <c:v>44345</c:v>
                </c:pt>
                <c:pt idx="12">
                  <c:v>44346</c:v>
                </c:pt>
                <c:pt idx="13">
                  <c:v>44347</c:v>
                </c:pt>
                <c:pt idx="14">
                  <c:v>44348</c:v>
                </c:pt>
                <c:pt idx="15">
                  <c:v>44349</c:v>
                </c:pt>
                <c:pt idx="16">
                  <c:v>44350</c:v>
                </c:pt>
                <c:pt idx="17">
                  <c:v>44351</c:v>
                </c:pt>
                <c:pt idx="18">
                  <c:v>44352</c:v>
                </c:pt>
                <c:pt idx="19">
                  <c:v>44353</c:v>
                </c:pt>
                <c:pt idx="20">
                  <c:v>44354</c:v>
                </c:pt>
                <c:pt idx="21">
                  <c:v>44355</c:v>
                </c:pt>
                <c:pt idx="22">
                  <c:v>44356</c:v>
                </c:pt>
                <c:pt idx="23">
                  <c:v>44357</c:v>
                </c:pt>
                <c:pt idx="24">
                  <c:v>44358</c:v>
                </c:pt>
                <c:pt idx="25">
                  <c:v>44359</c:v>
                </c:pt>
                <c:pt idx="26">
                  <c:v>44360</c:v>
                </c:pt>
                <c:pt idx="27">
                  <c:v>44361</c:v>
                </c:pt>
                <c:pt idx="28">
                  <c:v>44362</c:v>
                </c:pt>
                <c:pt idx="29">
                  <c:v>44363</c:v>
                </c:pt>
                <c:pt idx="30">
                  <c:v>44364</c:v>
                </c:pt>
                <c:pt idx="31">
                  <c:v>44365</c:v>
                </c:pt>
                <c:pt idx="32">
                  <c:v>44366</c:v>
                </c:pt>
                <c:pt idx="33">
                  <c:v>44367</c:v>
                </c:pt>
                <c:pt idx="34">
                  <c:v>44368</c:v>
                </c:pt>
                <c:pt idx="35">
                  <c:v>44369</c:v>
                </c:pt>
                <c:pt idx="36">
                  <c:v>44370</c:v>
                </c:pt>
                <c:pt idx="37">
                  <c:v>44371</c:v>
                </c:pt>
                <c:pt idx="38">
                  <c:v>44372</c:v>
                </c:pt>
                <c:pt idx="39">
                  <c:v>44373</c:v>
                </c:pt>
                <c:pt idx="40">
                  <c:v>44374</c:v>
                </c:pt>
                <c:pt idx="41">
                  <c:v>44375</c:v>
                </c:pt>
                <c:pt idx="42">
                  <c:v>44376</c:v>
                </c:pt>
                <c:pt idx="43">
                  <c:v>44377</c:v>
                </c:pt>
                <c:pt idx="44">
                  <c:v>44378</c:v>
                </c:pt>
                <c:pt idx="45">
                  <c:v>44379</c:v>
                </c:pt>
                <c:pt idx="46">
                  <c:v>44380</c:v>
                </c:pt>
                <c:pt idx="47">
                  <c:v>44381</c:v>
                </c:pt>
                <c:pt idx="48">
                  <c:v>44382</c:v>
                </c:pt>
                <c:pt idx="49">
                  <c:v>44383</c:v>
                </c:pt>
                <c:pt idx="50">
                  <c:v>44384</c:v>
                </c:pt>
                <c:pt idx="51">
                  <c:v>44385</c:v>
                </c:pt>
                <c:pt idx="52">
                  <c:v>44386</c:v>
                </c:pt>
                <c:pt idx="53">
                  <c:v>44387</c:v>
                </c:pt>
                <c:pt idx="54">
                  <c:v>44388</c:v>
                </c:pt>
                <c:pt idx="55">
                  <c:v>44389</c:v>
                </c:pt>
                <c:pt idx="56">
                  <c:v>44390</c:v>
                </c:pt>
                <c:pt idx="57">
                  <c:v>44391</c:v>
                </c:pt>
                <c:pt idx="58">
                  <c:v>44392</c:v>
                </c:pt>
                <c:pt idx="59">
                  <c:v>44393</c:v>
                </c:pt>
                <c:pt idx="60">
                  <c:v>44394</c:v>
                </c:pt>
                <c:pt idx="61">
                  <c:v>44395</c:v>
                </c:pt>
                <c:pt idx="62">
                  <c:v>44396</c:v>
                </c:pt>
                <c:pt idx="63">
                  <c:v>44397</c:v>
                </c:pt>
                <c:pt idx="64">
                  <c:v>44398</c:v>
                </c:pt>
                <c:pt idx="65">
                  <c:v>44399</c:v>
                </c:pt>
                <c:pt idx="66">
                  <c:v>44400</c:v>
                </c:pt>
                <c:pt idx="67">
                  <c:v>44401</c:v>
                </c:pt>
                <c:pt idx="68">
                  <c:v>44402</c:v>
                </c:pt>
                <c:pt idx="69">
                  <c:v>44403</c:v>
                </c:pt>
                <c:pt idx="70">
                  <c:v>44404</c:v>
                </c:pt>
                <c:pt idx="71">
                  <c:v>44405</c:v>
                </c:pt>
                <c:pt idx="72">
                  <c:v>44406</c:v>
                </c:pt>
                <c:pt idx="73">
                  <c:v>44407</c:v>
                </c:pt>
                <c:pt idx="74">
                  <c:v>44408</c:v>
                </c:pt>
              </c:numCache>
            </c:numRef>
          </c:cat>
          <c:val>
            <c:numRef>
              <c:f>Investments!$D$15:$BZ$15</c:f>
              <c:numCache>
                <c:formatCode>General</c:formatCode>
                <c:ptCount val="75"/>
                <c:pt idx="0">
                  <c:v>0.05</c:v>
                </c:pt>
                <c:pt idx="1">
                  <c:v>0.05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0.05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7.0000000000000007E-2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1-4330-9B10-472B2858AE0A}"/>
            </c:ext>
          </c:extLst>
        </c:ser>
        <c:ser>
          <c:idx val="1"/>
          <c:order val="1"/>
          <c:tx>
            <c:strRef>
              <c:f>Investments!$B$16</c:f>
              <c:strCache>
                <c:ptCount val="1"/>
                <c:pt idx="0">
                  <c:v>Prisma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Investments!$D$14:$BZ$14</c:f>
              <c:numCache>
                <c:formatCode>m/d/yyyy</c:formatCode>
                <c:ptCount val="75"/>
                <c:pt idx="0">
                  <c:v>44332</c:v>
                </c:pt>
                <c:pt idx="1">
                  <c:v>44334</c:v>
                </c:pt>
                <c:pt idx="2">
                  <c:v>44336</c:v>
                </c:pt>
                <c:pt idx="3">
                  <c:v>44337</c:v>
                </c:pt>
                <c:pt idx="4">
                  <c:v>44338</c:v>
                </c:pt>
                <c:pt idx="5">
                  <c:v>44339</c:v>
                </c:pt>
                <c:pt idx="6">
                  <c:v>44340</c:v>
                </c:pt>
                <c:pt idx="7">
                  <c:v>44341</c:v>
                </c:pt>
                <c:pt idx="8">
                  <c:v>44342</c:v>
                </c:pt>
                <c:pt idx="9">
                  <c:v>44343</c:v>
                </c:pt>
                <c:pt idx="10">
                  <c:v>44344</c:v>
                </c:pt>
                <c:pt idx="11">
                  <c:v>44345</c:v>
                </c:pt>
                <c:pt idx="12">
                  <c:v>44346</c:v>
                </c:pt>
                <c:pt idx="13">
                  <c:v>44347</c:v>
                </c:pt>
                <c:pt idx="14">
                  <c:v>44348</c:v>
                </c:pt>
                <c:pt idx="15">
                  <c:v>44349</c:v>
                </c:pt>
                <c:pt idx="16">
                  <c:v>44350</c:v>
                </c:pt>
                <c:pt idx="17">
                  <c:v>44351</c:v>
                </c:pt>
                <c:pt idx="18">
                  <c:v>44352</c:v>
                </c:pt>
                <c:pt idx="19">
                  <c:v>44353</c:v>
                </c:pt>
                <c:pt idx="20">
                  <c:v>44354</c:v>
                </c:pt>
                <c:pt idx="21">
                  <c:v>44355</c:v>
                </c:pt>
                <c:pt idx="22">
                  <c:v>44356</c:v>
                </c:pt>
                <c:pt idx="23">
                  <c:v>44357</c:v>
                </c:pt>
                <c:pt idx="24">
                  <c:v>44358</c:v>
                </c:pt>
                <c:pt idx="25">
                  <c:v>44359</c:v>
                </c:pt>
                <c:pt idx="26">
                  <c:v>44360</c:v>
                </c:pt>
                <c:pt idx="27">
                  <c:v>44361</c:v>
                </c:pt>
                <c:pt idx="28">
                  <c:v>44362</c:v>
                </c:pt>
                <c:pt idx="29">
                  <c:v>44363</c:v>
                </c:pt>
                <c:pt idx="30">
                  <c:v>44364</c:v>
                </c:pt>
                <c:pt idx="31">
                  <c:v>44365</c:v>
                </c:pt>
                <c:pt idx="32">
                  <c:v>44366</c:v>
                </c:pt>
                <c:pt idx="33">
                  <c:v>44367</c:v>
                </c:pt>
                <c:pt idx="34">
                  <c:v>44368</c:v>
                </c:pt>
                <c:pt idx="35">
                  <c:v>44369</c:v>
                </c:pt>
                <c:pt idx="36">
                  <c:v>44370</c:v>
                </c:pt>
                <c:pt idx="37">
                  <c:v>44371</c:v>
                </c:pt>
                <c:pt idx="38">
                  <c:v>44372</c:v>
                </c:pt>
                <c:pt idx="39">
                  <c:v>44373</c:v>
                </c:pt>
                <c:pt idx="40">
                  <c:v>44374</c:v>
                </c:pt>
                <c:pt idx="41">
                  <c:v>44375</c:v>
                </c:pt>
                <c:pt idx="42">
                  <c:v>44376</c:v>
                </c:pt>
                <c:pt idx="43">
                  <c:v>44377</c:v>
                </c:pt>
                <c:pt idx="44">
                  <c:v>44378</c:v>
                </c:pt>
                <c:pt idx="45">
                  <c:v>44379</c:v>
                </c:pt>
                <c:pt idx="46">
                  <c:v>44380</c:v>
                </c:pt>
                <c:pt idx="47">
                  <c:v>44381</c:v>
                </c:pt>
                <c:pt idx="48">
                  <c:v>44382</c:v>
                </c:pt>
                <c:pt idx="49">
                  <c:v>44383</c:v>
                </c:pt>
                <c:pt idx="50">
                  <c:v>44384</c:v>
                </c:pt>
                <c:pt idx="51">
                  <c:v>44385</c:v>
                </c:pt>
                <c:pt idx="52">
                  <c:v>44386</c:v>
                </c:pt>
                <c:pt idx="53">
                  <c:v>44387</c:v>
                </c:pt>
                <c:pt idx="54">
                  <c:v>44388</c:v>
                </c:pt>
                <c:pt idx="55">
                  <c:v>44389</c:v>
                </c:pt>
                <c:pt idx="56">
                  <c:v>44390</c:v>
                </c:pt>
                <c:pt idx="57">
                  <c:v>44391</c:v>
                </c:pt>
                <c:pt idx="58">
                  <c:v>44392</c:v>
                </c:pt>
                <c:pt idx="59">
                  <c:v>44393</c:v>
                </c:pt>
                <c:pt idx="60">
                  <c:v>44394</c:v>
                </c:pt>
                <c:pt idx="61">
                  <c:v>44395</c:v>
                </c:pt>
                <c:pt idx="62">
                  <c:v>44396</c:v>
                </c:pt>
                <c:pt idx="63">
                  <c:v>44397</c:v>
                </c:pt>
                <c:pt idx="64">
                  <c:v>44398</c:v>
                </c:pt>
                <c:pt idx="65">
                  <c:v>44399</c:v>
                </c:pt>
                <c:pt idx="66">
                  <c:v>44400</c:v>
                </c:pt>
                <c:pt idx="67">
                  <c:v>44401</c:v>
                </c:pt>
                <c:pt idx="68">
                  <c:v>44402</c:v>
                </c:pt>
                <c:pt idx="69">
                  <c:v>44403</c:v>
                </c:pt>
                <c:pt idx="70">
                  <c:v>44404</c:v>
                </c:pt>
                <c:pt idx="71">
                  <c:v>44405</c:v>
                </c:pt>
                <c:pt idx="72">
                  <c:v>44406</c:v>
                </c:pt>
                <c:pt idx="73">
                  <c:v>44407</c:v>
                </c:pt>
                <c:pt idx="74">
                  <c:v>44408</c:v>
                </c:pt>
              </c:numCache>
            </c:numRef>
          </c:cat>
          <c:val>
            <c:numRef>
              <c:f>Investments!$D$16:$BZ$16</c:f>
              <c:numCache>
                <c:formatCode>General</c:formatCode>
                <c:ptCount val="75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0.09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  <c:pt idx="21">
                  <c:v>0.09</c:v>
                </c:pt>
                <c:pt idx="22">
                  <c:v>0.1</c:v>
                </c:pt>
                <c:pt idx="23">
                  <c:v>0.09</c:v>
                </c:pt>
                <c:pt idx="24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1-4330-9B10-472B2858AE0A}"/>
            </c:ext>
          </c:extLst>
        </c:ser>
        <c:ser>
          <c:idx val="2"/>
          <c:order val="2"/>
          <c:tx>
            <c:strRef>
              <c:f>Investments!$B$17</c:f>
              <c:strCache>
                <c:ptCount val="1"/>
                <c:pt idx="0">
                  <c:v>Fracture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Investments!$D$14:$BZ$14</c:f>
              <c:numCache>
                <c:formatCode>m/d/yyyy</c:formatCode>
                <c:ptCount val="75"/>
                <c:pt idx="0">
                  <c:v>44332</c:v>
                </c:pt>
                <c:pt idx="1">
                  <c:v>44334</c:v>
                </c:pt>
                <c:pt idx="2">
                  <c:v>44336</c:v>
                </c:pt>
                <c:pt idx="3">
                  <c:v>44337</c:v>
                </c:pt>
                <c:pt idx="4">
                  <c:v>44338</c:v>
                </c:pt>
                <c:pt idx="5">
                  <c:v>44339</c:v>
                </c:pt>
                <c:pt idx="6">
                  <c:v>44340</c:v>
                </c:pt>
                <c:pt idx="7">
                  <c:v>44341</c:v>
                </c:pt>
                <c:pt idx="8">
                  <c:v>44342</c:v>
                </c:pt>
                <c:pt idx="9">
                  <c:v>44343</c:v>
                </c:pt>
                <c:pt idx="10">
                  <c:v>44344</c:v>
                </c:pt>
                <c:pt idx="11">
                  <c:v>44345</c:v>
                </c:pt>
                <c:pt idx="12">
                  <c:v>44346</c:v>
                </c:pt>
                <c:pt idx="13">
                  <c:v>44347</c:v>
                </c:pt>
                <c:pt idx="14">
                  <c:v>44348</c:v>
                </c:pt>
                <c:pt idx="15">
                  <c:v>44349</c:v>
                </c:pt>
                <c:pt idx="16">
                  <c:v>44350</c:v>
                </c:pt>
                <c:pt idx="17">
                  <c:v>44351</c:v>
                </c:pt>
                <c:pt idx="18">
                  <c:v>44352</c:v>
                </c:pt>
                <c:pt idx="19">
                  <c:v>44353</c:v>
                </c:pt>
                <c:pt idx="20">
                  <c:v>44354</c:v>
                </c:pt>
                <c:pt idx="21">
                  <c:v>44355</c:v>
                </c:pt>
                <c:pt idx="22">
                  <c:v>44356</c:v>
                </c:pt>
                <c:pt idx="23">
                  <c:v>44357</c:v>
                </c:pt>
                <c:pt idx="24">
                  <c:v>44358</c:v>
                </c:pt>
                <c:pt idx="25">
                  <c:v>44359</c:v>
                </c:pt>
                <c:pt idx="26">
                  <c:v>44360</c:v>
                </c:pt>
                <c:pt idx="27">
                  <c:v>44361</c:v>
                </c:pt>
                <c:pt idx="28">
                  <c:v>44362</c:v>
                </c:pt>
                <c:pt idx="29">
                  <c:v>44363</c:v>
                </c:pt>
                <c:pt idx="30">
                  <c:v>44364</c:v>
                </c:pt>
                <c:pt idx="31">
                  <c:v>44365</c:v>
                </c:pt>
                <c:pt idx="32">
                  <c:v>44366</c:v>
                </c:pt>
                <c:pt idx="33">
                  <c:v>44367</c:v>
                </c:pt>
                <c:pt idx="34">
                  <c:v>44368</c:v>
                </c:pt>
                <c:pt idx="35">
                  <c:v>44369</c:v>
                </c:pt>
                <c:pt idx="36">
                  <c:v>44370</c:v>
                </c:pt>
                <c:pt idx="37">
                  <c:v>44371</c:v>
                </c:pt>
                <c:pt idx="38">
                  <c:v>44372</c:v>
                </c:pt>
                <c:pt idx="39">
                  <c:v>44373</c:v>
                </c:pt>
                <c:pt idx="40">
                  <c:v>44374</c:v>
                </c:pt>
                <c:pt idx="41">
                  <c:v>44375</c:v>
                </c:pt>
                <c:pt idx="42">
                  <c:v>44376</c:v>
                </c:pt>
                <c:pt idx="43">
                  <c:v>44377</c:v>
                </c:pt>
                <c:pt idx="44">
                  <c:v>44378</c:v>
                </c:pt>
                <c:pt idx="45">
                  <c:v>44379</c:v>
                </c:pt>
                <c:pt idx="46">
                  <c:v>44380</c:v>
                </c:pt>
                <c:pt idx="47">
                  <c:v>44381</c:v>
                </c:pt>
                <c:pt idx="48">
                  <c:v>44382</c:v>
                </c:pt>
                <c:pt idx="49">
                  <c:v>44383</c:v>
                </c:pt>
                <c:pt idx="50">
                  <c:v>44384</c:v>
                </c:pt>
                <c:pt idx="51">
                  <c:v>44385</c:v>
                </c:pt>
                <c:pt idx="52">
                  <c:v>44386</c:v>
                </c:pt>
                <c:pt idx="53">
                  <c:v>44387</c:v>
                </c:pt>
                <c:pt idx="54">
                  <c:v>44388</c:v>
                </c:pt>
                <c:pt idx="55">
                  <c:v>44389</c:v>
                </c:pt>
                <c:pt idx="56">
                  <c:v>44390</c:v>
                </c:pt>
                <c:pt idx="57">
                  <c:v>44391</c:v>
                </c:pt>
                <c:pt idx="58">
                  <c:v>44392</c:v>
                </c:pt>
                <c:pt idx="59">
                  <c:v>44393</c:v>
                </c:pt>
                <c:pt idx="60">
                  <c:v>44394</c:v>
                </c:pt>
                <c:pt idx="61">
                  <c:v>44395</c:v>
                </c:pt>
                <c:pt idx="62">
                  <c:v>44396</c:v>
                </c:pt>
                <c:pt idx="63">
                  <c:v>44397</c:v>
                </c:pt>
                <c:pt idx="64">
                  <c:v>44398</c:v>
                </c:pt>
                <c:pt idx="65">
                  <c:v>44399</c:v>
                </c:pt>
                <c:pt idx="66">
                  <c:v>44400</c:v>
                </c:pt>
                <c:pt idx="67">
                  <c:v>44401</c:v>
                </c:pt>
                <c:pt idx="68">
                  <c:v>44402</c:v>
                </c:pt>
                <c:pt idx="69">
                  <c:v>44403</c:v>
                </c:pt>
                <c:pt idx="70">
                  <c:v>44404</c:v>
                </c:pt>
                <c:pt idx="71">
                  <c:v>44405</c:v>
                </c:pt>
                <c:pt idx="72">
                  <c:v>44406</c:v>
                </c:pt>
                <c:pt idx="73">
                  <c:v>44407</c:v>
                </c:pt>
                <c:pt idx="74">
                  <c:v>44408</c:v>
                </c:pt>
              </c:numCache>
            </c:numRef>
          </c:cat>
          <c:val>
            <c:numRef>
              <c:f>Investments!$D$17:$BZ$17</c:f>
              <c:numCache>
                <c:formatCode>General</c:formatCode>
                <c:ptCount val="75"/>
                <c:pt idx="0">
                  <c:v>0.35</c:v>
                </c:pt>
                <c:pt idx="1">
                  <c:v>0.35</c:v>
                </c:pt>
                <c:pt idx="2">
                  <c:v>0.31</c:v>
                </c:pt>
                <c:pt idx="3">
                  <c:v>0.3</c:v>
                </c:pt>
                <c:pt idx="4">
                  <c:v>0.34</c:v>
                </c:pt>
                <c:pt idx="5">
                  <c:v>0.3</c:v>
                </c:pt>
                <c:pt idx="6">
                  <c:v>0.3</c:v>
                </c:pt>
                <c:pt idx="7">
                  <c:v>0.31</c:v>
                </c:pt>
                <c:pt idx="8">
                  <c:v>0.3</c:v>
                </c:pt>
                <c:pt idx="9">
                  <c:v>0.31</c:v>
                </c:pt>
                <c:pt idx="10">
                  <c:v>0.3</c:v>
                </c:pt>
                <c:pt idx="11">
                  <c:v>0.32</c:v>
                </c:pt>
                <c:pt idx="12">
                  <c:v>0.32</c:v>
                </c:pt>
                <c:pt idx="13">
                  <c:v>0.34</c:v>
                </c:pt>
                <c:pt idx="14">
                  <c:v>0.3</c:v>
                </c:pt>
                <c:pt idx="15">
                  <c:v>0.32</c:v>
                </c:pt>
                <c:pt idx="16">
                  <c:v>0.3</c:v>
                </c:pt>
                <c:pt idx="17">
                  <c:v>0.35</c:v>
                </c:pt>
                <c:pt idx="18">
                  <c:v>0.35</c:v>
                </c:pt>
                <c:pt idx="19">
                  <c:v>0.32</c:v>
                </c:pt>
                <c:pt idx="20">
                  <c:v>0.32</c:v>
                </c:pt>
                <c:pt idx="21">
                  <c:v>0.3</c:v>
                </c:pt>
                <c:pt idx="22">
                  <c:v>0.31</c:v>
                </c:pt>
                <c:pt idx="23">
                  <c:v>0.3</c:v>
                </c:pt>
                <c:pt idx="24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1-4330-9B10-472B2858AE0A}"/>
            </c:ext>
          </c:extLst>
        </c:ser>
        <c:ser>
          <c:idx val="3"/>
          <c:order val="3"/>
          <c:tx>
            <c:strRef>
              <c:f>Investments!$B$18</c:f>
              <c:strCache>
                <c:ptCount val="1"/>
                <c:pt idx="0">
                  <c:v>Danger Zone Case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Investments!$D$14:$BZ$14</c:f>
              <c:numCache>
                <c:formatCode>m/d/yyyy</c:formatCode>
                <c:ptCount val="75"/>
                <c:pt idx="0">
                  <c:v>44332</c:v>
                </c:pt>
                <c:pt idx="1">
                  <c:v>44334</c:v>
                </c:pt>
                <c:pt idx="2">
                  <c:v>44336</c:v>
                </c:pt>
                <c:pt idx="3">
                  <c:v>44337</c:v>
                </c:pt>
                <c:pt idx="4">
                  <c:v>44338</c:v>
                </c:pt>
                <c:pt idx="5">
                  <c:v>44339</c:v>
                </c:pt>
                <c:pt idx="6">
                  <c:v>44340</c:v>
                </c:pt>
                <c:pt idx="7">
                  <c:v>44341</c:v>
                </c:pt>
                <c:pt idx="8">
                  <c:v>44342</c:v>
                </c:pt>
                <c:pt idx="9">
                  <c:v>44343</c:v>
                </c:pt>
                <c:pt idx="10">
                  <c:v>44344</c:v>
                </c:pt>
                <c:pt idx="11">
                  <c:v>44345</c:v>
                </c:pt>
                <c:pt idx="12">
                  <c:v>44346</c:v>
                </c:pt>
                <c:pt idx="13">
                  <c:v>44347</c:v>
                </c:pt>
                <c:pt idx="14">
                  <c:v>44348</c:v>
                </c:pt>
                <c:pt idx="15">
                  <c:v>44349</c:v>
                </c:pt>
                <c:pt idx="16">
                  <c:v>44350</c:v>
                </c:pt>
                <c:pt idx="17">
                  <c:v>44351</c:v>
                </c:pt>
                <c:pt idx="18">
                  <c:v>44352</c:v>
                </c:pt>
                <c:pt idx="19">
                  <c:v>44353</c:v>
                </c:pt>
                <c:pt idx="20">
                  <c:v>44354</c:v>
                </c:pt>
                <c:pt idx="21">
                  <c:v>44355</c:v>
                </c:pt>
                <c:pt idx="22">
                  <c:v>44356</c:v>
                </c:pt>
                <c:pt idx="23">
                  <c:v>44357</c:v>
                </c:pt>
                <c:pt idx="24">
                  <c:v>44358</c:v>
                </c:pt>
                <c:pt idx="25">
                  <c:v>44359</c:v>
                </c:pt>
                <c:pt idx="26">
                  <c:v>44360</c:v>
                </c:pt>
                <c:pt idx="27">
                  <c:v>44361</c:v>
                </c:pt>
                <c:pt idx="28">
                  <c:v>44362</c:v>
                </c:pt>
                <c:pt idx="29">
                  <c:v>44363</c:v>
                </c:pt>
                <c:pt idx="30">
                  <c:v>44364</c:v>
                </c:pt>
                <c:pt idx="31">
                  <c:v>44365</c:v>
                </c:pt>
                <c:pt idx="32">
                  <c:v>44366</c:v>
                </c:pt>
                <c:pt idx="33">
                  <c:v>44367</c:v>
                </c:pt>
                <c:pt idx="34">
                  <c:v>44368</c:v>
                </c:pt>
                <c:pt idx="35">
                  <c:v>44369</c:v>
                </c:pt>
                <c:pt idx="36">
                  <c:v>44370</c:v>
                </c:pt>
                <c:pt idx="37">
                  <c:v>44371</c:v>
                </c:pt>
                <c:pt idx="38">
                  <c:v>44372</c:v>
                </c:pt>
                <c:pt idx="39">
                  <c:v>44373</c:v>
                </c:pt>
                <c:pt idx="40">
                  <c:v>44374</c:v>
                </c:pt>
                <c:pt idx="41">
                  <c:v>44375</c:v>
                </c:pt>
                <c:pt idx="42">
                  <c:v>44376</c:v>
                </c:pt>
                <c:pt idx="43">
                  <c:v>44377</c:v>
                </c:pt>
                <c:pt idx="44">
                  <c:v>44378</c:v>
                </c:pt>
                <c:pt idx="45">
                  <c:v>44379</c:v>
                </c:pt>
                <c:pt idx="46">
                  <c:v>44380</c:v>
                </c:pt>
                <c:pt idx="47">
                  <c:v>44381</c:v>
                </c:pt>
                <c:pt idx="48">
                  <c:v>44382</c:v>
                </c:pt>
                <c:pt idx="49">
                  <c:v>44383</c:v>
                </c:pt>
                <c:pt idx="50">
                  <c:v>44384</c:v>
                </c:pt>
                <c:pt idx="51">
                  <c:v>44385</c:v>
                </c:pt>
                <c:pt idx="52">
                  <c:v>44386</c:v>
                </c:pt>
                <c:pt idx="53">
                  <c:v>44387</c:v>
                </c:pt>
                <c:pt idx="54">
                  <c:v>44388</c:v>
                </c:pt>
                <c:pt idx="55">
                  <c:v>44389</c:v>
                </c:pt>
                <c:pt idx="56">
                  <c:v>44390</c:v>
                </c:pt>
                <c:pt idx="57">
                  <c:v>44391</c:v>
                </c:pt>
                <c:pt idx="58">
                  <c:v>44392</c:v>
                </c:pt>
                <c:pt idx="59">
                  <c:v>44393</c:v>
                </c:pt>
                <c:pt idx="60">
                  <c:v>44394</c:v>
                </c:pt>
                <c:pt idx="61">
                  <c:v>44395</c:v>
                </c:pt>
                <c:pt idx="62">
                  <c:v>44396</c:v>
                </c:pt>
                <c:pt idx="63">
                  <c:v>44397</c:v>
                </c:pt>
                <c:pt idx="64">
                  <c:v>44398</c:v>
                </c:pt>
                <c:pt idx="65">
                  <c:v>44399</c:v>
                </c:pt>
                <c:pt idx="66">
                  <c:v>44400</c:v>
                </c:pt>
                <c:pt idx="67">
                  <c:v>44401</c:v>
                </c:pt>
                <c:pt idx="68">
                  <c:v>44402</c:v>
                </c:pt>
                <c:pt idx="69">
                  <c:v>44403</c:v>
                </c:pt>
                <c:pt idx="70">
                  <c:v>44404</c:v>
                </c:pt>
                <c:pt idx="71">
                  <c:v>44405</c:v>
                </c:pt>
                <c:pt idx="72">
                  <c:v>44406</c:v>
                </c:pt>
                <c:pt idx="73">
                  <c:v>44407</c:v>
                </c:pt>
                <c:pt idx="74">
                  <c:v>44408</c:v>
                </c:pt>
              </c:numCache>
            </c:numRef>
          </c:cat>
          <c:val>
            <c:numRef>
              <c:f>Investments!$D$18:$BZ$18</c:f>
              <c:numCache>
                <c:formatCode>General</c:formatCode>
                <c:ptCount val="75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0.06</c:v>
                </c:pt>
                <c:pt idx="11">
                  <c:v>0.06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0.09</c:v>
                </c:pt>
                <c:pt idx="19">
                  <c:v>0.08</c:v>
                </c:pt>
                <c:pt idx="20">
                  <c:v>0.09</c:v>
                </c:pt>
                <c:pt idx="21">
                  <c:v>0.09</c:v>
                </c:pt>
                <c:pt idx="22">
                  <c:v>0.08</c:v>
                </c:pt>
                <c:pt idx="23">
                  <c:v>0.09</c:v>
                </c:pt>
                <c:pt idx="24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1-4330-9B10-472B2858AE0A}"/>
            </c:ext>
          </c:extLst>
        </c:ser>
        <c:ser>
          <c:idx val="4"/>
          <c:order val="4"/>
          <c:tx>
            <c:strRef>
              <c:f>Investments!$B$19</c:f>
              <c:strCache>
                <c:ptCount val="1"/>
                <c:pt idx="0">
                  <c:v>Clutch Case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Investments!$D$14:$BZ$14</c:f>
              <c:numCache>
                <c:formatCode>m/d/yyyy</c:formatCode>
                <c:ptCount val="75"/>
                <c:pt idx="0">
                  <c:v>44332</c:v>
                </c:pt>
                <c:pt idx="1">
                  <c:v>44334</c:v>
                </c:pt>
                <c:pt idx="2">
                  <c:v>44336</c:v>
                </c:pt>
                <c:pt idx="3">
                  <c:v>44337</c:v>
                </c:pt>
                <c:pt idx="4">
                  <c:v>44338</c:v>
                </c:pt>
                <c:pt idx="5">
                  <c:v>44339</c:v>
                </c:pt>
                <c:pt idx="6">
                  <c:v>44340</c:v>
                </c:pt>
                <c:pt idx="7">
                  <c:v>44341</c:v>
                </c:pt>
                <c:pt idx="8">
                  <c:v>44342</c:v>
                </c:pt>
                <c:pt idx="9">
                  <c:v>44343</c:v>
                </c:pt>
                <c:pt idx="10">
                  <c:v>44344</c:v>
                </c:pt>
                <c:pt idx="11">
                  <c:v>44345</c:v>
                </c:pt>
                <c:pt idx="12">
                  <c:v>44346</c:v>
                </c:pt>
                <c:pt idx="13">
                  <c:v>44347</c:v>
                </c:pt>
                <c:pt idx="14">
                  <c:v>44348</c:v>
                </c:pt>
                <c:pt idx="15">
                  <c:v>44349</c:v>
                </c:pt>
                <c:pt idx="16">
                  <c:v>44350</c:v>
                </c:pt>
                <c:pt idx="17">
                  <c:v>44351</c:v>
                </c:pt>
                <c:pt idx="18">
                  <c:v>44352</c:v>
                </c:pt>
                <c:pt idx="19">
                  <c:v>44353</c:v>
                </c:pt>
                <c:pt idx="20">
                  <c:v>44354</c:v>
                </c:pt>
                <c:pt idx="21">
                  <c:v>44355</c:v>
                </c:pt>
                <c:pt idx="22">
                  <c:v>44356</c:v>
                </c:pt>
                <c:pt idx="23">
                  <c:v>44357</c:v>
                </c:pt>
                <c:pt idx="24">
                  <c:v>44358</c:v>
                </c:pt>
                <c:pt idx="25">
                  <c:v>44359</c:v>
                </c:pt>
                <c:pt idx="26">
                  <c:v>44360</c:v>
                </c:pt>
                <c:pt idx="27">
                  <c:v>44361</c:v>
                </c:pt>
                <c:pt idx="28">
                  <c:v>44362</c:v>
                </c:pt>
                <c:pt idx="29">
                  <c:v>44363</c:v>
                </c:pt>
                <c:pt idx="30">
                  <c:v>44364</c:v>
                </c:pt>
                <c:pt idx="31">
                  <c:v>44365</c:v>
                </c:pt>
                <c:pt idx="32">
                  <c:v>44366</c:v>
                </c:pt>
                <c:pt idx="33">
                  <c:v>44367</c:v>
                </c:pt>
                <c:pt idx="34">
                  <c:v>44368</c:v>
                </c:pt>
                <c:pt idx="35">
                  <c:v>44369</c:v>
                </c:pt>
                <c:pt idx="36">
                  <c:v>44370</c:v>
                </c:pt>
                <c:pt idx="37">
                  <c:v>44371</c:v>
                </c:pt>
                <c:pt idx="38">
                  <c:v>44372</c:v>
                </c:pt>
                <c:pt idx="39">
                  <c:v>44373</c:v>
                </c:pt>
                <c:pt idx="40">
                  <c:v>44374</c:v>
                </c:pt>
                <c:pt idx="41">
                  <c:v>44375</c:v>
                </c:pt>
                <c:pt idx="42">
                  <c:v>44376</c:v>
                </c:pt>
                <c:pt idx="43">
                  <c:v>44377</c:v>
                </c:pt>
                <c:pt idx="44">
                  <c:v>44378</c:v>
                </c:pt>
                <c:pt idx="45">
                  <c:v>44379</c:v>
                </c:pt>
                <c:pt idx="46">
                  <c:v>44380</c:v>
                </c:pt>
                <c:pt idx="47">
                  <c:v>44381</c:v>
                </c:pt>
                <c:pt idx="48">
                  <c:v>44382</c:v>
                </c:pt>
                <c:pt idx="49">
                  <c:v>44383</c:v>
                </c:pt>
                <c:pt idx="50">
                  <c:v>44384</c:v>
                </c:pt>
                <c:pt idx="51">
                  <c:v>44385</c:v>
                </c:pt>
                <c:pt idx="52">
                  <c:v>44386</c:v>
                </c:pt>
                <c:pt idx="53">
                  <c:v>44387</c:v>
                </c:pt>
                <c:pt idx="54">
                  <c:v>44388</c:v>
                </c:pt>
                <c:pt idx="55">
                  <c:v>44389</c:v>
                </c:pt>
                <c:pt idx="56">
                  <c:v>44390</c:v>
                </c:pt>
                <c:pt idx="57">
                  <c:v>44391</c:v>
                </c:pt>
                <c:pt idx="58">
                  <c:v>44392</c:v>
                </c:pt>
                <c:pt idx="59">
                  <c:v>44393</c:v>
                </c:pt>
                <c:pt idx="60">
                  <c:v>44394</c:v>
                </c:pt>
                <c:pt idx="61">
                  <c:v>44395</c:v>
                </c:pt>
                <c:pt idx="62">
                  <c:v>44396</c:v>
                </c:pt>
                <c:pt idx="63">
                  <c:v>44397</c:v>
                </c:pt>
                <c:pt idx="64">
                  <c:v>44398</c:v>
                </c:pt>
                <c:pt idx="65">
                  <c:v>44399</c:v>
                </c:pt>
                <c:pt idx="66">
                  <c:v>44400</c:v>
                </c:pt>
                <c:pt idx="67">
                  <c:v>44401</c:v>
                </c:pt>
                <c:pt idx="68">
                  <c:v>44402</c:v>
                </c:pt>
                <c:pt idx="69">
                  <c:v>44403</c:v>
                </c:pt>
                <c:pt idx="70">
                  <c:v>44404</c:v>
                </c:pt>
                <c:pt idx="71">
                  <c:v>44405</c:v>
                </c:pt>
                <c:pt idx="72">
                  <c:v>44406</c:v>
                </c:pt>
                <c:pt idx="73">
                  <c:v>44407</c:v>
                </c:pt>
                <c:pt idx="74">
                  <c:v>44408</c:v>
                </c:pt>
              </c:numCache>
            </c:numRef>
          </c:cat>
          <c:val>
            <c:numRef>
              <c:f>Investments!$D$19:$BZ$19</c:f>
              <c:numCache>
                <c:formatCode>General</c:formatCode>
                <c:ptCount val="75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0.21</c:v>
                </c:pt>
                <c:pt idx="7">
                  <c:v>0.21</c:v>
                </c:pt>
                <c:pt idx="8">
                  <c:v>0.2</c:v>
                </c:pt>
                <c:pt idx="9">
                  <c:v>0.2</c:v>
                </c:pt>
                <c:pt idx="10">
                  <c:v>0.21</c:v>
                </c:pt>
                <c:pt idx="11">
                  <c:v>0.21</c:v>
                </c:pt>
                <c:pt idx="12">
                  <c:v>0.24</c:v>
                </c:pt>
                <c:pt idx="13">
                  <c:v>0.24</c:v>
                </c:pt>
                <c:pt idx="14">
                  <c:v>0.24</c:v>
                </c:pt>
                <c:pt idx="15">
                  <c:v>0.26</c:v>
                </c:pt>
                <c:pt idx="16">
                  <c:v>0.27</c:v>
                </c:pt>
                <c:pt idx="17">
                  <c:v>0.34</c:v>
                </c:pt>
                <c:pt idx="18">
                  <c:v>0.43</c:v>
                </c:pt>
                <c:pt idx="19">
                  <c:v>0.3</c:v>
                </c:pt>
                <c:pt idx="20">
                  <c:v>0.31</c:v>
                </c:pt>
                <c:pt idx="21">
                  <c:v>0.34</c:v>
                </c:pt>
                <c:pt idx="22">
                  <c:v>0.31</c:v>
                </c:pt>
                <c:pt idx="23">
                  <c:v>0.36</c:v>
                </c:pt>
                <c:pt idx="24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1-4330-9B10-472B2858AE0A}"/>
            </c:ext>
          </c:extLst>
        </c:ser>
        <c:ser>
          <c:idx val="5"/>
          <c:order val="5"/>
          <c:tx>
            <c:strRef>
              <c:f>Investments!$B$20</c:f>
              <c:strCache>
                <c:ptCount val="1"/>
                <c:pt idx="0">
                  <c:v>CS20 Case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Investments!$D$14:$BZ$14</c:f>
              <c:numCache>
                <c:formatCode>m/d/yyyy</c:formatCode>
                <c:ptCount val="75"/>
                <c:pt idx="0">
                  <c:v>44332</c:v>
                </c:pt>
                <c:pt idx="1">
                  <c:v>44334</c:v>
                </c:pt>
                <c:pt idx="2">
                  <c:v>44336</c:v>
                </c:pt>
                <c:pt idx="3">
                  <c:v>44337</c:v>
                </c:pt>
                <c:pt idx="4">
                  <c:v>44338</c:v>
                </c:pt>
                <c:pt idx="5">
                  <c:v>44339</c:v>
                </c:pt>
                <c:pt idx="6">
                  <c:v>44340</c:v>
                </c:pt>
                <c:pt idx="7">
                  <c:v>44341</c:v>
                </c:pt>
                <c:pt idx="8">
                  <c:v>44342</c:v>
                </c:pt>
                <c:pt idx="9">
                  <c:v>44343</c:v>
                </c:pt>
                <c:pt idx="10">
                  <c:v>44344</c:v>
                </c:pt>
                <c:pt idx="11">
                  <c:v>44345</c:v>
                </c:pt>
                <c:pt idx="12">
                  <c:v>44346</c:v>
                </c:pt>
                <c:pt idx="13">
                  <c:v>44347</c:v>
                </c:pt>
                <c:pt idx="14">
                  <c:v>44348</c:v>
                </c:pt>
                <c:pt idx="15">
                  <c:v>44349</c:v>
                </c:pt>
                <c:pt idx="16">
                  <c:v>44350</c:v>
                </c:pt>
                <c:pt idx="17">
                  <c:v>44351</c:v>
                </c:pt>
                <c:pt idx="18">
                  <c:v>44352</c:v>
                </c:pt>
                <c:pt idx="19">
                  <c:v>44353</c:v>
                </c:pt>
                <c:pt idx="20">
                  <c:v>44354</c:v>
                </c:pt>
                <c:pt idx="21">
                  <c:v>44355</c:v>
                </c:pt>
                <c:pt idx="22">
                  <c:v>44356</c:v>
                </c:pt>
                <c:pt idx="23">
                  <c:v>44357</c:v>
                </c:pt>
                <c:pt idx="24">
                  <c:v>44358</c:v>
                </c:pt>
                <c:pt idx="25">
                  <c:v>44359</c:v>
                </c:pt>
                <c:pt idx="26">
                  <c:v>44360</c:v>
                </c:pt>
                <c:pt idx="27">
                  <c:v>44361</c:v>
                </c:pt>
                <c:pt idx="28">
                  <c:v>44362</c:v>
                </c:pt>
                <c:pt idx="29">
                  <c:v>44363</c:v>
                </c:pt>
                <c:pt idx="30">
                  <c:v>44364</c:v>
                </c:pt>
                <c:pt idx="31">
                  <c:v>44365</c:v>
                </c:pt>
                <c:pt idx="32">
                  <c:v>44366</c:v>
                </c:pt>
                <c:pt idx="33">
                  <c:v>44367</c:v>
                </c:pt>
                <c:pt idx="34">
                  <c:v>44368</c:v>
                </c:pt>
                <c:pt idx="35">
                  <c:v>44369</c:v>
                </c:pt>
                <c:pt idx="36">
                  <c:v>44370</c:v>
                </c:pt>
                <c:pt idx="37">
                  <c:v>44371</c:v>
                </c:pt>
                <c:pt idx="38">
                  <c:v>44372</c:v>
                </c:pt>
                <c:pt idx="39">
                  <c:v>44373</c:v>
                </c:pt>
                <c:pt idx="40">
                  <c:v>44374</c:v>
                </c:pt>
                <c:pt idx="41">
                  <c:v>44375</c:v>
                </c:pt>
                <c:pt idx="42">
                  <c:v>44376</c:v>
                </c:pt>
                <c:pt idx="43">
                  <c:v>44377</c:v>
                </c:pt>
                <c:pt idx="44">
                  <c:v>44378</c:v>
                </c:pt>
                <c:pt idx="45">
                  <c:v>44379</c:v>
                </c:pt>
                <c:pt idx="46">
                  <c:v>44380</c:v>
                </c:pt>
                <c:pt idx="47">
                  <c:v>44381</c:v>
                </c:pt>
                <c:pt idx="48">
                  <c:v>44382</c:v>
                </c:pt>
                <c:pt idx="49">
                  <c:v>44383</c:v>
                </c:pt>
                <c:pt idx="50">
                  <c:v>44384</c:v>
                </c:pt>
                <c:pt idx="51">
                  <c:v>44385</c:v>
                </c:pt>
                <c:pt idx="52">
                  <c:v>44386</c:v>
                </c:pt>
                <c:pt idx="53">
                  <c:v>44387</c:v>
                </c:pt>
                <c:pt idx="54">
                  <c:v>44388</c:v>
                </c:pt>
                <c:pt idx="55">
                  <c:v>44389</c:v>
                </c:pt>
                <c:pt idx="56">
                  <c:v>44390</c:v>
                </c:pt>
                <c:pt idx="57">
                  <c:v>44391</c:v>
                </c:pt>
                <c:pt idx="58">
                  <c:v>44392</c:v>
                </c:pt>
                <c:pt idx="59">
                  <c:v>44393</c:v>
                </c:pt>
                <c:pt idx="60">
                  <c:v>44394</c:v>
                </c:pt>
                <c:pt idx="61">
                  <c:v>44395</c:v>
                </c:pt>
                <c:pt idx="62">
                  <c:v>44396</c:v>
                </c:pt>
                <c:pt idx="63">
                  <c:v>44397</c:v>
                </c:pt>
                <c:pt idx="64">
                  <c:v>44398</c:v>
                </c:pt>
                <c:pt idx="65">
                  <c:v>44399</c:v>
                </c:pt>
                <c:pt idx="66">
                  <c:v>44400</c:v>
                </c:pt>
                <c:pt idx="67">
                  <c:v>44401</c:v>
                </c:pt>
                <c:pt idx="68">
                  <c:v>44402</c:v>
                </c:pt>
                <c:pt idx="69">
                  <c:v>44403</c:v>
                </c:pt>
                <c:pt idx="70">
                  <c:v>44404</c:v>
                </c:pt>
                <c:pt idx="71">
                  <c:v>44405</c:v>
                </c:pt>
                <c:pt idx="72">
                  <c:v>44406</c:v>
                </c:pt>
                <c:pt idx="73">
                  <c:v>44407</c:v>
                </c:pt>
                <c:pt idx="74">
                  <c:v>44408</c:v>
                </c:pt>
              </c:numCache>
            </c:numRef>
          </c:cat>
          <c:val>
            <c:numRef>
              <c:f>Investments!$D$20:$BZ$20</c:f>
              <c:numCache>
                <c:formatCode>General</c:formatCode>
                <c:ptCount val="75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0.16</c:v>
                </c:pt>
                <c:pt idx="18">
                  <c:v>0.21</c:v>
                </c:pt>
                <c:pt idx="19">
                  <c:v>0.17</c:v>
                </c:pt>
                <c:pt idx="20">
                  <c:v>0.18</c:v>
                </c:pt>
                <c:pt idx="21">
                  <c:v>0.18</c:v>
                </c:pt>
                <c:pt idx="22">
                  <c:v>0.2</c:v>
                </c:pt>
                <c:pt idx="23">
                  <c:v>0.23</c:v>
                </c:pt>
                <c:pt idx="24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1-4330-9B10-472B2858AE0A}"/>
            </c:ext>
          </c:extLst>
        </c:ser>
        <c:ser>
          <c:idx val="6"/>
          <c:order val="6"/>
          <c:tx>
            <c:strRef>
              <c:f>Investments!$B$21</c:f>
              <c:strCache>
                <c:ptCount val="1"/>
                <c:pt idx="0">
                  <c:v>Shattered Web Case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Investments!$D$14:$BZ$14</c:f>
              <c:numCache>
                <c:formatCode>m/d/yyyy</c:formatCode>
                <c:ptCount val="75"/>
                <c:pt idx="0">
                  <c:v>44332</c:v>
                </c:pt>
                <c:pt idx="1">
                  <c:v>44334</c:v>
                </c:pt>
                <c:pt idx="2">
                  <c:v>44336</c:v>
                </c:pt>
                <c:pt idx="3">
                  <c:v>44337</c:v>
                </c:pt>
                <c:pt idx="4">
                  <c:v>44338</c:v>
                </c:pt>
                <c:pt idx="5">
                  <c:v>44339</c:v>
                </c:pt>
                <c:pt idx="6">
                  <c:v>44340</c:v>
                </c:pt>
                <c:pt idx="7">
                  <c:v>44341</c:v>
                </c:pt>
                <c:pt idx="8">
                  <c:v>44342</c:v>
                </c:pt>
                <c:pt idx="9">
                  <c:v>44343</c:v>
                </c:pt>
                <c:pt idx="10">
                  <c:v>44344</c:v>
                </c:pt>
                <c:pt idx="11">
                  <c:v>44345</c:v>
                </c:pt>
                <c:pt idx="12">
                  <c:v>44346</c:v>
                </c:pt>
                <c:pt idx="13">
                  <c:v>44347</c:v>
                </c:pt>
                <c:pt idx="14">
                  <c:v>44348</c:v>
                </c:pt>
                <c:pt idx="15">
                  <c:v>44349</c:v>
                </c:pt>
                <c:pt idx="16">
                  <c:v>44350</c:v>
                </c:pt>
                <c:pt idx="17">
                  <c:v>44351</c:v>
                </c:pt>
                <c:pt idx="18">
                  <c:v>44352</c:v>
                </c:pt>
                <c:pt idx="19">
                  <c:v>44353</c:v>
                </c:pt>
                <c:pt idx="20">
                  <c:v>44354</c:v>
                </c:pt>
                <c:pt idx="21">
                  <c:v>44355</c:v>
                </c:pt>
                <c:pt idx="22">
                  <c:v>44356</c:v>
                </c:pt>
                <c:pt idx="23">
                  <c:v>44357</c:v>
                </c:pt>
                <c:pt idx="24">
                  <c:v>44358</c:v>
                </c:pt>
                <c:pt idx="25">
                  <c:v>44359</c:v>
                </c:pt>
                <c:pt idx="26">
                  <c:v>44360</c:v>
                </c:pt>
                <c:pt idx="27">
                  <c:v>44361</c:v>
                </c:pt>
                <c:pt idx="28">
                  <c:v>44362</c:v>
                </c:pt>
                <c:pt idx="29">
                  <c:v>44363</c:v>
                </c:pt>
                <c:pt idx="30">
                  <c:v>44364</c:v>
                </c:pt>
                <c:pt idx="31">
                  <c:v>44365</c:v>
                </c:pt>
                <c:pt idx="32">
                  <c:v>44366</c:v>
                </c:pt>
                <c:pt idx="33">
                  <c:v>44367</c:v>
                </c:pt>
                <c:pt idx="34">
                  <c:v>44368</c:v>
                </c:pt>
                <c:pt idx="35">
                  <c:v>44369</c:v>
                </c:pt>
                <c:pt idx="36">
                  <c:v>44370</c:v>
                </c:pt>
                <c:pt idx="37">
                  <c:v>44371</c:v>
                </c:pt>
                <c:pt idx="38">
                  <c:v>44372</c:v>
                </c:pt>
                <c:pt idx="39">
                  <c:v>44373</c:v>
                </c:pt>
                <c:pt idx="40">
                  <c:v>44374</c:v>
                </c:pt>
                <c:pt idx="41">
                  <c:v>44375</c:v>
                </c:pt>
                <c:pt idx="42">
                  <c:v>44376</c:v>
                </c:pt>
                <c:pt idx="43">
                  <c:v>44377</c:v>
                </c:pt>
                <c:pt idx="44">
                  <c:v>44378</c:v>
                </c:pt>
                <c:pt idx="45">
                  <c:v>44379</c:v>
                </c:pt>
                <c:pt idx="46">
                  <c:v>44380</c:v>
                </c:pt>
                <c:pt idx="47">
                  <c:v>44381</c:v>
                </c:pt>
                <c:pt idx="48">
                  <c:v>44382</c:v>
                </c:pt>
                <c:pt idx="49">
                  <c:v>44383</c:v>
                </c:pt>
                <c:pt idx="50">
                  <c:v>44384</c:v>
                </c:pt>
                <c:pt idx="51">
                  <c:v>44385</c:v>
                </c:pt>
                <c:pt idx="52">
                  <c:v>44386</c:v>
                </c:pt>
                <c:pt idx="53">
                  <c:v>44387</c:v>
                </c:pt>
                <c:pt idx="54">
                  <c:v>44388</c:v>
                </c:pt>
                <c:pt idx="55">
                  <c:v>44389</c:v>
                </c:pt>
                <c:pt idx="56">
                  <c:v>44390</c:v>
                </c:pt>
                <c:pt idx="57">
                  <c:v>44391</c:v>
                </c:pt>
                <c:pt idx="58">
                  <c:v>44392</c:v>
                </c:pt>
                <c:pt idx="59">
                  <c:v>44393</c:v>
                </c:pt>
                <c:pt idx="60">
                  <c:v>44394</c:v>
                </c:pt>
                <c:pt idx="61">
                  <c:v>44395</c:v>
                </c:pt>
                <c:pt idx="62">
                  <c:v>44396</c:v>
                </c:pt>
                <c:pt idx="63">
                  <c:v>44397</c:v>
                </c:pt>
                <c:pt idx="64">
                  <c:v>44398</c:v>
                </c:pt>
                <c:pt idx="65">
                  <c:v>44399</c:v>
                </c:pt>
                <c:pt idx="66">
                  <c:v>44400</c:v>
                </c:pt>
                <c:pt idx="67">
                  <c:v>44401</c:v>
                </c:pt>
                <c:pt idx="68">
                  <c:v>44402</c:v>
                </c:pt>
                <c:pt idx="69">
                  <c:v>44403</c:v>
                </c:pt>
                <c:pt idx="70">
                  <c:v>44404</c:v>
                </c:pt>
                <c:pt idx="71">
                  <c:v>44405</c:v>
                </c:pt>
                <c:pt idx="72">
                  <c:v>44406</c:v>
                </c:pt>
                <c:pt idx="73">
                  <c:v>44407</c:v>
                </c:pt>
                <c:pt idx="74">
                  <c:v>44408</c:v>
                </c:pt>
              </c:numCache>
            </c:numRef>
          </c:cat>
          <c:val>
            <c:numRef>
              <c:f>Investments!$D$21:$BZ$21</c:f>
              <c:numCache>
                <c:formatCode>General</c:formatCode>
                <c:ptCount val="75"/>
                <c:pt idx="0">
                  <c:v>1.1200000000000001</c:v>
                </c:pt>
                <c:pt idx="1">
                  <c:v>1.2</c:v>
                </c:pt>
                <c:pt idx="2">
                  <c:v>1.24</c:v>
                </c:pt>
                <c:pt idx="3">
                  <c:v>1.21</c:v>
                </c:pt>
                <c:pt idx="4">
                  <c:v>1.26</c:v>
                </c:pt>
                <c:pt idx="5">
                  <c:v>1.27</c:v>
                </c:pt>
                <c:pt idx="6">
                  <c:v>1.31</c:v>
                </c:pt>
                <c:pt idx="7">
                  <c:v>1.53</c:v>
                </c:pt>
                <c:pt idx="8">
                  <c:v>1.45</c:v>
                </c:pt>
                <c:pt idx="9">
                  <c:v>1.51</c:v>
                </c:pt>
                <c:pt idx="10">
                  <c:v>1.49</c:v>
                </c:pt>
                <c:pt idx="11">
                  <c:v>1.41</c:v>
                </c:pt>
                <c:pt idx="12">
                  <c:v>1.39</c:v>
                </c:pt>
                <c:pt idx="13">
                  <c:v>1.31</c:v>
                </c:pt>
                <c:pt idx="14">
                  <c:v>1.34</c:v>
                </c:pt>
                <c:pt idx="15">
                  <c:v>1.31</c:v>
                </c:pt>
                <c:pt idx="16">
                  <c:v>1.35</c:v>
                </c:pt>
                <c:pt idx="17">
                  <c:v>1.35</c:v>
                </c:pt>
                <c:pt idx="18">
                  <c:v>1.35</c:v>
                </c:pt>
                <c:pt idx="19">
                  <c:v>1.46</c:v>
                </c:pt>
                <c:pt idx="20">
                  <c:v>1.46</c:v>
                </c:pt>
                <c:pt idx="21">
                  <c:v>1.42</c:v>
                </c:pt>
                <c:pt idx="22">
                  <c:v>1.49</c:v>
                </c:pt>
                <c:pt idx="23">
                  <c:v>1.33</c:v>
                </c:pt>
                <c:pt idx="24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1-4330-9B10-472B2858AE0A}"/>
            </c:ext>
          </c:extLst>
        </c:ser>
        <c:ser>
          <c:idx val="7"/>
          <c:order val="7"/>
          <c:tx>
            <c:strRef>
              <c:f>Investments!$B$22</c:f>
              <c:strCache>
                <c:ptCount val="1"/>
                <c:pt idx="0">
                  <c:v>Spectrum 2 Case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Investments!$D$14:$BZ$14</c:f>
              <c:numCache>
                <c:formatCode>m/d/yyyy</c:formatCode>
                <c:ptCount val="75"/>
                <c:pt idx="0">
                  <c:v>44332</c:v>
                </c:pt>
                <c:pt idx="1">
                  <c:v>44334</c:v>
                </c:pt>
                <c:pt idx="2">
                  <c:v>44336</c:v>
                </c:pt>
                <c:pt idx="3">
                  <c:v>44337</c:v>
                </c:pt>
                <c:pt idx="4">
                  <c:v>44338</c:v>
                </c:pt>
                <c:pt idx="5">
                  <c:v>44339</c:v>
                </c:pt>
                <c:pt idx="6">
                  <c:v>44340</c:v>
                </c:pt>
                <c:pt idx="7">
                  <c:v>44341</c:v>
                </c:pt>
                <c:pt idx="8">
                  <c:v>44342</c:v>
                </c:pt>
                <c:pt idx="9">
                  <c:v>44343</c:v>
                </c:pt>
                <c:pt idx="10">
                  <c:v>44344</c:v>
                </c:pt>
                <c:pt idx="11">
                  <c:v>44345</c:v>
                </c:pt>
                <c:pt idx="12">
                  <c:v>44346</c:v>
                </c:pt>
                <c:pt idx="13">
                  <c:v>44347</c:v>
                </c:pt>
                <c:pt idx="14">
                  <c:v>44348</c:v>
                </c:pt>
                <c:pt idx="15">
                  <c:v>44349</c:v>
                </c:pt>
                <c:pt idx="16">
                  <c:v>44350</c:v>
                </c:pt>
                <c:pt idx="17">
                  <c:v>44351</c:v>
                </c:pt>
                <c:pt idx="18">
                  <c:v>44352</c:v>
                </c:pt>
                <c:pt idx="19">
                  <c:v>44353</c:v>
                </c:pt>
                <c:pt idx="20">
                  <c:v>44354</c:v>
                </c:pt>
                <c:pt idx="21">
                  <c:v>44355</c:v>
                </c:pt>
                <c:pt idx="22">
                  <c:v>44356</c:v>
                </c:pt>
                <c:pt idx="23">
                  <c:v>44357</c:v>
                </c:pt>
                <c:pt idx="24">
                  <c:v>44358</c:v>
                </c:pt>
                <c:pt idx="25">
                  <c:v>44359</c:v>
                </c:pt>
                <c:pt idx="26">
                  <c:v>44360</c:v>
                </c:pt>
                <c:pt idx="27">
                  <c:v>44361</c:v>
                </c:pt>
                <c:pt idx="28">
                  <c:v>44362</c:v>
                </c:pt>
                <c:pt idx="29">
                  <c:v>44363</c:v>
                </c:pt>
                <c:pt idx="30">
                  <c:v>44364</c:v>
                </c:pt>
                <c:pt idx="31">
                  <c:v>44365</c:v>
                </c:pt>
                <c:pt idx="32">
                  <c:v>44366</c:v>
                </c:pt>
                <c:pt idx="33">
                  <c:v>44367</c:v>
                </c:pt>
                <c:pt idx="34">
                  <c:v>44368</c:v>
                </c:pt>
                <c:pt idx="35">
                  <c:v>44369</c:v>
                </c:pt>
                <c:pt idx="36">
                  <c:v>44370</c:v>
                </c:pt>
                <c:pt idx="37">
                  <c:v>44371</c:v>
                </c:pt>
                <c:pt idx="38">
                  <c:v>44372</c:v>
                </c:pt>
                <c:pt idx="39">
                  <c:v>44373</c:v>
                </c:pt>
                <c:pt idx="40">
                  <c:v>44374</c:v>
                </c:pt>
                <c:pt idx="41">
                  <c:v>44375</c:v>
                </c:pt>
                <c:pt idx="42">
                  <c:v>44376</c:v>
                </c:pt>
                <c:pt idx="43">
                  <c:v>44377</c:v>
                </c:pt>
                <c:pt idx="44">
                  <c:v>44378</c:v>
                </c:pt>
                <c:pt idx="45">
                  <c:v>44379</c:v>
                </c:pt>
                <c:pt idx="46">
                  <c:v>44380</c:v>
                </c:pt>
                <c:pt idx="47">
                  <c:v>44381</c:v>
                </c:pt>
                <c:pt idx="48">
                  <c:v>44382</c:v>
                </c:pt>
                <c:pt idx="49">
                  <c:v>44383</c:v>
                </c:pt>
                <c:pt idx="50">
                  <c:v>44384</c:v>
                </c:pt>
                <c:pt idx="51">
                  <c:v>44385</c:v>
                </c:pt>
                <c:pt idx="52">
                  <c:v>44386</c:v>
                </c:pt>
                <c:pt idx="53">
                  <c:v>44387</c:v>
                </c:pt>
                <c:pt idx="54">
                  <c:v>44388</c:v>
                </c:pt>
                <c:pt idx="55">
                  <c:v>44389</c:v>
                </c:pt>
                <c:pt idx="56">
                  <c:v>44390</c:v>
                </c:pt>
                <c:pt idx="57">
                  <c:v>44391</c:v>
                </c:pt>
                <c:pt idx="58">
                  <c:v>44392</c:v>
                </c:pt>
                <c:pt idx="59">
                  <c:v>44393</c:v>
                </c:pt>
                <c:pt idx="60">
                  <c:v>44394</c:v>
                </c:pt>
                <c:pt idx="61">
                  <c:v>44395</c:v>
                </c:pt>
                <c:pt idx="62">
                  <c:v>44396</c:v>
                </c:pt>
                <c:pt idx="63">
                  <c:v>44397</c:v>
                </c:pt>
                <c:pt idx="64">
                  <c:v>44398</c:v>
                </c:pt>
                <c:pt idx="65">
                  <c:v>44399</c:v>
                </c:pt>
                <c:pt idx="66">
                  <c:v>44400</c:v>
                </c:pt>
                <c:pt idx="67">
                  <c:v>44401</c:v>
                </c:pt>
                <c:pt idx="68">
                  <c:v>44402</c:v>
                </c:pt>
                <c:pt idx="69">
                  <c:v>44403</c:v>
                </c:pt>
                <c:pt idx="70">
                  <c:v>44404</c:v>
                </c:pt>
                <c:pt idx="71">
                  <c:v>44405</c:v>
                </c:pt>
                <c:pt idx="72">
                  <c:v>44406</c:v>
                </c:pt>
                <c:pt idx="73">
                  <c:v>44407</c:v>
                </c:pt>
                <c:pt idx="74">
                  <c:v>44408</c:v>
                </c:pt>
              </c:numCache>
            </c:numRef>
          </c:cat>
          <c:val>
            <c:numRef>
              <c:f>Investments!$D$22:$BZ$22</c:f>
              <c:numCache>
                <c:formatCode>General</c:formatCode>
                <c:ptCount val="75"/>
                <c:pt idx="0">
                  <c:v>0.17</c:v>
                </c:pt>
                <c:pt idx="1">
                  <c:v>0.19</c:v>
                </c:pt>
                <c:pt idx="2">
                  <c:v>0.19</c:v>
                </c:pt>
                <c:pt idx="3">
                  <c:v>0.17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0.17</c:v>
                </c:pt>
                <c:pt idx="8">
                  <c:v>0.18</c:v>
                </c:pt>
                <c:pt idx="9">
                  <c:v>0.18</c:v>
                </c:pt>
                <c:pt idx="10">
                  <c:v>0.19</c:v>
                </c:pt>
                <c:pt idx="11">
                  <c:v>0.2</c:v>
                </c:pt>
                <c:pt idx="12">
                  <c:v>0.21</c:v>
                </c:pt>
                <c:pt idx="13">
                  <c:v>0.21</c:v>
                </c:pt>
                <c:pt idx="14">
                  <c:v>0.24</c:v>
                </c:pt>
                <c:pt idx="15">
                  <c:v>0.24</c:v>
                </c:pt>
                <c:pt idx="16">
                  <c:v>0.23</c:v>
                </c:pt>
                <c:pt idx="17">
                  <c:v>0.34</c:v>
                </c:pt>
                <c:pt idx="18">
                  <c:v>0.39</c:v>
                </c:pt>
                <c:pt idx="19">
                  <c:v>0.34</c:v>
                </c:pt>
                <c:pt idx="20">
                  <c:v>0.36</c:v>
                </c:pt>
                <c:pt idx="21">
                  <c:v>0.36</c:v>
                </c:pt>
                <c:pt idx="22">
                  <c:v>0.37</c:v>
                </c:pt>
                <c:pt idx="23">
                  <c:v>0.36</c:v>
                </c:pt>
                <c:pt idx="24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D1-4330-9B10-472B2858AE0A}"/>
            </c:ext>
          </c:extLst>
        </c:ser>
        <c:ser>
          <c:idx val="8"/>
          <c:order val="8"/>
          <c:tx>
            <c:strRef>
              <c:f>Investments!$B$23</c:f>
              <c:strCache>
                <c:ptCount val="1"/>
                <c:pt idx="0">
                  <c:v>Horizon Case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Investments!$D$14:$BZ$14</c:f>
              <c:numCache>
                <c:formatCode>m/d/yyyy</c:formatCode>
                <c:ptCount val="75"/>
                <c:pt idx="0">
                  <c:v>44332</c:v>
                </c:pt>
                <c:pt idx="1">
                  <c:v>44334</c:v>
                </c:pt>
                <c:pt idx="2">
                  <c:v>44336</c:v>
                </c:pt>
                <c:pt idx="3">
                  <c:v>44337</c:v>
                </c:pt>
                <c:pt idx="4">
                  <c:v>44338</c:v>
                </c:pt>
                <c:pt idx="5">
                  <c:v>44339</c:v>
                </c:pt>
                <c:pt idx="6">
                  <c:v>44340</c:v>
                </c:pt>
                <c:pt idx="7">
                  <c:v>44341</c:v>
                </c:pt>
                <c:pt idx="8">
                  <c:v>44342</c:v>
                </c:pt>
                <c:pt idx="9">
                  <c:v>44343</c:v>
                </c:pt>
                <c:pt idx="10">
                  <c:v>44344</c:v>
                </c:pt>
                <c:pt idx="11">
                  <c:v>44345</c:v>
                </c:pt>
                <c:pt idx="12">
                  <c:v>44346</c:v>
                </c:pt>
                <c:pt idx="13">
                  <c:v>44347</c:v>
                </c:pt>
                <c:pt idx="14">
                  <c:v>44348</c:v>
                </c:pt>
                <c:pt idx="15">
                  <c:v>44349</c:v>
                </c:pt>
                <c:pt idx="16">
                  <c:v>44350</c:v>
                </c:pt>
                <c:pt idx="17">
                  <c:v>44351</c:v>
                </c:pt>
                <c:pt idx="18">
                  <c:v>44352</c:v>
                </c:pt>
                <c:pt idx="19">
                  <c:v>44353</c:v>
                </c:pt>
                <c:pt idx="20">
                  <c:v>44354</c:v>
                </c:pt>
                <c:pt idx="21">
                  <c:v>44355</c:v>
                </c:pt>
                <c:pt idx="22">
                  <c:v>44356</c:v>
                </c:pt>
                <c:pt idx="23">
                  <c:v>44357</c:v>
                </c:pt>
                <c:pt idx="24">
                  <c:v>44358</c:v>
                </c:pt>
                <c:pt idx="25">
                  <c:v>44359</c:v>
                </c:pt>
                <c:pt idx="26">
                  <c:v>44360</c:v>
                </c:pt>
                <c:pt idx="27">
                  <c:v>44361</c:v>
                </c:pt>
                <c:pt idx="28">
                  <c:v>44362</c:v>
                </c:pt>
                <c:pt idx="29">
                  <c:v>44363</c:v>
                </c:pt>
                <c:pt idx="30">
                  <c:v>44364</c:v>
                </c:pt>
                <c:pt idx="31">
                  <c:v>44365</c:v>
                </c:pt>
                <c:pt idx="32">
                  <c:v>44366</c:v>
                </c:pt>
                <c:pt idx="33">
                  <c:v>44367</c:v>
                </c:pt>
                <c:pt idx="34">
                  <c:v>44368</c:v>
                </c:pt>
                <c:pt idx="35">
                  <c:v>44369</c:v>
                </c:pt>
                <c:pt idx="36">
                  <c:v>44370</c:v>
                </c:pt>
                <c:pt idx="37">
                  <c:v>44371</c:v>
                </c:pt>
                <c:pt idx="38">
                  <c:v>44372</c:v>
                </c:pt>
                <c:pt idx="39">
                  <c:v>44373</c:v>
                </c:pt>
                <c:pt idx="40">
                  <c:v>44374</c:v>
                </c:pt>
                <c:pt idx="41">
                  <c:v>44375</c:v>
                </c:pt>
                <c:pt idx="42">
                  <c:v>44376</c:v>
                </c:pt>
                <c:pt idx="43">
                  <c:v>44377</c:v>
                </c:pt>
                <c:pt idx="44">
                  <c:v>44378</c:v>
                </c:pt>
                <c:pt idx="45">
                  <c:v>44379</c:v>
                </c:pt>
                <c:pt idx="46">
                  <c:v>44380</c:v>
                </c:pt>
                <c:pt idx="47">
                  <c:v>44381</c:v>
                </c:pt>
                <c:pt idx="48">
                  <c:v>44382</c:v>
                </c:pt>
                <c:pt idx="49">
                  <c:v>44383</c:v>
                </c:pt>
                <c:pt idx="50">
                  <c:v>44384</c:v>
                </c:pt>
                <c:pt idx="51">
                  <c:v>44385</c:v>
                </c:pt>
                <c:pt idx="52">
                  <c:v>44386</c:v>
                </c:pt>
                <c:pt idx="53">
                  <c:v>44387</c:v>
                </c:pt>
                <c:pt idx="54">
                  <c:v>44388</c:v>
                </c:pt>
                <c:pt idx="55">
                  <c:v>44389</c:v>
                </c:pt>
                <c:pt idx="56">
                  <c:v>44390</c:v>
                </c:pt>
                <c:pt idx="57">
                  <c:v>44391</c:v>
                </c:pt>
                <c:pt idx="58">
                  <c:v>44392</c:v>
                </c:pt>
                <c:pt idx="59">
                  <c:v>44393</c:v>
                </c:pt>
                <c:pt idx="60">
                  <c:v>44394</c:v>
                </c:pt>
                <c:pt idx="61">
                  <c:v>44395</c:v>
                </c:pt>
                <c:pt idx="62">
                  <c:v>44396</c:v>
                </c:pt>
                <c:pt idx="63">
                  <c:v>44397</c:v>
                </c:pt>
                <c:pt idx="64">
                  <c:v>44398</c:v>
                </c:pt>
                <c:pt idx="65">
                  <c:v>44399</c:v>
                </c:pt>
                <c:pt idx="66">
                  <c:v>44400</c:v>
                </c:pt>
                <c:pt idx="67">
                  <c:v>44401</c:v>
                </c:pt>
                <c:pt idx="68">
                  <c:v>44402</c:v>
                </c:pt>
                <c:pt idx="69">
                  <c:v>44403</c:v>
                </c:pt>
                <c:pt idx="70">
                  <c:v>44404</c:v>
                </c:pt>
                <c:pt idx="71">
                  <c:v>44405</c:v>
                </c:pt>
                <c:pt idx="72">
                  <c:v>44406</c:v>
                </c:pt>
                <c:pt idx="73">
                  <c:v>44407</c:v>
                </c:pt>
                <c:pt idx="74">
                  <c:v>44408</c:v>
                </c:pt>
              </c:numCache>
            </c:numRef>
          </c:cat>
          <c:val>
            <c:numRef>
              <c:f>Investments!$D$23:$BZ$23</c:f>
              <c:numCache>
                <c:formatCode>General</c:formatCode>
                <c:ptCount val="75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0.12</c:v>
                </c:pt>
                <c:pt idx="18">
                  <c:v>0.14000000000000001</c:v>
                </c:pt>
                <c:pt idx="19">
                  <c:v>0.11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D1-4330-9B10-472B2858AE0A}"/>
            </c:ext>
          </c:extLst>
        </c:ser>
        <c:ser>
          <c:idx val="9"/>
          <c:order val="9"/>
          <c:tx>
            <c:strRef>
              <c:f>Investments!$B$24</c:f>
              <c:strCache>
                <c:ptCount val="1"/>
                <c:pt idx="0">
                  <c:v>Spectrum Case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Investments!$D$14:$BZ$14</c:f>
              <c:numCache>
                <c:formatCode>m/d/yyyy</c:formatCode>
                <c:ptCount val="75"/>
                <c:pt idx="0">
                  <c:v>44332</c:v>
                </c:pt>
                <c:pt idx="1">
                  <c:v>44334</c:v>
                </c:pt>
                <c:pt idx="2">
                  <c:v>44336</c:v>
                </c:pt>
                <c:pt idx="3">
                  <c:v>44337</c:v>
                </c:pt>
                <c:pt idx="4">
                  <c:v>44338</c:v>
                </c:pt>
                <c:pt idx="5">
                  <c:v>44339</c:v>
                </c:pt>
                <c:pt idx="6">
                  <c:v>44340</c:v>
                </c:pt>
                <c:pt idx="7">
                  <c:v>44341</c:v>
                </c:pt>
                <c:pt idx="8">
                  <c:v>44342</c:v>
                </c:pt>
                <c:pt idx="9">
                  <c:v>44343</c:v>
                </c:pt>
                <c:pt idx="10">
                  <c:v>44344</c:v>
                </c:pt>
                <c:pt idx="11">
                  <c:v>44345</c:v>
                </c:pt>
                <c:pt idx="12">
                  <c:v>44346</c:v>
                </c:pt>
                <c:pt idx="13">
                  <c:v>44347</c:v>
                </c:pt>
                <c:pt idx="14">
                  <c:v>44348</c:v>
                </c:pt>
                <c:pt idx="15">
                  <c:v>44349</c:v>
                </c:pt>
                <c:pt idx="16">
                  <c:v>44350</c:v>
                </c:pt>
                <c:pt idx="17">
                  <c:v>44351</c:v>
                </c:pt>
                <c:pt idx="18">
                  <c:v>44352</c:v>
                </c:pt>
                <c:pt idx="19">
                  <c:v>44353</c:v>
                </c:pt>
                <c:pt idx="20">
                  <c:v>44354</c:v>
                </c:pt>
                <c:pt idx="21">
                  <c:v>44355</c:v>
                </c:pt>
                <c:pt idx="22">
                  <c:v>44356</c:v>
                </c:pt>
                <c:pt idx="23">
                  <c:v>44357</c:v>
                </c:pt>
                <c:pt idx="24">
                  <c:v>44358</c:v>
                </c:pt>
                <c:pt idx="25">
                  <c:v>44359</c:v>
                </c:pt>
                <c:pt idx="26">
                  <c:v>44360</c:v>
                </c:pt>
                <c:pt idx="27">
                  <c:v>44361</c:v>
                </c:pt>
                <c:pt idx="28">
                  <c:v>44362</c:v>
                </c:pt>
                <c:pt idx="29">
                  <c:v>44363</c:v>
                </c:pt>
                <c:pt idx="30">
                  <c:v>44364</c:v>
                </c:pt>
                <c:pt idx="31">
                  <c:v>44365</c:v>
                </c:pt>
                <c:pt idx="32">
                  <c:v>44366</c:v>
                </c:pt>
                <c:pt idx="33">
                  <c:v>44367</c:v>
                </c:pt>
                <c:pt idx="34">
                  <c:v>44368</c:v>
                </c:pt>
                <c:pt idx="35">
                  <c:v>44369</c:v>
                </c:pt>
                <c:pt idx="36">
                  <c:v>44370</c:v>
                </c:pt>
                <c:pt idx="37">
                  <c:v>44371</c:v>
                </c:pt>
                <c:pt idx="38">
                  <c:v>44372</c:v>
                </c:pt>
                <c:pt idx="39">
                  <c:v>44373</c:v>
                </c:pt>
                <c:pt idx="40">
                  <c:v>44374</c:v>
                </c:pt>
                <c:pt idx="41">
                  <c:v>44375</c:v>
                </c:pt>
                <c:pt idx="42">
                  <c:v>44376</c:v>
                </c:pt>
                <c:pt idx="43">
                  <c:v>44377</c:v>
                </c:pt>
                <c:pt idx="44">
                  <c:v>44378</c:v>
                </c:pt>
                <c:pt idx="45">
                  <c:v>44379</c:v>
                </c:pt>
                <c:pt idx="46">
                  <c:v>44380</c:v>
                </c:pt>
                <c:pt idx="47">
                  <c:v>44381</c:v>
                </c:pt>
                <c:pt idx="48">
                  <c:v>44382</c:v>
                </c:pt>
                <c:pt idx="49">
                  <c:v>44383</c:v>
                </c:pt>
                <c:pt idx="50">
                  <c:v>44384</c:v>
                </c:pt>
                <c:pt idx="51">
                  <c:v>44385</c:v>
                </c:pt>
                <c:pt idx="52">
                  <c:v>44386</c:v>
                </c:pt>
                <c:pt idx="53">
                  <c:v>44387</c:v>
                </c:pt>
                <c:pt idx="54">
                  <c:v>44388</c:v>
                </c:pt>
                <c:pt idx="55">
                  <c:v>44389</c:v>
                </c:pt>
                <c:pt idx="56">
                  <c:v>44390</c:v>
                </c:pt>
                <c:pt idx="57">
                  <c:v>44391</c:v>
                </c:pt>
                <c:pt idx="58">
                  <c:v>44392</c:v>
                </c:pt>
                <c:pt idx="59">
                  <c:v>44393</c:v>
                </c:pt>
                <c:pt idx="60">
                  <c:v>44394</c:v>
                </c:pt>
                <c:pt idx="61">
                  <c:v>44395</c:v>
                </c:pt>
                <c:pt idx="62">
                  <c:v>44396</c:v>
                </c:pt>
                <c:pt idx="63">
                  <c:v>44397</c:v>
                </c:pt>
                <c:pt idx="64">
                  <c:v>44398</c:v>
                </c:pt>
                <c:pt idx="65">
                  <c:v>44399</c:v>
                </c:pt>
                <c:pt idx="66">
                  <c:v>44400</c:v>
                </c:pt>
                <c:pt idx="67">
                  <c:v>44401</c:v>
                </c:pt>
                <c:pt idx="68">
                  <c:v>44402</c:v>
                </c:pt>
                <c:pt idx="69">
                  <c:v>44403</c:v>
                </c:pt>
                <c:pt idx="70">
                  <c:v>44404</c:v>
                </c:pt>
                <c:pt idx="71">
                  <c:v>44405</c:v>
                </c:pt>
                <c:pt idx="72">
                  <c:v>44406</c:v>
                </c:pt>
                <c:pt idx="73">
                  <c:v>44407</c:v>
                </c:pt>
                <c:pt idx="74">
                  <c:v>44408</c:v>
                </c:pt>
              </c:numCache>
            </c:numRef>
          </c:cat>
          <c:val>
            <c:numRef>
              <c:f>Investments!$D$24:$BZ$24</c:f>
              <c:numCache>
                <c:formatCode>General</c:formatCode>
                <c:ptCount val="75"/>
                <c:pt idx="0">
                  <c:v>0.57999999999999996</c:v>
                </c:pt>
                <c:pt idx="1">
                  <c:v>0.55000000000000004</c:v>
                </c:pt>
                <c:pt idx="2">
                  <c:v>0.53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0.61</c:v>
                </c:pt>
                <c:pt idx="7">
                  <c:v>0.57999999999999996</c:v>
                </c:pt>
                <c:pt idx="8">
                  <c:v>0.61</c:v>
                </c:pt>
                <c:pt idx="9">
                  <c:v>0.57999999999999996</c:v>
                </c:pt>
                <c:pt idx="10">
                  <c:v>0.62</c:v>
                </c:pt>
                <c:pt idx="11">
                  <c:v>0.65</c:v>
                </c:pt>
                <c:pt idx="12">
                  <c:v>0.66</c:v>
                </c:pt>
                <c:pt idx="13">
                  <c:v>0.65</c:v>
                </c:pt>
                <c:pt idx="14">
                  <c:v>0.66</c:v>
                </c:pt>
                <c:pt idx="15">
                  <c:v>0.64</c:v>
                </c:pt>
                <c:pt idx="16">
                  <c:v>0.64</c:v>
                </c:pt>
                <c:pt idx="17">
                  <c:v>0.72</c:v>
                </c:pt>
                <c:pt idx="18">
                  <c:v>0.86</c:v>
                </c:pt>
                <c:pt idx="19">
                  <c:v>0.73</c:v>
                </c:pt>
                <c:pt idx="20">
                  <c:v>0.64</c:v>
                </c:pt>
                <c:pt idx="21">
                  <c:v>0.65</c:v>
                </c:pt>
                <c:pt idx="22">
                  <c:v>0.74</c:v>
                </c:pt>
                <c:pt idx="23">
                  <c:v>0.71</c:v>
                </c:pt>
                <c:pt idx="24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D1-4330-9B10-472B2858A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504127"/>
        <c:axId val="2038948943"/>
      </c:lineChart>
      <c:dateAx>
        <c:axId val="20585041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38948943"/>
        <c:crosses val="autoZero"/>
        <c:auto val="1"/>
        <c:lblOffset val="100"/>
        <c:baseTimeUnit val="days"/>
      </c:dateAx>
      <c:valAx>
        <c:axId val="203894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5850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Value of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>
        <c:manualLayout>
          <c:layoutTarget val="inner"/>
          <c:xMode val="edge"/>
          <c:yMode val="edge"/>
          <c:x val="6.2944837777630741E-2"/>
          <c:y val="0.15269264069264069"/>
          <c:w val="0.90120082048567463"/>
          <c:h val="0.54637733919623688"/>
        </c:manualLayout>
      </c:layout>
      <c:lineChart>
        <c:grouping val="standard"/>
        <c:varyColors val="0"/>
        <c:ser>
          <c:idx val="0"/>
          <c:order val="0"/>
          <c:tx>
            <c:strRef>
              <c:f>Totals!$A$5</c:f>
              <c:strCache>
                <c:ptCount val="1"/>
                <c:pt idx="0">
                  <c:v>Investments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Totals!$B$4:$BY$4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Totals!$B$5:$BY$5</c:f>
              <c:numCache>
                <c:formatCode>General</c:formatCode>
                <c:ptCount val="76"/>
                <c:pt idx="0">
                  <c:v>758.47</c:v>
                </c:pt>
                <c:pt idx="1">
                  <c:v>748.99</c:v>
                </c:pt>
                <c:pt idx="2">
                  <c:v>775.47</c:v>
                </c:pt>
                <c:pt idx="3">
                  <c:v>836.83999999999992</c:v>
                </c:pt>
                <c:pt idx="4">
                  <c:v>844.7</c:v>
                </c:pt>
                <c:pt idx="5">
                  <c:v>993.96999999999991</c:v>
                </c:pt>
                <c:pt idx="6">
                  <c:v>976</c:v>
                </c:pt>
                <c:pt idx="7">
                  <c:v>1035.1599999999999</c:v>
                </c:pt>
                <c:pt idx="8">
                  <c:v>1042.3999999999999</c:v>
                </c:pt>
                <c:pt idx="9">
                  <c:v>1150.24</c:v>
                </c:pt>
                <c:pt idx="10">
                  <c:v>1231.1599999999999</c:v>
                </c:pt>
                <c:pt idx="11">
                  <c:v>1219.44</c:v>
                </c:pt>
                <c:pt idx="12">
                  <c:v>1169.1000000000001</c:v>
                </c:pt>
                <c:pt idx="13">
                  <c:v>1112.32</c:v>
                </c:pt>
                <c:pt idx="14">
                  <c:v>1092.4099999999999</c:v>
                </c:pt>
                <c:pt idx="15">
                  <c:v>1135.18</c:v>
                </c:pt>
                <c:pt idx="16">
                  <c:v>1223.8499999999999</c:v>
                </c:pt>
                <c:pt idx="17">
                  <c:v>1284.6300000000001</c:v>
                </c:pt>
                <c:pt idx="18">
                  <c:v>1491.52</c:v>
                </c:pt>
                <c:pt idx="19">
                  <c:v>1699.3999999999999</c:v>
                </c:pt>
                <c:pt idx="20">
                  <c:v>1488.6999999999998</c:v>
                </c:pt>
                <c:pt idx="21">
                  <c:v>1505.05</c:v>
                </c:pt>
                <c:pt idx="22">
                  <c:v>1513.87</c:v>
                </c:pt>
                <c:pt idx="23">
                  <c:v>1507.3899999999999</c:v>
                </c:pt>
                <c:pt idx="24">
                  <c:v>1524.1</c:v>
                </c:pt>
                <c:pt idx="25">
                  <c:v>1532.28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6-465C-89E3-BB9B7E1A95A1}"/>
            </c:ext>
          </c:extLst>
        </c:ser>
        <c:ser>
          <c:idx val="1"/>
          <c:order val="1"/>
          <c:tx>
            <c:strRef>
              <c:f>Totals!$A$6</c:f>
              <c:strCache>
                <c:ptCount val="1"/>
                <c:pt idx="0">
                  <c:v>Knives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Totals!$B$4:$BY$4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Totals!$B$6:$BY$6</c:f>
              <c:numCache>
                <c:formatCode>General</c:formatCode>
                <c:ptCount val="76"/>
                <c:pt idx="0">
                  <c:v>1973.0399999999997</c:v>
                </c:pt>
                <c:pt idx="1">
                  <c:v>1981.8999999999999</c:v>
                </c:pt>
                <c:pt idx="2">
                  <c:v>2000.1100000000001</c:v>
                </c:pt>
                <c:pt idx="3">
                  <c:v>2012.3300000000002</c:v>
                </c:pt>
                <c:pt idx="4">
                  <c:v>2033.0700000000002</c:v>
                </c:pt>
                <c:pt idx="5">
                  <c:v>1997.2199999999998</c:v>
                </c:pt>
                <c:pt idx="6">
                  <c:v>2013.88</c:v>
                </c:pt>
                <c:pt idx="7">
                  <c:v>2043.2699999999998</c:v>
                </c:pt>
                <c:pt idx="8">
                  <c:v>2020.53</c:v>
                </c:pt>
                <c:pt idx="9">
                  <c:v>2205.54</c:v>
                </c:pt>
                <c:pt idx="10">
                  <c:v>2177.7400000000002</c:v>
                </c:pt>
                <c:pt idx="11">
                  <c:v>2165.3000000000002</c:v>
                </c:pt>
                <c:pt idx="12">
                  <c:v>2132.02</c:v>
                </c:pt>
                <c:pt idx="13">
                  <c:v>2137.7199999999998</c:v>
                </c:pt>
                <c:pt idx="14">
                  <c:v>2110.66</c:v>
                </c:pt>
                <c:pt idx="15">
                  <c:v>2114.9700000000003</c:v>
                </c:pt>
                <c:pt idx="16">
                  <c:v>2140.1000000000004</c:v>
                </c:pt>
                <c:pt idx="17">
                  <c:v>2154.6799999999998</c:v>
                </c:pt>
                <c:pt idx="18">
                  <c:v>2100.75</c:v>
                </c:pt>
                <c:pt idx="19">
                  <c:v>2175.81</c:v>
                </c:pt>
                <c:pt idx="20">
                  <c:v>2301.6999999999998</c:v>
                </c:pt>
                <c:pt idx="21">
                  <c:v>2249.21</c:v>
                </c:pt>
                <c:pt idx="22">
                  <c:v>2257.7600000000002</c:v>
                </c:pt>
                <c:pt idx="23">
                  <c:v>2243.5100000000002</c:v>
                </c:pt>
                <c:pt idx="24">
                  <c:v>2223.92</c:v>
                </c:pt>
                <c:pt idx="25">
                  <c:v>2249.7599999999998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6-465C-89E3-BB9B7E1A95A1}"/>
            </c:ext>
          </c:extLst>
        </c:ser>
        <c:ser>
          <c:idx val="2"/>
          <c:order val="2"/>
          <c:tx>
            <c:strRef>
              <c:f>Totals!$A$7</c:f>
              <c:strCache>
                <c:ptCount val="1"/>
                <c:pt idx="0">
                  <c:v>AWP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Totals!$B$4:$BY$4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Totals!$B$7:$BY$7</c:f>
              <c:numCache>
                <c:formatCode>General</c:formatCode>
                <c:ptCount val="76"/>
                <c:pt idx="0">
                  <c:v>195.47</c:v>
                </c:pt>
                <c:pt idx="1">
                  <c:v>190.54</c:v>
                </c:pt>
                <c:pt idx="2">
                  <c:v>199.98999999999998</c:v>
                </c:pt>
                <c:pt idx="3">
                  <c:v>193.30999999999997</c:v>
                </c:pt>
                <c:pt idx="4">
                  <c:v>193.18999999999997</c:v>
                </c:pt>
                <c:pt idx="5">
                  <c:v>185.43999999999997</c:v>
                </c:pt>
                <c:pt idx="6">
                  <c:v>198.10999999999999</c:v>
                </c:pt>
                <c:pt idx="7">
                  <c:v>199.2</c:v>
                </c:pt>
                <c:pt idx="8">
                  <c:v>194.04999999999998</c:v>
                </c:pt>
                <c:pt idx="9">
                  <c:v>205.29999999999998</c:v>
                </c:pt>
                <c:pt idx="10">
                  <c:v>205.65</c:v>
                </c:pt>
                <c:pt idx="11">
                  <c:v>195.62999999999997</c:v>
                </c:pt>
                <c:pt idx="12">
                  <c:v>199.72999999999996</c:v>
                </c:pt>
                <c:pt idx="13">
                  <c:v>190.32</c:v>
                </c:pt>
                <c:pt idx="14">
                  <c:v>196.61</c:v>
                </c:pt>
                <c:pt idx="15">
                  <c:v>200.15</c:v>
                </c:pt>
                <c:pt idx="16">
                  <c:v>209.24</c:v>
                </c:pt>
                <c:pt idx="17">
                  <c:v>202.45</c:v>
                </c:pt>
                <c:pt idx="18">
                  <c:v>203.49</c:v>
                </c:pt>
                <c:pt idx="19">
                  <c:v>203.33</c:v>
                </c:pt>
                <c:pt idx="20">
                  <c:v>200.63000000000002</c:v>
                </c:pt>
                <c:pt idx="21">
                  <c:v>202.01999999999998</c:v>
                </c:pt>
                <c:pt idx="22">
                  <c:v>210.12</c:v>
                </c:pt>
                <c:pt idx="23">
                  <c:v>201.97</c:v>
                </c:pt>
                <c:pt idx="24">
                  <c:v>194.66</c:v>
                </c:pt>
                <c:pt idx="25">
                  <c:v>199.41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A6-465C-89E3-BB9B7E1A95A1}"/>
            </c:ext>
          </c:extLst>
        </c:ser>
        <c:ser>
          <c:idx val="3"/>
          <c:order val="3"/>
          <c:tx>
            <c:strRef>
              <c:f>Totals!$A$8</c:f>
              <c:strCache>
                <c:ptCount val="1"/>
                <c:pt idx="0">
                  <c:v>M4A4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Totals!$B$4:$BY$4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Totals!$B$8:$BY$8</c:f>
              <c:numCache>
                <c:formatCode>General</c:formatCode>
                <c:ptCount val="76"/>
                <c:pt idx="0">
                  <c:v>178.95000000000002</c:v>
                </c:pt>
                <c:pt idx="1">
                  <c:v>175.29000000000002</c:v>
                </c:pt>
                <c:pt idx="2">
                  <c:v>172.94</c:v>
                </c:pt>
                <c:pt idx="3">
                  <c:v>175.82</c:v>
                </c:pt>
                <c:pt idx="4">
                  <c:v>175.51</c:v>
                </c:pt>
                <c:pt idx="5">
                  <c:v>177.33</c:v>
                </c:pt>
                <c:pt idx="6">
                  <c:v>173.10999999999999</c:v>
                </c:pt>
                <c:pt idx="7">
                  <c:v>171.3</c:v>
                </c:pt>
                <c:pt idx="8">
                  <c:v>167.67</c:v>
                </c:pt>
                <c:pt idx="9">
                  <c:v>171.02</c:v>
                </c:pt>
                <c:pt idx="10">
                  <c:v>169.12</c:v>
                </c:pt>
                <c:pt idx="11">
                  <c:v>169.39999999999998</c:v>
                </c:pt>
                <c:pt idx="12">
                  <c:v>170.18</c:v>
                </c:pt>
                <c:pt idx="13">
                  <c:v>172.92</c:v>
                </c:pt>
                <c:pt idx="14">
                  <c:v>173.81</c:v>
                </c:pt>
                <c:pt idx="15">
                  <c:v>175.42999999999998</c:v>
                </c:pt>
                <c:pt idx="16">
                  <c:v>176.54</c:v>
                </c:pt>
                <c:pt idx="17">
                  <c:v>171.85000000000002</c:v>
                </c:pt>
                <c:pt idx="18">
                  <c:v>179.60999999999999</c:v>
                </c:pt>
                <c:pt idx="19">
                  <c:v>184.22</c:v>
                </c:pt>
                <c:pt idx="20">
                  <c:v>178.42000000000002</c:v>
                </c:pt>
                <c:pt idx="21">
                  <c:v>179</c:v>
                </c:pt>
                <c:pt idx="22">
                  <c:v>173.3</c:v>
                </c:pt>
                <c:pt idx="23">
                  <c:v>175.9</c:v>
                </c:pt>
                <c:pt idx="24">
                  <c:v>173.57</c:v>
                </c:pt>
                <c:pt idx="25">
                  <c:v>173.67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A6-465C-89E3-BB9B7E1A95A1}"/>
            </c:ext>
          </c:extLst>
        </c:ser>
        <c:ser>
          <c:idx val="4"/>
          <c:order val="4"/>
          <c:tx>
            <c:strRef>
              <c:f>Totals!$A$9</c:f>
              <c:strCache>
                <c:ptCount val="1"/>
                <c:pt idx="0">
                  <c:v>M4A1-S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Totals!$B$4:$BY$4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Totals!$B$9:$BY$9</c:f>
              <c:numCache>
                <c:formatCode>General</c:formatCode>
                <c:ptCount val="76"/>
                <c:pt idx="0">
                  <c:v>76.64</c:v>
                </c:pt>
                <c:pt idx="1">
                  <c:v>74.11</c:v>
                </c:pt>
                <c:pt idx="2">
                  <c:v>72.600000000000009</c:v>
                </c:pt>
                <c:pt idx="3">
                  <c:v>70.94</c:v>
                </c:pt>
                <c:pt idx="4">
                  <c:v>74.349999999999994</c:v>
                </c:pt>
                <c:pt idx="5">
                  <c:v>72.739999999999995</c:v>
                </c:pt>
                <c:pt idx="6">
                  <c:v>70.75</c:v>
                </c:pt>
                <c:pt idx="7">
                  <c:v>72.7</c:v>
                </c:pt>
                <c:pt idx="8">
                  <c:v>71.73</c:v>
                </c:pt>
                <c:pt idx="9">
                  <c:v>70.23</c:v>
                </c:pt>
                <c:pt idx="10">
                  <c:v>69.36</c:v>
                </c:pt>
                <c:pt idx="11">
                  <c:v>71.36</c:v>
                </c:pt>
                <c:pt idx="12">
                  <c:v>71.34</c:v>
                </c:pt>
                <c:pt idx="13">
                  <c:v>79.61999999999999</c:v>
                </c:pt>
                <c:pt idx="14">
                  <c:v>74.830000000000013</c:v>
                </c:pt>
                <c:pt idx="15">
                  <c:v>73.97</c:v>
                </c:pt>
                <c:pt idx="16">
                  <c:v>73.09</c:v>
                </c:pt>
                <c:pt idx="17">
                  <c:v>71.33</c:v>
                </c:pt>
                <c:pt idx="18">
                  <c:v>73.13000000000001</c:v>
                </c:pt>
                <c:pt idx="19">
                  <c:v>70.48</c:v>
                </c:pt>
                <c:pt idx="20">
                  <c:v>70.73</c:v>
                </c:pt>
                <c:pt idx="21">
                  <c:v>69.709999999999994</c:v>
                </c:pt>
                <c:pt idx="22">
                  <c:v>70.080000000000013</c:v>
                </c:pt>
                <c:pt idx="23">
                  <c:v>70.78</c:v>
                </c:pt>
                <c:pt idx="24">
                  <c:v>72.92</c:v>
                </c:pt>
                <c:pt idx="25">
                  <c:v>72.039999999999992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A6-465C-89E3-BB9B7E1A95A1}"/>
            </c:ext>
          </c:extLst>
        </c:ser>
        <c:ser>
          <c:idx val="5"/>
          <c:order val="5"/>
          <c:tx>
            <c:strRef>
              <c:f>Totals!$A$10</c:f>
              <c:strCache>
                <c:ptCount val="1"/>
                <c:pt idx="0">
                  <c:v>AK-47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Totals!$B$4:$BY$4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Totals!$B$10:$BY$10</c:f>
              <c:numCache>
                <c:formatCode>General</c:formatCode>
                <c:ptCount val="76"/>
                <c:pt idx="0">
                  <c:v>385.2</c:v>
                </c:pt>
                <c:pt idx="1">
                  <c:v>398.33000000000004</c:v>
                </c:pt>
                <c:pt idx="2">
                  <c:v>408.55</c:v>
                </c:pt>
                <c:pt idx="3">
                  <c:v>396.45</c:v>
                </c:pt>
                <c:pt idx="4">
                  <c:v>401.81</c:v>
                </c:pt>
                <c:pt idx="5">
                  <c:v>389.48</c:v>
                </c:pt>
                <c:pt idx="6">
                  <c:v>389.59</c:v>
                </c:pt>
                <c:pt idx="7">
                  <c:v>395.04999999999995</c:v>
                </c:pt>
                <c:pt idx="8">
                  <c:v>382.46</c:v>
                </c:pt>
                <c:pt idx="9">
                  <c:v>403.94</c:v>
                </c:pt>
                <c:pt idx="10">
                  <c:v>404.38</c:v>
                </c:pt>
                <c:pt idx="11">
                  <c:v>401.66</c:v>
                </c:pt>
                <c:pt idx="12">
                  <c:v>383.82000000000005</c:v>
                </c:pt>
                <c:pt idx="13">
                  <c:v>392.5</c:v>
                </c:pt>
                <c:pt idx="14">
                  <c:v>396.03</c:v>
                </c:pt>
                <c:pt idx="15">
                  <c:v>405.53000000000003</c:v>
                </c:pt>
                <c:pt idx="16">
                  <c:v>403.7</c:v>
                </c:pt>
                <c:pt idx="17">
                  <c:v>409.21</c:v>
                </c:pt>
                <c:pt idx="18">
                  <c:v>411.23999999999995</c:v>
                </c:pt>
                <c:pt idx="19">
                  <c:v>447.6</c:v>
                </c:pt>
                <c:pt idx="20">
                  <c:v>437.02000000000004</c:v>
                </c:pt>
                <c:pt idx="21">
                  <c:v>437.36</c:v>
                </c:pt>
                <c:pt idx="22">
                  <c:v>438.29999999999995</c:v>
                </c:pt>
                <c:pt idx="23">
                  <c:v>473</c:v>
                </c:pt>
                <c:pt idx="24">
                  <c:v>424.75</c:v>
                </c:pt>
                <c:pt idx="25">
                  <c:v>424.18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A6-465C-89E3-BB9B7E1A95A1}"/>
            </c:ext>
          </c:extLst>
        </c:ser>
        <c:ser>
          <c:idx val="6"/>
          <c:order val="6"/>
          <c:tx>
            <c:strRef>
              <c:f>Totals!$A$11</c:f>
              <c:strCache>
                <c:ptCount val="1"/>
                <c:pt idx="0">
                  <c:v>SMG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Totals!$B$4:$BY$4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Totals!$B$11:$BY$11</c:f>
              <c:numCache>
                <c:formatCode>General</c:formatCode>
                <c:ptCount val="76"/>
                <c:pt idx="0">
                  <c:v>66.949999999999989</c:v>
                </c:pt>
                <c:pt idx="1">
                  <c:v>67.2</c:v>
                </c:pt>
                <c:pt idx="2">
                  <c:v>63.86</c:v>
                </c:pt>
                <c:pt idx="3">
                  <c:v>63.059999999999995</c:v>
                </c:pt>
                <c:pt idx="4">
                  <c:v>66.269999999999982</c:v>
                </c:pt>
                <c:pt idx="5">
                  <c:v>67.61999999999999</c:v>
                </c:pt>
                <c:pt idx="6">
                  <c:v>66.72</c:v>
                </c:pt>
                <c:pt idx="7">
                  <c:v>66.37</c:v>
                </c:pt>
                <c:pt idx="8">
                  <c:v>66.61999999999999</c:v>
                </c:pt>
                <c:pt idx="9">
                  <c:v>67.290000000000006</c:v>
                </c:pt>
                <c:pt idx="10">
                  <c:v>67.490000000000009</c:v>
                </c:pt>
                <c:pt idx="11">
                  <c:v>65.86</c:v>
                </c:pt>
                <c:pt idx="12">
                  <c:v>66.28</c:v>
                </c:pt>
                <c:pt idx="13">
                  <c:v>64.61</c:v>
                </c:pt>
                <c:pt idx="14">
                  <c:v>67.579999999999984</c:v>
                </c:pt>
                <c:pt idx="15">
                  <c:v>66.710000000000008</c:v>
                </c:pt>
                <c:pt idx="16">
                  <c:v>66.59</c:v>
                </c:pt>
                <c:pt idx="17">
                  <c:v>65.92</c:v>
                </c:pt>
                <c:pt idx="18">
                  <c:v>66.84</c:v>
                </c:pt>
                <c:pt idx="19">
                  <c:v>65.679999999999978</c:v>
                </c:pt>
                <c:pt idx="20">
                  <c:v>64.990000000000009</c:v>
                </c:pt>
                <c:pt idx="21">
                  <c:v>66.27</c:v>
                </c:pt>
                <c:pt idx="22">
                  <c:v>63.79</c:v>
                </c:pt>
                <c:pt idx="23">
                  <c:v>64.69</c:v>
                </c:pt>
                <c:pt idx="24">
                  <c:v>64.11</c:v>
                </c:pt>
                <c:pt idx="25">
                  <c:v>65.44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A6-465C-89E3-BB9B7E1A95A1}"/>
            </c:ext>
          </c:extLst>
        </c:ser>
        <c:ser>
          <c:idx val="7"/>
          <c:order val="7"/>
          <c:tx>
            <c:strRef>
              <c:f>Totals!$A$12</c:f>
              <c:strCache>
                <c:ptCount val="1"/>
                <c:pt idx="0">
                  <c:v>Heavy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Totals!$B$4:$BY$4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Totals!$B$12:$BY$12</c:f>
              <c:numCache>
                <c:formatCode>General</c:formatCode>
                <c:ptCount val="76"/>
                <c:pt idx="0">
                  <c:v>23.470000000000002</c:v>
                </c:pt>
                <c:pt idx="1">
                  <c:v>23.17</c:v>
                </c:pt>
                <c:pt idx="2">
                  <c:v>22.01</c:v>
                </c:pt>
                <c:pt idx="3">
                  <c:v>22.600000000000005</c:v>
                </c:pt>
                <c:pt idx="4">
                  <c:v>22.220000000000002</c:v>
                </c:pt>
                <c:pt idx="5">
                  <c:v>22.89</c:v>
                </c:pt>
                <c:pt idx="6">
                  <c:v>21.77</c:v>
                </c:pt>
                <c:pt idx="7">
                  <c:v>22.729999999999997</c:v>
                </c:pt>
                <c:pt idx="8">
                  <c:v>22.259999999999998</c:v>
                </c:pt>
                <c:pt idx="9">
                  <c:v>22.8</c:v>
                </c:pt>
                <c:pt idx="10">
                  <c:v>22.68</c:v>
                </c:pt>
                <c:pt idx="11">
                  <c:v>23.410000000000004</c:v>
                </c:pt>
                <c:pt idx="12">
                  <c:v>23.259999999999998</c:v>
                </c:pt>
                <c:pt idx="13">
                  <c:v>22.509999999999998</c:v>
                </c:pt>
                <c:pt idx="14">
                  <c:v>22.850000000000005</c:v>
                </c:pt>
                <c:pt idx="15">
                  <c:v>23.580000000000002</c:v>
                </c:pt>
                <c:pt idx="16">
                  <c:v>24.09</c:v>
                </c:pt>
                <c:pt idx="17">
                  <c:v>23.599999999999998</c:v>
                </c:pt>
                <c:pt idx="18">
                  <c:v>23.330000000000002</c:v>
                </c:pt>
                <c:pt idx="19">
                  <c:v>23.560000000000002</c:v>
                </c:pt>
                <c:pt idx="20">
                  <c:v>23.870000000000005</c:v>
                </c:pt>
                <c:pt idx="21">
                  <c:v>22.989999999999995</c:v>
                </c:pt>
                <c:pt idx="22">
                  <c:v>23.049999999999994</c:v>
                </c:pt>
                <c:pt idx="23">
                  <c:v>23.1</c:v>
                </c:pt>
                <c:pt idx="24">
                  <c:v>22.469999999999995</c:v>
                </c:pt>
                <c:pt idx="25">
                  <c:v>22.91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A6-465C-89E3-BB9B7E1A95A1}"/>
            </c:ext>
          </c:extLst>
        </c:ser>
        <c:ser>
          <c:idx val="8"/>
          <c:order val="8"/>
          <c:tx>
            <c:strRef>
              <c:f>Totals!$A$13</c:f>
              <c:strCache>
                <c:ptCount val="1"/>
                <c:pt idx="0">
                  <c:v>Pistols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Totals!$B$4:$BY$4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Totals!$B$13:$BY$13</c:f>
              <c:numCache>
                <c:formatCode>General</c:formatCode>
                <c:ptCount val="76"/>
                <c:pt idx="0">
                  <c:v>346.62000000000006</c:v>
                </c:pt>
                <c:pt idx="1">
                  <c:v>340.68000000000012</c:v>
                </c:pt>
                <c:pt idx="2">
                  <c:v>342.52</c:v>
                </c:pt>
                <c:pt idx="3">
                  <c:v>349.93</c:v>
                </c:pt>
                <c:pt idx="4">
                  <c:v>345.59000000000003</c:v>
                </c:pt>
                <c:pt idx="5">
                  <c:v>347.56999999999994</c:v>
                </c:pt>
                <c:pt idx="6">
                  <c:v>350.87000000000006</c:v>
                </c:pt>
                <c:pt idx="7">
                  <c:v>349.74000000000012</c:v>
                </c:pt>
                <c:pt idx="8">
                  <c:v>354.99999999999994</c:v>
                </c:pt>
                <c:pt idx="9">
                  <c:v>360.81000000000012</c:v>
                </c:pt>
                <c:pt idx="10">
                  <c:v>357.97</c:v>
                </c:pt>
                <c:pt idx="11">
                  <c:v>359.93999999999988</c:v>
                </c:pt>
                <c:pt idx="12">
                  <c:v>357.37</c:v>
                </c:pt>
                <c:pt idx="13">
                  <c:v>356.7000000000001</c:v>
                </c:pt>
                <c:pt idx="14">
                  <c:v>352.5</c:v>
                </c:pt>
                <c:pt idx="15">
                  <c:v>364.53999999999991</c:v>
                </c:pt>
                <c:pt idx="16">
                  <c:v>370.18000000000006</c:v>
                </c:pt>
                <c:pt idx="17">
                  <c:v>374.84000000000003</c:v>
                </c:pt>
                <c:pt idx="18">
                  <c:v>375.61999999999995</c:v>
                </c:pt>
                <c:pt idx="19">
                  <c:v>401.50000000000006</c:v>
                </c:pt>
                <c:pt idx="20">
                  <c:v>403.28000000000014</c:v>
                </c:pt>
                <c:pt idx="21">
                  <c:v>389.87</c:v>
                </c:pt>
                <c:pt idx="22">
                  <c:v>386.06000000000006</c:v>
                </c:pt>
                <c:pt idx="23">
                  <c:v>392.11000000000007</c:v>
                </c:pt>
                <c:pt idx="24">
                  <c:v>392.42999999999989</c:v>
                </c:pt>
                <c:pt idx="25">
                  <c:v>399.49999999999994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A6-465C-89E3-BB9B7E1A95A1}"/>
            </c:ext>
          </c:extLst>
        </c:ser>
        <c:ser>
          <c:idx val="9"/>
          <c:order val="9"/>
          <c:tx>
            <c:strRef>
              <c:f>Totals!$A$14</c:f>
              <c:strCache>
                <c:ptCount val="1"/>
                <c:pt idx="0">
                  <c:v>Other Rifles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Totals!$B$4:$BY$4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Totals!$B$14:$BY$14</c:f>
              <c:numCache>
                <c:formatCode>General</c:formatCode>
                <c:ptCount val="76"/>
                <c:pt idx="6">
                  <c:v>102.47999999999999</c:v>
                </c:pt>
                <c:pt idx="7">
                  <c:v>98.559999999999974</c:v>
                </c:pt>
                <c:pt idx="8">
                  <c:v>101.12999999999998</c:v>
                </c:pt>
                <c:pt idx="9">
                  <c:v>103.96999999999997</c:v>
                </c:pt>
                <c:pt idx="10">
                  <c:v>106.04999999999998</c:v>
                </c:pt>
                <c:pt idx="11">
                  <c:v>105.24</c:v>
                </c:pt>
                <c:pt idx="12">
                  <c:v>103.05000000000001</c:v>
                </c:pt>
                <c:pt idx="13">
                  <c:v>105.63999999999999</c:v>
                </c:pt>
                <c:pt idx="14">
                  <c:v>105.4</c:v>
                </c:pt>
                <c:pt idx="15">
                  <c:v>107.26000000000002</c:v>
                </c:pt>
                <c:pt idx="16">
                  <c:v>105.52</c:v>
                </c:pt>
                <c:pt idx="17">
                  <c:v>104.86999999999999</c:v>
                </c:pt>
                <c:pt idx="18">
                  <c:v>103.73</c:v>
                </c:pt>
                <c:pt idx="19">
                  <c:v>111.57999999999997</c:v>
                </c:pt>
                <c:pt idx="20">
                  <c:v>107.27</c:v>
                </c:pt>
                <c:pt idx="21">
                  <c:v>106.41000000000001</c:v>
                </c:pt>
                <c:pt idx="22">
                  <c:v>109.28</c:v>
                </c:pt>
                <c:pt idx="23">
                  <c:v>106.4</c:v>
                </c:pt>
                <c:pt idx="24">
                  <c:v>108.50999999999999</c:v>
                </c:pt>
                <c:pt idx="25">
                  <c:v>106.52999999999999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4-45C2-B323-A455C8DC1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393999"/>
        <c:axId val="2065124783"/>
      </c:lineChart>
      <c:dateAx>
        <c:axId val="19173939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65124783"/>
        <c:crosses val="autoZero"/>
        <c:auto val="1"/>
        <c:lblOffset val="100"/>
        <c:baseTimeUnit val="days"/>
      </c:dateAx>
      <c:valAx>
        <c:axId val="206512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1739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Category Sale-Revenue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Totals!$A$19</c:f>
              <c:strCache>
                <c:ptCount val="1"/>
                <c:pt idx="0">
                  <c:v>Investments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Totals!$B$18:$BY$18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Totals!$B$19:$BY$19</c:f>
              <c:numCache>
                <c:formatCode>General</c:formatCode>
                <c:ptCount val="76"/>
                <c:pt idx="0">
                  <c:v>525.4</c:v>
                </c:pt>
                <c:pt idx="1">
                  <c:v>518.91</c:v>
                </c:pt>
                <c:pt idx="2">
                  <c:v>537.06999999999994</c:v>
                </c:pt>
                <c:pt idx="3">
                  <c:v>582.99</c:v>
                </c:pt>
                <c:pt idx="4">
                  <c:v>589.27</c:v>
                </c:pt>
                <c:pt idx="5">
                  <c:v>691.93000000000006</c:v>
                </c:pt>
                <c:pt idx="6">
                  <c:v>672.6099999999999</c:v>
                </c:pt>
                <c:pt idx="7">
                  <c:v>719.01</c:v>
                </c:pt>
                <c:pt idx="8">
                  <c:v>723.31</c:v>
                </c:pt>
                <c:pt idx="9">
                  <c:v>797.8599999999999</c:v>
                </c:pt>
                <c:pt idx="10">
                  <c:v>852.05</c:v>
                </c:pt>
                <c:pt idx="11">
                  <c:v>841.56999999999994</c:v>
                </c:pt>
                <c:pt idx="12">
                  <c:v>806.5</c:v>
                </c:pt>
                <c:pt idx="13">
                  <c:v>765.02</c:v>
                </c:pt>
                <c:pt idx="14">
                  <c:v>758.63</c:v>
                </c:pt>
                <c:pt idx="15">
                  <c:v>787.32999999999993</c:v>
                </c:pt>
                <c:pt idx="16">
                  <c:v>847.58999999999992</c:v>
                </c:pt>
                <c:pt idx="17">
                  <c:v>889.18000000000006</c:v>
                </c:pt>
                <c:pt idx="18">
                  <c:v>1056.3400000000001</c:v>
                </c:pt>
                <c:pt idx="19">
                  <c:v>1219.7</c:v>
                </c:pt>
                <c:pt idx="20">
                  <c:v>1047.5900000000001</c:v>
                </c:pt>
                <c:pt idx="21">
                  <c:v>1075.1399999999999</c:v>
                </c:pt>
                <c:pt idx="22">
                  <c:v>1081.92</c:v>
                </c:pt>
                <c:pt idx="23">
                  <c:v>1074.4499999999998</c:v>
                </c:pt>
                <c:pt idx="24">
                  <c:v>1087.7</c:v>
                </c:pt>
                <c:pt idx="25">
                  <c:v>1100.54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79-4B9A-B20F-4EAFADC22563}"/>
            </c:ext>
          </c:extLst>
        </c:ser>
        <c:ser>
          <c:idx val="1"/>
          <c:order val="1"/>
          <c:tx>
            <c:strRef>
              <c:f>Totals!$A$20</c:f>
              <c:strCache>
                <c:ptCount val="1"/>
                <c:pt idx="0">
                  <c:v>Knives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Totals!$B$18:$BY$18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Totals!$B$20:$BY$20</c:f>
              <c:numCache>
                <c:formatCode>General</c:formatCode>
                <c:ptCount val="76"/>
                <c:pt idx="0">
                  <c:v>1341.61</c:v>
                </c:pt>
                <c:pt idx="1">
                  <c:v>1347.64</c:v>
                </c:pt>
                <c:pt idx="2">
                  <c:v>1360.04</c:v>
                </c:pt>
                <c:pt idx="3">
                  <c:v>1368.3400000000001</c:v>
                </c:pt>
                <c:pt idx="4">
                  <c:v>1382.44</c:v>
                </c:pt>
                <c:pt idx="5">
                  <c:v>1358.07</c:v>
                </c:pt>
                <c:pt idx="6">
                  <c:v>1369.3999999999999</c:v>
                </c:pt>
                <c:pt idx="7">
                  <c:v>1389.3999999999999</c:v>
                </c:pt>
                <c:pt idx="8">
                  <c:v>1373.9199999999998</c:v>
                </c:pt>
                <c:pt idx="9">
                  <c:v>1499.72</c:v>
                </c:pt>
                <c:pt idx="10">
                  <c:v>1480.83</c:v>
                </c:pt>
                <c:pt idx="11">
                  <c:v>1472.35</c:v>
                </c:pt>
                <c:pt idx="12">
                  <c:v>1449.75</c:v>
                </c:pt>
                <c:pt idx="13">
                  <c:v>1453.6</c:v>
                </c:pt>
                <c:pt idx="14">
                  <c:v>1435.21</c:v>
                </c:pt>
                <c:pt idx="15">
                  <c:v>1438.15</c:v>
                </c:pt>
                <c:pt idx="16">
                  <c:v>1455.23</c:v>
                </c:pt>
                <c:pt idx="17">
                  <c:v>1465.1399999999999</c:v>
                </c:pt>
                <c:pt idx="18">
                  <c:v>1428.49</c:v>
                </c:pt>
                <c:pt idx="19">
                  <c:v>1479.5200000000002</c:v>
                </c:pt>
                <c:pt idx="20">
                  <c:v>1565.1000000000001</c:v>
                </c:pt>
                <c:pt idx="21">
                  <c:v>1529.4099999999999</c:v>
                </c:pt>
                <c:pt idx="22">
                  <c:v>1535.23</c:v>
                </c:pt>
                <c:pt idx="23">
                  <c:v>1525.57</c:v>
                </c:pt>
                <c:pt idx="24">
                  <c:v>1512.21</c:v>
                </c:pt>
                <c:pt idx="25">
                  <c:v>1529.8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79-4B9A-B20F-4EAFADC22563}"/>
            </c:ext>
          </c:extLst>
        </c:ser>
        <c:ser>
          <c:idx val="2"/>
          <c:order val="2"/>
          <c:tx>
            <c:strRef>
              <c:f>Totals!$A$21</c:f>
              <c:strCache>
                <c:ptCount val="1"/>
                <c:pt idx="0">
                  <c:v>AWP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Totals!$B$18:$BY$18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Totals!$B$21:$BY$21</c:f>
              <c:numCache>
                <c:formatCode>General</c:formatCode>
                <c:ptCount val="76"/>
                <c:pt idx="0">
                  <c:v>132.84</c:v>
                </c:pt>
                <c:pt idx="1">
                  <c:v>129.48000000000002</c:v>
                </c:pt>
                <c:pt idx="2">
                  <c:v>135.91999999999999</c:v>
                </c:pt>
                <c:pt idx="3">
                  <c:v>131.34</c:v>
                </c:pt>
                <c:pt idx="4">
                  <c:v>131.30000000000001</c:v>
                </c:pt>
                <c:pt idx="5">
                  <c:v>126.00999999999998</c:v>
                </c:pt>
                <c:pt idx="6">
                  <c:v>134.62</c:v>
                </c:pt>
                <c:pt idx="7">
                  <c:v>135.38</c:v>
                </c:pt>
                <c:pt idx="8">
                  <c:v>131.88</c:v>
                </c:pt>
                <c:pt idx="9">
                  <c:v>139.54</c:v>
                </c:pt>
                <c:pt idx="10">
                  <c:v>139.76000000000002</c:v>
                </c:pt>
                <c:pt idx="11">
                  <c:v>132.94</c:v>
                </c:pt>
                <c:pt idx="12">
                  <c:v>135.73999999999998</c:v>
                </c:pt>
                <c:pt idx="13">
                  <c:v>129.32000000000002</c:v>
                </c:pt>
                <c:pt idx="14">
                  <c:v>133.63</c:v>
                </c:pt>
                <c:pt idx="15">
                  <c:v>136.01000000000002</c:v>
                </c:pt>
                <c:pt idx="16">
                  <c:v>142.19000000000003</c:v>
                </c:pt>
                <c:pt idx="17">
                  <c:v>137.6</c:v>
                </c:pt>
                <c:pt idx="18">
                  <c:v>138.29999999999998</c:v>
                </c:pt>
                <c:pt idx="19">
                  <c:v>138.18</c:v>
                </c:pt>
                <c:pt idx="20">
                  <c:v>136.35</c:v>
                </c:pt>
                <c:pt idx="21">
                  <c:v>137.31</c:v>
                </c:pt>
                <c:pt idx="22">
                  <c:v>142.82</c:v>
                </c:pt>
                <c:pt idx="23">
                  <c:v>137.25</c:v>
                </c:pt>
                <c:pt idx="24">
                  <c:v>132.30999999999997</c:v>
                </c:pt>
                <c:pt idx="25">
                  <c:v>135.51000000000002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79-4B9A-B20F-4EAFADC22563}"/>
            </c:ext>
          </c:extLst>
        </c:ser>
        <c:ser>
          <c:idx val="3"/>
          <c:order val="3"/>
          <c:tx>
            <c:strRef>
              <c:f>Totals!$A$22</c:f>
              <c:strCache>
                <c:ptCount val="1"/>
                <c:pt idx="0">
                  <c:v>M4A4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Totals!$B$18:$BY$18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Totals!$B$22:$BY$22</c:f>
              <c:numCache>
                <c:formatCode>General</c:formatCode>
                <c:ptCount val="76"/>
                <c:pt idx="0">
                  <c:v>121.59</c:v>
                </c:pt>
                <c:pt idx="1">
                  <c:v>119.11000000000001</c:v>
                </c:pt>
                <c:pt idx="2">
                  <c:v>117.53999999999999</c:v>
                </c:pt>
                <c:pt idx="3">
                  <c:v>119.46000000000001</c:v>
                </c:pt>
                <c:pt idx="4">
                  <c:v>119.24</c:v>
                </c:pt>
                <c:pt idx="5">
                  <c:v>120.49000000000001</c:v>
                </c:pt>
                <c:pt idx="6">
                  <c:v>117.63999999999999</c:v>
                </c:pt>
                <c:pt idx="7">
                  <c:v>116.38999999999999</c:v>
                </c:pt>
                <c:pt idx="8">
                  <c:v>113.93000000000002</c:v>
                </c:pt>
                <c:pt idx="9">
                  <c:v>116.18</c:v>
                </c:pt>
                <c:pt idx="10">
                  <c:v>114.9</c:v>
                </c:pt>
                <c:pt idx="11">
                  <c:v>115.07</c:v>
                </c:pt>
                <c:pt idx="12">
                  <c:v>115.64</c:v>
                </c:pt>
                <c:pt idx="13">
                  <c:v>117.48</c:v>
                </c:pt>
                <c:pt idx="14">
                  <c:v>118.10000000000001</c:v>
                </c:pt>
                <c:pt idx="15">
                  <c:v>119.21000000000001</c:v>
                </c:pt>
                <c:pt idx="16">
                  <c:v>119.92000000000002</c:v>
                </c:pt>
                <c:pt idx="17">
                  <c:v>116.75999999999999</c:v>
                </c:pt>
                <c:pt idx="18">
                  <c:v>122.03999999999999</c:v>
                </c:pt>
                <c:pt idx="19">
                  <c:v>125.17</c:v>
                </c:pt>
                <c:pt idx="20">
                  <c:v>121.23</c:v>
                </c:pt>
                <c:pt idx="21">
                  <c:v>121.62</c:v>
                </c:pt>
                <c:pt idx="22">
                  <c:v>117.74000000000001</c:v>
                </c:pt>
                <c:pt idx="23">
                  <c:v>119.54</c:v>
                </c:pt>
                <c:pt idx="24">
                  <c:v>117.90999999999998</c:v>
                </c:pt>
                <c:pt idx="25">
                  <c:v>117.99999999999999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79-4B9A-B20F-4EAFADC22563}"/>
            </c:ext>
          </c:extLst>
        </c:ser>
        <c:ser>
          <c:idx val="4"/>
          <c:order val="4"/>
          <c:tx>
            <c:strRef>
              <c:f>Totals!$A$23</c:f>
              <c:strCache>
                <c:ptCount val="1"/>
                <c:pt idx="0">
                  <c:v>M4A1-S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Totals!$B$18:$BY$18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Totals!$B$23:$BY$23</c:f>
              <c:numCache>
                <c:formatCode>General</c:formatCode>
                <c:ptCount val="76"/>
                <c:pt idx="0">
                  <c:v>52.08</c:v>
                </c:pt>
                <c:pt idx="1">
                  <c:v>50.35</c:v>
                </c:pt>
                <c:pt idx="2">
                  <c:v>49.309999999999995</c:v>
                </c:pt>
                <c:pt idx="3">
                  <c:v>48.19</c:v>
                </c:pt>
                <c:pt idx="4">
                  <c:v>50.499999999999993</c:v>
                </c:pt>
                <c:pt idx="5">
                  <c:v>49.410000000000004</c:v>
                </c:pt>
                <c:pt idx="6">
                  <c:v>48.07</c:v>
                </c:pt>
                <c:pt idx="7">
                  <c:v>49.4</c:v>
                </c:pt>
                <c:pt idx="8">
                  <c:v>48.72</c:v>
                </c:pt>
                <c:pt idx="9">
                  <c:v>47.69</c:v>
                </c:pt>
                <c:pt idx="10">
                  <c:v>47.120000000000005</c:v>
                </c:pt>
                <c:pt idx="11">
                  <c:v>48.47</c:v>
                </c:pt>
                <c:pt idx="12">
                  <c:v>48.46</c:v>
                </c:pt>
                <c:pt idx="13">
                  <c:v>54.1</c:v>
                </c:pt>
                <c:pt idx="14">
                  <c:v>50.849999999999994</c:v>
                </c:pt>
                <c:pt idx="15">
                  <c:v>50.24</c:v>
                </c:pt>
                <c:pt idx="16">
                  <c:v>49.65</c:v>
                </c:pt>
                <c:pt idx="17">
                  <c:v>48.45</c:v>
                </c:pt>
                <c:pt idx="18">
                  <c:v>49.669999999999995</c:v>
                </c:pt>
                <c:pt idx="19">
                  <c:v>47.89</c:v>
                </c:pt>
                <c:pt idx="20">
                  <c:v>48.050000000000004</c:v>
                </c:pt>
                <c:pt idx="21">
                  <c:v>47.37</c:v>
                </c:pt>
                <c:pt idx="22">
                  <c:v>47.6</c:v>
                </c:pt>
                <c:pt idx="23">
                  <c:v>48.08</c:v>
                </c:pt>
                <c:pt idx="24">
                  <c:v>49.54</c:v>
                </c:pt>
                <c:pt idx="25">
                  <c:v>48.94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79-4B9A-B20F-4EAFADC22563}"/>
            </c:ext>
          </c:extLst>
        </c:ser>
        <c:ser>
          <c:idx val="5"/>
          <c:order val="5"/>
          <c:tx>
            <c:strRef>
              <c:f>Totals!$A$24</c:f>
              <c:strCache>
                <c:ptCount val="1"/>
                <c:pt idx="0">
                  <c:v>AK-47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Totals!$B$18:$BY$18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Totals!$B$24:$BY$24</c:f>
              <c:numCache>
                <c:formatCode>General</c:formatCode>
                <c:ptCount val="76"/>
                <c:pt idx="0">
                  <c:v>261.87</c:v>
                </c:pt>
                <c:pt idx="1">
                  <c:v>270.81</c:v>
                </c:pt>
                <c:pt idx="2">
                  <c:v>277.74</c:v>
                </c:pt>
                <c:pt idx="3">
                  <c:v>269.50000000000006</c:v>
                </c:pt>
                <c:pt idx="4">
                  <c:v>273.16000000000003</c:v>
                </c:pt>
                <c:pt idx="5">
                  <c:v>264.77</c:v>
                </c:pt>
                <c:pt idx="6">
                  <c:v>264.83</c:v>
                </c:pt>
                <c:pt idx="7">
                  <c:v>268.57</c:v>
                </c:pt>
                <c:pt idx="8">
                  <c:v>259.99999999999994</c:v>
                </c:pt>
                <c:pt idx="9">
                  <c:v>274.61</c:v>
                </c:pt>
                <c:pt idx="10">
                  <c:v>274.90000000000003</c:v>
                </c:pt>
                <c:pt idx="11">
                  <c:v>273.05</c:v>
                </c:pt>
                <c:pt idx="12">
                  <c:v>260.90999999999997</c:v>
                </c:pt>
                <c:pt idx="13">
                  <c:v>266.83</c:v>
                </c:pt>
                <c:pt idx="14">
                  <c:v>269.22000000000003</c:v>
                </c:pt>
                <c:pt idx="15">
                  <c:v>275.69</c:v>
                </c:pt>
                <c:pt idx="16">
                  <c:v>274.44</c:v>
                </c:pt>
                <c:pt idx="17">
                  <c:v>278.2</c:v>
                </c:pt>
                <c:pt idx="18">
                  <c:v>279.58999999999997</c:v>
                </c:pt>
                <c:pt idx="19">
                  <c:v>304.29000000000002</c:v>
                </c:pt>
                <c:pt idx="20">
                  <c:v>297.08999999999997</c:v>
                </c:pt>
                <c:pt idx="21">
                  <c:v>297.32</c:v>
                </c:pt>
                <c:pt idx="22">
                  <c:v>297.96999999999997</c:v>
                </c:pt>
                <c:pt idx="23">
                  <c:v>321.53999999999996</c:v>
                </c:pt>
                <c:pt idx="24">
                  <c:v>288.77</c:v>
                </c:pt>
                <c:pt idx="25">
                  <c:v>288.37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79-4B9A-B20F-4EAFADC22563}"/>
            </c:ext>
          </c:extLst>
        </c:ser>
        <c:ser>
          <c:idx val="6"/>
          <c:order val="6"/>
          <c:tx>
            <c:strRef>
              <c:f>Totals!$A$25</c:f>
              <c:strCache>
                <c:ptCount val="1"/>
                <c:pt idx="0">
                  <c:v>SMG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Totals!$B$18:$BY$18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Totals!$B$25:$BY$25</c:f>
              <c:numCache>
                <c:formatCode>General</c:formatCode>
                <c:ptCount val="76"/>
                <c:pt idx="0">
                  <c:v>45.37</c:v>
                </c:pt>
                <c:pt idx="1">
                  <c:v>45.5</c:v>
                </c:pt>
                <c:pt idx="2">
                  <c:v>43.26</c:v>
                </c:pt>
                <c:pt idx="3">
                  <c:v>42.749999999999993</c:v>
                </c:pt>
                <c:pt idx="4">
                  <c:v>44.910000000000004</c:v>
                </c:pt>
                <c:pt idx="5">
                  <c:v>45.809999999999995</c:v>
                </c:pt>
                <c:pt idx="6">
                  <c:v>45.22</c:v>
                </c:pt>
                <c:pt idx="7">
                  <c:v>45.000000000000007</c:v>
                </c:pt>
                <c:pt idx="8">
                  <c:v>45.12</c:v>
                </c:pt>
                <c:pt idx="9">
                  <c:v>45.61999999999999</c:v>
                </c:pt>
                <c:pt idx="10">
                  <c:v>45.749999999999993</c:v>
                </c:pt>
                <c:pt idx="11">
                  <c:v>44.61999999999999</c:v>
                </c:pt>
                <c:pt idx="12">
                  <c:v>44.91</c:v>
                </c:pt>
                <c:pt idx="13">
                  <c:v>43.769999999999996</c:v>
                </c:pt>
                <c:pt idx="14">
                  <c:v>45.79999999999999</c:v>
                </c:pt>
                <c:pt idx="15">
                  <c:v>45.2</c:v>
                </c:pt>
                <c:pt idx="16">
                  <c:v>45.099999999999994</c:v>
                </c:pt>
                <c:pt idx="17">
                  <c:v>44.64</c:v>
                </c:pt>
                <c:pt idx="18">
                  <c:v>45.249999999999993</c:v>
                </c:pt>
                <c:pt idx="19">
                  <c:v>44.449999999999996</c:v>
                </c:pt>
                <c:pt idx="20">
                  <c:v>44.010000000000005</c:v>
                </c:pt>
                <c:pt idx="21">
                  <c:v>44.92</c:v>
                </c:pt>
                <c:pt idx="22">
                  <c:v>43.19</c:v>
                </c:pt>
                <c:pt idx="23">
                  <c:v>43.809999999999995</c:v>
                </c:pt>
                <c:pt idx="24">
                  <c:v>43.43</c:v>
                </c:pt>
                <c:pt idx="25">
                  <c:v>44.36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79-4B9A-B20F-4EAFADC22563}"/>
            </c:ext>
          </c:extLst>
        </c:ser>
        <c:ser>
          <c:idx val="7"/>
          <c:order val="7"/>
          <c:tx>
            <c:strRef>
              <c:f>Totals!$A$26</c:f>
              <c:strCache>
                <c:ptCount val="1"/>
                <c:pt idx="0">
                  <c:v>Heavy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Totals!$B$18:$BY$18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Totals!$B$26:$BY$26</c:f>
              <c:numCache>
                <c:formatCode>General</c:formatCode>
                <c:ptCount val="76"/>
                <c:pt idx="0">
                  <c:v>15.849999999999998</c:v>
                </c:pt>
                <c:pt idx="1">
                  <c:v>15.66</c:v>
                </c:pt>
                <c:pt idx="2">
                  <c:v>14.860000000000001</c:v>
                </c:pt>
                <c:pt idx="3">
                  <c:v>15.25</c:v>
                </c:pt>
                <c:pt idx="4">
                  <c:v>15.02</c:v>
                </c:pt>
                <c:pt idx="5">
                  <c:v>15.449999999999998</c:v>
                </c:pt>
                <c:pt idx="6">
                  <c:v>14.7</c:v>
                </c:pt>
                <c:pt idx="7">
                  <c:v>15.329999999999998</c:v>
                </c:pt>
                <c:pt idx="8">
                  <c:v>15.050000000000002</c:v>
                </c:pt>
                <c:pt idx="9">
                  <c:v>15.38</c:v>
                </c:pt>
                <c:pt idx="10">
                  <c:v>15.29</c:v>
                </c:pt>
                <c:pt idx="11">
                  <c:v>15.79</c:v>
                </c:pt>
                <c:pt idx="12">
                  <c:v>15.69</c:v>
                </c:pt>
                <c:pt idx="13">
                  <c:v>15.179999999999998</c:v>
                </c:pt>
                <c:pt idx="14">
                  <c:v>15.419999999999996</c:v>
                </c:pt>
                <c:pt idx="15">
                  <c:v>15.91</c:v>
                </c:pt>
                <c:pt idx="16">
                  <c:v>16.29</c:v>
                </c:pt>
                <c:pt idx="17">
                  <c:v>15.949999999999998</c:v>
                </c:pt>
                <c:pt idx="18">
                  <c:v>15.799999999999995</c:v>
                </c:pt>
                <c:pt idx="19">
                  <c:v>15.919999999999996</c:v>
                </c:pt>
                <c:pt idx="20">
                  <c:v>16.11</c:v>
                </c:pt>
                <c:pt idx="21">
                  <c:v>15.519999999999998</c:v>
                </c:pt>
                <c:pt idx="22">
                  <c:v>15.569999999999999</c:v>
                </c:pt>
                <c:pt idx="23">
                  <c:v>15.589999999999998</c:v>
                </c:pt>
                <c:pt idx="24">
                  <c:v>15.169999999999998</c:v>
                </c:pt>
                <c:pt idx="25">
                  <c:v>15.479999999999999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79-4B9A-B20F-4EAFADC22563}"/>
            </c:ext>
          </c:extLst>
        </c:ser>
        <c:ser>
          <c:idx val="8"/>
          <c:order val="8"/>
          <c:tx>
            <c:strRef>
              <c:f>Totals!$A$27</c:f>
              <c:strCache>
                <c:ptCount val="1"/>
                <c:pt idx="0">
                  <c:v>Pistols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Totals!$B$18:$BY$18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Totals!$B$27:$BY$27</c:f>
              <c:numCache>
                <c:formatCode>General</c:formatCode>
                <c:ptCount val="76"/>
                <c:pt idx="0">
                  <c:v>235.34</c:v>
                </c:pt>
                <c:pt idx="1">
                  <c:v>231.30999999999997</c:v>
                </c:pt>
                <c:pt idx="2">
                  <c:v>232.52000000000004</c:v>
                </c:pt>
                <c:pt idx="3">
                  <c:v>237.59</c:v>
                </c:pt>
                <c:pt idx="4">
                  <c:v>234.61</c:v>
                </c:pt>
                <c:pt idx="5">
                  <c:v>235.98999999999995</c:v>
                </c:pt>
                <c:pt idx="6">
                  <c:v>238.26999999999998</c:v>
                </c:pt>
                <c:pt idx="7">
                  <c:v>237.48000000000005</c:v>
                </c:pt>
                <c:pt idx="8">
                  <c:v>241.04000000000002</c:v>
                </c:pt>
                <c:pt idx="9">
                  <c:v>244.97000000000003</c:v>
                </c:pt>
                <c:pt idx="10">
                  <c:v>243.01999999999998</c:v>
                </c:pt>
                <c:pt idx="11">
                  <c:v>244.43000000000004</c:v>
                </c:pt>
                <c:pt idx="12">
                  <c:v>242.61999999999998</c:v>
                </c:pt>
                <c:pt idx="13">
                  <c:v>242.17000000000002</c:v>
                </c:pt>
                <c:pt idx="14">
                  <c:v>239.37000000000003</c:v>
                </c:pt>
                <c:pt idx="15">
                  <c:v>247.53000000000003</c:v>
                </c:pt>
                <c:pt idx="16">
                  <c:v>251.39000000000001</c:v>
                </c:pt>
                <c:pt idx="17">
                  <c:v>254.46000000000006</c:v>
                </c:pt>
                <c:pt idx="18">
                  <c:v>255.03999999999996</c:v>
                </c:pt>
                <c:pt idx="19">
                  <c:v>272.67</c:v>
                </c:pt>
                <c:pt idx="20">
                  <c:v>273.84999999999997</c:v>
                </c:pt>
                <c:pt idx="21">
                  <c:v>264.72999999999996</c:v>
                </c:pt>
                <c:pt idx="22">
                  <c:v>262.17</c:v>
                </c:pt>
                <c:pt idx="23">
                  <c:v>266.25</c:v>
                </c:pt>
                <c:pt idx="24">
                  <c:v>266.46999999999997</c:v>
                </c:pt>
                <c:pt idx="25">
                  <c:v>271.34000000000009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79-4B9A-B20F-4EAFADC22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9259471"/>
        <c:axId val="1700818431"/>
      </c:lineChart>
      <c:dateAx>
        <c:axId val="20392594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00818431"/>
        <c:crosses val="autoZero"/>
        <c:auto val="1"/>
        <c:lblOffset val="100"/>
        <c:baseTimeUnit val="days"/>
      </c:dateAx>
      <c:valAx>
        <c:axId val="170081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3925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Invested</a:t>
            </a:r>
            <a:r>
              <a:rPr lang="de-CH" baseline="0"/>
              <a:t> Skins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Investments!$B$31</c:f>
              <c:strCache>
                <c:ptCount val="1"/>
                <c:pt idx="0">
                  <c:v>M4A4 Dark Blossom FN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Investments!$C$30:$BZ$30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Investments!$C$31:$BZ$31</c:f>
              <c:numCache>
                <c:formatCode>General</c:formatCode>
                <c:ptCount val="76"/>
                <c:pt idx="0">
                  <c:v>3.88</c:v>
                </c:pt>
                <c:pt idx="1">
                  <c:v>3.68</c:v>
                </c:pt>
                <c:pt idx="2">
                  <c:v>3.95</c:v>
                </c:pt>
                <c:pt idx="3">
                  <c:v>4.45</c:v>
                </c:pt>
                <c:pt idx="4">
                  <c:v>4.41</c:v>
                </c:pt>
                <c:pt idx="5">
                  <c:v>5.99</c:v>
                </c:pt>
                <c:pt idx="6">
                  <c:v>5.89</c:v>
                </c:pt>
                <c:pt idx="7">
                  <c:v>6.51</c:v>
                </c:pt>
                <c:pt idx="8">
                  <c:v>6.53</c:v>
                </c:pt>
                <c:pt idx="9">
                  <c:v>7.68</c:v>
                </c:pt>
                <c:pt idx="10">
                  <c:v>8.69</c:v>
                </c:pt>
                <c:pt idx="11">
                  <c:v>8.59</c:v>
                </c:pt>
                <c:pt idx="12">
                  <c:v>7.72</c:v>
                </c:pt>
                <c:pt idx="13">
                  <c:v>7.24</c:v>
                </c:pt>
                <c:pt idx="14">
                  <c:v>6.86</c:v>
                </c:pt>
                <c:pt idx="15">
                  <c:v>7.73</c:v>
                </c:pt>
                <c:pt idx="16">
                  <c:v>8.58</c:v>
                </c:pt>
                <c:pt idx="17">
                  <c:v>9.0500000000000007</c:v>
                </c:pt>
                <c:pt idx="18">
                  <c:v>9.33</c:v>
                </c:pt>
                <c:pt idx="19">
                  <c:v>10.95</c:v>
                </c:pt>
                <c:pt idx="20">
                  <c:v>9.56</c:v>
                </c:pt>
                <c:pt idx="21">
                  <c:v>9.48</c:v>
                </c:pt>
                <c:pt idx="22">
                  <c:v>9.57</c:v>
                </c:pt>
                <c:pt idx="23">
                  <c:v>9.52</c:v>
                </c:pt>
                <c:pt idx="24">
                  <c:v>9.51</c:v>
                </c:pt>
                <c:pt idx="25">
                  <c:v>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93-4B33-9211-62206763B5D8}"/>
            </c:ext>
          </c:extLst>
        </c:ser>
        <c:ser>
          <c:idx val="1"/>
          <c:order val="1"/>
          <c:tx>
            <c:strRef>
              <c:f>Investments!$B$32</c:f>
              <c:strCache>
                <c:ptCount val="1"/>
                <c:pt idx="0">
                  <c:v>M4A4 Dark Blossom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Investments!$C$30:$BZ$30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Investments!$C$32:$BZ$32</c:f>
              <c:numCache>
                <c:formatCode>General</c:formatCode>
                <c:ptCount val="76"/>
                <c:pt idx="0">
                  <c:v>3.48</c:v>
                </c:pt>
                <c:pt idx="1">
                  <c:v>3.52</c:v>
                </c:pt>
                <c:pt idx="2">
                  <c:v>3.93</c:v>
                </c:pt>
                <c:pt idx="3">
                  <c:v>4.28</c:v>
                </c:pt>
                <c:pt idx="4">
                  <c:v>4.5</c:v>
                </c:pt>
                <c:pt idx="5">
                  <c:v>5.8</c:v>
                </c:pt>
                <c:pt idx="6">
                  <c:v>5.7</c:v>
                </c:pt>
                <c:pt idx="7">
                  <c:v>6.3</c:v>
                </c:pt>
                <c:pt idx="8">
                  <c:v>6.26</c:v>
                </c:pt>
                <c:pt idx="9">
                  <c:v>7.32</c:v>
                </c:pt>
                <c:pt idx="10">
                  <c:v>7.99</c:v>
                </c:pt>
                <c:pt idx="11">
                  <c:v>8.44</c:v>
                </c:pt>
                <c:pt idx="12">
                  <c:v>8.14</c:v>
                </c:pt>
                <c:pt idx="13">
                  <c:v>7.19</c:v>
                </c:pt>
                <c:pt idx="14">
                  <c:v>6.37</c:v>
                </c:pt>
                <c:pt idx="15">
                  <c:v>6.86</c:v>
                </c:pt>
                <c:pt idx="16">
                  <c:v>8.0500000000000007</c:v>
                </c:pt>
                <c:pt idx="17">
                  <c:v>8.85</c:v>
                </c:pt>
                <c:pt idx="18">
                  <c:v>9.02</c:v>
                </c:pt>
                <c:pt idx="19">
                  <c:v>9.75</c:v>
                </c:pt>
                <c:pt idx="20">
                  <c:v>9.83</c:v>
                </c:pt>
                <c:pt idx="21">
                  <c:v>8.81</c:v>
                </c:pt>
                <c:pt idx="22">
                  <c:v>9.0299999999999994</c:v>
                </c:pt>
                <c:pt idx="23">
                  <c:v>9.2799999999999994</c:v>
                </c:pt>
                <c:pt idx="24">
                  <c:v>9.1300000000000008</c:v>
                </c:pt>
                <c:pt idx="25">
                  <c:v>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93-4B33-9211-62206763B5D8}"/>
            </c:ext>
          </c:extLst>
        </c:ser>
        <c:ser>
          <c:idx val="2"/>
          <c:order val="2"/>
          <c:tx>
            <c:strRef>
              <c:f>Investments!$B$33</c:f>
              <c:strCache>
                <c:ptCount val="1"/>
                <c:pt idx="0">
                  <c:v>XM1014 Banana Leaf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Investments!$C$30:$BZ$30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Investments!$C$33:$BZ$33</c:f>
              <c:numCache>
                <c:formatCode>General</c:formatCode>
                <c:ptCount val="76"/>
                <c:pt idx="0">
                  <c:v>3.55</c:v>
                </c:pt>
                <c:pt idx="1">
                  <c:v>3.44</c:v>
                </c:pt>
                <c:pt idx="2">
                  <c:v>3.96</c:v>
                </c:pt>
                <c:pt idx="3">
                  <c:v>4.43</c:v>
                </c:pt>
                <c:pt idx="4">
                  <c:v>4.51</c:v>
                </c:pt>
                <c:pt idx="5">
                  <c:v>6.71</c:v>
                </c:pt>
                <c:pt idx="6">
                  <c:v>7.22</c:v>
                </c:pt>
                <c:pt idx="7">
                  <c:v>6.07</c:v>
                </c:pt>
                <c:pt idx="8">
                  <c:v>6.58</c:v>
                </c:pt>
                <c:pt idx="9">
                  <c:v>7.49</c:v>
                </c:pt>
                <c:pt idx="10">
                  <c:v>8.1300000000000008</c:v>
                </c:pt>
                <c:pt idx="11">
                  <c:v>8.51</c:v>
                </c:pt>
                <c:pt idx="12">
                  <c:v>7.87</c:v>
                </c:pt>
                <c:pt idx="13">
                  <c:v>7.56</c:v>
                </c:pt>
                <c:pt idx="14">
                  <c:v>6.94</c:v>
                </c:pt>
                <c:pt idx="15">
                  <c:v>7.04</c:v>
                </c:pt>
                <c:pt idx="16">
                  <c:v>7.9</c:v>
                </c:pt>
                <c:pt idx="17">
                  <c:v>9.69</c:v>
                </c:pt>
                <c:pt idx="18">
                  <c:v>9.7200000000000006</c:v>
                </c:pt>
                <c:pt idx="19">
                  <c:v>11.1</c:v>
                </c:pt>
                <c:pt idx="20">
                  <c:v>9.5399999999999991</c:v>
                </c:pt>
                <c:pt idx="21">
                  <c:v>9.2799999999999994</c:v>
                </c:pt>
                <c:pt idx="22">
                  <c:v>9.11</c:v>
                </c:pt>
                <c:pt idx="23">
                  <c:v>9.44</c:v>
                </c:pt>
                <c:pt idx="24">
                  <c:v>9.5500000000000007</c:v>
                </c:pt>
                <c:pt idx="25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93-4B33-9211-62206763B5D8}"/>
            </c:ext>
          </c:extLst>
        </c:ser>
        <c:ser>
          <c:idx val="3"/>
          <c:order val="3"/>
          <c:tx>
            <c:strRef>
              <c:f>Investments!$B$34</c:f>
              <c:strCache>
                <c:ptCount val="1"/>
                <c:pt idx="0">
                  <c:v>XM1014 Banana Leaf FN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Investments!$C$30:$BZ$30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Investments!$C$34:$BZ$34</c:f>
              <c:numCache>
                <c:formatCode>General</c:formatCode>
                <c:ptCount val="76"/>
                <c:pt idx="0">
                  <c:v>4.1399999999999997</c:v>
                </c:pt>
                <c:pt idx="1">
                  <c:v>3.9</c:v>
                </c:pt>
                <c:pt idx="2">
                  <c:v>3.9</c:v>
                </c:pt>
                <c:pt idx="3">
                  <c:v>4.72</c:v>
                </c:pt>
                <c:pt idx="4">
                  <c:v>5.0999999999999996</c:v>
                </c:pt>
                <c:pt idx="5">
                  <c:v>5.9</c:v>
                </c:pt>
                <c:pt idx="6">
                  <c:v>6.56</c:v>
                </c:pt>
                <c:pt idx="7">
                  <c:v>7.13</c:v>
                </c:pt>
                <c:pt idx="8">
                  <c:v>7.19</c:v>
                </c:pt>
                <c:pt idx="9">
                  <c:v>7.96</c:v>
                </c:pt>
                <c:pt idx="10">
                  <c:v>8.5399999999999991</c:v>
                </c:pt>
                <c:pt idx="11">
                  <c:v>8.32</c:v>
                </c:pt>
                <c:pt idx="12">
                  <c:v>8.1999999999999993</c:v>
                </c:pt>
                <c:pt idx="13">
                  <c:v>7.6</c:v>
                </c:pt>
                <c:pt idx="14">
                  <c:v>7.55</c:v>
                </c:pt>
                <c:pt idx="15">
                  <c:v>7.85</c:v>
                </c:pt>
                <c:pt idx="16">
                  <c:v>8.7799999999999994</c:v>
                </c:pt>
                <c:pt idx="17">
                  <c:v>9.06</c:v>
                </c:pt>
                <c:pt idx="18">
                  <c:v>10.08</c:v>
                </c:pt>
                <c:pt idx="19">
                  <c:v>10.84</c:v>
                </c:pt>
                <c:pt idx="20">
                  <c:v>10.4</c:v>
                </c:pt>
                <c:pt idx="21">
                  <c:v>9.6199999999999992</c:v>
                </c:pt>
                <c:pt idx="22">
                  <c:v>10.18</c:v>
                </c:pt>
                <c:pt idx="23">
                  <c:v>10.039999999999999</c:v>
                </c:pt>
                <c:pt idx="24">
                  <c:v>10.039999999999999</c:v>
                </c:pt>
                <c:pt idx="25">
                  <c:v>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93-4B33-9211-62206763B5D8}"/>
            </c:ext>
          </c:extLst>
        </c:ser>
        <c:ser>
          <c:idx val="4"/>
          <c:order val="4"/>
          <c:tx>
            <c:strRef>
              <c:f>Investments!$B$35</c:f>
              <c:strCache>
                <c:ptCount val="1"/>
                <c:pt idx="0">
                  <c:v>Tec-9 Rust Leaf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Investments!$C$30:$BZ$30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Investments!$C$35:$BZ$35</c:f>
              <c:numCache>
                <c:formatCode>General</c:formatCode>
                <c:ptCount val="76"/>
                <c:pt idx="0">
                  <c:v>3.57</c:v>
                </c:pt>
                <c:pt idx="1">
                  <c:v>3.56</c:v>
                </c:pt>
                <c:pt idx="2">
                  <c:v>3.84</c:v>
                </c:pt>
                <c:pt idx="3">
                  <c:v>4.29</c:v>
                </c:pt>
                <c:pt idx="4">
                  <c:v>4.4000000000000004</c:v>
                </c:pt>
                <c:pt idx="5">
                  <c:v>5.67</c:v>
                </c:pt>
                <c:pt idx="6">
                  <c:v>5.87</c:v>
                </c:pt>
                <c:pt idx="7">
                  <c:v>6.3</c:v>
                </c:pt>
                <c:pt idx="8">
                  <c:v>6.23</c:v>
                </c:pt>
                <c:pt idx="9">
                  <c:v>7.42</c:v>
                </c:pt>
                <c:pt idx="10">
                  <c:v>7.86</c:v>
                </c:pt>
                <c:pt idx="11">
                  <c:v>8.2100000000000009</c:v>
                </c:pt>
                <c:pt idx="12">
                  <c:v>8.0500000000000007</c:v>
                </c:pt>
                <c:pt idx="13">
                  <c:v>7.96</c:v>
                </c:pt>
                <c:pt idx="14">
                  <c:v>7.24</c:v>
                </c:pt>
                <c:pt idx="15">
                  <c:v>6.93</c:v>
                </c:pt>
                <c:pt idx="16">
                  <c:v>7.97</c:v>
                </c:pt>
                <c:pt idx="17">
                  <c:v>8.89</c:v>
                </c:pt>
                <c:pt idx="18">
                  <c:v>9.69</c:v>
                </c:pt>
                <c:pt idx="19">
                  <c:v>11.46</c:v>
                </c:pt>
                <c:pt idx="20">
                  <c:v>9.69</c:v>
                </c:pt>
                <c:pt idx="21">
                  <c:v>9.33</c:v>
                </c:pt>
                <c:pt idx="22">
                  <c:v>9.2799999999999994</c:v>
                </c:pt>
                <c:pt idx="23">
                  <c:v>9.34</c:v>
                </c:pt>
                <c:pt idx="24">
                  <c:v>9.26</c:v>
                </c:pt>
                <c:pt idx="25">
                  <c:v>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93-4B33-9211-62206763B5D8}"/>
            </c:ext>
          </c:extLst>
        </c:ser>
        <c:ser>
          <c:idx val="5"/>
          <c:order val="5"/>
          <c:tx>
            <c:strRef>
              <c:f>Investments!$B$36</c:f>
              <c:strCache>
                <c:ptCount val="1"/>
                <c:pt idx="0">
                  <c:v>Tec-9 Rust Leaf FN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Investments!$C$30:$BZ$30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Investments!$C$36:$BZ$36</c:f>
              <c:numCache>
                <c:formatCode>General</c:formatCode>
                <c:ptCount val="76"/>
                <c:pt idx="0">
                  <c:v>3.49</c:v>
                </c:pt>
                <c:pt idx="1">
                  <c:v>3.76</c:v>
                </c:pt>
                <c:pt idx="2">
                  <c:v>4.03</c:v>
                </c:pt>
                <c:pt idx="3">
                  <c:v>4.41</c:v>
                </c:pt>
                <c:pt idx="4">
                  <c:v>4.76</c:v>
                </c:pt>
                <c:pt idx="5">
                  <c:v>6.12</c:v>
                </c:pt>
                <c:pt idx="6">
                  <c:v>6.58</c:v>
                </c:pt>
                <c:pt idx="7">
                  <c:v>6.58</c:v>
                </c:pt>
                <c:pt idx="8">
                  <c:v>6.57</c:v>
                </c:pt>
                <c:pt idx="9">
                  <c:v>7.69</c:v>
                </c:pt>
                <c:pt idx="10">
                  <c:v>8.5299999999999994</c:v>
                </c:pt>
                <c:pt idx="11">
                  <c:v>8.4600000000000009</c:v>
                </c:pt>
                <c:pt idx="12">
                  <c:v>8.48</c:v>
                </c:pt>
                <c:pt idx="13">
                  <c:v>7.97</c:v>
                </c:pt>
                <c:pt idx="14">
                  <c:v>7.9</c:v>
                </c:pt>
                <c:pt idx="15">
                  <c:v>7.89</c:v>
                </c:pt>
                <c:pt idx="16">
                  <c:v>8.59</c:v>
                </c:pt>
                <c:pt idx="17">
                  <c:v>9.3699999999999992</c:v>
                </c:pt>
                <c:pt idx="18">
                  <c:v>11.08</c:v>
                </c:pt>
                <c:pt idx="19">
                  <c:v>10.94</c:v>
                </c:pt>
                <c:pt idx="20">
                  <c:v>9.91</c:v>
                </c:pt>
                <c:pt idx="21">
                  <c:v>9.39</c:v>
                </c:pt>
                <c:pt idx="22">
                  <c:v>9.7100000000000009</c:v>
                </c:pt>
                <c:pt idx="23">
                  <c:v>9.3800000000000008</c:v>
                </c:pt>
                <c:pt idx="24">
                  <c:v>9.84</c:v>
                </c:pt>
                <c:pt idx="25">
                  <c:v>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93-4B33-9211-62206763B5D8}"/>
            </c:ext>
          </c:extLst>
        </c:ser>
        <c:ser>
          <c:idx val="6"/>
          <c:order val="6"/>
          <c:tx>
            <c:strRef>
              <c:f>Investments!$B$37</c:f>
              <c:strCache>
                <c:ptCount val="1"/>
                <c:pt idx="0">
                  <c:v>P90 Sunset Lily FN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Investments!$C$30:$BZ$30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Investments!$C$37:$BZ$37</c:f>
              <c:numCache>
                <c:formatCode>General</c:formatCode>
                <c:ptCount val="76"/>
                <c:pt idx="0">
                  <c:v>3.5</c:v>
                </c:pt>
                <c:pt idx="1">
                  <c:v>3.7</c:v>
                </c:pt>
                <c:pt idx="2">
                  <c:v>3.9</c:v>
                </c:pt>
                <c:pt idx="3">
                  <c:v>4.2</c:v>
                </c:pt>
                <c:pt idx="4">
                  <c:v>4.5</c:v>
                </c:pt>
                <c:pt idx="5">
                  <c:v>6.6</c:v>
                </c:pt>
                <c:pt idx="6">
                  <c:v>6.41</c:v>
                </c:pt>
                <c:pt idx="7">
                  <c:v>6.41</c:v>
                </c:pt>
                <c:pt idx="8">
                  <c:v>6.56</c:v>
                </c:pt>
                <c:pt idx="9">
                  <c:v>8.83</c:v>
                </c:pt>
                <c:pt idx="10">
                  <c:v>9.61</c:v>
                </c:pt>
                <c:pt idx="11">
                  <c:v>9.02</c:v>
                </c:pt>
                <c:pt idx="12">
                  <c:v>8.69</c:v>
                </c:pt>
                <c:pt idx="13">
                  <c:v>8.19</c:v>
                </c:pt>
                <c:pt idx="14">
                  <c:v>7.37</c:v>
                </c:pt>
                <c:pt idx="15">
                  <c:v>7.63</c:v>
                </c:pt>
                <c:pt idx="16">
                  <c:v>8.23</c:v>
                </c:pt>
                <c:pt idx="17">
                  <c:v>9.16</c:v>
                </c:pt>
                <c:pt idx="18">
                  <c:v>9.89</c:v>
                </c:pt>
                <c:pt idx="19">
                  <c:v>11.16</c:v>
                </c:pt>
                <c:pt idx="20">
                  <c:v>11.16</c:v>
                </c:pt>
                <c:pt idx="21">
                  <c:v>10.029999999999999</c:v>
                </c:pt>
                <c:pt idx="22">
                  <c:v>9.81</c:v>
                </c:pt>
                <c:pt idx="23">
                  <c:v>9.52</c:v>
                </c:pt>
                <c:pt idx="24">
                  <c:v>9.67</c:v>
                </c:pt>
                <c:pt idx="25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7D-4FF1-8D74-B34952C7F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676319"/>
        <c:axId val="565131935"/>
      </c:lineChart>
      <c:dateAx>
        <c:axId val="622676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65131935"/>
        <c:crosses val="autoZero"/>
        <c:auto val="1"/>
        <c:lblOffset val="100"/>
        <c:baseTimeUnit val="days"/>
      </c:dateAx>
      <c:valAx>
        <c:axId val="56513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2267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Knives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Knives!$A$5</c:f>
              <c:strCache>
                <c:ptCount val="1"/>
                <c:pt idx="0">
                  <c:v>Bayonet Rust Coat BS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Knives!$B$4:$BY$4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Knives!$B$5:$BY$5</c:f>
              <c:numCache>
                <c:formatCode>General</c:formatCode>
                <c:ptCount val="76"/>
                <c:pt idx="0">
                  <c:v>196.27</c:v>
                </c:pt>
                <c:pt idx="1">
                  <c:v>201.82</c:v>
                </c:pt>
                <c:pt idx="2">
                  <c:v>197</c:v>
                </c:pt>
                <c:pt idx="3">
                  <c:v>196.88</c:v>
                </c:pt>
                <c:pt idx="4">
                  <c:v>207.18</c:v>
                </c:pt>
                <c:pt idx="5">
                  <c:v>209.46</c:v>
                </c:pt>
                <c:pt idx="6">
                  <c:v>201.89</c:v>
                </c:pt>
                <c:pt idx="7">
                  <c:v>202.48</c:v>
                </c:pt>
                <c:pt idx="8">
                  <c:v>196.23</c:v>
                </c:pt>
                <c:pt idx="9">
                  <c:v>204.01</c:v>
                </c:pt>
                <c:pt idx="10">
                  <c:v>206.61</c:v>
                </c:pt>
                <c:pt idx="11">
                  <c:v>209.15</c:v>
                </c:pt>
                <c:pt idx="12">
                  <c:v>207.58</c:v>
                </c:pt>
                <c:pt idx="13">
                  <c:v>207.32</c:v>
                </c:pt>
                <c:pt idx="14">
                  <c:v>202.17</c:v>
                </c:pt>
                <c:pt idx="15">
                  <c:v>201.3</c:v>
                </c:pt>
                <c:pt idx="16">
                  <c:v>201.79</c:v>
                </c:pt>
                <c:pt idx="17">
                  <c:v>203.29</c:v>
                </c:pt>
                <c:pt idx="18">
                  <c:v>201.2</c:v>
                </c:pt>
                <c:pt idx="19">
                  <c:v>207</c:v>
                </c:pt>
                <c:pt idx="20">
                  <c:v>207.01</c:v>
                </c:pt>
                <c:pt idx="21">
                  <c:v>197.73</c:v>
                </c:pt>
                <c:pt idx="22">
                  <c:v>197.35</c:v>
                </c:pt>
                <c:pt idx="23">
                  <c:v>177</c:v>
                </c:pt>
                <c:pt idx="24">
                  <c:v>187.92</c:v>
                </c:pt>
                <c:pt idx="25">
                  <c:v>200.49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A-4747-95D1-F09DC4C6A2ED}"/>
            </c:ext>
          </c:extLst>
        </c:ser>
        <c:ser>
          <c:idx val="1"/>
          <c:order val="1"/>
          <c:tx>
            <c:strRef>
              <c:f>Knives!$A$6</c:f>
              <c:strCache>
                <c:ptCount val="1"/>
                <c:pt idx="0">
                  <c:v>Butterfly Knife Tiger Tooth FN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Knives!$B$4:$BY$4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Knives!$B$6:$BY$6</c:f>
              <c:numCache>
                <c:formatCode>General</c:formatCode>
                <c:ptCount val="76"/>
                <c:pt idx="0">
                  <c:v>1201.5999999999999</c:v>
                </c:pt>
                <c:pt idx="1">
                  <c:v>1205.46</c:v>
                </c:pt>
                <c:pt idx="2">
                  <c:v>1261.0999999999999</c:v>
                </c:pt>
                <c:pt idx="3">
                  <c:v>1261.06</c:v>
                </c:pt>
                <c:pt idx="4">
                  <c:v>1261.06</c:v>
                </c:pt>
                <c:pt idx="5">
                  <c:v>1230.57</c:v>
                </c:pt>
                <c:pt idx="6">
                  <c:v>1294.3599999999999</c:v>
                </c:pt>
                <c:pt idx="7">
                  <c:v>1294.3599999999999</c:v>
                </c:pt>
                <c:pt idx="8">
                  <c:v>1290.31</c:v>
                </c:pt>
                <c:pt idx="9">
                  <c:v>1427.45</c:v>
                </c:pt>
                <c:pt idx="10">
                  <c:v>1391</c:v>
                </c:pt>
                <c:pt idx="11">
                  <c:v>1383.65</c:v>
                </c:pt>
                <c:pt idx="12">
                  <c:v>1363.98</c:v>
                </c:pt>
                <c:pt idx="13">
                  <c:v>1354.05</c:v>
                </c:pt>
                <c:pt idx="14">
                  <c:v>1341.3</c:v>
                </c:pt>
                <c:pt idx="15">
                  <c:v>1341.3</c:v>
                </c:pt>
                <c:pt idx="16">
                  <c:v>1354.94</c:v>
                </c:pt>
                <c:pt idx="17">
                  <c:v>1364.6</c:v>
                </c:pt>
                <c:pt idx="18">
                  <c:v>1349.99</c:v>
                </c:pt>
                <c:pt idx="19">
                  <c:v>1413.09</c:v>
                </c:pt>
                <c:pt idx="20">
                  <c:v>1484.68</c:v>
                </c:pt>
                <c:pt idx="21">
                  <c:v>1478.37</c:v>
                </c:pt>
                <c:pt idx="22">
                  <c:v>1473.65</c:v>
                </c:pt>
                <c:pt idx="23">
                  <c:v>1480.13</c:v>
                </c:pt>
                <c:pt idx="24">
                  <c:v>1494.04</c:v>
                </c:pt>
                <c:pt idx="25">
                  <c:v>1483.36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A-4747-95D1-F09DC4C6A2ED}"/>
            </c:ext>
          </c:extLst>
        </c:ser>
        <c:ser>
          <c:idx val="2"/>
          <c:order val="2"/>
          <c:tx>
            <c:strRef>
              <c:f>Knives!$A$7</c:f>
              <c:strCache>
                <c:ptCount val="1"/>
                <c:pt idx="0">
                  <c:v>Flip Knife Freehand FN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Knives!$B$4:$BY$4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Knives!$B$7:$BY$7</c:f>
              <c:numCache>
                <c:formatCode>General</c:formatCode>
                <c:ptCount val="76"/>
                <c:pt idx="0">
                  <c:v>194.62</c:v>
                </c:pt>
                <c:pt idx="1">
                  <c:v>191.6</c:v>
                </c:pt>
                <c:pt idx="2">
                  <c:v>180.11</c:v>
                </c:pt>
                <c:pt idx="3">
                  <c:v>192.42</c:v>
                </c:pt>
                <c:pt idx="4">
                  <c:v>192.42</c:v>
                </c:pt>
                <c:pt idx="5">
                  <c:v>191.29</c:v>
                </c:pt>
                <c:pt idx="6">
                  <c:v>183.02</c:v>
                </c:pt>
                <c:pt idx="7">
                  <c:v>190.84</c:v>
                </c:pt>
                <c:pt idx="8">
                  <c:v>183.2</c:v>
                </c:pt>
                <c:pt idx="9">
                  <c:v>188.79</c:v>
                </c:pt>
                <c:pt idx="10">
                  <c:v>188.98</c:v>
                </c:pt>
                <c:pt idx="11">
                  <c:v>181.09</c:v>
                </c:pt>
                <c:pt idx="12">
                  <c:v>190.1</c:v>
                </c:pt>
                <c:pt idx="13">
                  <c:v>189.75</c:v>
                </c:pt>
                <c:pt idx="14">
                  <c:v>180.74</c:v>
                </c:pt>
                <c:pt idx="15">
                  <c:v>189.61</c:v>
                </c:pt>
                <c:pt idx="16">
                  <c:v>186.36</c:v>
                </c:pt>
                <c:pt idx="17">
                  <c:v>180.21</c:v>
                </c:pt>
                <c:pt idx="18">
                  <c:v>164.58</c:v>
                </c:pt>
                <c:pt idx="19">
                  <c:v>169.76</c:v>
                </c:pt>
                <c:pt idx="20">
                  <c:v>185.28</c:v>
                </c:pt>
                <c:pt idx="21">
                  <c:v>178.84</c:v>
                </c:pt>
                <c:pt idx="22">
                  <c:v>182.71</c:v>
                </c:pt>
                <c:pt idx="23">
                  <c:v>183</c:v>
                </c:pt>
                <c:pt idx="24">
                  <c:v>180.69</c:v>
                </c:pt>
                <c:pt idx="25">
                  <c:v>181.39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4A-4747-95D1-F09DC4C6A2ED}"/>
            </c:ext>
          </c:extLst>
        </c:ser>
        <c:ser>
          <c:idx val="3"/>
          <c:order val="3"/>
          <c:tx>
            <c:strRef>
              <c:f>Knives!$A$8</c:f>
              <c:strCache>
                <c:ptCount val="1"/>
                <c:pt idx="0">
                  <c:v>Karambit Ultraviolet 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Knives!$B$4:$BY$4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Knives!$B$8:$BY$8</c:f>
              <c:numCache>
                <c:formatCode>General</c:formatCode>
                <c:ptCount val="76"/>
                <c:pt idx="0">
                  <c:v>380.55</c:v>
                </c:pt>
                <c:pt idx="1">
                  <c:v>383.02</c:v>
                </c:pt>
                <c:pt idx="2">
                  <c:v>361.9</c:v>
                </c:pt>
                <c:pt idx="3">
                  <c:v>361.97</c:v>
                </c:pt>
                <c:pt idx="4">
                  <c:v>372.41</c:v>
                </c:pt>
                <c:pt idx="5">
                  <c:v>365.9</c:v>
                </c:pt>
                <c:pt idx="6">
                  <c:v>334.61</c:v>
                </c:pt>
                <c:pt idx="7">
                  <c:v>355.59</c:v>
                </c:pt>
                <c:pt idx="8">
                  <c:v>350.79</c:v>
                </c:pt>
                <c:pt idx="9">
                  <c:v>385.29</c:v>
                </c:pt>
                <c:pt idx="10">
                  <c:v>391.15</c:v>
                </c:pt>
                <c:pt idx="11">
                  <c:v>391.41</c:v>
                </c:pt>
                <c:pt idx="12">
                  <c:v>370.36</c:v>
                </c:pt>
                <c:pt idx="13">
                  <c:v>386.6</c:v>
                </c:pt>
                <c:pt idx="14">
                  <c:v>386.45</c:v>
                </c:pt>
                <c:pt idx="15">
                  <c:v>382.76</c:v>
                </c:pt>
                <c:pt idx="16">
                  <c:v>397.01</c:v>
                </c:pt>
                <c:pt idx="17">
                  <c:v>406.58</c:v>
                </c:pt>
                <c:pt idx="18">
                  <c:v>384.98</c:v>
                </c:pt>
                <c:pt idx="19">
                  <c:v>385.96</c:v>
                </c:pt>
                <c:pt idx="20">
                  <c:v>424.73</c:v>
                </c:pt>
                <c:pt idx="21">
                  <c:v>394.27</c:v>
                </c:pt>
                <c:pt idx="22">
                  <c:v>404.05</c:v>
                </c:pt>
                <c:pt idx="23">
                  <c:v>403.38</c:v>
                </c:pt>
                <c:pt idx="24">
                  <c:v>361.27</c:v>
                </c:pt>
                <c:pt idx="25">
                  <c:v>384.52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4A-4747-95D1-F09DC4C6A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203007"/>
        <c:axId val="1695690847"/>
      </c:lineChart>
      <c:dateAx>
        <c:axId val="19162030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95690847"/>
        <c:crosses val="autoZero"/>
        <c:auto val="1"/>
        <c:lblOffset val="100"/>
        <c:baseTimeUnit val="days"/>
      </c:dateAx>
      <c:valAx>
        <c:axId val="16956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1620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AWP-Skins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AWP!$A$5</c:f>
              <c:strCache>
                <c:ptCount val="1"/>
                <c:pt idx="0">
                  <c:v>Fewer Dream 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AWP!$B$4:$BY$4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AWP!$B$5:$BY$5</c:f>
              <c:numCache>
                <c:formatCode>General</c:formatCode>
                <c:ptCount val="76"/>
                <c:pt idx="0">
                  <c:v>7.47</c:v>
                </c:pt>
                <c:pt idx="1">
                  <c:v>7.52</c:v>
                </c:pt>
                <c:pt idx="2">
                  <c:v>7.36</c:v>
                </c:pt>
                <c:pt idx="3">
                  <c:v>7.24</c:v>
                </c:pt>
                <c:pt idx="4">
                  <c:v>7.42</c:v>
                </c:pt>
                <c:pt idx="5">
                  <c:v>7.21</c:v>
                </c:pt>
                <c:pt idx="6">
                  <c:v>7.03</c:v>
                </c:pt>
                <c:pt idx="7">
                  <c:v>7.44</c:v>
                </c:pt>
                <c:pt idx="8">
                  <c:v>7.33</c:v>
                </c:pt>
                <c:pt idx="9">
                  <c:v>6.98</c:v>
                </c:pt>
                <c:pt idx="10">
                  <c:v>6.95</c:v>
                </c:pt>
                <c:pt idx="11">
                  <c:v>6.92</c:v>
                </c:pt>
                <c:pt idx="12">
                  <c:v>7.05</c:v>
                </c:pt>
                <c:pt idx="13">
                  <c:v>6.62</c:v>
                </c:pt>
                <c:pt idx="14">
                  <c:v>6.71</c:v>
                </c:pt>
                <c:pt idx="15">
                  <c:v>7.14</c:v>
                </c:pt>
                <c:pt idx="16">
                  <c:v>6.86</c:v>
                </c:pt>
                <c:pt idx="17">
                  <c:v>7.3</c:v>
                </c:pt>
                <c:pt idx="18">
                  <c:v>7.04</c:v>
                </c:pt>
                <c:pt idx="19">
                  <c:v>6.9</c:v>
                </c:pt>
                <c:pt idx="20">
                  <c:v>7.02</c:v>
                </c:pt>
                <c:pt idx="21">
                  <c:v>7.37</c:v>
                </c:pt>
                <c:pt idx="22">
                  <c:v>7.3</c:v>
                </c:pt>
                <c:pt idx="23">
                  <c:v>7.22</c:v>
                </c:pt>
                <c:pt idx="24">
                  <c:v>6.99</c:v>
                </c:pt>
                <c:pt idx="25">
                  <c:v>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0-4C49-BEEA-FE813D36E1D1}"/>
            </c:ext>
          </c:extLst>
        </c:ser>
        <c:ser>
          <c:idx val="1"/>
          <c:order val="1"/>
          <c:tx>
            <c:strRef>
              <c:f>AWP!$A$6</c:f>
              <c:strCache>
                <c:ptCount val="1"/>
                <c:pt idx="0">
                  <c:v>Elite Build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AWP!$B$4:$BY$4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AWP!$B$6:$BY$6</c:f>
              <c:numCache>
                <c:formatCode>General</c:formatCode>
                <c:ptCount val="76"/>
                <c:pt idx="0">
                  <c:v>6.81</c:v>
                </c:pt>
                <c:pt idx="1">
                  <c:v>7.26</c:v>
                </c:pt>
                <c:pt idx="2">
                  <c:v>7.22</c:v>
                </c:pt>
                <c:pt idx="3">
                  <c:v>6.73</c:v>
                </c:pt>
                <c:pt idx="4">
                  <c:v>6.71</c:v>
                </c:pt>
                <c:pt idx="5">
                  <c:v>6.73</c:v>
                </c:pt>
                <c:pt idx="6">
                  <c:v>6.97</c:v>
                </c:pt>
                <c:pt idx="7">
                  <c:v>7.34</c:v>
                </c:pt>
                <c:pt idx="8">
                  <c:v>7.18</c:v>
                </c:pt>
                <c:pt idx="9">
                  <c:v>6.93</c:v>
                </c:pt>
                <c:pt idx="10">
                  <c:v>6.5</c:v>
                </c:pt>
                <c:pt idx="11">
                  <c:v>6.4</c:v>
                </c:pt>
                <c:pt idx="12">
                  <c:v>7.28</c:v>
                </c:pt>
                <c:pt idx="13">
                  <c:v>7.32</c:v>
                </c:pt>
                <c:pt idx="14">
                  <c:v>7.71</c:v>
                </c:pt>
                <c:pt idx="15">
                  <c:v>7.27</c:v>
                </c:pt>
                <c:pt idx="16">
                  <c:v>7.36</c:v>
                </c:pt>
                <c:pt idx="17">
                  <c:v>7.14</c:v>
                </c:pt>
                <c:pt idx="18">
                  <c:v>7.32</c:v>
                </c:pt>
                <c:pt idx="19">
                  <c:v>7.2</c:v>
                </c:pt>
                <c:pt idx="20">
                  <c:v>7.6</c:v>
                </c:pt>
                <c:pt idx="21">
                  <c:v>7.54</c:v>
                </c:pt>
                <c:pt idx="22">
                  <c:v>7.66</c:v>
                </c:pt>
                <c:pt idx="23">
                  <c:v>7.49</c:v>
                </c:pt>
                <c:pt idx="24">
                  <c:v>7.08</c:v>
                </c:pt>
                <c:pt idx="25">
                  <c:v>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30-4C49-BEEA-FE813D36E1D1}"/>
            </c:ext>
          </c:extLst>
        </c:ser>
        <c:ser>
          <c:idx val="2"/>
          <c:order val="2"/>
          <c:tx>
            <c:strRef>
              <c:f>AWP!$A$7</c:f>
              <c:strCache>
                <c:ptCount val="1"/>
                <c:pt idx="0">
                  <c:v>Stattrak Hyper Beast 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AWP!$B$4:$BY$4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AWP!$B$7:$BY$7</c:f>
              <c:numCache>
                <c:formatCode>General</c:formatCode>
                <c:ptCount val="76"/>
                <c:pt idx="0">
                  <c:v>74.08</c:v>
                </c:pt>
                <c:pt idx="1">
                  <c:v>71.31</c:v>
                </c:pt>
                <c:pt idx="2">
                  <c:v>71.88</c:v>
                </c:pt>
                <c:pt idx="3">
                  <c:v>71.23</c:v>
                </c:pt>
                <c:pt idx="4">
                  <c:v>70.58</c:v>
                </c:pt>
                <c:pt idx="5">
                  <c:v>65.36</c:v>
                </c:pt>
                <c:pt idx="6">
                  <c:v>73.31</c:v>
                </c:pt>
                <c:pt idx="7">
                  <c:v>73.31</c:v>
                </c:pt>
                <c:pt idx="8">
                  <c:v>72.87</c:v>
                </c:pt>
                <c:pt idx="9">
                  <c:v>84.58</c:v>
                </c:pt>
                <c:pt idx="10">
                  <c:v>84.44</c:v>
                </c:pt>
                <c:pt idx="11">
                  <c:v>75.84</c:v>
                </c:pt>
                <c:pt idx="12">
                  <c:v>76.16</c:v>
                </c:pt>
                <c:pt idx="13">
                  <c:v>69.569999999999993</c:v>
                </c:pt>
                <c:pt idx="14">
                  <c:v>74.78</c:v>
                </c:pt>
                <c:pt idx="15">
                  <c:v>75.67</c:v>
                </c:pt>
                <c:pt idx="16">
                  <c:v>83.34</c:v>
                </c:pt>
                <c:pt idx="17">
                  <c:v>78.56</c:v>
                </c:pt>
                <c:pt idx="18">
                  <c:v>78.23</c:v>
                </c:pt>
                <c:pt idx="19">
                  <c:v>78.48</c:v>
                </c:pt>
                <c:pt idx="20">
                  <c:v>76.790000000000006</c:v>
                </c:pt>
                <c:pt idx="21">
                  <c:v>79.09</c:v>
                </c:pt>
                <c:pt idx="22">
                  <c:v>85.65</c:v>
                </c:pt>
                <c:pt idx="23">
                  <c:v>78.77</c:v>
                </c:pt>
                <c:pt idx="24">
                  <c:v>75</c:v>
                </c:pt>
                <c:pt idx="25">
                  <c:v>74.31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30-4C49-BEEA-FE813D36E1D1}"/>
            </c:ext>
          </c:extLst>
        </c:ser>
        <c:ser>
          <c:idx val="3"/>
          <c:order val="3"/>
          <c:tx>
            <c:strRef>
              <c:f>AWP!$A$8</c:f>
              <c:strCache>
                <c:ptCount val="1"/>
                <c:pt idx="0">
                  <c:v>Mortis MW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AWP!$B$4:$BY$4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AWP!$B$8:$BY$8</c:f>
              <c:numCache>
                <c:formatCode>General</c:formatCode>
                <c:ptCount val="76"/>
                <c:pt idx="0">
                  <c:v>3.23</c:v>
                </c:pt>
                <c:pt idx="1">
                  <c:v>3.14</c:v>
                </c:pt>
                <c:pt idx="2">
                  <c:v>3.5</c:v>
                </c:pt>
                <c:pt idx="3">
                  <c:v>3.27</c:v>
                </c:pt>
                <c:pt idx="4">
                  <c:v>3.28</c:v>
                </c:pt>
                <c:pt idx="5">
                  <c:v>3.41</c:v>
                </c:pt>
                <c:pt idx="6">
                  <c:v>3.47</c:v>
                </c:pt>
                <c:pt idx="7">
                  <c:v>3.16</c:v>
                </c:pt>
                <c:pt idx="8">
                  <c:v>3.26</c:v>
                </c:pt>
                <c:pt idx="9">
                  <c:v>3.28</c:v>
                </c:pt>
                <c:pt idx="10">
                  <c:v>3.29</c:v>
                </c:pt>
                <c:pt idx="11">
                  <c:v>3.38</c:v>
                </c:pt>
                <c:pt idx="12">
                  <c:v>3.25</c:v>
                </c:pt>
                <c:pt idx="13">
                  <c:v>3.26</c:v>
                </c:pt>
                <c:pt idx="14">
                  <c:v>3.19</c:v>
                </c:pt>
                <c:pt idx="15">
                  <c:v>3.39</c:v>
                </c:pt>
                <c:pt idx="16">
                  <c:v>3.14</c:v>
                </c:pt>
                <c:pt idx="17">
                  <c:v>3.14</c:v>
                </c:pt>
                <c:pt idx="18">
                  <c:v>3.13</c:v>
                </c:pt>
                <c:pt idx="19">
                  <c:v>2.92</c:v>
                </c:pt>
                <c:pt idx="20">
                  <c:v>3.15</c:v>
                </c:pt>
                <c:pt idx="21">
                  <c:v>2.99</c:v>
                </c:pt>
                <c:pt idx="22">
                  <c:v>2.89</c:v>
                </c:pt>
                <c:pt idx="23">
                  <c:v>3.17</c:v>
                </c:pt>
                <c:pt idx="24">
                  <c:v>3.17</c:v>
                </c:pt>
                <c:pt idx="25">
                  <c:v>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30-4C49-BEEA-FE813D36E1D1}"/>
            </c:ext>
          </c:extLst>
        </c:ser>
        <c:ser>
          <c:idx val="4"/>
          <c:order val="4"/>
          <c:tx>
            <c:strRef>
              <c:f>AWP!$A$9</c:f>
              <c:strCache>
                <c:ptCount val="1"/>
                <c:pt idx="0">
                  <c:v>Boom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AWP!$B$4:$BY$4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AWP!$B$9:$BY$9</c:f>
              <c:numCache>
                <c:formatCode>General</c:formatCode>
                <c:ptCount val="76"/>
                <c:pt idx="0">
                  <c:v>52.57</c:v>
                </c:pt>
                <c:pt idx="1">
                  <c:v>50.84</c:v>
                </c:pt>
                <c:pt idx="2">
                  <c:v>61.12</c:v>
                </c:pt>
                <c:pt idx="3">
                  <c:v>54.92</c:v>
                </c:pt>
                <c:pt idx="4">
                  <c:v>54.99</c:v>
                </c:pt>
                <c:pt idx="5">
                  <c:v>52.25</c:v>
                </c:pt>
                <c:pt idx="6">
                  <c:v>56.03</c:v>
                </c:pt>
                <c:pt idx="7">
                  <c:v>55.57</c:v>
                </c:pt>
                <c:pt idx="8">
                  <c:v>54.76</c:v>
                </c:pt>
                <c:pt idx="9">
                  <c:v>54.99</c:v>
                </c:pt>
                <c:pt idx="10">
                  <c:v>54.7</c:v>
                </c:pt>
                <c:pt idx="11">
                  <c:v>52.32</c:v>
                </c:pt>
                <c:pt idx="12">
                  <c:v>54.62</c:v>
                </c:pt>
                <c:pt idx="13">
                  <c:v>55.38</c:v>
                </c:pt>
                <c:pt idx="14">
                  <c:v>53.77</c:v>
                </c:pt>
                <c:pt idx="15">
                  <c:v>56.08</c:v>
                </c:pt>
                <c:pt idx="16">
                  <c:v>56.08</c:v>
                </c:pt>
                <c:pt idx="17">
                  <c:v>57.36</c:v>
                </c:pt>
                <c:pt idx="18">
                  <c:v>55.4</c:v>
                </c:pt>
                <c:pt idx="19">
                  <c:v>55.27</c:v>
                </c:pt>
                <c:pt idx="20">
                  <c:v>54.17</c:v>
                </c:pt>
                <c:pt idx="21">
                  <c:v>54.77</c:v>
                </c:pt>
                <c:pt idx="22">
                  <c:v>55.31</c:v>
                </c:pt>
                <c:pt idx="23">
                  <c:v>55.82</c:v>
                </c:pt>
                <c:pt idx="24">
                  <c:v>55.54</c:v>
                </c:pt>
                <c:pt idx="25">
                  <c:v>56.84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30-4C49-BEEA-FE813D36E1D1}"/>
            </c:ext>
          </c:extLst>
        </c:ser>
        <c:ser>
          <c:idx val="5"/>
          <c:order val="5"/>
          <c:tx>
            <c:strRef>
              <c:f>AWP!$A$10</c:f>
              <c:strCache>
                <c:ptCount val="1"/>
                <c:pt idx="0">
                  <c:v>Neo-Noir FN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AWP!$B$4:$BY$4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AWP!$B$10:$BY$10</c:f>
              <c:numCache>
                <c:formatCode>General</c:formatCode>
                <c:ptCount val="76"/>
                <c:pt idx="0">
                  <c:v>47</c:v>
                </c:pt>
                <c:pt idx="1">
                  <c:v>45.93</c:v>
                </c:pt>
                <c:pt idx="2">
                  <c:v>44.54</c:v>
                </c:pt>
                <c:pt idx="3">
                  <c:v>45.51</c:v>
                </c:pt>
                <c:pt idx="4">
                  <c:v>46.05</c:v>
                </c:pt>
                <c:pt idx="5">
                  <c:v>46.08</c:v>
                </c:pt>
                <c:pt idx="6">
                  <c:v>46.57</c:v>
                </c:pt>
                <c:pt idx="7">
                  <c:v>47.69</c:v>
                </c:pt>
                <c:pt idx="8">
                  <c:v>44.11</c:v>
                </c:pt>
                <c:pt idx="9">
                  <c:v>44.01</c:v>
                </c:pt>
                <c:pt idx="10">
                  <c:v>45.22</c:v>
                </c:pt>
                <c:pt idx="11">
                  <c:v>46.55</c:v>
                </c:pt>
                <c:pt idx="12">
                  <c:v>46.98</c:v>
                </c:pt>
                <c:pt idx="13">
                  <c:v>43.94</c:v>
                </c:pt>
                <c:pt idx="14">
                  <c:v>46.39</c:v>
                </c:pt>
                <c:pt idx="15">
                  <c:v>46.37</c:v>
                </c:pt>
                <c:pt idx="16">
                  <c:v>47.84</c:v>
                </c:pt>
                <c:pt idx="17">
                  <c:v>44.88</c:v>
                </c:pt>
                <c:pt idx="18">
                  <c:v>48.07</c:v>
                </c:pt>
                <c:pt idx="19">
                  <c:v>48.33</c:v>
                </c:pt>
                <c:pt idx="20">
                  <c:v>47.69</c:v>
                </c:pt>
                <c:pt idx="21">
                  <c:v>46.01</c:v>
                </c:pt>
                <c:pt idx="22">
                  <c:v>47.06</c:v>
                </c:pt>
                <c:pt idx="23">
                  <c:v>45.28</c:v>
                </c:pt>
                <c:pt idx="24">
                  <c:v>42.61</c:v>
                </c:pt>
                <c:pt idx="25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30-4C49-BEEA-FE813D36E1D1}"/>
            </c:ext>
          </c:extLst>
        </c:ser>
        <c:ser>
          <c:idx val="6"/>
          <c:order val="6"/>
          <c:tx>
            <c:strRef>
              <c:f>AWP!$A$11</c:f>
              <c:strCache>
                <c:ptCount val="1"/>
                <c:pt idx="0">
                  <c:v>Atheris MW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AWP!$B$4:$BY$4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AWP!$B$11:$BY$11</c:f>
              <c:numCache>
                <c:formatCode>General</c:formatCode>
                <c:ptCount val="76"/>
                <c:pt idx="0">
                  <c:v>4.3099999999999996</c:v>
                </c:pt>
                <c:pt idx="1">
                  <c:v>4.54</c:v>
                </c:pt>
                <c:pt idx="2">
                  <c:v>4.37</c:v>
                </c:pt>
                <c:pt idx="3">
                  <c:v>4.41</c:v>
                </c:pt>
                <c:pt idx="4">
                  <c:v>4.16</c:v>
                </c:pt>
                <c:pt idx="5">
                  <c:v>4.4000000000000004</c:v>
                </c:pt>
                <c:pt idx="6">
                  <c:v>4.7300000000000004</c:v>
                </c:pt>
                <c:pt idx="7">
                  <c:v>4.6900000000000004</c:v>
                </c:pt>
                <c:pt idx="8">
                  <c:v>4.54</c:v>
                </c:pt>
                <c:pt idx="9">
                  <c:v>4.53</c:v>
                </c:pt>
                <c:pt idx="10">
                  <c:v>4.55</c:v>
                </c:pt>
                <c:pt idx="11">
                  <c:v>4.22</c:v>
                </c:pt>
                <c:pt idx="12">
                  <c:v>4.3899999999999997</c:v>
                </c:pt>
                <c:pt idx="13">
                  <c:v>4.2300000000000004</c:v>
                </c:pt>
                <c:pt idx="14">
                  <c:v>4.0599999999999996</c:v>
                </c:pt>
                <c:pt idx="15">
                  <c:v>4.2300000000000004</c:v>
                </c:pt>
                <c:pt idx="16">
                  <c:v>4.62</c:v>
                </c:pt>
                <c:pt idx="17">
                  <c:v>4.07</c:v>
                </c:pt>
                <c:pt idx="18">
                  <c:v>4.3</c:v>
                </c:pt>
                <c:pt idx="19">
                  <c:v>4.2300000000000004</c:v>
                </c:pt>
                <c:pt idx="20">
                  <c:v>4.21</c:v>
                </c:pt>
                <c:pt idx="21">
                  <c:v>4.25</c:v>
                </c:pt>
                <c:pt idx="22">
                  <c:v>4.25</c:v>
                </c:pt>
                <c:pt idx="23">
                  <c:v>4.22</c:v>
                </c:pt>
                <c:pt idx="24">
                  <c:v>4.2699999999999996</c:v>
                </c:pt>
                <c:pt idx="25">
                  <c:v>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30-4C49-BEEA-FE813D36E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46207"/>
        <c:axId val="1695692927"/>
      </c:lineChart>
      <c:dateAx>
        <c:axId val="19161462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95692927"/>
        <c:crosses val="autoZero"/>
        <c:auto val="1"/>
        <c:lblOffset val="100"/>
        <c:baseTimeUnit val="days"/>
      </c:dateAx>
      <c:valAx>
        <c:axId val="169569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1614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M4A4-Skins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M4A4!$A$5</c:f>
              <c:strCache>
                <c:ptCount val="1"/>
                <c:pt idx="0">
                  <c:v>Stattrak Dragon King 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M4A4!$B$4:$BY$4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M4A4!$B$5:$BY$5</c:f>
              <c:numCache>
                <c:formatCode>General</c:formatCode>
                <c:ptCount val="76"/>
                <c:pt idx="0">
                  <c:v>37.31</c:v>
                </c:pt>
                <c:pt idx="1">
                  <c:v>36.880000000000003</c:v>
                </c:pt>
                <c:pt idx="2">
                  <c:v>38.799999999999997</c:v>
                </c:pt>
                <c:pt idx="3">
                  <c:v>37.92</c:v>
                </c:pt>
                <c:pt idx="4">
                  <c:v>39.03</c:v>
                </c:pt>
                <c:pt idx="5">
                  <c:v>38.35</c:v>
                </c:pt>
                <c:pt idx="6">
                  <c:v>37.799999999999997</c:v>
                </c:pt>
                <c:pt idx="7">
                  <c:v>36.909999999999997</c:v>
                </c:pt>
                <c:pt idx="8">
                  <c:v>35.35</c:v>
                </c:pt>
                <c:pt idx="9">
                  <c:v>38.06</c:v>
                </c:pt>
                <c:pt idx="10">
                  <c:v>35.93</c:v>
                </c:pt>
                <c:pt idx="11">
                  <c:v>36.22</c:v>
                </c:pt>
                <c:pt idx="12">
                  <c:v>35.090000000000003</c:v>
                </c:pt>
                <c:pt idx="13">
                  <c:v>36.14</c:v>
                </c:pt>
                <c:pt idx="14">
                  <c:v>36.81</c:v>
                </c:pt>
                <c:pt idx="15">
                  <c:v>37.950000000000003</c:v>
                </c:pt>
                <c:pt idx="16">
                  <c:v>39.409999999999997</c:v>
                </c:pt>
                <c:pt idx="17">
                  <c:v>37.04</c:v>
                </c:pt>
                <c:pt idx="18">
                  <c:v>39.44</c:v>
                </c:pt>
                <c:pt idx="19">
                  <c:v>37.85</c:v>
                </c:pt>
                <c:pt idx="20">
                  <c:v>36.15</c:v>
                </c:pt>
                <c:pt idx="21">
                  <c:v>36.14</c:v>
                </c:pt>
                <c:pt idx="22">
                  <c:v>36.14</c:v>
                </c:pt>
                <c:pt idx="23">
                  <c:v>37.04</c:v>
                </c:pt>
                <c:pt idx="24">
                  <c:v>36.04</c:v>
                </c:pt>
                <c:pt idx="25">
                  <c:v>38.33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E-47A1-A1F4-2E8C77CEF40C}"/>
            </c:ext>
          </c:extLst>
        </c:ser>
        <c:ser>
          <c:idx val="1"/>
          <c:order val="1"/>
          <c:tx>
            <c:strRef>
              <c:f>M4A4!$A$6</c:f>
              <c:strCache>
                <c:ptCount val="1"/>
                <c:pt idx="0">
                  <c:v>Desolate Space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M4A4!$B$4:$BY$4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M4A4!$B$6:$BY$6</c:f>
              <c:numCache>
                <c:formatCode>General</c:formatCode>
                <c:ptCount val="76"/>
                <c:pt idx="0">
                  <c:v>13.77</c:v>
                </c:pt>
                <c:pt idx="1">
                  <c:v>14.43</c:v>
                </c:pt>
                <c:pt idx="2">
                  <c:v>13.96</c:v>
                </c:pt>
                <c:pt idx="3">
                  <c:v>13.19</c:v>
                </c:pt>
                <c:pt idx="4">
                  <c:v>14.41</c:v>
                </c:pt>
                <c:pt idx="5">
                  <c:v>14.08</c:v>
                </c:pt>
                <c:pt idx="6">
                  <c:v>14.66</c:v>
                </c:pt>
                <c:pt idx="7">
                  <c:v>13.65</c:v>
                </c:pt>
                <c:pt idx="8">
                  <c:v>13.29</c:v>
                </c:pt>
                <c:pt idx="9">
                  <c:v>13.64</c:v>
                </c:pt>
                <c:pt idx="10">
                  <c:v>13.24</c:v>
                </c:pt>
                <c:pt idx="11">
                  <c:v>13.22</c:v>
                </c:pt>
                <c:pt idx="12">
                  <c:v>13.98</c:v>
                </c:pt>
                <c:pt idx="13">
                  <c:v>13.53</c:v>
                </c:pt>
                <c:pt idx="14">
                  <c:v>13.74</c:v>
                </c:pt>
                <c:pt idx="15">
                  <c:v>13.68</c:v>
                </c:pt>
                <c:pt idx="16">
                  <c:v>13.85</c:v>
                </c:pt>
                <c:pt idx="17">
                  <c:v>12.95</c:v>
                </c:pt>
                <c:pt idx="18">
                  <c:v>13.12</c:v>
                </c:pt>
                <c:pt idx="19">
                  <c:v>13.6</c:v>
                </c:pt>
                <c:pt idx="20">
                  <c:v>13.04</c:v>
                </c:pt>
                <c:pt idx="21">
                  <c:v>14</c:v>
                </c:pt>
                <c:pt idx="22">
                  <c:v>13.51</c:v>
                </c:pt>
                <c:pt idx="23">
                  <c:v>13.59</c:v>
                </c:pt>
                <c:pt idx="24">
                  <c:v>13.03</c:v>
                </c:pt>
                <c:pt idx="25">
                  <c:v>12.55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E-47A1-A1F4-2E8C77CEF40C}"/>
            </c:ext>
          </c:extLst>
        </c:ser>
        <c:ser>
          <c:idx val="2"/>
          <c:order val="2"/>
          <c:tx>
            <c:strRef>
              <c:f>M4A4!$A$7</c:f>
              <c:strCache>
                <c:ptCount val="1"/>
                <c:pt idx="0">
                  <c:v>Bullet Rain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M4A4!$B$4:$BY$4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M4A4!$B$7:$BY$7</c:f>
              <c:numCache>
                <c:formatCode>General</c:formatCode>
                <c:ptCount val="76"/>
                <c:pt idx="0">
                  <c:v>17.309999999999999</c:v>
                </c:pt>
                <c:pt idx="1">
                  <c:v>16.39</c:v>
                </c:pt>
                <c:pt idx="2">
                  <c:v>18.760000000000002</c:v>
                </c:pt>
                <c:pt idx="3">
                  <c:v>18.239999999999998</c:v>
                </c:pt>
                <c:pt idx="4">
                  <c:v>18.28</c:v>
                </c:pt>
                <c:pt idx="5">
                  <c:v>17.510000000000002</c:v>
                </c:pt>
                <c:pt idx="6">
                  <c:v>17.170000000000002</c:v>
                </c:pt>
                <c:pt idx="7">
                  <c:v>18.43</c:v>
                </c:pt>
                <c:pt idx="8">
                  <c:v>17.95</c:v>
                </c:pt>
                <c:pt idx="9">
                  <c:v>18.690000000000001</c:v>
                </c:pt>
                <c:pt idx="10">
                  <c:v>17.260000000000002</c:v>
                </c:pt>
                <c:pt idx="11">
                  <c:v>18.41</c:v>
                </c:pt>
                <c:pt idx="12">
                  <c:v>18.350000000000001</c:v>
                </c:pt>
                <c:pt idx="13">
                  <c:v>18.91</c:v>
                </c:pt>
                <c:pt idx="14">
                  <c:v>17.68</c:v>
                </c:pt>
                <c:pt idx="15">
                  <c:v>18.25</c:v>
                </c:pt>
                <c:pt idx="16">
                  <c:v>18.32</c:v>
                </c:pt>
                <c:pt idx="17">
                  <c:v>18.260000000000002</c:v>
                </c:pt>
                <c:pt idx="18">
                  <c:v>17.87</c:v>
                </c:pt>
                <c:pt idx="19">
                  <c:v>18.21</c:v>
                </c:pt>
                <c:pt idx="20">
                  <c:v>18.78</c:v>
                </c:pt>
                <c:pt idx="21">
                  <c:v>17.96</c:v>
                </c:pt>
                <c:pt idx="22">
                  <c:v>16.98</c:v>
                </c:pt>
                <c:pt idx="23">
                  <c:v>17.059999999999999</c:v>
                </c:pt>
                <c:pt idx="24">
                  <c:v>17.260000000000002</c:v>
                </c:pt>
                <c:pt idx="25">
                  <c:v>17.79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AE-47A1-A1F4-2E8C77CEF40C}"/>
            </c:ext>
          </c:extLst>
        </c:ser>
        <c:ser>
          <c:idx val="3"/>
          <c:order val="3"/>
          <c:tx>
            <c:strRef>
              <c:f>M4A4!$A$8</c:f>
              <c:strCache>
                <c:ptCount val="1"/>
                <c:pt idx="0">
                  <c:v>Evil Daimyo FN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M4A4!$B$4:$BY$4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M4A4!$B$8:$BY$8</c:f>
              <c:numCache>
                <c:formatCode>General</c:formatCode>
                <c:ptCount val="76"/>
                <c:pt idx="0">
                  <c:v>6.9</c:v>
                </c:pt>
                <c:pt idx="1">
                  <c:v>7.37</c:v>
                </c:pt>
                <c:pt idx="2">
                  <c:v>6.99</c:v>
                </c:pt>
                <c:pt idx="3">
                  <c:v>6.87</c:v>
                </c:pt>
                <c:pt idx="4">
                  <c:v>6.82</c:v>
                </c:pt>
                <c:pt idx="5">
                  <c:v>7.06</c:v>
                </c:pt>
                <c:pt idx="6">
                  <c:v>6.74</c:v>
                </c:pt>
                <c:pt idx="7">
                  <c:v>7.04</c:v>
                </c:pt>
                <c:pt idx="8">
                  <c:v>6.99</c:v>
                </c:pt>
                <c:pt idx="9">
                  <c:v>7.14</c:v>
                </c:pt>
                <c:pt idx="10">
                  <c:v>6.68</c:v>
                </c:pt>
                <c:pt idx="11">
                  <c:v>6.85</c:v>
                </c:pt>
                <c:pt idx="12">
                  <c:v>6.98</c:v>
                </c:pt>
                <c:pt idx="13">
                  <c:v>7.03</c:v>
                </c:pt>
                <c:pt idx="14">
                  <c:v>6.48</c:v>
                </c:pt>
                <c:pt idx="15">
                  <c:v>6.63</c:v>
                </c:pt>
                <c:pt idx="16">
                  <c:v>6.64</c:v>
                </c:pt>
                <c:pt idx="17">
                  <c:v>7.06</c:v>
                </c:pt>
                <c:pt idx="18">
                  <c:v>6.58</c:v>
                </c:pt>
                <c:pt idx="19">
                  <c:v>6.51</c:v>
                </c:pt>
                <c:pt idx="20">
                  <c:v>6.59</c:v>
                </c:pt>
                <c:pt idx="21">
                  <c:v>7.03</c:v>
                </c:pt>
                <c:pt idx="22">
                  <c:v>6.6</c:v>
                </c:pt>
                <c:pt idx="23">
                  <c:v>6.98</c:v>
                </c:pt>
                <c:pt idx="24">
                  <c:v>6.76</c:v>
                </c:pt>
                <c:pt idx="25">
                  <c:v>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AE-47A1-A1F4-2E8C77CEF40C}"/>
            </c:ext>
          </c:extLst>
        </c:ser>
        <c:ser>
          <c:idx val="4"/>
          <c:order val="4"/>
          <c:tx>
            <c:strRef>
              <c:f>M4A4!$A$9</c:f>
              <c:strCache>
                <c:ptCount val="1"/>
                <c:pt idx="0">
                  <c:v>Hellfire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M4A4!$B$4:$BY$4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M4A4!$B$9:$BY$9</c:f>
              <c:numCache>
                <c:formatCode>General</c:formatCode>
                <c:ptCount val="76"/>
                <c:pt idx="0">
                  <c:v>26.86</c:v>
                </c:pt>
                <c:pt idx="1">
                  <c:v>25.93</c:v>
                </c:pt>
                <c:pt idx="2">
                  <c:v>25.2</c:v>
                </c:pt>
                <c:pt idx="3">
                  <c:v>26.25</c:v>
                </c:pt>
                <c:pt idx="4">
                  <c:v>26.3</c:v>
                </c:pt>
                <c:pt idx="5">
                  <c:v>26.9</c:v>
                </c:pt>
                <c:pt idx="6">
                  <c:v>24.86</c:v>
                </c:pt>
                <c:pt idx="7">
                  <c:v>27.3</c:v>
                </c:pt>
                <c:pt idx="8">
                  <c:v>25.21</c:v>
                </c:pt>
                <c:pt idx="9">
                  <c:v>26.11</c:v>
                </c:pt>
                <c:pt idx="10">
                  <c:v>27.42</c:v>
                </c:pt>
                <c:pt idx="11">
                  <c:v>27.34</c:v>
                </c:pt>
                <c:pt idx="12">
                  <c:v>27.33</c:v>
                </c:pt>
                <c:pt idx="13">
                  <c:v>28.52</c:v>
                </c:pt>
                <c:pt idx="14">
                  <c:v>28.58</c:v>
                </c:pt>
                <c:pt idx="15">
                  <c:v>29.09</c:v>
                </c:pt>
                <c:pt idx="16">
                  <c:v>29.49</c:v>
                </c:pt>
                <c:pt idx="17">
                  <c:v>28.06</c:v>
                </c:pt>
                <c:pt idx="18">
                  <c:v>32.92</c:v>
                </c:pt>
                <c:pt idx="19">
                  <c:v>38.33</c:v>
                </c:pt>
                <c:pt idx="20">
                  <c:v>35.700000000000003</c:v>
                </c:pt>
                <c:pt idx="21">
                  <c:v>31.47</c:v>
                </c:pt>
                <c:pt idx="22">
                  <c:v>31.14</c:v>
                </c:pt>
                <c:pt idx="23">
                  <c:v>31.54</c:v>
                </c:pt>
                <c:pt idx="24">
                  <c:v>31.16</c:v>
                </c:pt>
                <c:pt idx="25">
                  <c:v>30.56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AE-47A1-A1F4-2E8C77CEF40C}"/>
            </c:ext>
          </c:extLst>
        </c:ser>
        <c:ser>
          <c:idx val="5"/>
          <c:order val="5"/>
          <c:tx>
            <c:strRef>
              <c:f>M4A4!$A$10</c:f>
              <c:strCache>
                <c:ptCount val="1"/>
                <c:pt idx="0">
                  <c:v>Neo-Noir MW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M4A4!$B$4:$BY$4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M4A4!$B$10:$BY$10</c:f>
              <c:numCache>
                <c:formatCode>General</c:formatCode>
                <c:ptCount val="76"/>
                <c:pt idx="0">
                  <c:v>29.07</c:v>
                </c:pt>
                <c:pt idx="1">
                  <c:v>29.37</c:v>
                </c:pt>
                <c:pt idx="2">
                  <c:v>26.79</c:v>
                </c:pt>
                <c:pt idx="3">
                  <c:v>27.5</c:v>
                </c:pt>
                <c:pt idx="4">
                  <c:v>27.26</c:v>
                </c:pt>
                <c:pt idx="5">
                  <c:v>28.86</c:v>
                </c:pt>
                <c:pt idx="6">
                  <c:v>27.29</c:v>
                </c:pt>
                <c:pt idx="7">
                  <c:v>25.83</c:v>
                </c:pt>
                <c:pt idx="8">
                  <c:v>26.17</c:v>
                </c:pt>
                <c:pt idx="9">
                  <c:v>25.72</c:v>
                </c:pt>
                <c:pt idx="10">
                  <c:v>27.42</c:v>
                </c:pt>
                <c:pt idx="11">
                  <c:v>25.94</c:v>
                </c:pt>
                <c:pt idx="12">
                  <c:v>26.04</c:v>
                </c:pt>
                <c:pt idx="13">
                  <c:v>25.26</c:v>
                </c:pt>
                <c:pt idx="14">
                  <c:v>27.4</c:v>
                </c:pt>
                <c:pt idx="15">
                  <c:v>27.17</c:v>
                </c:pt>
                <c:pt idx="16">
                  <c:v>26.02</c:v>
                </c:pt>
                <c:pt idx="17">
                  <c:v>26.27</c:v>
                </c:pt>
                <c:pt idx="18">
                  <c:v>27.83</c:v>
                </c:pt>
                <c:pt idx="19">
                  <c:v>26.99</c:v>
                </c:pt>
                <c:pt idx="20">
                  <c:v>25.85</c:v>
                </c:pt>
                <c:pt idx="21">
                  <c:v>28.1</c:v>
                </c:pt>
                <c:pt idx="22">
                  <c:v>26.37</c:v>
                </c:pt>
                <c:pt idx="23">
                  <c:v>26.59</c:v>
                </c:pt>
                <c:pt idx="24">
                  <c:v>25.22</c:v>
                </c:pt>
                <c:pt idx="25">
                  <c:v>24.19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AE-47A1-A1F4-2E8C77CEF40C}"/>
            </c:ext>
          </c:extLst>
        </c:ser>
        <c:ser>
          <c:idx val="6"/>
          <c:order val="6"/>
          <c:tx>
            <c:strRef>
              <c:f>M4A4!$A$11</c:f>
              <c:strCache>
                <c:ptCount val="1"/>
                <c:pt idx="0">
                  <c:v>The Battlestar FN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M4A4!$B$4:$BY$4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M4A4!$B$11:$BY$11</c:f>
              <c:numCache>
                <c:formatCode>General</c:formatCode>
                <c:ptCount val="76"/>
                <c:pt idx="0">
                  <c:v>14.52</c:v>
                </c:pt>
                <c:pt idx="1">
                  <c:v>13.27</c:v>
                </c:pt>
                <c:pt idx="2">
                  <c:v>13.26</c:v>
                </c:pt>
                <c:pt idx="3">
                  <c:v>14.11</c:v>
                </c:pt>
                <c:pt idx="4">
                  <c:v>14.06</c:v>
                </c:pt>
                <c:pt idx="5">
                  <c:v>14.27</c:v>
                </c:pt>
                <c:pt idx="6">
                  <c:v>13.84</c:v>
                </c:pt>
                <c:pt idx="7">
                  <c:v>13.34</c:v>
                </c:pt>
                <c:pt idx="8">
                  <c:v>12.49</c:v>
                </c:pt>
                <c:pt idx="9">
                  <c:v>12.85</c:v>
                </c:pt>
                <c:pt idx="10">
                  <c:v>12.48</c:v>
                </c:pt>
                <c:pt idx="11">
                  <c:v>13.5</c:v>
                </c:pt>
                <c:pt idx="12">
                  <c:v>13.54</c:v>
                </c:pt>
                <c:pt idx="13">
                  <c:v>13.54</c:v>
                </c:pt>
                <c:pt idx="14">
                  <c:v>14.22</c:v>
                </c:pt>
                <c:pt idx="15">
                  <c:v>13.54</c:v>
                </c:pt>
                <c:pt idx="16">
                  <c:v>13.19</c:v>
                </c:pt>
                <c:pt idx="17">
                  <c:v>13.66</c:v>
                </c:pt>
                <c:pt idx="18">
                  <c:v>12.69</c:v>
                </c:pt>
                <c:pt idx="19">
                  <c:v>13.66</c:v>
                </c:pt>
                <c:pt idx="20">
                  <c:v>13.27</c:v>
                </c:pt>
                <c:pt idx="21">
                  <c:v>13.63</c:v>
                </c:pt>
                <c:pt idx="22">
                  <c:v>13.64</c:v>
                </c:pt>
                <c:pt idx="23">
                  <c:v>13.66</c:v>
                </c:pt>
                <c:pt idx="24">
                  <c:v>13.69</c:v>
                </c:pt>
                <c:pt idx="25">
                  <c:v>13.68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AE-47A1-A1F4-2E8C77CEF40C}"/>
            </c:ext>
          </c:extLst>
        </c:ser>
        <c:ser>
          <c:idx val="7"/>
          <c:order val="7"/>
          <c:tx>
            <c:strRef>
              <c:f>M4A4!$A$12</c:f>
              <c:strCache>
                <c:ptCount val="1"/>
                <c:pt idx="0">
                  <c:v>Stattrak Cyber Security MW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M4A4!$B$4:$BY$4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M4A4!$B$12:$BY$12</c:f>
              <c:numCache>
                <c:formatCode>General</c:formatCode>
                <c:ptCount val="76"/>
                <c:pt idx="0">
                  <c:v>33.21</c:v>
                </c:pt>
                <c:pt idx="1">
                  <c:v>31.65</c:v>
                </c:pt>
                <c:pt idx="2">
                  <c:v>29.18</c:v>
                </c:pt>
                <c:pt idx="3">
                  <c:v>31.74</c:v>
                </c:pt>
                <c:pt idx="4">
                  <c:v>29.35</c:v>
                </c:pt>
                <c:pt idx="5">
                  <c:v>30.3</c:v>
                </c:pt>
                <c:pt idx="6">
                  <c:v>30.75</c:v>
                </c:pt>
                <c:pt idx="7">
                  <c:v>28.8</c:v>
                </c:pt>
                <c:pt idx="8">
                  <c:v>30.22</c:v>
                </c:pt>
                <c:pt idx="9">
                  <c:v>28.81</c:v>
                </c:pt>
                <c:pt idx="10">
                  <c:v>28.69</c:v>
                </c:pt>
                <c:pt idx="11">
                  <c:v>27.92</c:v>
                </c:pt>
                <c:pt idx="12">
                  <c:v>28.87</c:v>
                </c:pt>
                <c:pt idx="13">
                  <c:v>29.99</c:v>
                </c:pt>
                <c:pt idx="14">
                  <c:v>28.9</c:v>
                </c:pt>
                <c:pt idx="15">
                  <c:v>29.12</c:v>
                </c:pt>
                <c:pt idx="16">
                  <c:v>29.62</c:v>
                </c:pt>
                <c:pt idx="17">
                  <c:v>28.55</c:v>
                </c:pt>
                <c:pt idx="18">
                  <c:v>29.16</c:v>
                </c:pt>
                <c:pt idx="19">
                  <c:v>29.07</c:v>
                </c:pt>
                <c:pt idx="20">
                  <c:v>29.04</c:v>
                </c:pt>
                <c:pt idx="21">
                  <c:v>30.67</c:v>
                </c:pt>
                <c:pt idx="22">
                  <c:v>28.92</c:v>
                </c:pt>
                <c:pt idx="23">
                  <c:v>29.44</c:v>
                </c:pt>
                <c:pt idx="24">
                  <c:v>30.41</c:v>
                </c:pt>
                <c:pt idx="25">
                  <c:v>29.82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AE-47A1-A1F4-2E8C77CE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167599"/>
        <c:axId val="2038941039"/>
      </c:lineChart>
      <c:dateAx>
        <c:axId val="20581675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38941039"/>
        <c:crosses val="autoZero"/>
        <c:auto val="1"/>
        <c:lblOffset val="100"/>
        <c:baseTimeUnit val="days"/>
      </c:dateAx>
      <c:valAx>
        <c:axId val="203894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581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M4A1-S-Skins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'M4A1-S'!$A$5</c:f>
              <c:strCache>
                <c:ptCount val="1"/>
                <c:pt idx="0">
                  <c:v>Golden Coil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'M4A1-S'!$B$4:$BY$4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'M4A1-S'!$B$5:$BY$5</c:f>
              <c:numCache>
                <c:formatCode>General</c:formatCode>
                <c:ptCount val="76"/>
                <c:pt idx="0">
                  <c:v>15.54</c:v>
                </c:pt>
                <c:pt idx="1">
                  <c:v>15.25</c:v>
                </c:pt>
                <c:pt idx="2">
                  <c:v>15.81</c:v>
                </c:pt>
                <c:pt idx="3">
                  <c:v>15.02</c:v>
                </c:pt>
                <c:pt idx="4">
                  <c:v>15.8</c:v>
                </c:pt>
                <c:pt idx="5">
                  <c:v>15.47</c:v>
                </c:pt>
                <c:pt idx="6">
                  <c:v>15.35</c:v>
                </c:pt>
                <c:pt idx="7">
                  <c:v>15.48</c:v>
                </c:pt>
                <c:pt idx="8">
                  <c:v>15.22</c:v>
                </c:pt>
                <c:pt idx="9">
                  <c:v>14.51</c:v>
                </c:pt>
                <c:pt idx="10">
                  <c:v>15.48</c:v>
                </c:pt>
                <c:pt idx="11">
                  <c:v>14.67</c:v>
                </c:pt>
                <c:pt idx="12">
                  <c:v>14.07</c:v>
                </c:pt>
                <c:pt idx="13">
                  <c:v>14.65</c:v>
                </c:pt>
                <c:pt idx="14">
                  <c:v>14.89</c:v>
                </c:pt>
                <c:pt idx="15">
                  <c:v>14.91</c:v>
                </c:pt>
                <c:pt idx="16">
                  <c:v>15.3</c:v>
                </c:pt>
                <c:pt idx="17">
                  <c:v>15.45</c:v>
                </c:pt>
                <c:pt idx="18">
                  <c:v>14.51</c:v>
                </c:pt>
                <c:pt idx="19">
                  <c:v>14.75</c:v>
                </c:pt>
                <c:pt idx="20">
                  <c:v>15.68</c:v>
                </c:pt>
                <c:pt idx="21">
                  <c:v>15.31</c:v>
                </c:pt>
                <c:pt idx="22">
                  <c:v>14.89</c:v>
                </c:pt>
                <c:pt idx="23">
                  <c:v>14.49</c:v>
                </c:pt>
                <c:pt idx="24">
                  <c:v>15.93</c:v>
                </c:pt>
                <c:pt idx="25">
                  <c:v>14.09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B-4CE0-8319-E7B679268C2E}"/>
            </c:ext>
          </c:extLst>
        </c:ser>
        <c:ser>
          <c:idx val="1"/>
          <c:order val="1"/>
          <c:tx>
            <c:strRef>
              <c:f>'M4A1-S'!$A$6</c:f>
              <c:strCache>
                <c:ptCount val="1"/>
                <c:pt idx="0">
                  <c:v>Hyper Beast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'M4A1-S'!$B$4:$BY$4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'M4A1-S'!$B$6:$BY$6</c:f>
              <c:numCache>
                <c:formatCode>General</c:formatCode>
                <c:ptCount val="76"/>
                <c:pt idx="0">
                  <c:v>21.98</c:v>
                </c:pt>
                <c:pt idx="1">
                  <c:v>21.05</c:v>
                </c:pt>
                <c:pt idx="2">
                  <c:v>20.67</c:v>
                </c:pt>
                <c:pt idx="3">
                  <c:v>19.8</c:v>
                </c:pt>
                <c:pt idx="4">
                  <c:v>21.22</c:v>
                </c:pt>
                <c:pt idx="5">
                  <c:v>21.31</c:v>
                </c:pt>
                <c:pt idx="6">
                  <c:v>21.25</c:v>
                </c:pt>
                <c:pt idx="7">
                  <c:v>21.06</c:v>
                </c:pt>
                <c:pt idx="8">
                  <c:v>20.420000000000002</c:v>
                </c:pt>
                <c:pt idx="9">
                  <c:v>20.03</c:v>
                </c:pt>
                <c:pt idx="10">
                  <c:v>20.100000000000001</c:v>
                </c:pt>
                <c:pt idx="11">
                  <c:v>19.739999999999998</c:v>
                </c:pt>
                <c:pt idx="12">
                  <c:v>20.52</c:v>
                </c:pt>
                <c:pt idx="13">
                  <c:v>21.08</c:v>
                </c:pt>
                <c:pt idx="14">
                  <c:v>21.17</c:v>
                </c:pt>
                <c:pt idx="15">
                  <c:v>21.44</c:v>
                </c:pt>
                <c:pt idx="16">
                  <c:v>19.41</c:v>
                </c:pt>
                <c:pt idx="17">
                  <c:v>19.41</c:v>
                </c:pt>
                <c:pt idx="18">
                  <c:v>20.84</c:v>
                </c:pt>
                <c:pt idx="19">
                  <c:v>20.7</c:v>
                </c:pt>
                <c:pt idx="20">
                  <c:v>21.47</c:v>
                </c:pt>
                <c:pt idx="21">
                  <c:v>20.059999999999999</c:v>
                </c:pt>
                <c:pt idx="22">
                  <c:v>19.809999999999999</c:v>
                </c:pt>
                <c:pt idx="23">
                  <c:v>20.55</c:v>
                </c:pt>
                <c:pt idx="24">
                  <c:v>20.6</c:v>
                </c:pt>
                <c:pt idx="25">
                  <c:v>20.93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1B-4CE0-8319-E7B679268C2E}"/>
            </c:ext>
          </c:extLst>
        </c:ser>
        <c:ser>
          <c:idx val="2"/>
          <c:order val="2"/>
          <c:tx>
            <c:strRef>
              <c:f>'M4A1-S'!$A$7</c:f>
              <c:strCache>
                <c:ptCount val="1"/>
                <c:pt idx="0">
                  <c:v>Stattrak Cyrex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'M4A1-S'!$B$4:$BY$4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'M4A1-S'!$B$7:$BY$7</c:f>
              <c:numCache>
                <c:formatCode>General</c:formatCode>
                <c:ptCount val="76"/>
                <c:pt idx="0">
                  <c:v>36.200000000000003</c:v>
                </c:pt>
                <c:pt idx="1">
                  <c:v>34.799999999999997</c:v>
                </c:pt>
                <c:pt idx="2">
                  <c:v>33.229999999999997</c:v>
                </c:pt>
                <c:pt idx="3">
                  <c:v>33.31</c:v>
                </c:pt>
                <c:pt idx="4">
                  <c:v>34.51</c:v>
                </c:pt>
                <c:pt idx="5">
                  <c:v>33.049999999999997</c:v>
                </c:pt>
                <c:pt idx="6">
                  <c:v>31.31</c:v>
                </c:pt>
                <c:pt idx="7">
                  <c:v>33.380000000000003</c:v>
                </c:pt>
                <c:pt idx="8">
                  <c:v>33.380000000000003</c:v>
                </c:pt>
                <c:pt idx="9">
                  <c:v>33.01</c:v>
                </c:pt>
                <c:pt idx="10">
                  <c:v>30.97</c:v>
                </c:pt>
                <c:pt idx="11">
                  <c:v>34.409999999999997</c:v>
                </c:pt>
                <c:pt idx="12">
                  <c:v>34.11</c:v>
                </c:pt>
                <c:pt idx="13">
                  <c:v>41.12</c:v>
                </c:pt>
                <c:pt idx="14">
                  <c:v>36.270000000000003</c:v>
                </c:pt>
                <c:pt idx="15">
                  <c:v>35.090000000000003</c:v>
                </c:pt>
                <c:pt idx="16">
                  <c:v>35.93</c:v>
                </c:pt>
                <c:pt idx="17">
                  <c:v>33.97</c:v>
                </c:pt>
                <c:pt idx="18">
                  <c:v>35.33</c:v>
                </c:pt>
                <c:pt idx="19">
                  <c:v>32.56</c:v>
                </c:pt>
                <c:pt idx="20">
                  <c:v>31.05</c:v>
                </c:pt>
                <c:pt idx="21">
                  <c:v>31.98</c:v>
                </c:pt>
                <c:pt idx="22">
                  <c:v>32.85</c:v>
                </c:pt>
                <c:pt idx="23">
                  <c:v>33.24</c:v>
                </c:pt>
                <c:pt idx="24">
                  <c:v>33.86</c:v>
                </c:pt>
                <c:pt idx="25">
                  <c:v>34.56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1B-4CE0-8319-E7B679268C2E}"/>
            </c:ext>
          </c:extLst>
        </c:ser>
        <c:ser>
          <c:idx val="3"/>
          <c:order val="3"/>
          <c:tx>
            <c:strRef>
              <c:f>'M4A1-S'!$A$8</c:f>
              <c:strCache>
                <c:ptCount val="1"/>
                <c:pt idx="0">
                  <c:v>Flashback FN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'M4A1-S'!$B$4:$BY$4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'M4A1-S'!$B$8:$BY$8</c:f>
              <c:numCache>
                <c:formatCode>General</c:formatCode>
                <c:ptCount val="76"/>
                <c:pt idx="0">
                  <c:v>2.92</c:v>
                </c:pt>
                <c:pt idx="1">
                  <c:v>3.01</c:v>
                </c:pt>
                <c:pt idx="2">
                  <c:v>2.89</c:v>
                </c:pt>
                <c:pt idx="3">
                  <c:v>2.81</c:v>
                </c:pt>
                <c:pt idx="4">
                  <c:v>2.82</c:v>
                </c:pt>
                <c:pt idx="5">
                  <c:v>2.91</c:v>
                </c:pt>
                <c:pt idx="6">
                  <c:v>2.84</c:v>
                </c:pt>
                <c:pt idx="7">
                  <c:v>2.78</c:v>
                </c:pt>
                <c:pt idx="8">
                  <c:v>2.71</c:v>
                </c:pt>
                <c:pt idx="9">
                  <c:v>2.68</c:v>
                </c:pt>
                <c:pt idx="10">
                  <c:v>2.81</c:v>
                </c:pt>
                <c:pt idx="11">
                  <c:v>2.54</c:v>
                </c:pt>
                <c:pt idx="12">
                  <c:v>2.64</c:v>
                </c:pt>
                <c:pt idx="13">
                  <c:v>2.77</c:v>
                </c:pt>
                <c:pt idx="14">
                  <c:v>2.5</c:v>
                </c:pt>
                <c:pt idx="15">
                  <c:v>2.5299999999999998</c:v>
                </c:pt>
                <c:pt idx="16">
                  <c:v>2.4500000000000002</c:v>
                </c:pt>
                <c:pt idx="17">
                  <c:v>2.5</c:v>
                </c:pt>
                <c:pt idx="18">
                  <c:v>2.4500000000000002</c:v>
                </c:pt>
                <c:pt idx="19">
                  <c:v>2.4700000000000002</c:v>
                </c:pt>
                <c:pt idx="20">
                  <c:v>2.5299999999999998</c:v>
                </c:pt>
                <c:pt idx="21">
                  <c:v>2.36</c:v>
                </c:pt>
                <c:pt idx="22">
                  <c:v>2.5299999999999998</c:v>
                </c:pt>
                <c:pt idx="23">
                  <c:v>2.5</c:v>
                </c:pt>
                <c:pt idx="24">
                  <c:v>2.5299999999999998</c:v>
                </c:pt>
                <c:pt idx="25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1B-4CE0-8319-E7B679268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9382319"/>
        <c:axId val="2038924399"/>
      </c:lineChart>
      <c:dateAx>
        <c:axId val="1919382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38924399"/>
        <c:crosses val="autoZero"/>
        <c:auto val="1"/>
        <c:lblOffset val="100"/>
        <c:baseTimeUnit val="days"/>
      </c:dateAx>
      <c:valAx>
        <c:axId val="203892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1938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AK47-Skins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'AK47'!$A$5</c:f>
              <c:strCache>
                <c:ptCount val="1"/>
                <c:pt idx="0">
                  <c:v>Redline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'AK47'!$B$4:$BY$4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'AK47'!$B$5:$BY$5</c:f>
              <c:numCache>
                <c:formatCode>General</c:formatCode>
                <c:ptCount val="76"/>
                <c:pt idx="0">
                  <c:v>18.21</c:v>
                </c:pt>
                <c:pt idx="1">
                  <c:v>18.21</c:v>
                </c:pt>
                <c:pt idx="2">
                  <c:v>18.36</c:v>
                </c:pt>
                <c:pt idx="3">
                  <c:v>18.21</c:v>
                </c:pt>
                <c:pt idx="4">
                  <c:v>18.2</c:v>
                </c:pt>
                <c:pt idx="5">
                  <c:v>18.899999999999999</c:v>
                </c:pt>
                <c:pt idx="6">
                  <c:v>17.899999999999999</c:v>
                </c:pt>
                <c:pt idx="7">
                  <c:v>18.010000000000002</c:v>
                </c:pt>
                <c:pt idx="8">
                  <c:v>18.05</c:v>
                </c:pt>
                <c:pt idx="9">
                  <c:v>18.100000000000001</c:v>
                </c:pt>
                <c:pt idx="10">
                  <c:v>18.11</c:v>
                </c:pt>
                <c:pt idx="11">
                  <c:v>17.559999999999999</c:v>
                </c:pt>
                <c:pt idx="12">
                  <c:v>18.05</c:v>
                </c:pt>
                <c:pt idx="13">
                  <c:v>17.829999999999998</c:v>
                </c:pt>
                <c:pt idx="14">
                  <c:v>17.53</c:v>
                </c:pt>
                <c:pt idx="15">
                  <c:v>17.329999999999998</c:v>
                </c:pt>
                <c:pt idx="16">
                  <c:v>17.55</c:v>
                </c:pt>
                <c:pt idx="17">
                  <c:v>17.43</c:v>
                </c:pt>
                <c:pt idx="18">
                  <c:v>17.559999999999999</c:v>
                </c:pt>
                <c:pt idx="19">
                  <c:v>17.63</c:v>
                </c:pt>
                <c:pt idx="20">
                  <c:v>17.88</c:v>
                </c:pt>
                <c:pt idx="21">
                  <c:v>17.63</c:v>
                </c:pt>
                <c:pt idx="22">
                  <c:v>17.45</c:v>
                </c:pt>
                <c:pt idx="23">
                  <c:v>17.34</c:v>
                </c:pt>
                <c:pt idx="24">
                  <c:v>17.190000000000001</c:v>
                </c:pt>
                <c:pt idx="25">
                  <c:v>17.07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C-474D-AB15-0168C7622C04}"/>
            </c:ext>
          </c:extLst>
        </c:ser>
        <c:ser>
          <c:idx val="1"/>
          <c:order val="1"/>
          <c:tx>
            <c:strRef>
              <c:f>'AK47'!$A$6</c:f>
              <c:strCache>
                <c:ptCount val="1"/>
                <c:pt idx="0">
                  <c:v>Vulcan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'AK47'!$B$4:$BY$4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'AK47'!$B$6:$BY$6</c:f>
              <c:numCache>
                <c:formatCode>General</c:formatCode>
                <c:ptCount val="76"/>
                <c:pt idx="0">
                  <c:v>192.99</c:v>
                </c:pt>
                <c:pt idx="1">
                  <c:v>203.36</c:v>
                </c:pt>
                <c:pt idx="2">
                  <c:v>210.82</c:v>
                </c:pt>
                <c:pt idx="3">
                  <c:v>201.42</c:v>
                </c:pt>
                <c:pt idx="4">
                  <c:v>212.4</c:v>
                </c:pt>
                <c:pt idx="5">
                  <c:v>197.46</c:v>
                </c:pt>
                <c:pt idx="6">
                  <c:v>200.73</c:v>
                </c:pt>
                <c:pt idx="7">
                  <c:v>207.88</c:v>
                </c:pt>
                <c:pt idx="8">
                  <c:v>194.84</c:v>
                </c:pt>
                <c:pt idx="9">
                  <c:v>215.86</c:v>
                </c:pt>
                <c:pt idx="10">
                  <c:v>215.62</c:v>
                </c:pt>
                <c:pt idx="11">
                  <c:v>213.15</c:v>
                </c:pt>
                <c:pt idx="12">
                  <c:v>195.27</c:v>
                </c:pt>
                <c:pt idx="13">
                  <c:v>206.84</c:v>
                </c:pt>
                <c:pt idx="14">
                  <c:v>206.2</c:v>
                </c:pt>
                <c:pt idx="15">
                  <c:v>217.85</c:v>
                </c:pt>
                <c:pt idx="16">
                  <c:v>214.41</c:v>
                </c:pt>
                <c:pt idx="17">
                  <c:v>219.34</c:v>
                </c:pt>
                <c:pt idx="18">
                  <c:v>226.95</c:v>
                </c:pt>
                <c:pt idx="19">
                  <c:v>265.85000000000002</c:v>
                </c:pt>
                <c:pt idx="20">
                  <c:v>250.41</c:v>
                </c:pt>
                <c:pt idx="21">
                  <c:v>246.91</c:v>
                </c:pt>
                <c:pt idx="22">
                  <c:v>251.75</c:v>
                </c:pt>
                <c:pt idx="23">
                  <c:v>287.68</c:v>
                </c:pt>
                <c:pt idx="24">
                  <c:v>239.75</c:v>
                </c:pt>
                <c:pt idx="25">
                  <c:v>239.15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C-474D-AB15-0168C7622C04}"/>
            </c:ext>
          </c:extLst>
        </c:ser>
        <c:ser>
          <c:idx val="2"/>
          <c:order val="2"/>
          <c:tx>
            <c:strRef>
              <c:f>'AK47'!$A$7</c:f>
              <c:strCache>
                <c:ptCount val="1"/>
                <c:pt idx="0">
                  <c:v>Bloodsport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'AK47'!$B$4:$BY$4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'AK47'!$B$7:$BY$7</c:f>
              <c:numCache>
                <c:formatCode>General</c:formatCode>
                <c:ptCount val="76"/>
                <c:pt idx="0">
                  <c:v>62.15</c:v>
                </c:pt>
                <c:pt idx="1">
                  <c:v>61.77</c:v>
                </c:pt>
                <c:pt idx="2">
                  <c:v>62.83</c:v>
                </c:pt>
                <c:pt idx="3">
                  <c:v>62.69</c:v>
                </c:pt>
                <c:pt idx="4">
                  <c:v>59.41</c:v>
                </c:pt>
                <c:pt idx="5">
                  <c:v>62.97</c:v>
                </c:pt>
                <c:pt idx="6">
                  <c:v>61.22</c:v>
                </c:pt>
                <c:pt idx="7">
                  <c:v>59.28</c:v>
                </c:pt>
                <c:pt idx="8">
                  <c:v>60</c:v>
                </c:pt>
                <c:pt idx="9">
                  <c:v>61.12</c:v>
                </c:pt>
                <c:pt idx="10">
                  <c:v>60.26</c:v>
                </c:pt>
                <c:pt idx="11">
                  <c:v>60.03</c:v>
                </c:pt>
                <c:pt idx="12">
                  <c:v>60.1</c:v>
                </c:pt>
                <c:pt idx="13">
                  <c:v>61.83</c:v>
                </c:pt>
                <c:pt idx="14">
                  <c:v>63.61</c:v>
                </c:pt>
                <c:pt idx="15">
                  <c:v>59.98</c:v>
                </c:pt>
                <c:pt idx="16">
                  <c:v>60.1</c:v>
                </c:pt>
                <c:pt idx="17">
                  <c:v>61.21</c:v>
                </c:pt>
                <c:pt idx="18">
                  <c:v>60.3</c:v>
                </c:pt>
                <c:pt idx="19">
                  <c:v>60</c:v>
                </c:pt>
                <c:pt idx="20">
                  <c:v>61.55</c:v>
                </c:pt>
                <c:pt idx="21">
                  <c:v>64.63</c:v>
                </c:pt>
                <c:pt idx="22">
                  <c:v>60.98</c:v>
                </c:pt>
                <c:pt idx="23">
                  <c:v>60.11</c:v>
                </c:pt>
                <c:pt idx="24">
                  <c:v>58.2</c:v>
                </c:pt>
                <c:pt idx="25">
                  <c:v>59.95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C-474D-AB15-0168C7622C04}"/>
            </c:ext>
          </c:extLst>
        </c:ser>
        <c:ser>
          <c:idx val="3"/>
          <c:order val="3"/>
          <c:tx>
            <c:strRef>
              <c:f>'AK47'!$A$8</c:f>
              <c:strCache>
                <c:ptCount val="1"/>
                <c:pt idx="0">
                  <c:v>Stattrak Point Disarray 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'AK47'!$B$4:$BY$4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'AK47'!$B$8:$BY$8</c:f>
              <c:numCache>
                <c:formatCode>General</c:formatCode>
                <c:ptCount val="76"/>
                <c:pt idx="0">
                  <c:v>37.770000000000003</c:v>
                </c:pt>
                <c:pt idx="1">
                  <c:v>40.4</c:v>
                </c:pt>
                <c:pt idx="2">
                  <c:v>39.340000000000003</c:v>
                </c:pt>
                <c:pt idx="3">
                  <c:v>38.5</c:v>
                </c:pt>
                <c:pt idx="4">
                  <c:v>40.049999999999997</c:v>
                </c:pt>
                <c:pt idx="5">
                  <c:v>39.93</c:v>
                </c:pt>
                <c:pt idx="6">
                  <c:v>38.409999999999997</c:v>
                </c:pt>
                <c:pt idx="7">
                  <c:v>38.11</c:v>
                </c:pt>
                <c:pt idx="8">
                  <c:v>37.81</c:v>
                </c:pt>
                <c:pt idx="9">
                  <c:v>37.83</c:v>
                </c:pt>
                <c:pt idx="10">
                  <c:v>39.6</c:v>
                </c:pt>
                <c:pt idx="11">
                  <c:v>39.72</c:v>
                </c:pt>
                <c:pt idx="12">
                  <c:v>39.450000000000003</c:v>
                </c:pt>
                <c:pt idx="13">
                  <c:v>35.369999999999997</c:v>
                </c:pt>
                <c:pt idx="14">
                  <c:v>38.56</c:v>
                </c:pt>
                <c:pt idx="15">
                  <c:v>37.049999999999997</c:v>
                </c:pt>
                <c:pt idx="16">
                  <c:v>38.83</c:v>
                </c:pt>
                <c:pt idx="17">
                  <c:v>39.65</c:v>
                </c:pt>
                <c:pt idx="18">
                  <c:v>35.33</c:v>
                </c:pt>
                <c:pt idx="19">
                  <c:v>34.11</c:v>
                </c:pt>
                <c:pt idx="20">
                  <c:v>35.04</c:v>
                </c:pt>
                <c:pt idx="21">
                  <c:v>36.93</c:v>
                </c:pt>
                <c:pt idx="22">
                  <c:v>35.82</c:v>
                </c:pt>
                <c:pt idx="23">
                  <c:v>36.630000000000003</c:v>
                </c:pt>
                <c:pt idx="24">
                  <c:v>37.69</c:v>
                </c:pt>
                <c:pt idx="25">
                  <c:v>36.58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FC-474D-AB15-0168C7622C04}"/>
            </c:ext>
          </c:extLst>
        </c:ser>
        <c:ser>
          <c:idx val="4"/>
          <c:order val="4"/>
          <c:tx>
            <c:strRef>
              <c:f>'AK47'!$A$9</c:f>
              <c:strCache>
                <c:ptCount val="1"/>
                <c:pt idx="0">
                  <c:v>Frontside Misty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'AK47'!$B$4:$BY$4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'AK47'!$B$9:$BY$9</c:f>
              <c:numCache>
                <c:formatCode>General</c:formatCode>
                <c:ptCount val="76"/>
                <c:pt idx="0">
                  <c:v>26.57</c:v>
                </c:pt>
                <c:pt idx="1">
                  <c:v>27.42</c:v>
                </c:pt>
                <c:pt idx="2">
                  <c:v>27.83</c:v>
                </c:pt>
                <c:pt idx="3">
                  <c:v>27.26</c:v>
                </c:pt>
                <c:pt idx="4">
                  <c:v>25.67</c:v>
                </c:pt>
                <c:pt idx="5">
                  <c:v>25.26</c:v>
                </c:pt>
                <c:pt idx="6">
                  <c:v>25.26</c:v>
                </c:pt>
                <c:pt idx="7">
                  <c:v>25.88</c:v>
                </c:pt>
                <c:pt idx="8">
                  <c:v>26.82</c:v>
                </c:pt>
                <c:pt idx="9">
                  <c:v>25.54</c:v>
                </c:pt>
                <c:pt idx="10">
                  <c:v>24.7</c:v>
                </c:pt>
                <c:pt idx="11">
                  <c:v>25.46</c:v>
                </c:pt>
                <c:pt idx="12">
                  <c:v>25.22</c:v>
                </c:pt>
                <c:pt idx="13">
                  <c:v>25.89</c:v>
                </c:pt>
                <c:pt idx="14">
                  <c:v>25.22</c:v>
                </c:pt>
                <c:pt idx="15">
                  <c:v>27.19</c:v>
                </c:pt>
                <c:pt idx="16">
                  <c:v>26.35</c:v>
                </c:pt>
                <c:pt idx="17">
                  <c:v>26</c:v>
                </c:pt>
                <c:pt idx="18">
                  <c:v>25.71</c:v>
                </c:pt>
                <c:pt idx="19">
                  <c:v>26.46</c:v>
                </c:pt>
                <c:pt idx="20">
                  <c:v>26.13</c:v>
                </c:pt>
                <c:pt idx="21">
                  <c:v>26.29</c:v>
                </c:pt>
                <c:pt idx="22">
                  <c:v>27.39</c:v>
                </c:pt>
                <c:pt idx="23">
                  <c:v>26.62</c:v>
                </c:pt>
                <c:pt idx="24">
                  <c:v>26.37</c:v>
                </c:pt>
                <c:pt idx="25">
                  <c:v>25.81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C-474D-AB15-0168C7622C04}"/>
            </c:ext>
          </c:extLst>
        </c:ser>
        <c:ser>
          <c:idx val="5"/>
          <c:order val="5"/>
          <c:tx>
            <c:strRef>
              <c:f>'AK47'!$A$10</c:f>
              <c:strCache>
                <c:ptCount val="1"/>
                <c:pt idx="0">
                  <c:v>Aquamarine Revenge MW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'AK47'!$B$4:$BY$4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'AK47'!$B$10:$BY$10</c:f>
              <c:numCache>
                <c:formatCode>General</c:formatCode>
                <c:ptCount val="76"/>
                <c:pt idx="0">
                  <c:v>47.51</c:v>
                </c:pt>
                <c:pt idx="1">
                  <c:v>47.17</c:v>
                </c:pt>
                <c:pt idx="2">
                  <c:v>49.37</c:v>
                </c:pt>
                <c:pt idx="3">
                  <c:v>48.37</c:v>
                </c:pt>
                <c:pt idx="4">
                  <c:v>46.08</c:v>
                </c:pt>
                <c:pt idx="5">
                  <c:v>44.96</c:v>
                </c:pt>
                <c:pt idx="6">
                  <c:v>46.07</c:v>
                </c:pt>
                <c:pt idx="7">
                  <c:v>45.89</c:v>
                </c:pt>
                <c:pt idx="8">
                  <c:v>44.94</c:v>
                </c:pt>
                <c:pt idx="9">
                  <c:v>45.49</c:v>
                </c:pt>
                <c:pt idx="10">
                  <c:v>46.09</c:v>
                </c:pt>
                <c:pt idx="11">
                  <c:v>45.74</c:v>
                </c:pt>
                <c:pt idx="12">
                  <c:v>45.73</c:v>
                </c:pt>
                <c:pt idx="13">
                  <c:v>44.74</c:v>
                </c:pt>
                <c:pt idx="14">
                  <c:v>44.91</c:v>
                </c:pt>
                <c:pt idx="15">
                  <c:v>46.13</c:v>
                </c:pt>
                <c:pt idx="16">
                  <c:v>46.46</c:v>
                </c:pt>
                <c:pt idx="17">
                  <c:v>45.58</c:v>
                </c:pt>
                <c:pt idx="18">
                  <c:v>45.39</c:v>
                </c:pt>
                <c:pt idx="19">
                  <c:v>43.55</c:v>
                </c:pt>
                <c:pt idx="20">
                  <c:v>46.01</c:v>
                </c:pt>
                <c:pt idx="21">
                  <c:v>44.97</c:v>
                </c:pt>
                <c:pt idx="22">
                  <c:v>44.91</c:v>
                </c:pt>
                <c:pt idx="23">
                  <c:v>44.62</c:v>
                </c:pt>
                <c:pt idx="24">
                  <c:v>45.55</c:v>
                </c:pt>
                <c:pt idx="25">
                  <c:v>45.62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FC-474D-AB15-0168C7622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170399"/>
        <c:axId val="2038944367"/>
      </c:lineChart>
      <c:dateAx>
        <c:axId val="20581703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38944367"/>
        <c:crosses val="autoZero"/>
        <c:auto val="1"/>
        <c:lblOffset val="100"/>
        <c:baseTimeUnit val="days"/>
      </c:dateAx>
      <c:valAx>
        <c:axId val="203894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5817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SMG-Skins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SMG!$A$5</c:f>
              <c:strCache>
                <c:ptCount val="1"/>
                <c:pt idx="0">
                  <c:v>Stattrak PP-Bizon Osiris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SMG!$B$5:$BY$5</c:f>
              <c:numCache>
                <c:formatCode>General</c:formatCode>
                <c:ptCount val="76"/>
                <c:pt idx="0">
                  <c:v>1.46</c:v>
                </c:pt>
                <c:pt idx="1">
                  <c:v>1.44</c:v>
                </c:pt>
                <c:pt idx="2">
                  <c:v>1.44</c:v>
                </c:pt>
                <c:pt idx="3">
                  <c:v>1.39</c:v>
                </c:pt>
                <c:pt idx="4">
                  <c:v>1.47</c:v>
                </c:pt>
                <c:pt idx="5">
                  <c:v>1.44</c:v>
                </c:pt>
                <c:pt idx="6">
                  <c:v>1.43</c:v>
                </c:pt>
                <c:pt idx="7">
                  <c:v>1.39</c:v>
                </c:pt>
                <c:pt idx="8">
                  <c:v>1.43</c:v>
                </c:pt>
                <c:pt idx="9">
                  <c:v>1.53</c:v>
                </c:pt>
                <c:pt idx="10">
                  <c:v>1.54</c:v>
                </c:pt>
                <c:pt idx="11">
                  <c:v>1.57</c:v>
                </c:pt>
                <c:pt idx="12">
                  <c:v>1.65</c:v>
                </c:pt>
                <c:pt idx="13">
                  <c:v>1.61</c:v>
                </c:pt>
                <c:pt idx="14">
                  <c:v>1.61</c:v>
                </c:pt>
                <c:pt idx="15">
                  <c:v>1.65</c:v>
                </c:pt>
                <c:pt idx="16">
                  <c:v>1.58</c:v>
                </c:pt>
                <c:pt idx="17">
                  <c:v>1.49</c:v>
                </c:pt>
                <c:pt idx="18">
                  <c:v>1.46</c:v>
                </c:pt>
                <c:pt idx="19">
                  <c:v>1.44</c:v>
                </c:pt>
                <c:pt idx="20">
                  <c:v>1.52</c:v>
                </c:pt>
                <c:pt idx="21">
                  <c:v>1.44</c:v>
                </c:pt>
                <c:pt idx="22">
                  <c:v>1.44</c:v>
                </c:pt>
                <c:pt idx="23">
                  <c:v>1.41</c:v>
                </c:pt>
                <c:pt idx="24">
                  <c:v>1.4</c:v>
                </c:pt>
                <c:pt idx="2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6-4754-8755-7BB159334307}"/>
            </c:ext>
          </c:extLst>
        </c:ser>
        <c:ser>
          <c:idx val="1"/>
          <c:order val="1"/>
          <c:tx>
            <c:strRef>
              <c:f>SMG!$A$6</c:f>
              <c:strCache>
                <c:ptCount val="1"/>
                <c:pt idx="0">
                  <c:v>P90 Asiimov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SMG!$B$6:$BY$6</c:f>
              <c:numCache>
                <c:formatCode>General</c:formatCode>
                <c:ptCount val="76"/>
                <c:pt idx="0">
                  <c:v>8.36</c:v>
                </c:pt>
                <c:pt idx="1">
                  <c:v>8.0500000000000007</c:v>
                </c:pt>
                <c:pt idx="2">
                  <c:v>7.84</c:v>
                </c:pt>
                <c:pt idx="3">
                  <c:v>8.07</c:v>
                </c:pt>
                <c:pt idx="4">
                  <c:v>8.6999999999999993</c:v>
                </c:pt>
                <c:pt idx="5">
                  <c:v>8.58</c:v>
                </c:pt>
                <c:pt idx="6">
                  <c:v>8.42</c:v>
                </c:pt>
                <c:pt idx="7">
                  <c:v>7.84</c:v>
                </c:pt>
                <c:pt idx="8">
                  <c:v>8.1</c:v>
                </c:pt>
                <c:pt idx="9">
                  <c:v>7.68</c:v>
                </c:pt>
                <c:pt idx="10">
                  <c:v>8.07</c:v>
                </c:pt>
                <c:pt idx="11">
                  <c:v>8.23</c:v>
                </c:pt>
                <c:pt idx="12">
                  <c:v>8.7799999999999994</c:v>
                </c:pt>
                <c:pt idx="13">
                  <c:v>7.94</c:v>
                </c:pt>
                <c:pt idx="14">
                  <c:v>8.4600000000000009</c:v>
                </c:pt>
                <c:pt idx="15">
                  <c:v>8.58</c:v>
                </c:pt>
                <c:pt idx="16">
                  <c:v>7.98</c:v>
                </c:pt>
                <c:pt idx="17">
                  <c:v>8.35</c:v>
                </c:pt>
                <c:pt idx="18">
                  <c:v>8.6300000000000008</c:v>
                </c:pt>
                <c:pt idx="19">
                  <c:v>7.56</c:v>
                </c:pt>
                <c:pt idx="20">
                  <c:v>7.71</c:v>
                </c:pt>
                <c:pt idx="21">
                  <c:v>8.59</c:v>
                </c:pt>
                <c:pt idx="22">
                  <c:v>7.82</c:v>
                </c:pt>
                <c:pt idx="23">
                  <c:v>7.7</c:v>
                </c:pt>
                <c:pt idx="24">
                  <c:v>8.24</c:v>
                </c:pt>
                <c:pt idx="25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26-4754-8755-7BB159334307}"/>
            </c:ext>
          </c:extLst>
        </c:ser>
        <c:ser>
          <c:idx val="2"/>
          <c:order val="2"/>
          <c:tx>
            <c:strRef>
              <c:f>SMG!$A$7</c:f>
              <c:strCache>
                <c:ptCount val="1"/>
                <c:pt idx="0">
                  <c:v>Stattrak MP9 Dart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SMG!$B$7:$BY$7</c:f>
              <c:numCache>
                <c:formatCode>General</c:formatCode>
                <c:ptCount val="76"/>
                <c:pt idx="0">
                  <c:v>1.73</c:v>
                </c:pt>
                <c:pt idx="1">
                  <c:v>1.74</c:v>
                </c:pt>
                <c:pt idx="2">
                  <c:v>1.61</c:v>
                </c:pt>
                <c:pt idx="3">
                  <c:v>1.72</c:v>
                </c:pt>
                <c:pt idx="4">
                  <c:v>1.73</c:v>
                </c:pt>
                <c:pt idx="5">
                  <c:v>1.65</c:v>
                </c:pt>
                <c:pt idx="6">
                  <c:v>1.69</c:v>
                </c:pt>
                <c:pt idx="7">
                  <c:v>1.75</c:v>
                </c:pt>
                <c:pt idx="8">
                  <c:v>2.09</c:v>
                </c:pt>
                <c:pt idx="9">
                  <c:v>1.77</c:v>
                </c:pt>
                <c:pt idx="10">
                  <c:v>1.72</c:v>
                </c:pt>
                <c:pt idx="11">
                  <c:v>1.69</c:v>
                </c:pt>
                <c:pt idx="12">
                  <c:v>1.63</c:v>
                </c:pt>
                <c:pt idx="13">
                  <c:v>1.49</c:v>
                </c:pt>
                <c:pt idx="14">
                  <c:v>1.75</c:v>
                </c:pt>
                <c:pt idx="15">
                  <c:v>1.7</c:v>
                </c:pt>
                <c:pt idx="16">
                  <c:v>1.69</c:v>
                </c:pt>
                <c:pt idx="17">
                  <c:v>1.69</c:v>
                </c:pt>
                <c:pt idx="18">
                  <c:v>1.72</c:v>
                </c:pt>
                <c:pt idx="19">
                  <c:v>1.51</c:v>
                </c:pt>
                <c:pt idx="20">
                  <c:v>1.76</c:v>
                </c:pt>
                <c:pt idx="21">
                  <c:v>1.49</c:v>
                </c:pt>
                <c:pt idx="22">
                  <c:v>1.74</c:v>
                </c:pt>
                <c:pt idx="23">
                  <c:v>1.66</c:v>
                </c:pt>
                <c:pt idx="24">
                  <c:v>1.67</c:v>
                </c:pt>
                <c:pt idx="25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26-4754-8755-7BB159334307}"/>
            </c:ext>
          </c:extLst>
        </c:ser>
        <c:ser>
          <c:idx val="3"/>
          <c:order val="3"/>
          <c:tx>
            <c:strRef>
              <c:f>SMG!$A$8</c:f>
              <c:strCache>
                <c:ptCount val="1"/>
                <c:pt idx="0">
                  <c:v>Stattrak UMP-45 Primal Saber 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SMG!$B$8:$BY$8</c:f>
              <c:numCache>
                <c:formatCode>General</c:formatCode>
                <c:ptCount val="76"/>
                <c:pt idx="0">
                  <c:v>4.41</c:v>
                </c:pt>
                <c:pt idx="1">
                  <c:v>4.16</c:v>
                </c:pt>
                <c:pt idx="2">
                  <c:v>4.37</c:v>
                </c:pt>
                <c:pt idx="3">
                  <c:v>4.34</c:v>
                </c:pt>
                <c:pt idx="4">
                  <c:v>3.77</c:v>
                </c:pt>
                <c:pt idx="5">
                  <c:v>4.34</c:v>
                </c:pt>
                <c:pt idx="6">
                  <c:v>3.96</c:v>
                </c:pt>
                <c:pt idx="7">
                  <c:v>4.2699999999999996</c:v>
                </c:pt>
                <c:pt idx="8">
                  <c:v>4.05</c:v>
                </c:pt>
                <c:pt idx="9">
                  <c:v>3.79</c:v>
                </c:pt>
                <c:pt idx="10">
                  <c:v>3.93</c:v>
                </c:pt>
                <c:pt idx="11">
                  <c:v>3.88</c:v>
                </c:pt>
                <c:pt idx="12">
                  <c:v>4.2300000000000004</c:v>
                </c:pt>
                <c:pt idx="13">
                  <c:v>3.91</c:v>
                </c:pt>
                <c:pt idx="14">
                  <c:v>4.33</c:v>
                </c:pt>
                <c:pt idx="15">
                  <c:v>3.93</c:v>
                </c:pt>
                <c:pt idx="16">
                  <c:v>4.08</c:v>
                </c:pt>
                <c:pt idx="17">
                  <c:v>3.75</c:v>
                </c:pt>
                <c:pt idx="18">
                  <c:v>4.1900000000000004</c:v>
                </c:pt>
                <c:pt idx="19">
                  <c:v>3.74</c:v>
                </c:pt>
                <c:pt idx="20">
                  <c:v>3.62</c:v>
                </c:pt>
                <c:pt idx="21">
                  <c:v>3.54</c:v>
                </c:pt>
                <c:pt idx="22">
                  <c:v>3.74</c:v>
                </c:pt>
                <c:pt idx="23">
                  <c:v>3.72</c:v>
                </c:pt>
                <c:pt idx="24">
                  <c:v>3.8</c:v>
                </c:pt>
                <c:pt idx="25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26-4754-8755-7BB159334307}"/>
            </c:ext>
          </c:extLst>
        </c:ser>
        <c:ser>
          <c:idx val="4"/>
          <c:order val="4"/>
          <c:tx>
            <c:strRef>
              <c:f>SMG!$A$9</c:f>
              <c:strCache>
                <c:ptCount val="1"/>
                <c:pt idx="0">
                  <c:v>MP7 Nemesis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SMG!$B$9:$BY$9</c:f>
              <c:numCache>
                <c:formatCode>General</c:formatCode>
                <c:ptCount val="76"/>
                <c:pt idx="0">
                  <c:v>5.33</c:v>
                </c:pt>
                <c:pt idx="1">
                  <c:v>5.67</c:v>
                </c:pt>
                <c:pt idx="2">
                  <c:v>5.86</c:v>
                </c:pt>
                <c:pt idx="3">
                  <c:v>5.63</c:v>
                </c:pt>
                <c:pt idx="4">
                  <c:v>5.79</c:v>
                </c:pt>
                <c:pt idx="5">
                  <c:v>5.22</c:v>
                </c:pt>
                <c:pt idx="6">
                  <c:v>5.4</c:v>
                </c:pt>
                <c:pt idx="7">
                  <c:v>5.59</c:v>
                </c:pt>
                <c:pt idx="8">
                  <c:v>5.26</c:v>
                </c:pt>
                <c:pt idx="9">
                  <c:v>6.57</c:v>
                </c:pt>
                <c:pt idx="10">
                  <c:v>5.89</c:v>
                </c:pt>
                <c:pt idx="11">
                  <c:v>5.25</c:v>
                </c:pt>
                <c:pt idx="12">
                  <c:v>5.48</c:v>
                </c:pt>
                <c:pt idx="13">
                  <c:v>5.58</c:v>
                </c:pt>
                <c:pt idx="14">
                  <c:v>5.88</c:v>
                </c:pt>
                <c:pt idx="15">
                  <c:v>5.53</c:v>
                </c:pt>
                <c:pt idx="16">
                  <c:v>5.66</c:v>
                </c:pt>
                <c:pt idx="17">
                  <c:v>5.03</c:v>
                </c:pt>
                <c:pt idx="18">
                  <c:v>5.91</c:v>
                </c:pt>
                <c:pt idx="19">
                  <c:v>5.42</c:v>
                </c:pt>
                <c:pt idx="20">
                  <c:v>5.63</c:v>
                </c:pt>
                <c:pt idx="21">
                  <c:v>5.48</c:v>
                </c:pt>
                <c:pt idx="22">
                  <c:v>5.52</c:v>
                </c:pt>
                <c:pt idx="23">
                  <c:v>5.61</c:v>
                </c:pt>
                <c:pt idx="24">
                  <c:v>5.48</c:v>
                </c:pt>
                <c:pt idx="25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26-4754-8755-7BB159334307}"/>
            </c:ext>
          </c:extLst>
        </c:ser>
        <c:ser>
          <c:idx val="5"/>
          <c:order val="5"/>
          <c:tx>
            <c:strRef>
              <c:f>SMG!$A$10</c:f>
              <c:strCache>
                <c:ptCount val="1"/>
                <c:pt idx="0">
                  <c:v>MP7 Bloodsport MW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SMG!$B$10:$BY$10</c:f>
              <c:numCache>
                <c:formatCode>General</c:formatCode>
                <c:ptCount val="76"/>
                <c:pt idx="0">
                  <c:v>3.63</c:v>
                </c:pt>
                <c:pt idx="1">
                  <c:v>3.61</c:v>
                </c:pt>
                <c:pt idx="2">
                  <c:v>3.63</c:v>
                </c:pt>
                <c:pt idx="3">
                  <c:v>3.49</c:v>
                </c:pt>
                <c:pt idx="4">
                  <c:v>3.84</c:v>
                </c:pt>
                <c:pt idx="5">
                  <c:v>3.54</c:v>
                </c:pt>
                <c:pt idx="6">
                  <c:v>3.57</c:v>
                </c:pt>
                <c:pt idx="7">
                  <c:v>3.54</c:v>
                </c:pt>
                <c:pt idx="8">
                  <c:v>3.75</c:v>
                </c:pt>
                <c:pt idx="9">
                  <c:v>3.79</c:v>
                </c:pt>
                <c:pt idx="10">
                  <c:v>3.49</c:v>
                </c:pt>
                <c:pt idx="11">
                  <c:v>3.61</c:v>
                </c:pt>
                <c:pt idx="12">
                  <c:v>3.39</c:v>
                </c:pt>
                <c:pt idx="13">
                  <c:v>3.53</c:v>
                </c:pt>
                <c:pt idx="14">
                  <c:v>3.4</c:v>
                </c:pt>
                <c:pt idx="15">
                  <c:v>3.49</c:v>
                </c:pt>
                <c:pt idx="16">
                  <c:v>3.41</c:v>
                </c:pt>
                <c:pt idx="17">
                  <c:v>3.64</c:v>
                </c:pt>
                <c:pt idx="18">
                  <c:v>3.64</c:v>
                </c:pt>
                <c:pt idx="19">
                  <c:v>3.23</c:v>
                </c:pt>
                <c:pt idx="20">
                  <c:v>3.28</c:v>
                </c:pt>
                <c:pt idx="21">
                  <c:v>3.5</c:v>
                </c:pt>
                <c:pt idx="22">
                  <c:v>3.49</c:v>
                </c:pt>
                <c:pt idx="23">
                  <c:v>3.45</c:v>
                </c:pt>
                <c:pt idx="24">
                  <c:v>3.27</c:v>
                </c:pt>
                <c:pt idx="25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26-4754-8755-7BB159334307}"/>
            </c:ext>
          </c:extLst>
        </c:ser>
        <c:ser>
          <c:idx val="6"/>
          <c:order val="6"/>
          <c:tx>
            <c:strRef>
              <c:f>SMG!$A$11</c:f>
              <c:strCache>
                <c:ptCount val="1"/>
                <c:pt idx="0">
                  <c:v>UMP-45 Momentum FN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SMG!$B$11:$BY$11</c:f>
              <c:numCache>
                <c:formatCode>General</c:formatCode>
                <c:ptCount val="76"/>
                <c:pt idx="0">
                  <c:v>7.79</c:v>
                </c:pt>
                <c:pt idx="1">
                  <c:v>8.19</c:v>
                </c:pt>
                <c:pt idx="2">
                  <c:v>7.47</c:v>
                </c:pt>
                <c:pt idx="3">
                  <c:v>7.59</c:v>
                </c:pt>
                <c:pt idx="4">
                  <c:v>7.85</c:v>
                </c:pt>
                <c:pt idx="5">
                  <c:v>7.68</c:v>
                </c:pt>
                <c:pt idx="6">
                  <c:v>7.31</c:v>
                </c:pt>
                <c:pt idx="7">
                  <c:v>7.53</c:v>
                </c:pt>
                <c:pt idx="8">
                  <c:v>7.43</c:v>
                </c:pt>
                <c:pt idx="9">
                  <c:v>7.4</c:v>
                </c:pt>
                <c:pt idx="10">
                  <c:v>7.98</c:v>
                </c:pt>
                <c:pt idx="11">
                  <c:v>7.1</c:v>
                </c:pt>
                <c:pt idx="12">
                  <c:v>7.31</c:v>
                </c:pt>
                <c:pt idx="13">
                  <c:v>7.64</c:v>
                </c:pt>
                <c:pt idx="14">
                  <c:v>7.47</c:v>
                </c:pt>
                <c:pt idx="15">
                  <c:v>7.42</c:v>
                </c:pt>
                <c:pt idx="16">
                  <c:v>7.47</c:v>
                </c:pt>
                <c:pt idx="17">
                  <c:v>7.62</c:v>
                </c:pt>
                <c:pt idx="18">
                  <c:v>7.9</c:v>
                </c:pt>
                <c:pt idx="19">
                  <c:v>7.95</c:v>
                </c:pt>
                <c:pt idx="20">
                  <c:v>7.67</c:v>
                </c:pt>
                <c:pt idx="21">
                  <c:v>8.4600000000000009</c:v>
                </c:pt>
                <c:pt idx="22">
                  <c:v>7.47</c:v>
                </c:pt>
                <c:pt idx="23">
                  <c:v>7.65</c:v>
                </c:pt>
                <c:pt idx="24">
                  <c:v>7.15</c:v>
                </c:pt>
                <c:pt idx="25">
                  <c:v>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26-4754-8755-7BB159334307}"/>
            </c:ext>
          </c:extLst>
        </c:ser>
        <c:ser>
          <c:idx val="7"/>
          <c:order val="7"/>
          <c:tx>
            <c:strRef>
              <c:f>SMG!$A$12</c:f>
              <c:strCache>
                <c:ptCount val="1"/>
                <c:pt idx="0">
                  <c:v>Stattrak MAC-10 Neon Rider MW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SMG!$B$12:$BY$12</c:f>
              <c:numCache>
                <c:formatCode>General</c:formatCode>
                <c:ptCount val="76"/>
                <c:pt idx="0">
                  <c:v>22.48</c:v>
                </c:pt>
                <c:pt idx="1">
                  <c:v>23.47</c:v>
                </c:pt>
                <c:pt idx="2">
                  <c:v>20.71</c:v>
                </c:pt>
                <c:pt idx="3">
                  <c:v>19.8</c:v>
                </c:pt>
                <c:pt idx="4">
                  <c:v>21.98</c:v>
                </c:pt>
                <c:pt idx="5">
                  <c:v>23.47</c:v>
                </c:pt>
                <c:pt idx="6">
                  <c:v>23.57</c:v>
                </c:pt>
                <c:pt idx="7">
                  <c:v>22.65</c:v>
                </c:pt>
                <c:pt idx="8">
                  <c:v>23.03</c:v>
                </c:pt>
                <c:pt idx="9">
                  <c:v>23.07</c:v>
                </c:pt>
                <c:pt idx="10">
                  <c:v>22.67</c:v>
                </c:pt>
                <c:pt idx="11">
                  <c:v>22.71</c:v>
                </c:pt>
                <c:pt idx="12">
                  <c:v>21.96</c:v>
                </c:pt>
                <c:pt idx="13">
                  <c:v>21.29</c:v>
                </c:pt>
                <c:pt idx="14">
                  <c:v>22.8</c:v>
                </c:pt>
                <c:pt idx="15">
                  <c:v>22.7</c:v>
                </c:pt>
                <c:pt idx="16">
                  <c:v>22.81</c:v>
                </c:pt>
                <c:pt idx="17">
                  <c:v>22.88</c:v>
                </c:pt>
                <c:pt idx="18">
                  <c:v>21.67</c:v>
                </c:pt>
                <c:pt idx="19">
                  <c:v>22.85</c:v>
                </c:pt>
                <c:pt idx="20">
                  <c:v>21.98</c:v>
                </c:pt>
                <c:pt idx="21">
                  <c:v>21.91</c:v>
                </c:pt>
                <c:pt idx="22">
                  <c:v>20.52</c:v>
                </c:pt>
                <c:pt idx="23">
                  <c:v>21.57</c:v>
                </c:pt>
                <c:pt idx="24">
                  <c:v>20.88</c:v>
                </c:pt>
                <c:pt idx="25">
                  <c:v>21.27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26-4754-8755-7BB159334307}"/>
            </c:ext>
          </c:extLst>
        </c:ser>
        <c:ser>
          <c:idx val="8"/>
          <c:order val="8"/>
          <c:tx>
            <c:strRef>
              <c:f>SMG!$A$13</c:f>
              <c:strCache>
                <c:ptCount val="1"/>
                <c:pt idx="0">
                  <c:v>MP5-SD Bamboo Garden MW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SMG!$B$13:$BY$13</c:f>
              <c:numCache>
                <c:formatCode>General</c:formatCode>
                <c:ptCount val="76"/>
                <c:pt idx="0">
                  <c:v>0.52</c:v>
                </c:pt>
                <c:pt idx="1">
                  <c:v>0.48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0.53</c:v>
                </c:pt>
                <c:pt idx="5">
                  <c:v>0.61</c:v>
                </c:pt>
                <c:pt idx="6">
                  <c:v>0.76</c:v>
                </c:pt>
                <c:pt idx="7">
                  <c:v>0.78</c:v>
                </c:pt>
                <c:pt idx="8">
                  <c:v>0.83</c:v>
                </c:pt>
                <c:pt idx="9">
                  <c:v>1.06</c:v>
                </c:pt>
                <c:pt idx="10">
                  <c:v>1.29</c:v>
                </c:pt>
                <c:pt idx="11">
                  <c:v>1.21</c:v>
                </c:pt>
                <c:pt idx="12">
                  <c:v>1.0900000000000001</c:v>
                </c:pt>
                <c:pt idx="13">
                  <c:v>1.04</c:v>
                </c:pt>
                <c:pt idx="14">
                  <c:v>0.98</c:v>
                </c:pt>
                <c:pt idx="15">
                  <c:v>0.93</c:v>
                </c:pt>
                <c:pt idx="16">
                  <c:v>1.01</c:v>
                </c:pt>
                <c:pt idx="17">
                  <c:v>1.08</c:v>
                </c:pt>
                <c:pt idx="18">
                  <c:v>1.23</c:v>
                </c:pt>
                <c:pt idx="19">
                  <c:v>1.41</c:v>
                </c:pt>
                <c:pt idx="20">
                  <c:v>1.31</c:v>
                </c:pt>
                <c:pt idx="21">
                  <c:v>1.18</c:v>
                </c:pt>
                <c:pt idx="22">
                  <c:v>1.26</c:v>
                </c:pt>
                <c:pt idx="23">
                  <c:v>1.18</c:v>
                </c:pt>
                <c:pt idx="24">
                  <c:v>1.19</c:v>
                </c:pt>
                <c:pt idx="25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26-4754-8755-7BB159334307}"/>
            </c:ext>
          </c:extLst>
        </c:ser>
        <c:ser>
          <c:idx val="9"/>
          <c:order val="9"/>
          <c:tx>
            <c:strRef>
              <c:f>SMG!$A$14</c:f>
              <c:strCache>
                <c:ptCount val="1"/>
                <c:pt idx="0">
                  <c:v>MAC-10 Malachite MW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SMG!$B$14:$BY$14</c:f>
              <c:numCache>
                <c:formatCode>General</c:formatCode>
                <c:ptCount val="76"/>
                <c:pt idx="0">
                  <c:v>1.5</c:v>
                </c:pt>
                <c:pt idx="1">
                  <c:v>1.45</c:v>
                </c:pt>
                <c:pt idx="2">
                  <c:v>1.4</c:v>
                </c:pt>
                <c:pt idx="3">
                  <c:v>1.39</c:v>
                </c:pt>
                <c:pt idx="4">
                  <c:v>1.51</c:v>
                </c:pt>
                <c:pt idx="5">
                  <c:v>1.54</c:v>
                </c:pt>
                <c:pt idx="6">
                  <c:v>1.46</c:v>
                </c:pt>
                <c:pt idx="7">
                  <c:v>1.55</c:v>
                </c:pt>
                <c:pt idx="8">
                  <c:v>1.55</c:v>
                </c:pt>
                <c:pt idx="9">
                  <c:v>1.51</c:v>
                </c:pt>
                <c:pt idx="10">
                  <c:v>1.49</c:v>
                </c:pt>
                <c:pt idx="11">
                  <c:v>1.5</c:v>
                </c:pt>
                <c:pt idx="12">
                  <c:v>1.51</c:v>
                </c:pt>
                <c:pt idx="13">
                  <c:v>1.54</c:v>
                </c:pt>
                <c:pt idx="14">
                  <c:v>1.54</c:v>
                </c:pt>
                <c:pt idx="15">
                  <c:v>1.55</c:v>
                </c:pt>
                <c:pt idx="16">
                  <c:v>1.56</c:v>
                </c:pt>
                <c:pt idx="17">
                  <c:v>1.52</c:v>
                </c:pt>
                <c:pt idx="18">
                  <c:v>1.46</c:v>
                </c:pt>
                <c:pt idx="19">
                  <c:v>1.51</c:v>
                </c:pt>
                <c:pt idx="20">
                  <c:v>1.52</c:v>
                </c:pt>
                <c:pt idx="21">
                  <c:v>1.43</c:v>
                </c:pt>
                <c:pt idx="22">
                  <c:v>1.46</c:v>
                </c:pt>
                <c:pt idx="23">
                  <c:v>1.43</c:v>
                </c:pt>
                <c:pt idx="24">
                  <c:v>1.45</c:v>
                </c:pt>
                <c:pt idx="25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26-4754-8755-7BB159334307}"/>
            </c:ext>
          </c:extLst>
        </c:ser>
        <c:ser>
          <c:idx val="10"/>
          <c:order val="10"/>
          <c:tx>
            <c:strRef>
              <c:f>SMG!$A$15</c:f>
              <c:strCache>
                <c:ptCount val="1"/>
                <c:pt idx="0">
                  <c:v>MP7 Impire MW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SMG!$B$15:$BY$15</c:f>
              <c:numCache>
                <c:formatCode>General</c:formatCode>
                <c:ptCount val="76"/>
                <c:pt idx="0">
                  <c:v>1.46</c:v>
                </c:pt>
                <c:pt idx="1">
                  <c:v>1.44</c:v>
                </c:pt>
                <c:pt idx="2">
                  <c:v>1.49</c:v>
                </c:pt>
                <c:pt idx="3">
                  <c:v>1.46</c:v>
                </c:pt>
                <c:pt idx="4">
                  <c:v>1.53</c:v>
                </c:pt>
                <c:pt idx="5">
                  <c:v>1.53</c:v>
                </c:pt>
                <c:pt idx="6">
                  <c:v>1.45</c:v>
                </c:pt>
                <c:pt idx="7">
                  <c:v>1.53</c:v>
                </c:pt>
                <c:pt idx="8">
                  <c:v>1.46</c:v>
                </c:pt>
                <c:pt idx="9">
                  <c:v>1.49</c:v>
                </c:pt>
                <c:pt idx="10">
                  <c:v>1.52</c:v>
                </c:pt>
                <c:pt idx="11">
                  <c:v>1.51</c:v>
                </c:pt>
                <c:pt idx="12">
                  <c:v>1.56</c:v>
                </c:pt>
                <c:pt idx="13">
                  <c:v>1.54</c:v>
                </c:pt>
                <c:pt idx="14">
                  <c:v>1.41</c:v>
                </c:pt>
                <c:pt idx="15">
                  <c:v>1.51</c:v>
                </c:pt>
                <c:pt idx="16">
                  <c:v>1.45</c:v>
                </c:pt>
                <c:pt idx="17">
                  <c:v>1.51</c:v>
                </c:pt>
                <c:pt idx="18">
                  <c:v>1.41</c:v>
                </c:pt>
                <c:pt idx="19">
                  <c:v>1.46</c:v>
                </c:pt>
                <c:pt idx="20">
                  <c:v>1.38</c:v>
                </c:pt>
                <c:pt idx="21">
                  <c:v>1.57</c:v>
                </c:pt>
                <c:pt idx="22">
                  <c:v>1.67</c:v>
                </c:pt>
                <c:pt idx="23">
                  <c:v>1.64</c:v>
                </c:pt>
                <c:pt idx="24">
                  <c:v>1.65</c:v>
                </c:pt>
                <c:pt idx="25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26-4754-8755-7BB159334307}"/>
            </c:ext>
          </c:extLst>
        </c:ser>
        <c:ser>
          <c:idx val="11"/>
          <c:order val="11"/>
          <c:tx>
            <c:strRef>
              <c:f>SMG!$A$16</c:f>
              <c:strCache>
                <c:ptCount val="1"/>
                <c:pt idx="0">
                  <c:v>MP9 Hydra MW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SMG!$B$16:$BY$16</c:f>
              <c:numCache>
                <c:formatCode>General</c:formatCode>
                <c:ptCount val="76"/>
                <c:pt idx="0">
                  <c:v>6.38</c:v>
                </c:pt>
                <c:pt idx="1">
                  <c:v>5.63</c:v>
                </c:pt>
                <c:pt idx="2">
                  <c:v>5.7</c:v>
                </c:pt>
                <c:pt idx="3">
                  <c:v>5.94</c:v>
                </c:pt>
                <c:pt idx="4">
                  <c:v>5.87</c:v>
                </c:pt>
                <c:pt idx="5">
                  <c:v>6.21</c:v>
                </c:pt>
                <c:pt idx="6">
                  <c:v>5.92</c:v>
                </c:pt>
                <c:pt idx="7">
                  <c:v>6.18</c:v>
                </c:pt>
                <c:pt idx="8">
                  <c:v>5.84</c:v>
                </c:pt>
                <c:pt idx="9">
                  <c:v>5.87</c:v>
                </c:pt>
                <c:pt idx="10">
                  <c:v>6.07</c:v>
                </c:pt>
                <c:pt idx="11">
                  <c:v>5.77</c:v>
                </c:pt>
                <c:pt idx="12">
                  <c:v>5.94</c:v>
                </c:pt>
                <c:pt idx="13">
                  <c:v>5.78</c:v>
                </c:pt>
                <c:pt idx="14">
                  <c:v>6.27</c:v>
                </c:pt>
                <c:pt idx="15">
                  <c:v>6.04</c:v>
                </c:pt>
                <c:pt idx="16">
                  <c:v>6.14</c:v>
                </c:pt>
                <c:pt idx="17">
                  <c:v>5.75</c:v>
                </c:pt>
                <c:pt idx="18">
                  <c:v>5.92</c:v>
                </c:pt>
                <c:pt idx="19">
                  <c:v>5.93</c:v>
                </c:pt>
                <c:pt idx="20">
                  <c:v>5.93</c:v>
                </c:pt>
                <c:pt idx="21">
                  <c:v>6</c:v>
                </c:pt>
                <c:pt idx="22">
                  <c:v>5.99</c:v>
                </c:pt>
                <c:pt idx="23">
                  <c:v>6.03</c:v>
                </c:pt>
                <c:pt idx="24">
                  <c:v>6.26</c:v>
                </c:pt>
                <c:pt idx="25">
                  <c:v>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26-4754-8755-7BB159334307}"/>
            </c:ext>
          </c:extLst>
        </c:ser>
        <c:ser>
          <c:idx val="12"/>
          <c:order val="12"/>
          <c:tx>
            <c:strRef>
              <c:f>SMG!$A$17</c:f>
              <c:strCache>
                <c:ptCount val="1"/>
                <c:pt idx="0">
                  <c:v>PP-Bizon Fuel Rod 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SMG!$B$17:$BY$17</c:f>
              <c:numCache>
                <c:formatCode>General</c:formatCode>
                <c:ptCount val="76"/>
                <c:pt idx="0">
                  <c:v>1.1000000000000001</c:v>
                </c:pt>
                <c:pt idx="1">
                  <c:v>1.04</c:v>
                </c:pt>
                <c:pt idx="2">
                  <c:v>0.98</c:v>
                </c:pt>
                <c:pt idx="3">
                  <c:v>0.93</c:v>
                </c:pt>
                <c:pt idx="4">
                  <c:v>0.88</c:v>
                </c:pt>
                <c:pt idx="5">
                  <c:v>0.98</c:v>
                </c:pt>
                <c:pt idx="6">
                  <c:v>0.94</c:v>
                </c:pt>
                <c:pt idx="7">
                  <c:v>0.93</c:v>
                </c:pt>
                <c:pt idx="8">
                  <c:v>0.96</c:v>
                </c:pt>
                <c:pt idx="9">
                  <c:v>0.93</c:v>
                </c:pt>
                <c:pt idx="10">
                  <c:v>0.98</c:v>
                </c:pt>
                <c:pt idx="11">
                  <c:v>0.98</c:v>
                </c:pt>
                <c:pt idx="12">
                  <c:v>0.88</c:v>
                </c:pt>
                <c:pt idx="13">
                  <c:v>0.87</c:v>
                </c:pt>
                <c:pt idx="14">
                  <c:v>0.85</c:v>
                </c:pt>
                <c:pt idx="15">
                  <c:v>0.84</c:v>
                </c:pt>
                <c:pt idx="16">
                  <c:v>0.92</c:v>
                </c:pt>
                <c:pt idx="17">
                  <c:v>0.86</c:v>
                </c:pt>
                <c:pt idx="18">
                  <c:v>0.89</c:v>
                </c:pt>
                <c:pt idx="19">
                  <c:v>0.85</c:v>
                </c:pt>
                <c:pt idx="20">
                  <c:v>0.86</c:v>
                </c:pt>
                <c:pt idx="21">
                  <c:v>0.86</c:v>
                </c:pt>
                <c:pt idx="22">
                  <c:v>0.84</c:v>
                </c:pt>
                <c:pt idx="23">
                  <c:v>0.83</c:v>
                </c:pt>
                <c:pt idx="24">
                  <c:v>0.85</c:v>
                </c:pt>
                <c:pt idx="25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26-4754-8755-7BB159334307}"/>
            </c:ext>
          </c:extLst>
        </c:ser>
        <c:ser>
          <c:idx val="13"/>
          <c:order val="13"/>
          <c:tx>
            <c:strRef>
              <c:f>SMG!$A$18</c:f>
              <c:strCache>
                <c:ptCount val="1"/>
                <c:pt idx="0">
                  <c:v>UMP-45 Plastique MW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SMG!$B$4:$BY$4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SMG!$B$18:$BY$18</c:f>
              <c:numCache>
                <c:formatCode>General</c:formatCode>
                <c:ptCount val="76"/>
                <c:pt idx="0">
                  <c:v>0.8</c:v>
                </c:pt>
                <c:pt idx="1">
                  <c:v>0.83</c:v>
                </c:pt>
                <c:pt idx="2">
                  <c:v>0.82</c:v>
                </c:pt>
                <c:pt idx="3">
                  <c:v>0.76</c:v>
                </c:pt>
                <c:pt idx="4">
                  <c:v>0.82</c:v>
                </c:pt>
                <c:pt idx="5">
                  <c:v>0.83</c:v>
                </c:pt>
                <c:pt idx="6">
                  <c:v>0.84</c:v>
                </c:pt>
                <c:pt idx="7">
                  <c:v>0.84</c:v>
                </c:pt>
                <c:pt idx="8">
                  <c:v>0.84</c:v>
                </c:pt>
                <c:pt idx="9">
                  <c:v>0.83</c:v>
                </c:pt>
                <c:pt idx="10">
                  <c:v>0.85</c:v>
                </c:pt>
                <c:pt idx="11">
                  <c:v>0.85</c:v>
                </c:pt>
                <c:pt idx="12">
                  <c:v>0.87</c:v>
                </c:pt>
                <c:pt idx="13">
                  <c:v>0.85</c:v>
                </c:pt>
                <c:pt idx="14">
                  <c:v>0.83</c:v>
                </c:pt>
                <c:pt idx="15">
                  <c:v>0.84</c:v>
                </c:pt>
                <c:pt idx="16">
                  <c:v>0.83</c:v>
                </c:pt>
                <c:pt idx="17">
                  <c:v>0.75</c:v>
                </c:pt>
                <c:pt idx="18">
                  <c:v>0.81</c:v>
                </c:pt>
                <c:pt idx="19">
                  <c:v>0.82</c:v>
                </c:pt>
                <c:pt idx="20">
                  <c:v>0.82</c:v>
                </c:pt>
                <c:pt idx="21">
                  <c:v>0.82</c:v>
                </c:pt>
                <c:pt idx="22">
                  <c:v>0.83</c:v>
                </c:pt>
                <c:pt idx="23">
                  <c:v>0.81</c:v>
                </c:pt>
                <c:pt idx="24">
                  <c:v>0.82</c:v>
                </c:pt>
                <c:pt idx="2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26-4754-8755-7BB159334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14959"/>
        <c:axId val="2038941871"/>
      </c:lineChart>
      <c:dateAx>
        <c:axId val="1089149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38941871"/>
        <c:crosses val="autoZero"/>
        <c:auto val="1"/>
        <c:lblOffset val="100"/>
        <c:baseTimeUnit val="days"/>
      </c:dateAx>
      <c:valAx>
        <c:axId val="203894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891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Heavy-Skins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Heavy!$A$5</c:f>
              <c:strCache>
                <c:ptCount val="1"/>
                <c:pt idx="0">
                  <c:v>Stattrak MAG-7 Heat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Heavy!$B$4:$BY$4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Heavy!$B$5:$BY$5</c:f>
              <c:numCache>
                <c:formatCode>General</c:formatCode>
                <c:ptCount val="76"/>
                <c:pt idx="0">
                  <c:v>0.88</c:v>
                </c:pt>
                <c:pt idx="1">
                  <c:v>0.93</c:v>
                </c:pt>
                <c:pt idx="2">
                  <c:v>0.94</c:v>
                </c:pt>
                <c:pt idx="3">
                  <c:v>0.89</c:v>
                </c:pt>
                <c:pt idx="4">
                  <c:v>0.92</c:v>
                </c:pt>
                <c:pt idx="5">
                  <c:v>0.93</c:v>
                </c:pt>
                <c:pt idx="6">
                  <c:v>0.93</c:v>
                </c:pt>
                <c:pt idx="7">
                  <c:v>0.96</c:v>
                </c:pt>
                <c:pt idx="8">
                  <c:v>0.97</c:v>
                </c:pt>
                <c:pt idx="9">
                  <c:v>0.97</c:v>
                </c:pt>
                <c:pt idx="10">
                  <c:v>1.03</c:v>
                </c:pt>
                <c:pt idx="11">
                  <c:v>1.04</c:v>
                </c:pt>
                <c:pt idx="12">
                  <c:v>0.97</c:v>
                </c:pt>
                <c:pt idx="13">
                  <c:v>0.93</c:v>
                </c:pt>
                <c:pt idx="14">
                  <c:v>0.95</c:v>
                </c:pt>
                <c:pt idx="15">
                  <c:v>0.84</c:v>
                </c:pt>
                <c:pt idx="16">
                  <c:v>0.87</c:v>
                </c:pt>
                <c:pt idx="17">
                  <c:v>0.95</c:v>
                </c:pt>
                <c:pt idx="18">
                  <c:v>0.93</c:v>
                </c:pt>
                <c:pt idx="19">
                  <c:v>0.93</c:v>
                </c:pt>
                <c:pt idx="20">
                  <c:v>0.93</c:v>
                </c:pt>
                <c:pt idx="21">
                  <c:v>0.98</c:v>
                </c:pt>
                <c:pt idx="22">
                  <c:v>0.98</c:v>
                </c:pt>
                <c:pt idx="23">
                  <c:v>0.92</c:v>
                </c:pt>
                <c:pt idx="24">
                  <c:v>0.88</c:v>
                </c:pt>
                <c:pt idx="25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22-41DF-8B12-5A1E4550D661}"/>
            </c:ext>
          </c:extLst>
        </c:ser>
        <c:ser>
          <c:idx val="1"/>
          <c:order val="1"/>
          <c:tx>
            <c:strRef>
              <c:f>Heavy!$A$6</c:f>
              <c:strCache>
                <c:ptCount val="1"/>
                <c:pt idx="0">
                  <c:v>Sawed-Off The Kraken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Heavy!$B$4:$BY$4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Heavy!$B$6:$BY$6</c:f>
              <c:numCache>
                <c:formatCode>General</c:formatCode>
                <c:ptCount val="76"/>
                <c:pt idx="0">
                  <c:v>5.92</c:v>
                </c:pt>
                <c:pt idx="1">
                  <c:v>5.49</c:v>
                </c:pt>
                <c:pt idx="2">
                  <c:v>5.64</c:v>
                </c:pt>
                <c:pt idx="3">
                  <c:v>5.75</c:v>
                </c:pt>
                <c:pt idx="4">
                  <c:v>5.59</c:v>
                </c:pt>
                <c:pt idx="5">
                  <c:v>5.93</c:v>
                </c:pt>
                <c:pt idx="6">
                  <c:v>5.7</c:v>
                </c:pt>
                <c:pt idx="7">
                  <c:v>5.9</c:v>
                </c:pt>
                <c:pt idx="8">
                  <c:v>5.59</c:v>
                </c:pt>
                <c:pt idx="9">
                  <c:v>5.82</c:v>
                </c:pt>
                <c:pt idx="10">
                  <c:v>5.41</c:v>
                </c:pt>
                <c:pt idx="11">
                  <c:v>5.44</c:v>
                </c:pt>
                <c:pt idx="12">
                  <c:v>5.83</c:v>
                </c:pt>
                <c:pt idx="13">
                  <c:v>5.8</c:v>
                </c:pt>
                <c:pt idx="14">
                  <c:v>5.9</c:v>
                </c:pt>
                <c:pt idx="15">
                  <c:v>5.9</c:v>
                </c:pt>
                <c:pt idx="16">
                  <c:v>6.17</c:v>
                </c:pt>
                <c:pt idx="17">
                  <c:v>5.99</c:v>
                </c:pt>
                <c:pt idx="18">
                  <c:v>6.35</c:v>
                </c:pt>
                <c:pt idx="19">
                  <c:v>5.54</c:v>
                </c:pt>
                <c:pt idx="20">
                  <c:v>5.88</c:v>
                </c:pt>
                <c:pt idx="21">
                  <c:v>5.7</c:v>
                </c:pt>
                <c:pt idx="22">
                  <c:v>5.68</c:v>
                </c:pt>
                <c:pt idx="23">
                  <c:v>5.87</c:v>
                </c:pt>
                <c:pt idx="24">
                  <c:v>5.47</c:v>
                </c:pt>
                <c:pt idx="25">
                  <c:v>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22-41DF-8B12-5A1E4550D661}"/>
            </c:ext>
          </c:extLst>
        </c:ser>
        <c:ser>
          <c:idx val="2"/>
          <c:order val="2"/>
          <c:tx>
            <c:strRef>
              <c:f>Heavy!$A$7</c:f>
              <c:strCache>
                <c:ptCount val="1"/>
                <c:pt idx="0">
                  <c:v>XM1014 Heaven Guard 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Heavy!$B$4:$BY$4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Heavy!$B$7:$BY$7</c:f>
              <c:numCache>
                <c:formatCode>General</c:formatCode>
                <c:ptCount val="76"/>
                <c:pt idx="0">
                  <c:v>3.12</c:v>
                </c:pt>
                <c:pt idx="1">
                  <c:v>2.89</c:v>
                </c:pt>
                <c:pt idx="2">
                  <c:v>2.5</c:v>
                </c:pt>
                <c:pt idx="3">
                  <c:v>2.6</c:v>
                </c:pt>
                <c:pt idx="4">
                  <c:v>2.8</c:v>
                </c:pt>
                <c:pt idx="5">
                  <c:v>3.02</c:v>
                </c:pt>
                <c:pt idx="6">
                  <c:v>2.69</c:v>
                </c:pt>
                <c:pt idx="7">
                  <c:v>2.81</c:v>
                </c:pt>
                <c:pt idx="8">
                  <c:v>2.8</c:v>
                </c:pt>
                <c:pt idx="9">
                  <c:v>2.84</c:v>
                </c:pt>
                <c:pt idx="10">
                  <c:v>2.82</c:v>
                </c:pt>
                <c:pt idx="11">
                  <c:v>2.83</c:v>
                </c:pt>
                <c:pt idx="12">
                  <c:v>2.82</c:v>
                </c:pt>
                <c:pt idx="13">
                  <c:v>2.91</c:v>
                </c:pt>
                <c:pt idx="14">
                  <c:v>2.93</c:v>
                </c:pt>
                <c:pt idx="15">
                  <c:v>2.91</c:v>
                </c:pt>
                <c:pt idx="16">
                  <c:v>3</c:v>
                </c:pt>
                <c:pt idx="17">
                  <c:v>2.76</c:v>
                </c:pt>
                <c:pt idx="18">
                  <c:v>3</c:v>
                </c:pt>
                <c:pt idx="19">
                  <c:v>3.77</c:v>
                </c:pt>
                <c:pt idx="20">
                  <c:v>3.84</c:v>
                </c:pt>
                <c:pt idx="21">
                  <c:v>3.7</c:v>
                </c:pt>
                <c:pt idx="22">
                  <c:v>3.61</c:v>
                </c:pt>
                <c:pt idx="23">
                  <c:v>3.56</c:v>
                </c:pt>
                <c:pt idx="24">
                  <c:v>3.77</c:v>
                </c:pt>
                <c:pt idx="25">
                  <c:v>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22-41DF-8B12-5A1E4550D661}"/>
            </c:ext>
          </c:extLst>
        </c:ser>
        <c:ser>
          <c:idx val="3"/>
          <c:order val="3"/>
          <c:tx>
            <c:strRef>
              <c:f>Heavy!$A$8</c:f>
              <c:strCache>
                <c:ptCount val="1"/>
                <c:pt idx="0">
                  <c:v>Nova Hyper Beast 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Heavy!$B$4:$BY$4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Heavy!$B$8:$BY$8</c:f>
              <c:numCache>
                <c:formatCode>General</c:formatCode>
                <c:ptCount val="76"/>
                <c:pt idx="0">
                  <c:v>7.22</c:v>
                </c:pt>
                <c:pt idx="1">
                  <c:v>7.74</c:v>
                </c:pt>
                <c:pt idx="2">
                  <c:v>6.67</c:v>
                </c:pt>
                <c:pt idx="3">
                  <c:v>6.74</c:v>
                </c:pt>
                <c:pt idx="4">
                  <c:v>6.72</c:v>
                </c:pt>
                <c:pt idx="5">
                  <c:v>6.86</c:v>
                </c:pt>
                <c:pt idx="6">
                  <c:v>6.36</c:v>
                </c:pt>
                <c:pt idx="7">
                  <c:v>7.02</c:v>
                </c:pt>
                <c:pt idx="8">
                  <c:v>7.16</c:v>
                </c:pt>
                <c:pt idx="9">
                  <c:v>7.02</c:v>
                </c:pt>
                <c:pt idx="10">
                  <c:v>7.25</c:v>
                </c:pt>
                <c:pt idx="11">
                  <c:v>7.31</c:v>
                </c:pt>
                <c:pt idx="12">
                  <c:v>7.05</c:v>
                </c:pt>
                <c:pt idx="13">
                  <c:v>6.58</c:v>
                </c:pt>
                <c:pt idx="14">
                  <c:v>6.44</c:v>
                </c:pt>
                <c:pt idx="15">
                  <c:v>7.54</c:v>
                </c:pt>
                <c:pt idx="16">
                  <c:v>7.54</c:v>
                </c:pt>
                <c:pt idx="17">
                  <c:v>7.63</c:v>
                </c:pt>
                <c:pt idx="18">
                  <c:v>7.36</c:v>
                </c:pt>
                <c:pt idx="19">
                  <c:v>7.63</c:v>
                </c:pt>
                <c:pt idx="20">
                  <c:v>7.55</c:v>
                </c:pt>
                <c:pt idx="21">
                  <c:v>7.13</c:v>
                </c:pt>
                <c:pt idx="22">
                  <c:v>7.24</c:v>
                </c:pt>
                <c:pt idx="23">
                  <c:v>7.15</c:v>
                </c:pt>
                <c:pt idx="24">
                  <c:v>6.86</c:v>
                </c:pt>
                <c:pt idx="25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22-41DF-8B12-5A1E4550D661}"/>
            </c:ext>
          </c:extLst>
        </c:ser>
        <c:ser>
          <c:idx val="4"/>
          <c:order val="4"/>
          <c:tx>
            <c:strRef>
              <c:f>Heavy!$A$9</c:f>
              <c:strCache>
                <c:ptCount val="1"/>
                <c:pt idx="0">
                  <c:v>Nova Wild Six FT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Heavy!$B$4:$BY$4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Heavy!$B$9:$BY$9</c:f>
              <c:numCache>
                <c:formatCode>General</c:formatCode>
                <c:ptCount val="76"/>
                <c:pt idx="0">
                  <c:v>0.36</c:v>
                </c:pt>
                <c:pt idx="1">
                  <c:v>0.34</c:v>
                </c:pt>
                <c:pt idx="2">
                  <c:v>0.35</c:v>
                </c:pt>
                <c:pt idx="3">
                  <c:v>0.32</c:v>
                </c:pt>
                <c:pt idx="4">
                  <c:v>0.35</c:v>
                </c:pt>
                <c:pt idx="5">
                  <c:v>0.32</c:v>
                </c:pt>
                <c:pt idx="6">
                  <c:v>0.32</c:v>
                </c:pt>
                <c:pt idx="7">
                  <c:v>0.34</c:v>
                </c:pt>
                <c:pt idx="8">
                  <c:v>0.38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0.32</c:v>
                </c:pt>
                <c:pt idx="13">
                  <c:v>0.35</c:v>
                </c:pt>
                <c:pt idx="14">
                  <c:v>0.3</c:v>
                </c:pt>
                <c:pt idx="15">
                  <c:v>0.32</c:v>
                </c:pt>
                <c:pt idx="16">
                  <c:v>0.35</c:v>
                </c:pt>
                <c:pt idx="17">
                  <c:v>0.35</c:v>
                </c:pt>
                <c:pt idx="18">
                  <c:v>0.31</c:v>
                </c:pt>
                <c:pt idx="19">
                  <c:v>0.32</c:v>
                </c:pt>
                <c:pt idx="20">
                  <c:v>0.31</c:v>
                </c:pt>
                <c:pt idx="21">
                  <c:v>0.32</c:v>
                </c:pt>
                <c:pt idx="22">
                  <c:v>0.31</c:v>
                </c:pt>
                <c:pt idx="23">
                  <c:v>0.32</c:v>
                </c:pt>
                <c:pt idx="24">
                  <c:v>0.31</c:v>
                </c:pt>
                <c:pt idx="25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22-41DF-8B12-5A1E4550D661}"/>
            </c:ext>
          </c:extLst>
        </c:ser>
        <c:ser>
          <c:idx val="5"/>
          <c:order val="5"/>
          <c:tx>
            <c:strRef>
              <c:f>Heavy!$A$10</c:f>
              <c:strCache>
                <c:ptCount val="1"/>
                <c:pt idx="0">
                  <c:v>Nova Toy Soldier MW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Heavy!$B$4:$BY$4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Heavy!$B$10:$BY$10</c:f>
              <c:numCache>
                <c:formatCode>General</c:formatCode>
                <c:ptCount val="76"/>
                <c:pt idx="0">
                  <c:v>0.82</c:v>
                </c:pt>
                <c:pt idx="1">
                  <c:v>0.77</c:v>
                </c:pt>
                <c:pt idx="2">
                  <c:v>0.8</c:v>
                </c:pt>
                <c:pt idx="3">
                  <c:v>0.78</c:v>
                </c:pt>
                <c:pt idx="4">
                  <c:v>0.76</c:v>
                </c:pt>
                <c:pt idx="5">
                  <c:v>0.76</c:v>
                </c:pt>
                <c:pt idx="6">
                  <c:v>0.78</c:v>
                </c:pt>
                <c:pt idx="7">
                  <c:v>0.73</c:v>
                </c:pt>
                <c:pt idx="8">
                  <c:v>0.75</c:v>
                </c:pt>
                <c:pt idx="9">
                  <c:v>0.74</c:v>
                </c:pt>
                <c:pt idx="10">
                  <c:v>0.77</c:v>
                </c:pt>
                <c:pt idx="11">
                  <c:v>0.78</c:v>
                </c:pt>
                <c:pt idx="12">
                  <c:v>0.84</c:v>
                </c:pt>
                <c:pt idx="13">
                  <c:v>0.83</c:v>
                </c:pt>
                <c:pt idx="14">
                  <c:v>0.92</c:v>
                </c:pt>
                <c:pt idx="15">
                  <c:v>0.83</c:v>
                </c:pt>
                <c:pt idx="16">
                  <c:v>0.85</c:v>
                </c:pt>
                <c:pt idx="17">
                  <c:v>0.82</c:v>
                </c:pt>
                <c:pt idx="18">
                  <c:v>0.8</c:v>
                </c:pt>
                <c:pt idx="19">
                  <c:v>0.8</c:v>
                </c:pt>
                <c:pt idx="20">
                  <c:v>0.87</c:v>
                </c:pt>
                <c:pt idx="21">
                  <c:v>0.73</c:v>
                </c:pt>
                <c:pt idx="22">
                  <c:v>0.75</c:v>
                </c:pt>
                <c:pt idx="23">
                  <c:v>0.78</c:v>
                </c:pt>
                <c:pt idx="24">
                  <c:v>0.74</c:v>
                </c:pt>
                <c:pt idx="25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22-41DF-8B12-5A1E4550D661}"/>
            </c:ext>
          </c:extLst>
        </c:ser>
        <c:ser>
          <c:idx val="6"/>
          <c:order val="6"/>
          <c:tx>
            <c:strRef>
              <c:f>Heavy!$A$11</c:f>
              <c:strCache>
                <c:ptCount val="1"/>
                <c:pt idx="0">
                  <c:v>MAG-7 Swag-7 FT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Heavy!$B$4:$BY$4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Heavy!$B$11:$BY$11</c:f>
              <c:numCache>
                <c:formatCode>General</c:formatCode>
                <c:ptCount val="76"/>
                <c:pt idx="0">
                  <c:v>0.35</c:v>
                </c:pt>
                <c:pt idx="1">
                  <c:v>0.34</c:v>
                </c:pt>
                <c:pt idx="2">
                  <c:v>0.34</c:v>
                </c:pt>
                <c:pt idx="3">
                  <c:v>0.34</c:v>
                </c:pt>
                <c:pt idx="4">
                  <c:v>0.31</c:v>
                </c:pt>
                <c:pt idx="5">
                  <c:v>0.3</c:v>
                </c:pt>
                <c:pt idx="6">
                  <c:v>0.3</c:v>
                </c:pt>
                <c:pt idx="7">
                  <c:v>0.31</c:v>
                </c:pt>
                <c:pt idx="8">
                  <c:v>0.34</c:v>
                </c:pt>
                <c:pt idx="9">
                  <c:v>0.34</c:v>
                </c:pt>
                <c:pt idx="10">
                  <c:v>0.32</c:v>
                </c:pt>
                <c:pt idx="11">
                  <c:v>0.31</c:v>
                </c:pt>
                <c:pt idx="12">
                  <c:v>0.31</c:v>
                </c:pt>
                <c:pt idx="13">
                  <c:v>0.31</c:v>
                </c:pt>
                <c:pt idx="14">
                  <c:v>0.32</c:v>
                </c:pt>
                <c:pt idx="15">
                  <c:v>0.3</c:v>
                </c:pt>
                <c:pt idx="16">
                  <c:v>0.31</c:v>
                </c:pt>
                <c:pt idx="17">
                  <c:v>0.32</c:v>
                </c:pt>
                <c:pt idx="18">
                  <c:v>0.3</c:v>
                </c:pt>
                <c:pt idx="19">
                  <c:v>0.3</c:v>
                </c:pt>
                <c:pt idx="20">
                  <c:v>0.28000000000000003</c:v>
                </c:pt>
                <c:pt idx="21">
                  <c:v>0.31</c:v>
                </c:pt>
                <c:pt idx="22">
                  <c:v>0.28999999999999998</c:v>
                </c:pt>
                <c:pt idx="23">
                  <c:v>0.3</c:v>
                </c:pt>
                <c:pt idx="24">
                  <c:v>0.28999999999999998</c:v>
                </c:pt>
                <c:pt idx="2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22-41DF-8B12-5A1E4550D661}"/>
            </c:ext>
          </c:extLst>
        </c:ser>
        <c:ser>
          <c:idx val="7"/>
          <c:order val="7"/>
          <c:tx>
            <c:strRef>
              <c:f>Heavy!$A$12</c:f>
              <c:strCache>
                <c:ptCount val="1"/>
                <c:pt idx="0">
                  <c:v>Souvenir XM1014 VariCamo Blue FN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Heavy!$B$4:$BY$4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Heavy!$B$12:$BY$12</c:f>
              <c:numCache>
                <c:formatCode>General</c:formatCode>
                <c:ptCount val="76"/>
                <c:pt idx="0">
                  <c:v>3.61</c:v>
                </c:pt>
                <c:pt idx="1">
                  <c:v>3.49</c:v>
                </c:pt>
                <c:pt idx="2">
                  <c:v>3.47</c:v>
                </c:pt>
                <c:pt idx="3">
                  <c:v>3.92</c:v>
                </c:pt>
                <c:pt idx="4">
                  <c:v>3.58</c:v>
                </c:pt>
                <c:pt idx="5">
                  <c:v>3.49</c:v>
                </c:pt>
                <c:pt idx="6">
                  <c:v>3.49</c:v>
                </c:pt>
                <c:pt idx="7">
                  <c:v>3.49</c:v>
                </c:pt>
                <c:pt idx="8">
                  <c:v>3.05</c:v>
                </c:pt>
                <c:pt idx="9">
                  <c:v>3.46</c:v>
                </c:pt>
                <c:pt idx="10">
                  <c:v>3.46</c:v>
                </c:pt>
                <c:pt idx="11">
                  <c:v>4.21</c:v>
                </c:pt>
                <c:pt idx="12">
                  <c:v>3.94</c:v>
                </c:pt>
                <c:pt idx="13">
                  <c:v>3.62</c:v>
                </c:pt>
                <c:pt idx="14">
                  <c:v>3.86</c:v>
                </c:pt>
                <c:pt idx="15">
                  <c:v>3.8</c:v>
                </c:pt>
                <c:pt idx="16">
                  <c:v>3.8</c:v>
                </c:pt>
                <c:pt idx="17">
                  <c:v>3.72</c:v>
                </c:pt>
                <c:pt idx="18">
                  <c:v>3.1</c:v>
                </c:pt>
                <c:pt idx="19">
                  <c:v>3.06</c:v>
                </c:pt>
                <c:pt idx="20">
                  <c:v>3.08</c:v>
                </c:pt>
                <c:pt idx="21">
                  <c:v>3.06</c:v>
                </c:pt>
                <c:pt idx="22">
                  <c:v>3.06</c:v>
                </c:pt>
                <c:pt idx="23">
                  <c:v>3.06</c:v>
                </c:pt>
                <c:pt idx="24">
                  <c:v>3.06</c:v>
                </c:pt>
                <c:pt idx="25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22-41DF-8B12-5A1E4550D661}"/>
            </c:ext>
          </c:extLst>
        </c:ser>
        <c:ser>
          <c:idx val="8"/>
          <c:order val="8"/>
          <c:tx>
            <c:strRef>
              <c:f>Heavy!$A$13</c:f>
              <c:strCache>
                <c:ptCount val="1"/>
                <c:pt idx="0">
                  <c:v>MAG-7 Popdog FN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Heavy!$B$4:$BY$4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Heavy!$B$13:$BY$13</c:f>
              <c:numCache>
                <c:formatCode>General</c:formatCode>
                <c:ptCount val="76"/>
                <c:pt idx="0">
                  <c:v>0.3</c:v>
                </c:pt>
                <c:pt idx="1">
                  <c:v>0.3</c:v>
                </c:pt>
                <c:pt idx="2">
                  <c:v>0.34</c:v>
                </c:pt>
                <c:pt idx="3">
                  <c:v>0.34</c:v>
                </c:pt>
                <c:pt idx="4">
                  <c:v>0.32</c:v>
                </c:pt>
                <c:pt idx="5">
                  <c:v>0.36</c:v>
                </c:pt>
                <c:pt idx="6">
                  <c:v>0.34</c:v>
                </c:pt>
                <c:pt idx="7">
                  <c:v>0.3</c:v>
                </c:pt>
                <c:pt idx="8">
                  <c:v>0.34</c:v>
                </c:pt>
                <c:pt idx="9">
                  <c:v>0.32</c:v>
                </c:pt>
                <c:pt idx="10">
                  <c:v>0.34</c:v>
                </c:pt>
                <c:pt idx="11">
                  <c:v>0.3</c:v>
                </c:pt>
                <c:pt idx="12">
                  <c:v>0.31</c:v>
                </c:pt>
                <c:pt idx="13">
                  <c:v>0.32</c:v>
                </c:pt>
                <c:pt idx="14">
                  <c:v>0.3</c:v>
                </c:pt>
                <c:pt idx="15">
                  <c:v>0.32</c:v>
                </c:pt>
                <c:pt idx="16">
                  <c:v>0.32</c:v>
                </c:pt>
                <c:pt idx="17">
                  <c:v>0.28999999999999998</c:v>
                </c:pt>
                <c:pt idx="18">
                  <c:v>0.28999999999999998</c:v>
                </c:pt>
                <c:pt idx="19">
                  <c:v>0.28999999999999998</c:v>
                </c:pt>
                <c:pt idx="20">
                  <c:v>0.28000000000000003</c:v>
                </c:pt>
                <c:pt idx="21">
                  <c:v>0.25</c:v>
                </c:pt>
                <c:pt idx="22">
                  <c:v>0.28999999999999998</c:v>
                </c:pt>
                <c:pt idx="23">
                  <c:v>0.27</c:v>
                </c:pt>
                <c:pt idx="24">
                  <c:v>0.28000000000000003</c:v>
                </c:pt>
                <c:pt idx="2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22-41DF-8B12-5A1E4550D661}"/>
            </c:ext>
          </c:extLst>
        </c:ser>
        <c:ser>
          <c:idx val="9"/>
          <c:order val="9"/>
          <c:tx>
            <c:strRef>
              <c:f>Heavy!$A$14</c:f>
              <c:strCache>
                <c:ptCount val="1"/>
                <c:pt idx="0">
                  <c:v>Sawed-Off Limelight MW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Heavy!$B$4:$BY$4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Heavy!$B$14:$BY$14</c:f>
              <c:numCache>
                <c:formatCode>General</c:formatCode>
                <c:ptCount val="76"/>
                <c:pt idx="0">
                  <c:v>0.89</c:v>
                </c:pt>
                <c:pt idx="1">
                  <c:v>0.88</c:v>
                </c:pt>
                <c:pt idx="2">
                  <c:v>0.96</c:v>
                </c:pt>
                <c:pt idx="3">
                  <c:v>0.92</c:v>
                </c:pt>
                <c:pt idx="4">
                  <c:v>0.87</c:v>
                </c:pt>
                <c:pt idx="5">
                  <c:v>0.92</c:v>
                </c:pt>
                <c:pt idx="6">
                  <c:v>0.86</c:v>
                </c:pt>
                <c:pt idx="7">
                  <c:v>0.87</c:v>
                </c:pt>
                <c:pt idx="8">
                  <c:v>0.88</c:v>
                </c:pt>
                <c:pt idx="9">
                  <c:v>0.94</c:v>
                </c:pt>
                <c:pt idx="10">
                  <c:v>0.93</c:v>
                </c:pt>
                <c:pt idx="11">
                  <c:v>0.84</c:v>
                </c:pt>
                <c:pt idx="12">
                  <c:v>0.87</c:v>
                </c:pt>
                <c:pt idx="13">
                  <c:v>0.86</c:v>
                </c:pt>
                <c:pt idx="14">
                  <c:v>0.93</c:v>
                </c:pt>
                <c:pt idx="15">
                  <c:v>0.82</c:v>
                </c:pt>
                <c:pt idx="16">
                  <c:v>0.88</c:v>
                </c:pt>
                <c:pt idx="17">
                  <c:v>0.77</c:v>
                </c:pt>
                <c:pt idx="18">
                  <c:v>0.89</c:v>
                </c:pt>
                <c:pt idx="19">
                  <c:v>0.92</c:v>
                </c:pt>
                <c:pt idx="20">
                  <c:v>0.85</c:v>
                </c:pt>
                <c:pt idx="21">
                  <c:v>0.81</c:v>
                </c:pt>
                <c:pt idx="22">
                  <c:v>0.84</c:v>
                </c:pt>
                <c:pt idx="23">
                  <c:v>0.87</c:v>
                </c:pt>
                <c:pt idx="24">
                  <c:v>0.81</c:v>
                </c:pt>
                <c:pt idx="25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22-41DF-8B12-5A1E4550D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872319"/>
        <c:axId val="2038927311"/>
      </c:lineChart>
      <c:dateAx>
        <c:axId val="1924872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38927311"/>
        <c:crosses val="autoZero"/>
        <c:auto val="1"/>
        <c:lblOffset val="100"/>
        <c:baseTimeUnit val="days"/>
      </c:dateAx>
      <c:valAx>
        <c:axId val="20389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2487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Pistol-Skins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Pistol!$A$5</c:f>
              <c:strCache>
                <c:ptCount val="1"/>
                <c:pt idx="0">
                  <c:v>USP-S Kill Confirmed BS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Pistol!$B$5:$BY$5</c:f>
              <c:numCache>
                <c:formatCode>General</c:formatCode>
                <c:ptCount val="76"/>
                <c:pt idx="0">
                  <c:v>46.88</c:v>
                </c:pt>
                <c:pt idx="1">
                  <c:v>48.26</c:v>
                </c:pt>
                <c:pt idx="2">
                  <c:v>46.04</c:v>
                </c:pt>
                <c:pt idx="3">
                  <c:v>44.75</c:v>
                </c:pt>
                <c:pt idx="4">
                  <c:v>44.89</c:v>
                </c:pt>
                <c:pt idx="5">
                  <c:v>46.63</c:v>
                </c:pt>
                <c:pt idx="6">
                  <c:v>46.07</c:v>
                </c:pt>
                <c:pt idx="7">
                  <c:v>41.4</c:v>
                </c:pt>
                <c:pt idx="8">
                  <c:v>44.41</c:v>
                </c:pt>
                <c:pt idx="9">
                  <c:v>43.55</c:v>
                </c:pt>
                <c:pt idx="10">
                  <c:v>43.89</c:v>
                </c:pt>
                <c:pt idx="11">
                  <c:v>43.72</c:v>
                </c:pt>
                <c:pt idx="12">
                  <c:v>42.45</c:v>
                </c:pt>
                <c:pt idx="13">
                  <c:v>41.71</c:v>
                </c:pt>
                <c:pt idx="14">
                  <c:v>40.94</c:v>
                </c:pt>
                <c:pt idx="15">
                  <c:v>42.79</c:v>
                </c:pt>
                <c:pt idx="16">
                  <c:v>43.88</c:v>
                </c:pt>
                <c:pt idx="17">
                  <c:v>44.86</c:v>
                </c:pt>
                <c:pt idx="18">
                  <c:v>44.24</c:v>
                </c:pt>
                <c:pt idx="19">
                  <c:v>43.33</c:v>
                </c:pt>
                <c:pt idx="20">
                  <c:v>42.71</c:v>
                </c:pt>
                <c:pt idx="21">
                  <c:v>42.15</c:v>
                </c:pt>
                <c:pt idx="22">
                  <c:v>42.82</c:v>
                </c:pt>
                <c:pt idx="23">
                  <c:v>44.58</c:v>
                </c:pt>
                <c:pt idx="24">
                  <c:v>45.82</c:v>
                </c:pt>
                <c:pt idx="25">
                  <c:v>45.13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F-4189-8A5C-DC7B68E23D02}"/>
            </c:ext>
          </c:extLst>
        </c:ser>
        <c:ser>
          <c:idx val="1"/>
          <c:order val="1"/>
          <c:tx>
            <c:strRef>
              <c:f>Pistol!$A$6</c:f>
              <c:strCache>
                <c:ptCount val="1"/>
                <c:pt idx="0">
                  <c:v>Stattrak Dual Berettas Dualing Dragons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Pistol!$B$6:$BY$6</c:f>
              <c:numCache>
                <c:formatCode>General</c:formatCode>
                <c:ptCount val="76"/>
                <c:pt idx="0">
                  <c:v>1.38</c:v>
                </c:pt>
                <c:pt idx="1">
                  <c:v>1.3</c:v>
                </c:pt>
                <c:pt idx="2">
                  <c:v>1.39</c:v>
                </c:pt>
                <c:pt idx="3">
                  <c:v>1.44</c:v>
                </c:pt>
                <c:pt idx="4">
                  <c:v>1.38</c:v>
                </c:pt>
                <c:pt idx="5">
                  <c:v>1.38</c:v>
                </c:pt>
                <c:pt idx="6">
                  <c:v>1.4</c:v>
                </c:pt>
                <c:pt idx="7">
                  <c:v>1.4</c:v>
                </c:pt>
                <c:pt idx="8">
                  <c:v>1.42</c:v>
                </c:pt>
                <c:pt idx="9">
                  <c:v>1.4</c:v>
                </c:pt>
                <c:pt idx="10">
                  <c:v>1.4</c:v>
                </c:pt>
                <c:pt idx="11">
                  <c:v>1.38</c:v>
                </c:pt>
                <c:pt idx="12">
                  <c:v>1.35</c:v>
                </c:pt>
                <c:pt idx="13">
                  <c:v>1.34</c:v>
                </c:pt>
                <c:pt idx="14">
                  <c:v>1.34</c:v>
                </c:pt>
                <c:pt idx="15">
                  <c:v>1.32</c:v>
                </c:pt>
                <c:pt idx="16">
                  <c:v>1.38</c:v>
                </c:pt>
                <c:pt idx="17">
                  <c:v>1.29</c:v>
                </c:pt>
                <c:pt idx="18">
                  <c:v>1.27</c:v>
                </c:pt>
                <c:pt idx="19">
                  <c:v>1.35</c:v>
                </c:pt>
                <c:pt idx="20">
                  <c:v>1.2</c:v>
                </c:pt>
                <c:pt idx="21">
                  <c:v>1.33</c:v>
                </c:pt>
                <c:pt idx="22">
                  <c:v>1.34</c:v>
                </c:pt>
                <c:pt idx="23">
                  <c:v>1.34</c:v>
                </c:pt>
                <c:pt idx="24">
                  <c:v>1.34</c:v>
                </c:pt>
                <c:pt idx="25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F-4189-8A5C-DC7B68E23D02}"/>
            </c:ext>
          </c:extLst>
        </c:ser>
        <c:ser>
          <c:idx val="2"/>
          <c:order val="2"/>
          <c:tx>
            <c:strRef>
              <c:f>Pistol!$A$7</c:f>
              <c:strCache>
                <c:ptCount val="1"/>
                <c:pt idx="0">
                  <c:v>Stattrak P250 Wingshot MW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Pistol!$B$7:$BY$7</c:f>
              <c:numCache>
                <c:formatCode>General</c:formatCode>
                <c:ptCount val="76"/>
                <c:pt idx="0">
                  <c:v>5.4</c:v>
                </c:pt>
                <c:pt idx="1">
                  <c:v>5.52</c:v>
                </c:pt>
                <c:pt idx="2">
                  <c:v>5.41</c:v>
                </c:pt>
                <c:pt idx="3">
                  <c:v>5.54</c:v>
                </c:pt>
                <c:pt idx="4">
                  <c:v>5.48</c:v>
                </c:pt>
                <c:pt idx="5">
                  <c:v>5.47</c:v>
                </c:pt>
                <c:pt idx="6">
                  <c:v>4.96</c:v>
                </c:pt>
                <c:pt idx="7">
                  <c:v>4.8</c:v>
                </c:pt>
                <c:pt idx="8">
                  <c:v>5.32</c:v>
                </c:pt>
                <c:pt idx="9">
                  <c:v>5.24</c:v>
                </c:pt>
                <c:pt idx="10">
                  <c:v>5.22</c:v>
                </c:pt>
                <c:pt idx="11">
                  <c:v>5.29</c:v>
                </c:pt>
                <c:pt idx="12">
                  <c:v>5.25</c:v>
                </c:pt>
                <c:pt idx="13">
                  <c:v>4.92</c:v>
                </c:pt>
                <c:pt idx="14">
                  <c:v>5.42</c:v>
                </c:pt>
                <c:pt idx="15">
                  <c:v>5.47</c:v>
                </c:pt>
                <c:pt idx="16">
                  <c:v>5.4</c:v>
                </c:pt>
                <c:pt idx="17">
                  <c:v>5.45</c:v>
                </c:pt>
                <c:pt idx="18">
                  <c:v>5.29</c:v>
                </c:pt>
                <c:pt idx="19">
                  <c:v>4.9800000000000004</c:v>
                </c:pt>
                <c:pt idx="20">
                  <c:v>5.61</c:v>
                </c:pt>
                <c:pt idx="21">
                  <c:v>5.44</c:v>
                </c:pt>
                <c:pt idx="22">
                  <c:v>5.26</c:v>
                </c:pt>
                <c:pt idx="23">
                  <c:v>4.76</c:v>
                </c:pt>
                <c:pt idx="24">
                  <c:v>5.35</c:v>
                </c:pt>
                <c:pt idx="25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8F-4189-8A5C-DC7B68E23D02}"/>
            </c:ext>
          </c:extLst>
        </c:ser>
        <c:ser>
          <c:idx val="3"/>
          <c:order val="3"/>
          <c:tx>
            <c:strRef>
              <c:f>Pistol!$A$8</c:f>
              <c:strCache>
                <c:ptCount val="1"/>
                <c:pt idx="0">
                  <c:v>Stattrak Tec-9 Avalanche 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Pistol!$B$8:$BY$8</c:f>
              <c:numCache>
                <c:formatCode>General</c:formatCode>
                <c:ptCount val="76"/>
                <c:pt idx="0">
                  <c:v>2.67</c:v>
                </c:pt>
                <c:pt idx="1">
                  <c:v>2.73</c:v>
                </c:pt>
                <c:pt idx="2">
                  <c:v>2.62</c:v>
                </c:pt>
                <c:pt idx="3">
                  <c:v>2.64</c:v>
                </c:pt>
                <c:pt idx="4">
                  <c:v>2.54</c:v>
                </c:pt>
                <c:pt idx="5">
                  <c:v>2.58</c:v>
                </c:pt>
                <c:pt idx="6">
                  <c:v>2.7</c:v>
                </c:pt>
                <c:pt idx="7">
                  <c:v>2.69</c:v>
                </c:pt>
                <c:pt idx="8">
                  <c:v>2.58</c:v>
                </c:pt>
                <c:pt idx="9">
                  <c:v>2.4900000000000002</c:v>
                </c:pt>
                <c:pt idx="10">
                  <c:v>2.37</c:v>
                </c:pt>
                <c:pt idx="11">
                  <c:v>2.38</c:v>
                </c:pt>
                <c:pt idx="12">
                  <c:v>2.46</c:v>
                </c:pt>
                <c:pt idx="13">
                  <c:v>2.36</c:v>
                </c:pt>
                <c:pt idx="14">
                  <c:v>2.39</c:v>
                </c:pt>
                <c:pt idx="15">
                  <c:v>2.31</c:v>
                </c:pt>
                <c:pt idx="16">
                  <c:v>2.31</c:v>
                </c:pt>
                <c:pt idx="17">
                  <c:v>2.33</c:v>
                </c:pt>
                <c:pt idx="18">
                  <c:v>2.4300000000000002</c:v>
                </c:pt>
                <c:pt idx="19">
                  <c:v>2.4900000000000002</c:v>
                </c:pt>
                <c:pt idx="20">
                  <c:v>2.42</c:v>
                </c:pt>
                <c:pt idx="21">
                  <c:v>2.46</c:v>
                </c:pt>
                <c:pt idx="22">
                  <c:v>2.38</c:v>
                </c:pt>
                <c:pt idx="23">
                  <c:v>2.48</c:v>
                </c:pt>
                <c:pt idx="24">
                  <c:v>2.38</c:v>
                </c:pt>
                <c:pt idx="25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8F-4189-8A5C-DC7B68E23D02}"/>
            </c:ext>
          </c:extLst>
        </c:ser>
        <c:ser>
          <c:idx val="4"/>
          <c:order val="4"/>
          <c:tx>
            <c:strRef>
              <c:f>Pistol!$A$9</c:f>
              <c:strCache>
                <c:ptCount val="1"/>
                <c:pt idx="0">
                  <c:v>Desert Eagle Kumicho Dragon MW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Pistol!$B$9:$BY$9</c:f>
              <c:numCache>
                <c:formatCode>General</c:formatCode>
                <c:ptCount val="76"/>
                <c:pt idx="0">
                  <c:v>16.010000000000002</c:v>
                </c:pt>
                <c:pt idx="1">
                  <c:v>16.03</c:v>
                </c:pt>
                <c:pt idx="2">
                  <c:v>16.510000000000002</c:v>
                </c:pt>
                <c:pt idx="3">
                  <c:v>16.36</c:v>
                </c:pt>
                <c:pt idx="4">
                  <c:v>15.72</c:v>
                </c:pt>
                <c:pt idx="5">
                  <c:v>15.47</c:v>
                </c:pt>
                <c:pt idx="6">
                  <c:v>15.88</c:v>
                </c:pt>
                <c:pt idx="7">
                  <c:v>16.75</c:v>
                </c:pt>
                <c:pt idx="8">
                  <c:v>16.04</c:v>
                </c:pt>
                <c:pt idx="9">
                  <c:v>16.07</c:v>
                </c:pt>
                <c:pt idx="10">
                  <c:v>14.58</c:v>
                </c:pt>
                <c:pt idx="11">
                  <c:v>15.18</c:v>
                </c:pt>
                <c:pt idx="12">
                  <c:v>15.49</c:v>
                </c:pt>
                <c:pt idx="13">
                  <c:v>14.85</c:v>
                </c:pt>
                <c:pt idx="14">
                  <c:v>15.68</c:v>
                </c:pt>
                <c:pt idx="15">
                  <c:v>15.71</c:v>
                </c:pt>
                <c:pt idx="16">
                  <c:v>15.94</c:v>
                </c:pt>
                <c:pt idx="17">
                  <c:v>15.37</c:v>
                </c:pt>
                <c:pt idx="18">
                  <c:v>15.2</c:v>
                </c:pt>
                <c:pt idx="19">
                  <c:v>15.91</c:v>
                </c:pt>
                <c:pt idx="20">
                  <c:v>15.75</c:v>
                </c:pt>
                <c:pt idx="21">
                  <c:v>16.27</c:v>
                </c:pt>
                <c:pt idx="22">
                  <c:v>15.99</c:v>
                </c:pt>
                <c:pt idx="23">
                  <c:v>15.31</c:v>
                </c:pt>
                <c:pt idx="24">
                  <c:v>15.42</c:v>
                </c:pt>
                <c:pt idx="25">
                  <c:v>15.76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8F-4189-8A5C-DC7B68E23D02}"/>
            </c:ext>
          </c:extLst>
        </c:ser>
        <c:ser>
          <c:idx val="5"/>
          <c:order val="5"/>
          <c:tx>
            <c:strRef>
              <c:f>Pistol!$A$10</c:f>
              <c:strCache>
                <c:ptCount val="1"/>
                <c:pt idx="0">
                  <c:v>Stattrak P2000 Imperial Dragon FT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Pistol!$B$10:$BY$10</c:f>
              <c:numCache>
                <c:formatCode>General</c:formatCode>
                <c:ptCount val="76"/>
                <c:pt idx="0">
                  <c:v>4.22</c:v>
                </c:pt>
                <c:pt idx="1">
                  <c:v>3.94</c:v>
                </c:pt>
                <c:pt idx="2">
                  <c:v>3.84</c:v>
                </c:pt>
                <c:pt idx="3">
                  <c:v>4.1500000000000004</c:v>
                </c:pt>
                <c:pt idx="4">
                  <c:v>4.0599999999999996</c:v>
                </c:pt>
                <c:pt idx="5">
                  <c:v>4.2</c:v>
                </c:pt>
                <c:pt idx="6">
                  <c:v>4.1399999999999997</c:v>
                </c:pt>
                <c:pt idx="7">
                  <c:v>4.1900000000000004</c:v>
                </c:pt>
                <c:pt idx="8">
                  <c:v>4.07</c:v>
                </c:pt>
                <c:pt idx="9">
                  <c:v>4.0599999999999996</c:v>
                </c:pt>
                <c:pt idx="10">
                  <c:v>3.93</c:v>
                </c:pt>
                <c:pt idx="11">
                  <c:v>3.99</c:v>
                </c:pt>
                <c:pt idx="12">
                  <c:v>4.16</c:v>
                </c:pt>
                <c:pt idx="13">
                  <c:v>3.68</c:v>
                </c:pt>
                <c:pt idx="14">
                  <c:v>4.07</c:v>
                </c:pt>
                <c:pt idx="15">
                  <c:v>4.1100000000000003</c:v>
                </c:pt>
                <c:pt idx="16">
                  <c:v>4.08</c:v>
                </c:pt>
                <c:pt idx="17">
                  <c:v>4.0599999999999996</c:v>
                </c:pt>
                <c:pt idx="18">
                  <c:v>3.81</c:v>
                </c:pt>
                <c:pt idx="19">
                  <c:v>3.9</c:v>
                </c:pt>
                <c:pt idx="20">
                  <c:v>4.0599999999999996</c:v>
                </c:pt>
                <c:pt idx="21">
                  <c:v>3.84</c:v>
                </c:pt>
                <c:pt idx="22">
                  <c:v>3.86</c:v>
                </c:pt>
                <c:pt idx="23">
                  <c:v>3.88</c:v>
                </c:pt>
                <c:pt idx="24">
                  <c:v>4.03</c:v>
                </c:pt>
                <c:pt idx="2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8F-4189-8A5C-DC7B68E23D02}"/>
            </c:ext>
          </c:extLst>
        </c:ser>
        <c:ser>
          <c:idx val="6"/>
          <c:order val="6"/>
          <c:tx>
            <c:strRef>
              <c:f>Pistol!$A$11</c:f>
              <c:strCache>
                <c:ptCount val="1"/>
                <c:pt idx="0">
                  <c:v>Stattrak CZ75-Auto Red Astor MW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Pistol!$B$11:$BY$11</c:f>
              <c:numCache>
                <c:formatCode>General</c:formatCode>
                <c:ptCount val="76"/>
                <c:pt idx="0">
                  <c:v>1.89</c:v>
                </c:pt>
                <c:pt idx="1">
                  <c:v>1.96</c:v>
                </c:pt>
                <c:pt idx="2">
                  <c:v>2.02</c:v>
                </c:pt>
                <c:pt idx="3">
                  <c:v>1.95</c:v>
                </c:pt>
                <c:pt idx="4">
                  <c:v>1.84</c:v>
                </c:pt>
                <c:pt idx="5">
                  <c:v>1.97</c:v>
                </c:pt>
                <c:pt idx="6">
                  <c:v>1.89</c:v>
                </c:pt>
                <c:pt idx="7">
                  <c:v>1.87</c:v>
                </c:pt>
                <c:pt idx="8">
                  <c:v>1.74</c:v>
                </c:pt>
                <c:pt idx="9">
                  <c:v>1.88</c:v>
                </c:pt>
                <c:pt idx="10">
                  <c:v>1.87</c:v>
                </c:pt>
                <c:pt idx="11">
                  <c:v>1.79</c:v>
                </c:pt>
                <c:pt idx="12">
                  <c:v>1.76</c:v>
                </c:pt>
                <c:pt idx="13">
                  <c:v>1.76</c:v>
                </c:pt>
                <c:pt idx="14">
                  <c:v>1.76</c:v>
                </c:pt>
                <c:pt idx="15">
                  <c:v>1.72</c:v>
                </c:pt>
                <c:pt idx="16">
                  <c:v>1.74</c:v>
                </c:pt>
                <c:pt idx="17">
                  <c:v>1.58</c:v>
                </c:pt>
                <c:pt idx="18">
                  <c:v>1.73</c:v>
                </c:pt>
                <c:pt idx="19">
                  <c:v>1.75</c:v>
                </c:pt>
                <c:pt idx="20">
                  <c:v>1.62</c:v>
                </c:pt>
                <c:pt idx="21">
                  <c:v>1.52</c:v>
                </c:pt>
                <c:pt idx="22">
                  <c:v>1.68</c:v>
                </c:pt>
                <c:pt idx="23">
                  <c:v>1.65</c:v>
                </c:pt>
                <c:pt idx="24">
                  <c:v>1.72</c:v>
                </c:pt>
                <c:pt idx="25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8F-4189-8A5C-DC7B68E23D02}"/>
            </c:ext>
          </c:extLst>
        </c:ser>
        <c:ser>
          <c:idx val="7"/>
          <c:order val="7"/>
          <c:tx>
            <c:strRef>
              <c:f>Pistol!$A$12</c:f>
              <c:strCache>
                <c:ptCount val="1"/>
                <c:pt idx="0">
                  <c:v>R8 Revolver Reboot 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Pistol!$B$12:$BY$12</c:f>
              <c:numCache>
                <c:formatCode>General</c:formatCode>
                <c:ptCount val="76"/>
                <c:pt idx="0">
                  <c:v>0.64</c:v>
                </c:pt>
                <c:pt idx="1">
                  <c:v>0.62</c:v>
                </c:pt>
                <c:pt idx="2">
                  <c:v>0.65</c:v>
                </c:pt>
                <c:pt idx="3">
                  <c:v>0.61</c:v>
                </c:pt>
                <c:pt idx="4">
                  <c:v>0.62</c:v>
                </c:pt>
                <c:pt idx="5">
                  <c:v>0.66</c:v>
                </c:pt>
                <c:pt idx="6">
                  <c:v>0.71</c:v>
                </c:pt>
                <c:pt idx="7">
                  <c:v>0.69</c:v>
                </c:pt>
                <c:pt idx="8">
                  <c:v>0.7</c:v>
                </c:pt>
                <c:pt idx="9">
                  <c:v>0.66</c:v>
                </c:pt>
                <c:pt idx="10">
                  <c:v>0.62</c:v>
                </c:pt>
                <c:pt idx="11">
                  <c:v>0.65</c:v>
                </c:pt>
                <c:pt idx="12">
                  <c:v>0.63</c:v>
                </c:pt>
                <c:pt idx="13">
                  <c:v>0.63</c:v>
                </c:pt>
                <c:pt idx="14">
                  <c:v>0.6</c:v>
                </c:pt>
                <c:pt idx="15">
                  <c:v>0.6</c:v>
                </c:pt>
                <c:pt idx="16">
                  <c:v>0.55000000000000004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0.61</c:v>
                </c:pt>
                <c:pt idx="21">
                  <c:v>0.61</c:v>
                </c:pt>
                <c:pt idx="22">
                  <c:v>0.61</c:v>
                </c:pt>
                <c:pt idx="23">
                  <c:v>0.56999999999999995</c:v>
                </c:pt>
                <c:pt idx="24">
                  <c:v>0.56999999999999995</c:v>
                </c:pt>
                <c:pt idx="25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78F-4189-8A5C-DC7B68E23D02}"/>
            </c:ext>
          </c:extLst>
        </c:ser>
        <c:ser>
          <c:idx val="8"/>
          <c:order val="8"/>
          <c:tx>
            <c:strRef>
              <c:f>Pistol!$A$13</c:f>
              <c:strCache>
                <c:ptCount val="1"/>
                <c:pt idx="0">
                  <c:v>Stattrak Glock-18 Water Elemental FT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Pistol!$B$13:$BY$13</c:f>
              <c:numCache>
                <c:formatCode>General</c:formatCode>
                <c:ptCount val="76"/>
                <c:pt idx="0">
                  <c:v>12.57</c:v>
                </c:pt>
                <c:pt idx="1">
                  <c:v>10.7</c:v>
                </c:pt>
                <c:pt idx="2">
                  <c:v>12.88</c:v>
                </c:pt>
                <c:pt idx="3">
                  <c:v>12.64</c:v>
                </c:pt>
                <c:pt idx="4">
                  <c:v>12.69</c:v>
                </c:pt>
                <c:pt idx="5">
                  <c:v>13.17</c:v>
                </c:pt>
                <c:pt idx="6">
                  <c:v>13.28</c:v>
                </c:pt>
                <c:pt idx="7">
                  <c:v>13.14</c:v>
                </c:pt>
                <c:pt idx="8">
                  <c:v>12.09</c:v>
                </c:pt>
                <c:pt idx="9">
                  <c:v>13.02</c:v>
                </c:pt>
                <c:pt idx="10">
                  <c:v>12.56</c:v>
                </c:pt>
                <c:pt idx="11">
                  <c:v>12.68</c:v>
                </c:pt>
                <c:pt idx="12">
                  <c:v>12.15</c:v>
                </c:pt>
                <c:pt idx="13">
                  <c:v>12.04</c:v>
                </c:pt>
                <c:pt idx="14">
                  <c:v>11.22</c:v>
                </c:pt>
                <c:pt idx="15">
                  <c:v>12.26</c:v>
                </c:pt>
                <c:pt idx="16">
                  <c:v>11.7</c:v>
                </c:pt>
                <c:pt idx="17">
                  <c:v>11.22</c:v>
                </c:pt>
                <c:pt idx="18">
                  <c:v>12.11</c:v>
                </c:pt>
                <c:pt idx="19">
                  <c:v>11.36</c:v>
                </c:pt>
                <c:pt idx="20">
                  <c:v>12.62</c:v>
                </c:pt>
                <c:pt idx="21">
                  <c:v>12.62</c:v>
                </c:pt>
                <c:pt idx="22">
                  <c:v>12.28</c:v>
                </c:pt>
                <c:pt idx="23">
                  <c:v>12.56</c:v>
                </c:pt>
                <c:pt idx="24">
                  <c:v>11.77</c:v>
                </c:pt>
                <c:pt idx="25">
                  <c:v>12.16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8F-4189-8A5C-DC7B68E23D02}"/>
            </c:ext>
          </c:extLst>
        </c:ser>
        <c:ser>
          <c:idx val="9"/>
          <c:order val="9"/>
          <c:tx>
            <c:strRef>
              <c:f>Pistol!$A$14</c:f>
              <c:strCache>
                <c:ptCount val="1"/>
                <c:pt idx="0">
                  <c:v>Dual Berettas Urban Shock MW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Pistol!$B$14:$BY$14</c:f>
              <c:numCache>
                <c:formatCode>General</c:formatCode>
                <c:ptCount val="76"/>
                <c:pt idx="0">
                  <c:v>1.39</c:v>
                </c:pt>
                <c:pt idx="1">
                  <c:v>1.46</c:v>
                </c:pt>
                <c:pt idx="2">
                  <c:v>1.35</c:v>
                </c:pt>
                <c:pt idx="3">
                  <c:v>1.38</c:v>
                </c:pt>
                <c:pt idx="4">
                  <c:v>1.39</c:v>
                </c:pt>
                <c:pt idx="5">
                  <c:v>1.35</c:v>
                </c:pt>
                <c:pt idx="6">
                  <c:v>1.43</c:v>
                </c:pt>
                <c:pt idx="7">
                  <c:v>1.42</c:v>
                </c:pt>
                <c:pt idx="8">
                  <c:v>1.35</c:v>
                </c:pt>
                <c:pt idx="9">
                  <c:v>1.45</c:v>
                </c:pt>
                <c:pt idx="10">
                  <c:v>1.43</c:v>
                </c:pt>
                <c:pt idx="11">
                  <c:v>1.32</c:v>
                </c:pt>
                <c:pt idx="12">
                  <c:v>1.38</c:v>
                </c:pt>
                <c:pt idx="13">
                  <c:v>1.44</c:v>
                </c:pt>
                <c:pt idx="14">
                  <c:v>1.33</c:v>
                </c:pt>
                <c:pt idx="15">
                  <c:v>1.46</c:v>
                </c:pt>
                <c:pt idx="16">
                  <c:v>1.42</c:v>
                </c:pt>
                <c:pt idx="17">
                  <c:v>1.44</c:v>
                </c:pt>
                <c:pt idx="18">
                  <c:v>1.45</c:v>
                </c:pt>
                <c:pt idx="19">
                  <c:v>1.44</c:v>
                </c:pt>
                <c:pt idx="20">
                  <c:v>1.46</c:v>
                </c:pt>
                <c:pt idx="21">
                  <c:v>1.4</c:v>
                </c:pt>
                <c:pt idx="22">
                  <c:v>1.34</c:v>
                </c:pt>
                <c:pt idx="23">
                  <c:v>1.41</c:v>
                </c:pt>
                <c:pt idx="24">
                  <c:v>1.41</c:v>
                </c:pt>
                <c:pt idx="25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8F-4189-8A5C-DC7B68E23D02}"/>
            </c:ext>
          </c:extLst>
        </c:ser>
        <c:ser>
          <c:idx val="10"/>
          <c:order val="10"/>
          <c:tx>
            <c:strRef>
              <c:f>Pistol!$A$15</c:f>
              <c:strCache>
                <c:ptCount val="1"/>
                <c:pt idx="0">
                  <c:v>Stattrak USP-S Cyrex FN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Pistol!$B$15:$BY$15</c:f>
              <c:numCache>
                <c:formatCode>General</c:formatCode>
                <c:ptCount val="76"/>
                <c:pt idx="0">
                  <c:v>12.25</c:v>
                </c:pt>
                <c:pt idx="1">
                  <c:v>13.38</c:v>
                </c:pt>
                <c:pt idx="2">
                  <c:v>12.8</c:v>
                </c:pt>
                <c:pt idx="3">
                  <c:v>13.84</c:v>
                </c:pt>
                <c:pt idx="4">
                  <c:v>13.63</c:v>
                </c:pt>
                <c:pt idx="5">
                  <c:v>13.45</c:v>
                </c:pt>
                <c:pt idx="6">
                  <c:v>12.42</c:v>
                </c:pt>
                <c:pt idx="7">
                  <c:v>13.28</c:v>
                </c:pt>
                <c:pt idx="8">
                  <c:v>13.28</c:v>
                </c:pt>
                <c:pt idx="9">
                  <c:v>13.01</c:v>
                </c:pt>
                <c:pt idx="10">
                  <c:v>12.76</c:v>
                </c:pt>
                <c:pt idx="11">
                  <c:v>11.82</c:v>
                </c:pt>
                <c:pt idx="12">
                  <c:v>13.23</c:v>
                </c:pt>
                <c:pt idx="13">
                  <c:v>13.37</c:v>
                </c:pt>
                <c:pt idx="14">
                  <c:v>12.95</c:v>
                </c:pt>
                <c:pt idx="15">
                  <c:v>13.49</c:v>
                </c:pt>
                <c:pt idx="16">
                  <c:v>13.24</c:v>
                </c:pt>
                <c:pt idx="17">
                  <c:v>12.62</c:v>
                </c:pt>
                <c:pt idx="18">
                  <c:v>13.16</c:v>
                </c:pt>
                <c:pt idx="19">
                  <c:v>12.6</c:v>
                </c:pt>
                <c:pt idx="20">
                  <c:v>12.78</c:v>
                </c:pt>
                <c:pt idx="21">
                  <c:v>13.15</c:v>
                </c:pt>
                <c:pt idx="22">
                  <c:v>13.07</c:v>
                </c:pt>
                <c:pt idx="23">
                  <c:v>13.25</c:v>
                </c:pt>
                <c:pt idx="24">
                  <c:v>13.37</c:v>
                </c:pt>
                <c:pt idx="25">
                  <c:v>13.34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8F-4189-8A5C-DC7B68E23D02}"/>
            </c:ext>
          </c:extLst>
        </c:ser>
        <c:ser>
          <c:idx val="11"/>
          <c:order val="11"/>
          <c:tx>
            <c:strRef>
              <c:f>Pistol!$A$16</c:f>
              <c:strCache>
                <c:ptCount val="1"/>
                <c:pt idx="0">
                  <c:v>Stattrak CZ75-Auto Eco MW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Pistol!$B$16:$BY$16</c:f>
              <c:numCache>
                <c:formatCode>General</c:formatCode>
                <c:ptCount val="76"/>
                <c:pt idx="0">
                  <c:v>2.57</c:v>
                </c:pt>
                <c:pt idx="1">
                  <c:v>2.5</c:v>
                </c:pt>
                <c:pt idx="2">
                  <c:v>2.68</c:v>
                </c:pt>
                <c:pt idx="3">
                  <c:v>2.4300000000000002</c:v>
                </c:pt>
                <c:pt idx="4">
                  <c:v>2.61</c:v>
                </c:pt>
                <c:pt idx="5">
                  <c:v>2.62</c:v>
                </c:pt>
                <c:pt idx="6">
                  <c:v>2.66</c:v>
                </c:pt>
                <c:pt idx="7">
                  <c:v>2.67</c:v>
                </c:pt>
                <c:pt idx="8">
                  <c:v>2.58</c:v>
                </c:pt>
                <c:pt idx="9">
                  <c:v>2.81</c:v>
                </c:pt>
                <c:pt idx="10">
                  <c:v>2.78</c:v>
                </c:pt>
                <c:pt idx="11">
                  <c:v>2.82</c:v>
                </c:pt>
                <c:pt idx="12">
                  <c:v>2.93</c:v>
                </c:pt>
                <c:pt idx="13">
                  <c:v>2.42</c:v>
                </c:pt>
                <c:pt idx="14">
                  <c:v>2.65</c:v>
                </c:pt>
                <c:pt idx="15">
                  <c:v>2.7</c:v>
                </c:pt>
                <c:pt idx="16">
                  <c:v>2.5299999999999998</c:v>
                </c:pt>
                <c:pt idx="17">
                  <c:v>2.44</c:v>
                </c:pt>
                <c:pt idx="18">
                  <c:v>2.5299999999999998</c:v>
                </c:pt>
                <c:pt idx="19">
                  <c:v>2.39</c:v>
                </c:pt>
                <c:pt idx="20">
                  <c:v>2.69</c:v>
                </c:pt>
                <c:pt idx="21">
                  <c:v>2.44</c:v>
                </c:pt>
                <c:pt idx="22">
                  <c:v>2.3199999999999998</c:v>
                </c:pt>
                <c:pt idx="23">
                  <c:v>2.3199999999999998</c:v>
                </c:pt>
                <c:pt idx="24">
                  <c:v>2.38</c:v>
                </c:pt>
                <c:pt idx="25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78F-4189-8A5C-DC7B68E23D02}"/>
            </c:ext>
          </c:extLst>
        </c:ser>
        <c:ser>
          <c:idx val="12"/>
          <c:order val="12"/>
          <c:tx>
            <c:strRef>
              <c:f>Pistol!$A$17</c:f>
              <c:strCache>
                <c:ptCount val="1"/>
                <c:pt idx="0">
                  <c:v>Stattrak Five-Seven Monkey Business 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Pistol!$B$17:$BY$17</c:f>
              <c:numCache>
                <c:formatCode>General</c:formatCode>
                <c:ptCount val="76"/>
                <c:pt idx="0">
                  <c:v>4.9000000000000004</c:v>
                </c:pt>
                <c:pt idx="1">
                  <c:v>4.72</c:v>
                </c:pt>
                <c:pt idx="2">
                  <c:v>4.97</c:v>
                </c:pt>
                <c:pt idx="3">
                  <c:v>4.68</c:v>
                </c:pt>
                <c:pt idx="4">
                  <c:v>4.68</c:v>
                </c:pt>
                <c:pt idx="5">
                  <c:v>4.83</c:v>
                </c:pt>
                <c:pt idx="6">
                  <c:v>4.7699999999999996</c:v>
                </c:pt>
                <c:pt idx="7">
                  <c:v>4.92</c:v>
                </c:pt>
                <c:pt idx="8">
                  <c:v>4.55</c:v>
                </c:pt>
                <c:pt idx="9">
                  <c:v>4.4800000000000004</c:v>
                </c:pt>
                <c:pt idx="10">
                  <c:v>4.9000000000000004</c:v>
                </c:pt>
                <c:pt idx="11">
                  <c:v>4.76</c:v>
                </c:pt>
                <c:pt idx="12">
                  <c:v>4.92</c:v>
                </c:pt>
                <c:pt idx="13">
                  <c:v>4.67</c:v>
                </c:pt>
                <c:pt idx="14">
                  <c:v>4.7300000000000004</c:v>
                </c:pt>
                <c:pt idx="15">
                  <c:v>4.76</c:v>
                </c:pt>
                <c:pt idx="16">
                  <c:v>4.6900000000000004</c:v>
                </c:pt>
                <c:pt idx="17">
                  <c:v>4.21</c:v>
                </c:pt>
                <c:pt idx="18">
                  <c:v>4.8</c:v>
                </c:pt>
                <c:pt idx="19">
                  <c:v>4.51</c:v>
                </c:pt>
                <c:pt idx="20">
                  <c:v>4.3</c:v>
                </c:pt>
                <c:pt idx="21">
                  <c:v>4.71</c:v>
                </c:pt>
                <c:pt idx="22">
                  <c:v>4.67</c:v>
                </c:pt>
                <c:pt idx="23">
                  <c:v>4.51</c:v>
                </c:pt>
                <c:pt idx="24">
                  <c:v>4.5999999999999996</c:v>
                </c:pt>
                <c:pt idx="25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8F-4189-8A5C-DC7B68E23D02}"/>
            </c:ext>
          </c:extLst>
        </c:ser>
        <c:ser>
          <c:idx val="13"/>
          <c:order val="13"/>
          <c:tx>
            <c:strRef>
              <c:f>Pistol!$A$18</c:f>
              <c:strCache>
                <c:ptCount val="1"/>
                <c:pt idx="0">
                  <c:v>USP-S Cyrex WW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Pistol!$B$18:$BY$18</c:f>
              <c:numCache>
                <c:formatCode>General</c:formatCode>
                <c:ptCount val="76"/>
                <c:pt idx="0">
                  <c:v>2.42</c:v>
                </c:pt>
                <c:pt idx="1">
                  <c:v>2.35</c:v>
                </c:pt>
                <c:pt idx="2">
                  <c:v>2.31</c:v>
                </c:pt>
                <c:pt idx="3">
                  <c:v>2.4300000000000002</c:v>
                </c:pt>
                <c:pt idx="4">
                  <c:v>2.42</c:v>
                </c:pt>
                <c:pt idx="5">
                  <c:v>2.33</c:v>
                </c:pt>
                <c:pt idx="6">
                  <c:v>2.37</c:v>
                </c:pt>
                <c:pt idx="7">
                  <c:v>2.39</c:v>
                </c:pt>
                <c:pt idx="8">
                  <c:v>2.2599999999999998</c:v>
                </c:pt>
                <c:pt idx="9">
                  <c:v>2.3199999999999998</c:v>
                </c:pt>
                <c:pt idx="10">
                  <c:v>2.35</c:v>
                </c:pt>
                <c:pt idx="11">
                  <c:v>2.38</c:v>
                </c:pt>
                <c:pt idx="12">
                  <c:v>2.36</c:v>
                </c:pt>
                <c:pt idx="13">
                  <c:v>2.41</c:v>
                </c:pt>
                <c:pt idx="14">
                  <c:v>2.37</c:v>
                </c:pt>
                <c:pt idx="15">
                  <c:v>2.4900000000000002</c:v>
                </c:pt>
                <c:pt idx="16">
                  <c:v>2.5</c:v>
                </c:pt>
                <c:pt idx="17">
                  <c:v>2.39</c:v>
                </c:pt>
                <c:pt idx="18">
                  <c:v>2.34</c:v>
                </c:pt>
                <c:pt idx="19">
                  <c:v>2.34</c:v>
                </c:pt>
                <c:pt idx="20">
                  <c:v>2.38</c:v>
                </c:pt>
                <c:pt idx="21">
                  <c:v>2.25</c:v>
                </c:pt>
                <c:pt idx="22">
                  <c:v>2.2599999999999998</c:v>
                </c:pt>
                <c:pt idx="23">
                  <c:v>2.42</c:v>
                </c:pt>
                <c:pt idx="24">
                  <c:v>2.4500000000000002</c:v>
                </c:pt>
                <c:pt idx="25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78F-4189-8A5C-DC7B68E23D02}"/>
            </c:ext>
          </c:extLst>
        </c:ser>
        <c:ser>
          <c:idx val="14"/>
          <c:order val="14"/>
          <c:tx>
            <c:strRef>
              <c:f>Pistol!$A$19</c:f>
              <c:strCache>
                <c:ptCount val="1"/>
                <c:pt idx="0">
                  <c:v>Glock-18 Candy Apple MW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Pistol!$B$19:$BY$19</c:f>
              <c:numCache>
                <c:formatCode>General</c:formatCode>
                <c:ptCount val="76"/>
                <c:pt idx="0">
                  <c:v>1.29</c:v>
                </c:pt>
                <c:pt idx="1">
                  <c:v>1.19</c:v>
                </c:pt>
                <c:pt idx="2">
                  <c:v>1.1000000000000001</c:v>
                </c:pt>
                <c:pt idx="3">
                  <c:v>1.1100000000000001</c:v>
                </c:pt>
                <c:pt idx="4">
                  <c:v>1.08</c:v>
                </c:pt>
                <c:pt idx="5">
                  <c:v>1.1000000000000001</c:v>
                </c:pt>
                <c:pt idx="6">
                  <c:v>1.08</c:v>
                </c:pt>
                <c:pt idx="7">
                  <c:v>1.05</c:v>
                </c:pt>
                <c:pt idx="8">
                  <c:v>1.1000000000000001</c:v>
                </c:pt>
                <c:pt idx="9">
                  <c:v>1.1200000000000001</c:v>
                </c:pt>
                <c:pt idx="10">
                  <c:v>1.19</c:v>
                </c:pt>
                <c:pt idx="11">
                  <c:v>1.28</c:v>
                </c:pt>
                <c:pt idx="12">
                  <c:v>1.26</c:v>
                </c:pt>
                <c:pt idx="13">
                  <c:v>1.23</c:v>
                </c:pt>
                <c:pt idx="14">
                  <c:v>1.1599999999999999</c:v>
                </c:pt>
                <c:pt idx="15">
                  <c:v>1.17</c:v>
                </c:pt>
                <c:pt idx="16">
                  <c:v>1.19</c:v>
                </c:pt>
                <c:pt idx="17">
                  <c:v>1.1100000000000001</c:v>
                </c:pt>
                <c:pt idx="18">
                  <c:v>0.97</c:v>
                </c:pt>
                <c:pt idx="19">
                  <c:v>1.04</c:v>
                </c:pt>
                <c:pt idx="20">
                  <c:v>1.04</c:v>
                </c:pt>
                <c:pt idx="21">
                  <c:v>1.07</c:v>
                </c:pt>
                <c:pt idx="22">
                  <c:v>1.03</c:v>
                </c:pt>
                <c:pt idx="23">
                  <c:v>1.04</c:v>
                </c:pt>
                <c:pt idx="24">
                  <c:v>1.03</c:v>
                </c:pt>
                <c:pt idx="25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8F-4189-8A5C-DC7B68E23D02}"/>
            </c:ext>
          </c:extLst>
        </c:ser>
        <c:ser>
          <c:idx val="15"/>
          <c:order val="15"/>
          <c:tx>
            <c:strRef>
              <c:f>Pistol!$A$20</c:f>
              <c:strCache>
                <c:ptCount val="1"/>
                <c:pt idx="0">
                  <c:v>Stattrak Desert Eagle Conspiracy MW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Pistol!$B$20:$BY$20</c:f>
              <c:numCache>
                <c:formatCode>General</c:formatCode>
                <c:ptCount val="76"/>
                <c:pt idx="0">
                  <c:v>17.53</c:v>
                </c:pt>
                <c:pt idx="1">
                  <c:v>16.38</c:v>
                </c:pt>
                <c:pt idx="2">
                  <c:v>17.649999999999999</c:v>
                </c:pt>
                <c:pt idx="3">
                  <c:v>17.399999999999999</c:v>
                </c:pt>
                <c:pt idx="4">
                  <c:v>17.13</c:v>
                </c:pt>
                <c:pt idx="5">
                  <c:v>16.739999999999998</c:v>
                </c:pt>
                <c:pt idx="6">
                  <c:v>15.07</c:v>
                </c:pt>
                <c:pt idx="7">
                  <c:v>14.85</c:v>
                </c:pt>
                <c:pt idx="8">
                  <c:v>16.37</c:v>
                </c:pt>
                <c:pt idx="9">
                  <c:v>17.66</c:v>
                </c:pt>
                <c:pt idx="10">
                  <c:v>16.45</c:v>
                </c:pt>
                <c:pt idx="11">
                  <c:v>17.079999999999998</c:v>
                </c:pt>
                <c:pt idx="12">
                  <c:v>16.27</c:v>
                </c:pt>
                <c:pt idx="13">
                  <c:v>16.46</c:v>
                </c:pt>
                <c:pt idx="14">
                  <c:v>16.46</c:v>
                </c:pt>
                <c:pt idx="15">
                  <c:v>17.079999999999998</c:v>
                </c:pt>
                <c:pt idx="16">
                  <c:v>16.57</c:v>
                </c:pt>
                <c:pt idx="17">
                  <c:v>15.41</c:v>
                </c:pt>
                <c:pt idx="18">
                  <c:v>14.93</c:v>
                </c:pt>
                <c:pt idx="19">
                  <c:v>16.899999999999999</c:v>
                </c:pt>
                <c:pt idx="20">
                  <c:v>16.48</c:v>
                </c:pt>
                <c:pt idx="21">
                  <c:v>15.45</c:v>
                </c:pt>
                <c:pt idx="22">
                  <c:v>15.96</c:v>
                </c:pt>
                <c:pt idx="23">
                  <c:v>16.16</c:v>
                </c:pt>
                <c:pt idx="24">
                  <c:v>16.11</c:v>
                </c:pt>
                <c:pt idx="25">
                  <c:v>15.48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78F-4189-8A5C-DC7B68E23D02}"/>
            </c:ext>
          </c:extLst>
        </c:ser>
        <c:ser>
          <c:idx val="16"/>
          <c:order val="16"/>
          <c:tx>
            <c:strRef>
              <c:f>Pistol!$A$21</c:f>
              <c:strCache>
                <c:ptCount val="1"/>
                <c:pt idx="0">
                  <c:v>Glock-18 Wasteland Rebel MW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Pistol!$B$21:$BY$21</c:f>
              <c:numCache>
                <c:formatCode>General</c:formatCode>
                <c:ptCount val="76"/>
                <c:pt idx="0">
                  <c:v>6.46</c:v>
                </c:pt>
                <c:pt idx="1">
                  <c:v>6.58</c:v>
                </c:pt>
                <c:pt idx="2">
                  <c:v>6.48</c:v>
                </c:pt>
                <c:pt idx="3">
                  <c:v>6.32</c:v>
                </c:pt>
                <c:pt idx="4">
                  <c:v>6.23</c:v>
                </c:pt>
                <c:pt idx="5">
                  <c:v>6.23</c:v>
                </c:pt>
                <c:pt idx="6">
                  <c:v>5.76</c:v>
                </c:pt>
                <c:pt idx="7">
                  <c:v>6.23</c:v>
                </c:pt>
                <c:pt idx="8">
                  <c:v>6.01</c:v>
                </c:pt>
                <c:pt idx="9">
                  <c:v>5.99</c:v>
                </c:pt>
                <c:pt idx="10">
                  <c:v>6.03</c:v>
                </c:pt>
                <c:pt idx="11">
                  <c:v>5.56</c:v>
                </c:pt>
                <c:pt idx="12">
                  <c:v>5.61</c:v>
                </c:pt>
                <c:pt idx="13">
                  <c:v>5.63</c:v>
                </c:pt>
                <c:pt idx="14">
                  <c:v>5.84</c:v>
                </c:pt>
                <c:pt idx="15">
                  <c:v>5.91</c:v>
                </c:pt>
                <c:pt idx="16">
                  <c:v>5.9</c:v>
                </c:pt>
                <c:pt idx="17">
                  <c:v>5.86</c:v>
                </c:pt>
                <c:pt idx="18">
                  <c:v>5.78</c:v>
                </c:pt>
                <c:pt idx="19">
                  <c:v>5.86</c:v>
                </c:pt>
                <c:pt idx="20">
                  <c:v>5.88</c:v>
                </c:pt>
                <c:pt idx="21">
                  <c:v>5.9</c:v>
                </c:pt>
                <c:pt idx="22">
                  <c:v>5.54</c:v>
                </c:pt>
                <c:pt idx="23">
                  <c:v>5.82</c:v>
                </c:pt>
                <c:pt idx="24">
                  <c:v>5.7</c:v>
                </c:pt>
                <c:pt idx="25">
                  <c:v>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78F-4189-8A5C-DC7B68E23D02}"/>
            </c:ext>
          </c:extLst>
        </c:ser>
        <c:ser>
          <c:idx val="17"/>
          <c:order val="17"/>
          <c:tx>
            <c:strRef>
              <c:f>Pistol!$A$22</c:f>
              <c:strCache>
                <c:ptCount val="1"/>
                <c:pt idx="0">
                  <c:v>P250 See Ya Later MW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Pistol!$B$22:$BY$22</c:f>
              <c:numCache>
                <c:formatCode>General</c:formatCode>
                <c:ptCount val="76"/>
                <c:pt idx="0">
                  <c:v>6.58</c:v>
                </c:pt>
                <c:pt idx="1">
                  <c:v>6.29</c:v>
                </c:pt>
                <c:pt idx="2">
                  <c:v>5.78</c:v>
                </c:pt>
                <c:pt idx="3">
                  <c:v>6.4</c:v>
                </c:pt>
                <c:pt idx="4">
                  <c:v>5.82</c:v>
                </c:pt>
                <c:pt idx="5">
                  <c:v>6.3</c:v>
                </c:pt>
                <c:pt idx="6">
                  <c:v>6.49</c:v>
                </c:pt>
                <c:pt idx="7">
                  <c:v>6.12</c:v>
                </c:pt>
                <c:pt idx="8">
                  <c:v>6.3</c:v>
                </c:pt>
                <c:pt idx="9">
                  <c:v>5.63</c:v>
                </c:pt>
                <c:pt idx="10">
                  <c:v>6.03</c:v>
                </c:pt>
                <c:pt idx="11">
                  <c:v>5.79</c:v>
                </c:pt>
                <c:pt idx="12">
                  <c:v>5.86</c:v>
                </c:pt>
                <c:pt idx="13">
                  <c:v>5.79</c:v>
                </c:pt>
                <c:pt idx="14">
                  <c:v>5.99</c:v>
                </c:pt>
                <c:pt idx="15">
                  <c:v>6.33</c:v>
                </c:pt>
                <c:pt idx="16">
                  <c:v>6.14</c:v>
                </c:pt>
                <c:pt idx="17">
                  <c:v>5.9</c:v>
                </c:pt>
                <c:pt idx="18">
                  <c:v>6.32</c:v>
                </c:pt>
                <c:pt idx="19">
                  <c:v>5.54</c:v>
                </c:pt>
                <c:pt idx="20">
                  <c:v>5.98</c:v>
                </c:pt>
                <c:pt idx="21">
                  <c:v>5.59</c:v>
                </c:pt>
                <c:pt idx="22">
                  <c:v>6.14</c:v>
                </c:pt>
                <c:pt idx="23">
                  <c:v>5.87</c:v>
                </c:pt>
                <c:pt idx="24">
                  <c:v>6.04</c:v>
                </c:pt>
                <c:pt idx="25">
                  <c:v>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78F-4189-8A5C-DC7B68E23D02}"/>
            </c:ext>
          </c:extLst>
        </c:ser>
        <c:ser>
          <c:idx val="18"/>
          <c:order val="18"/>
          <c:tx>
            <c:strRef>
              <c:f>Pistol!$A$23</c:f>
              <c:strCache>
                <c:ptCount val="1"/>
                <c:pt idx="0">
                  <c:v>Five-Seven Angry Mob MW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Pistol!$B$23:$BY$23</c:f>
              <c:numCache>
                <c:formatCode>General</c:formatCode>
                <c:ptCount val="76"/>
                <c:pt idx="0">
                  <c:v>5.71</c:v>
                </c:pt>
                <c:pt idx="1">
                  <c:v>5.43</c:v>
                </c:pt>
                <c:pt idx="2">
                  <c:v>5.45</c:v>
                </c:pt>
                <c:pt idx="3">
                  <c:v>5.13</c:v>
                </c:pt>
                <c:pt idx="4">
                  <c:v>5.22</c:v>
                </c:pt>
                <c:pt idx="5">
                  <c:v>5.48</c:v>
                </c:pt>
                <c:pt idx="6">
                  <c:v>5.37</c:v>
                </c:pt>
                <c:pt idx="7">
                  <c:v>5.14</c:v>
                </c:pt>
                <c:pt idx="8">
                  <c:v>5.09</c:v>
                </c:pt>
                <c:pt idx="9">
                  <c:v>5.0199999999999996</c:v>
                </c:pt>
                <c:pt idx="10">
                  <c:v>5.34</c:v>
                </c:pt>
                <c:pt idx="11">
                  <c:v>5.22</c:v>
                </c:pt>
                <c:pt idx="12">
                  <c:v>5.2</c:v>
                </c:pt>
                <c:pt idx="13">
                  <c:v>5.12</c:v>
                </c:pt>
                <c:pt idx="14">
                  <c:v>5.36</c:v>
                </c:pt>
                <c:pt idx="15">
                  <c:v>5.36</c:v>
                </c:pt>
                <c:pt idx="16">
                  <c:v>5.25</c:v>
                </c:pt>
                <c:pt idx="17">
                  <c:v>5.24</c:v>
                </c:pt>
                <c:pt idx="18">
                  <c:v>5.17</c:v>
                </c:pt>
                <c:pt idx="19">
                  <c:v>5.0199999999999996</c:v>
                </c:pt>
                <c:pt idx="20">
                  <c:v>5.34</c:v>
                </c:pt>
                <c:pt idx="21">
                  <c:v>4.97</c:v>
                </c:pt>
                <c:pt idx="22">
                  <c:v>5.36</c:v>
                </c:pt>
                <c:pt idx="23">
                  <c:v>5.33</c:v>
                </c:pt>
                <c:pt idx="24">
                  <c:v>5.13</c:v>
                </c:pt>
                <c:pt idx="25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78F-4189-8A5C-DC7B68E23D02}"/>
            </c:ext>
          </c:extLst>
        </c:ser>
        <c:ser>
          <c:idx val="19"/>
          <c:order val="19"/>
          <c:tx>
            <c:strRef>
              <c:f>Pistol!$A$24</c:f>
              <c:strCache>
                <c:ptCount val="1"/>
                <c:pt idx="0">
                  <c:v>Five-Seven Hyper Beast MW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Pistol!$B$24:$BY$24</c:f>
              <c:numCache>
                <c:formatCode>General</c:formatCode>
                <c:ptCount val="76"/>
                <c:pt idx="0">
                  <c:v>28.06</c:v>
                </c:pt>
                <c:pt idx="1">
                  <c:v>29.75</c:v>
                </c:pt>
                <c:pt idx="2">
                  <c:v>27.86</c:v>
                </c:pt>
                <c:pt idx="3">
                  <c:v>30.97</c:v>
                </c:pt>
                <c:pt idx="4">
                  <c:v>30.52</c:v>
                </c:pt>
                <c:pt idx="5">
                  <c:v>30.5</c:v>
                </c:pt>
                <c:pt idx="6">
                  <c:v>30.94</c:v>
                </c:pt>
                <c:pt idx="7">
                  <c:v>27.91</c:v>
                </c:pt>
                <c:pt idx="8">
                  <c:v>30.48</c:v>
                </c:pt>
                <c:pt idx="9">
                  <c:v>29.22</c:v>
                </c:pt>
                <c:pt idx="10">
                  <c:v>29.8</c:v>
                </c:pt>
                <c:pt idx="11">
                  <c:v>30.17</c:v>
                </c:pt>
                <c:pt idx="12">
                  <c:v>30.2</c:v>
                </c:pt>
                <c:pt idx="13">
                  <c:v>29.95</c:v>
                </c:pt>
                <c:pt idx="14">
                  <c:v>26.76</c:v>
                </c:pt>
                <c:pt idx="15">
                  <c:v>30.71</c:v>
                </c:pt>
                <c:pt idx="16">
                  <c:v>29.38</c:v>
                </c:pt>
                <c:pt idx="17">
                  <c:v>29.53</c:v>
                </c:pt>
                <c:pt idx="18">
                  <c:v>29.01</c:v>
                </c:pt>
                <c:pt idx="19">
                  <c:v>28.8</c:v>
                </c:pt>
                <c:pt idx="20">
                  <c:v>29.36</c:v>
                </c:pt>
                <c:pt idx="21">
                  <c:v>29.34</c:v>
                </c:pt>
                <c:pt idx="22">
                  <c:v>27.39</c:v>
                </c:pt>
                <c:pt idx="23">
                  <c:v>29.53</c:v>
                </c:pt>
                <c:pt idx="24">
                  <c:v>29.98</c:v>
                </c:pt>
                <c:pt idx="25">
                  <c:v>26.17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78F-4189-8A5C-DC7B68E23D02}"/>
            </c:ext>
          </c:extLst>
        </c:ser>
        <c:ser>
          <c:idx val="20"/>
          <c:order val="20"/>
          <c:tx>
            <c:strRef>
              <c:f>Pistol!$A$25</c:f>
              <c:strCache>
                <c:ptCount val="1"/>
                <c:pt idx="0">
                  <c:v>Desert Eagle Light Rail FN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Pistol!$B$25:$BY$25</c:f>
              <c:numCache>
                <c:formatCode>General</c:formatCode>
                <c:ptCount val="76"/>
                <c:pt idx="0">
                  <c:v>3.87</c:v>
                </c:pt>
                <c:pt idx="1">
                  <c:v>3.61</c:v>
                </c:pt>
                <c:pt idx="2">
                  <c:v>3.62</c:v>
                </c:pt>
                <c:pt idx="3">
                  <c:v>3.61</c:v>
                </c:pt>
                <c:pt idx="4">
                  <c:v>3.63</c:v>
                </c:pt>
                <c:pt idx="5">
                  <c:v>3.45</c:v>
                </c:pt>
                <c:pt idx="6">
                  <c:v>3.74</c:v>
                </c:pt>
                <c:pt idx="7">
                  <c:v>3.52</c:v>
                </c:pt>
                <c:pt idx="8">
                  <c:v>3.49</c:v>
                </c:pt>
                <c:pt idx="9">
                  <c:v>3.53</c:v>
                </c:pt>
                <c:pt idx="10">
                  <c:v>3.64</c:v>
                </c:pt>
                <c:pt idx="11">
                  <c:v>3.59</c:v>
                </c:pt>
                <c:pt idx="12">
                  <c:v>3.47</c:v>
                </c:pt>
                <c:pt idx="13">
                  <c:v>3.56</c:v>
                </c:pt>
                <c:pt idx="14">
                  <c:v>3.65</c:v>
                </c:pt>
                <c:pt idx="15">
                  <c:v>3.82</c:v>
                </c:pt>
                <c:pt idx="16">
                  <c:v>3.62</c:v>
                </c:pt>
                <c:pt idx="17">
                  <c:v>3.6</c:v>
                </c:pt>
                <c:pt idx="18">
                  <c:v>3.61</c:v>
                </c:pt>
                <c:pt idx="19">
                  <c:v>3.54</c:v>
                </c:pt>
                <c:pt idx="20">
                  <c:v>3.73</c:v>
                </c:pt>
                <c:pt idx="21">
                  <c:v>3.59</c:v>
                </c:pt>
                <c:pt idx="22">
                  <c:v>3.6</c:v>
                </c:pt>
                <c:pt idx="23">
                  <c:v>3.52</c:v>
                </c:pt>
                <c:pt idx="24">
                  <c:v>3.49</c:v>
                </c:pt>
                <c:pt idx="25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78F-4189-8A5C-DC7B68E23D02}"/>
            </c:ext>
          </c:extLst>
        </c:ser>
        <c:ser>
          <c:idx val="21"/>
          <c:order val="21"/>
          <c:tx>
            <c:strRef>
              <c:f>Pistol!$A$26</c:f>
              <c:strCache>
                <c:ptCount val="1"/>
                <c:pt idx="0">
                  <c:v>Desert Eagle Hypnotic FN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Pistol!$B$26:$BY$26</c:f>
              <c:numCache>
                <c:formatCode>General</c:formatCode>
                <c:ptCount val="76"/>
                <c:pt idx="0">
                  <c:v>87.76</c:v>
                </c:pt>
                <c:pt idx="1">
                  <c:v>84.47</c:v>
                </c:pt>
                <c:pt idx="2">
                  <c:v>88.51</c:v>
                </c:pt>
                <c:pt idx="3">
                  <c:v>88.5</c:v>
                </c:pt>
                <c:pt idx="4">
                  <c:v>88.5</c:v>
                </c:pt>
                <c:pt idx="5">
                  <c:v>88.29</c:v>
                </c:pt>
                <c:pt idx="6">
                  <c:v>91.5</c:v>
                </c:pt>
                <c:pt idx="7">
                  <c:v>91.5</c:v>
                </c:pt>
                <c:pt idx="8">
                  <c:v>90.9</c:v>
                </c:pt>
                <c:pt idx="9">
                  <c:v>91.34</c:v>
                </c:pt>
                <c:pt idx="10">
                  <c:v>85.86</c:v>
                </c:pt>
                <c:pt idx="11">
                  <c:v>91.67</c:v>
                </c:pt>
                <c:pt idx="12">
                  <c:v>87.76</c:v>
                </c:pt>
                <c:pt idx="13">
                  <c:v>91.7</c:v>
                </c:pt>
                <c:pt idx="14">
                  <c:v>90.34</c:v>
                </c:pt>
                <c:pt idx="15">
                  <c:v>94.85</c:v>
                </c:pt>
                <c:pt idx="16">
                  <c:v>98.14</c:v>
                </c:pt>
                <c:pt idx="17">
                  <c:v>95.29</c:v>
                </c:pt>
                <c:pt idx="18">
                  <c:v>95.73</c:v>
                </c:pt>
                <c:pt idx="19">
                  <c:v>117.46</c:v>
                </c:pt>
                <c:pt idx="20">
                  <c:v>117.46</c:v>
                </c:pt>
                <c:pt idx="21">
                  <c:v>109.57</c:v>
                </c:pt>
                <c:pt idx="22">
                  <c:v>107.7</c:v>
                </c:pt>
                <c:pt idx="23">
                  <c:v>106.83</c:v>
                </c:pt>
                <c:pt idx="24">
                  <c:v>104.08</c:v>
                </c:pt>
                <c:pt idx="25">
                  <c:v>116.41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78F-4189-8A5C-DC7B68E23D02}"/>
            </c:ext>
          </c:extLst>
        </c:ser>
        <c:ser>
          <c:idx val="22"/>
          <c:order val="22"/>
          <c:tx>
            <c:strRef>
              <c:f>Pistol!$A$27</c:f>
              <c:strCache>
                <c:ptCount val="1"/>
                <c:pt idx="0">
                  <c:v>Desert Eagle Code Red MW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Pistol!$B$27:$BY$27</c:f>
              <c:numCache>
                <c:formatCode>General</c:formatCode>
                <c:ptCount val="76"/>
                <c:pt idx="0">
                  <c:v>42.81</c:v>
                </c:pt>
                <c:pt idx="1">
                  <c:v>40.6</c:v>
                </c:pt>
                <c:pt idx="2">
                  <c:v>40.6</c:v>
                </c:pt>
                <c:pt idx="3">
                  <c:v>43.52</c:v>
                </c:pt>
                <c:pt idx="4">
                  <c:v>41.78</c:v>
                </c:pt>
                <c:pt idx="5">
                  <c:v>40.51</c:v>
                </c:pt>
                <c:pt idx="6">
                  <c:v>42.18</c:v>
                </c:pt>
                <c:pt idx="7">
                  <c:v>43.36</c:v>
                </c:pt>
                <c:pt idx="8">
                  <c:v>43.28</c:v>
                </c:pt>
                <c:pt idx="9">
                  <c:v>42.82</c:v>
                </c:pt>
                <c:pt idx="10">
                  <c:v>40.64</c:v>
                </c:pt>
                <c:pt idx="11">
                  <c:v>41.72</c:v>
                </c:pt>
                <c:pt idx="12">
                  <c:v>39.479999999999997</c:v>
                </c:pt>
                <c:pt idx="13">
                  <c:v>40.479999999999997</c:v>
                </c:pt>
                <c:pt idx="14">
                  <c:v>40.97</c:v>
                </c:pt>
                <c:pt idx="15">
                  <c:v>39.799999999999997</c:v>
                </c:pt>
                <c:pt idx="16">
                  <c:v>43.95</c:v>
                </c:pt>
                <c:pt idx="17">
                  <c:v>44.02</c:v>
                </c:pt>
                <c:pt idx="18">
                  <c:v>40.28</c:v>
                </c:pt>
                <c:pt idx="19">
                  <c:v>42</c:v>
                </c:pt>
                <c:pt idx="20">
                  <c:v>43.82</c:v>
                </c:pt>
                <c:pt idx="21">
                  <c:v>41.47</c:v>
                </c:pt>
                <c:pt idx="22">
                  <c:v>40.29</c:v>
                </c:pt>
                <c:pt idx="23">
                  <c:v>41.48</c:v>
                </c:pt>
                <c:pt idx="24">
                  <c:v>42.04</c:v>
                </c:pt>
                <c:pt idx="25">
                  <c:v>41.45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78F-4189-8A5C-DC7B68E23D02}"/>
            </c:ext>
          </c:extLst>
        </c:ser>
        <c:ser>
          <c:idx val="23"/>
          <c:order val="23"/>
          <c:tx>
            <c:strRef>
              <c:f>Pistol!$A$28</c:f>
              <c:strCache>
                <c:ptCount val="1"/>
                <c:pt idx="0">
                  <c:v>Stattrak Glock-18 Weasel 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Pistol!$B$28:$BY$28</c:f>
              <c:numCache>
                <c:formatCode>General</c:formatCode>
                <c:ptCount val="76"/>
                <c:pt idx="0">
                  <c:v>1.86</c:v>
                </c:pt>
                <c:pt idx="1">
                  <c:v>1.84</c:v>
                </c:pt>
                <c:pt idx="2">
                  <c:v>1.65</c:v>
                </c:pt>
                <c:pt idx="3">
                  <c:v>1.79</c:v>
                </c:pt>
                <c:pt idx="4">
                  <c:v>1.79</c:v>
                </c:pt>
                <c:pt idx="5">
                  <c:v>1.8</c:v>
                </c:pt>
                <c:pt idx="6">
                  <c:v>1.72</c:v>
                </c:pt>
                <c:pt idx="7">
                  <c:v>1.75</c:v>
                </c:pt>
                <c:pt idx="8">
                  <c:v>1.64</c:v>
                </c:pt>
                <c:pt idx="9">
                  <c:v>1.75</c:v>
                </c:pt>
                <c:pt idx="10">
                  <c:v>1.67</c:v>
                </c:pt>
                <c:pt idx="11">
                  <c:v>1.65</c:v>
                </c:pt>
                <c:pt idx="12">
                  <c:v>1.64</c:v>
                </c:pt>
                <c:pt idx="13">
                  <c:v>1.55</c:v>
                </c:pt>
                <c:pt idx="14">
                  <c:v>1.63</c:v>
                </c:pt>
                <c:pt idx="15">
                  <c:v>1.64</c:v>
                </c:pt>
                <c:pt idx="16">
                  <c:v>1.54</c:v>
                </c:pt>
                <c:pt idx="17">
                  <c:v>1.62</c:v>
                </c:pt>
                <c:pt idx="18">
                  <c:v>1.63</c:v>
                </c:pt>
                <c:pt idx="19">
                  <c:v>1.47</c:v>
                </c:pt>
                <c:pt idx="20">
                  <c:v>1.61</c:v>
                </c:pt>
                <c:pt idx="21">
                  <c:v>1.61</c:v>
                </c:pt>
                <c:pt idx="22">
                  <c:v>1.47</c:v>
                </c:pt>
                <c:pt idx="23">
                  <c:v>1.47</c:v>
                </c:pt>
                <c:pt idx="24">
                  <c:v>1.61</c:v>
                </c:pt>
                <c:pt idx="25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78F-4189-8A5C-DC7B68E23D02}"/>
            </c:ext>
          </c:extLst>
        </c:ser>
        <c:ser>
          <c:idx val="24"/>
          <c:order val="24"/>
          <c:tx>
            <c:strRef>
              <c:f>Pistol!$A$29</c:f>
              <c:strCache>
                <c:ptCount val="1"/>
                <c:pt idx="0">
                  <c:v>Stattrak Five-Seven Buddy MW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Pistol!$B$29:$BY$29</c:f>
              <c:numCache>
                <c:formatCode>General</c:formatCode>
                <c:ptCount val="76"/>
                <c:pt idx="0">
                  <c:v>2.2599999999999998</c:v>
                </c:pt>
                <c:pt idx="1">
                  <c:v>2.1</c:v>
                </c:pt>
                <c:pt idx="2">
                  <c:v>2.2000000000000002</c:v>
                </c:pt>
                <c:pt idx="3">
                  <c:v>2.25</c:v>
                </c:pt>
                <c:pt idx="4">
                  <c:v>2.11</c:v>
                </c:pt>
                <c:pt idx="5">
                  <c:v>2.21</c:v>
                </c:pt>
                <c:pt idx="6">
                  <c:v>2.16</c:v>
                </c:pt>
                <c:pt idx="7">
                  <c:v>2.2200000000000002</c:v>
                </c:pt>
                <c:pt idx="8">
                  <c:v>2.27</c:v>
                </c:pt>
                <c:pt idx="9">
                  <c:v>2.31</c:v>
                </c:pt>
                <c:pt idx="10">
                  <c:v>2.2200000000000002</c:v>
                </c:pt>
                <c:pt idx="11">
                  <c:v>2.2400000000000002</c:v>
                </c:pt>
                <c:pt idx="12">
                  <c:v>2.14</c:v>
                </c:pt>
                <c:pt idx="13">
                  <c:v>2.1</c:v>
                </c:pt>
                <c:pt idx="14">
                  <c:v>1.97</c:v>
                </c:pt>
                <c:pt idx="15">
                  <c:v>2.09</c:v>
                </c:pt>
                <c:pt idx="16">
                  <c:v>2.09</c:v>
                </c:pt>
                <c:pt idx="17">
                  <c:v>2.23</c:v>
                </c:pt>
                <c:pt idx="18">
                  <c:v>2.19</c:v>
                </c:pt>
                <c:pt idx="19">
                  <c:v>2.14</c:v>
                </c:pt>
                <c:pt idx="20">
                  <c:v>2.2200000000000002</c:v>
                </c:pt>
                <c:pt idx="21">
                  <c:v>2.14</c:v>
                </c:pt>
                <c:pt idx="22">
                  <c:v>2.3199999999999998</c:v>
                </c:pt>
                <c:pt idx="23">
                  <c:v>2.27</c:v>
                </c:pt>
                <c:pt idx="24">
                  <c:v>2.0699999999999998</c:v>
                </c:pt>
                <c:pt idx="2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78F-4189-8A5C-DC7B68E23D02}"/>
            </c:ext>
          </c:extLst>
        </c:ser>
        <c:ser>
          <c:idx val="25"/>
          <c:order val="25"/>
          <c:tx>
            <c:strRef>
              <c:f>Pistol!$A$30</c:f>
              <c:strCache>
                <c:ptCount val="1"/>
                <c:pt idx="0">
                  <c:v>R8 Revolver Canal Spray 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Pistol!$B$30:$BY$30</c:f>
              <c:numCache>
                <c:formatCode>General</c:formatCode>
                <c:ptCount val="76"/>
                <c:pt idx="0">
                  <c:v>0.41</c:v>
                </c:pt>
                <c:pt idx="1">
                  <c:v>0.43</c:v>
                </c:pt>
                <c:pt idx="2">
                  <c:v>0.41</c:v>
                </c:pt>
                <c:pt idx="3">
                  <c:v>0.41</c:v>
                </c:pt>
                <c:pt idx="4">
                  <c:v>0.46</c:v>
                </c:pt>
                <c:pt idx="5">
                  <c:v>0.49</c:v>
                </c:pt>
                <c:pt idx="6">
                  <c:v>0.53</c:v>
                </c:pt>
                <c:pt idx="7">
                  <c:v>0.54</c:v>
                </c:pt>
                <c:pt idx="8">
                  <c:v>0.6</c:v>
                </c:pt>
                <c:pt idx="9">
                  <c:v>0.6</c:v>
                </c:pt>
                <c:pt idx="10">
                  <c:v>0.81</c:v>
                </c:pt>
                <c:pt idx="11">
                  <c:v>0.78</c:v>
                </c:pt>
                <c:pt idx="12">
                  <c:v>0.71</c:v>
                </c:pt>
                <c:pt idx="13">
                  <c:v>0.65</c:v>
                </c:pt>
                <c:pt idx="14">
                  <c:v>0.61</c:v>
                </c:pt>
                <c:pt idx="15">
                  <c:v>0.56999999999999995</c:v>
                </c:pt>
                <c:pt idx="16">
                  <c:v>0.55000000000000004</c:v>
                </c:pt>
                <c:pt idx="17">
                  <c:v>0.62</c:v>
                </c:pt>
                <c:pt idx="18">
                  <c:v>0.64</c:v>
                </c:pt>
                <c:pt idx="19">
                  <c:v>0.73</c:v>
                </c:pt>
                <c:pt idx="20">
                  <c:v>0.87</c:v>
                </c:pt>
                <c:pt idx="21">
                  <c:v>0.74</c:v>
                </c:pt>
                <c:pt idx="22">
                  <c:v>0.76</c:v>
                </c:pt>
                <c:pt idx="23">
                  <c:v>0.86</c:v>
                </c:pt>
                <c:pt idx="24">
                  <c:v>0.82</c:v>
                </c:pt>
                <c:pt idx="25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78F-4189-8A5C-DC7B68E23D02}"/>
            </c:ext>
          </c:extLst>
        </c:ser>
        <c:ser>
          <c:idx val="26"/>
          <c:order val="26"/>
          <c:tx>
            <c:strRef>
              <c:f>Pistol!$A$31</c:f>
              <c:strCache>
                <c:ptCount val="1"/>
                <c:pt idx="0">
                  <c:v>Desert Eagle Midnight Storm MW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Pistol!$B$31:$BY$31</c:f>
              <c:numCache>
                <c:formatCode>General</c:formatCode>
                <c:ptCount val="76"/>
                <c:pt idx="0">
                  <c:v>9.14</c:v>
                </c:pt>
                <c:pt idx="1">
                  <c:v>9.0399999999999991</c:v>
                </c:pt>
                <c:pt idx="2">
                  <c:v>8.65</c:v>
                </c:pt>
                <c:pt idx="3">
                  <c:v>9.56</c:v>
                </c:pt>
                <c:pt idx="4">
                  <c:v>9.01</c:v>
                </c:pt>
                <c:pt idx="5">
                  <c:v>10.08</c:v>
                </c:pt>
                <c:pt idx="6">
                  <c:v>9.1</c:v>
                </c:pt>
                <c:pt idx="7">
                  <c:v>9.6</c:v>
                </c:pt>
                <c:pt idx="8">
                  <c:v>9.58</c:v>
                </c:pt>
                <c:pt idx="9">
                  <c:v>9.48</c:v>
                </c:pt>
                <c:pt idx="10">
                  <c:v>11.35</c:v>
                </c:pt>
                <c:pt idx="11">
                  <c:v>12.34</c:v>
                </c:pt>
                <c:pt idx="12">
                  <c:v>12.21</c:v>
                </c:pt>
                <c:pt idx="13">
                  <c:v>11.98</c:v>
                </c:pt>
                <c:pt idx="14">
                  <c:v>12.07</c:v>
                </c:pt>
                <c:pt idx="15">
                  <c:v>11.78</c:v>
                </c:pt>
                <c:pt idx="16">
                  <c:v>12.2</c:v>
                </c:pt>
                <c:pt idx="17">
                  <c:v>12.1</c:v>
                </c:pt>
                <c:pt idx="18">
                  <c:v>13.7</c:v>
                </c:pt>
                <c:pt idx="19">
                  <c:v>13.34</c:v>
                </c:pt>
                <c:pt idx="20">
                  <c:v>13.35</c:v>
                </c:pt>
                <c:pt idx="21">
                  <c:v>12.53</c:v>
                </c:pt>
                <c:pt idx="22">
                  <c:v>12.12</c:v>
                </c:pt>
                <c:pt idx="23">
                  <c:v>12.45</c:v>
                </c:pt>
                <c:pt idx="24">
                  <c:v>12.38</c:v>
                </c:pt>
                <c:pt idx="25">
                  <c:v>12.65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78F-4189-8A5C-DC7B68E23D02}"/>
            </c:ext>
          </c:extLst>
        </c:ser>
        <c:ser>
          <c:idx val="27"/>
          <c:order val="27"/>
          <c:tx>
            <c:strRef>
              <c:f>Pistol!$A$32</c:f>
              <c:strCache>
                <c:ptCount val="1"/>
                <c:pt idx="0">
                  <c:v>Dual Berettas Emerald FN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Pistol!$B$32:$BY$32</c:f>
              <c:numCache>
                <c:formatCode>General</c:formatCode>
                <c:ptCount val="76"/>
                <c:pt idx="0">
                  <c:v>11.4</c:v>
                </c:pt>
                <c:pt idx="1">
                  <c:v>11.35</c:v>
                </c:pt>
                <c:pt idx="2">
                  <c:v>11.04</c:v>
                </c:pt>
                <c:pt idx="3">
                  <c:v>12.32</c:v>
                </c:pt>
                <c:pt idx="4">
                  <c:v>12.32</c:v>
                </c:pt>
                <c:pt idx="5">
                  <c:v>12.34</c:v>
                </c:pt>
                <c:pt idx="6">
                  <c:v>14.23</c:v>
                </c:pt>
                <c:pt idx="7">
                  <c:v>18.350000000000001</c:v>
                </c:pt>
                <c:pt idx="8">
                  <c:v>19.45</c:v>
                </c:pt>
                <c:pt idx="9">
                  <c:v>25.73</c:v>
                </c:pt>
                <c:pt idx="10">
                  <c:v>30.27</c:v>
                </c:pt>
                <c:pt idx="11">
                  <c:v>24.72</c:v>
                </c:pt>
                <c:pt idx="12">
                  <c:v>29.14</c:v>
                </c:pt>
                <c:pt idx="13">
                  <c:v>26.94</c:v>
                </c:pt>
                <c:pt idx="14">
                  <c:v>26.19</c:v>
                </c:pt>
                <c:pt idx="15">
                  <c:v>26.24</c:v>
                </c:pt>
                <c:pt idx="16">
                  <c:v>26.29</c:v>
                </c:pt>
                <c:pt idx="17">
                  <c:v>36.42</c:v>
                </c:pt>
                <c:pt idx="18">
                  <c:v>38.909999999999997</c:v>
                </c:pt>
                <c:pt idx="19">
                  <c:v>42.79</c:v>
                </c:pt>
                <c:pt idx="20">
                  <c:v>40.04</c:v>
                </c:pt>
                <c:pt idx="21">
                  <c:v>39.81</c:v>
                </c:pt>
                <c:pt idx="22">
                  <c:v>40.5</c:v>
                </c:pt>
                <c:pt idx="23">
                  <c:v>42.72</c:v>
                </c:pt>
                <c:pt idx="24">
                  <c:v>43.44</c:v>
                </c:pt>
                <c:pt idx="25">
                  <c:v>43.33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78F-4189-8A5C-DC7B68E23D02}"/>
            </c:ext>
          </c:extLst>
        </c:ser>
        <c:ser>
          <c:idx val="28"/>
          <c:order val="28"/>
          <c:tx>
            <c:strRef>
              <c:f>Pistol!$A$33</c:f>
              <c:strCache>
                <c:ptCount val="1"/>
                <c:pt idx="0">
                  <c:v>Five-Seven Hot Shot MW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Pistol!$B$33:$BY$33</c:f>
              <c:numCache>
                <c:formatCode>General</c:formatCode>
                <c:ptCount val="76"/>
                <c:pt idx="0">
                  <c:v>0.73</c:v>
                </c:pt>
                <c:pt idx="1">
                  <c:v>0.73</c:v>
                </c:pt>
                <c:pt idx="2">
                  <c:v>0.74</c:v>
                </c:pt>
                <c:pt idx="3">
                  <c:v>0.82</c:v>
                </c:pt>
                <c:pt idx="4">
                  <c:v>0.82</c:v>
                </c:pt>
                <c:pt idx="5">
                  <c:v>0.82</c:v>
                </c:pt>
                <c:pt idx="6">
                  <c:v>0.81</c:v>
                </c:pt>
                <c:pt idx="7">
                  <c:v>0.8</c:v>
                </c:pt>
                <c:pt idx="8">
                  <c:v>0.82</c:v>
                </c:pt>
                <c:pt idx="9">
                  <c:v>0.81</c:v>
                </c:pt>
                <c:pt idx="10">
                  <c:v>0.82</c:v>
                </c:pt>
                <c:pt idx="11">
                  <c:v>0.82</c:v>
                </c:pt>
                <c:pt idx="12">
                  <c:v>0.82</c:v>
                </c:pt>
                <c:pt idx="13">
                  <c:v>0.81</c:v>
                </c:pt>
                <c:pt idx="14">
                  <c:v>0.84</c:v>
                </c:pt>
                <c:pt idx="15">
                  <c:v>0.78</c:v>
                </c:pt>
                <c:pt idx="16">
                  <c:v>0.85</c:v>
                </c:pt>
                <c:pt idx="17">
                  <c:v>0.81</c:v>
                </c:pt>
                <c:pt idx="18">
                  <c:v>0.84</c:v>
                </c:pt>
                <c:pt idx="19">
                  <c:v>0.84</c:v>
                </c:pt>
                <c:pt idx="20">
                  <c:v>0.86</c:v>
                </c:pt>
                <c:pt idx="21">
                  <c:v>0.92</c:v>
                </c:pt>
                <c:pt idx="22">
                  <c:v>0.82</c:v>
                </c:pt>
                <c:pt idx="23">
                  <c:v>0.85</c:v>
                </c:pt>
                <c:pt idx="24">
                  <c:v>0.78</c:v>
                </c:pt>
                <c:pt idx="25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78F-4189-8A5C-DC7B68E23D02}"/>
            </c:ext>
          </c:extLst>
        </c:ser>
        <c:ser>
          <c:idx val="29"/>
          <c:order val="29"/>
          <c:tx>
            <c:strRef>
              <c:f>Pistol!$A$34</c:f>
              <c:strCache>
                <c:ptCount val="1"/>
                <c:pt idx="0">
                  <c:v>Glock-18 Nuclear Garden 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Pistol!$B$34:$BY$34</c:f>
              <c:numCache>
                <c:formatCode>General</c:formatCode>
                <c:ptCount val="76"/>
                <c:pt idx="0">
                  <c:v>4.6399999999999997</c:v>
                </c:pt>
                <c:pt idx="1">
                  <c:v>4.57</c:v>
                </c:pt>
                <c:pt idx="2">
                  <c:v>4.4400000000000004</c:v>
                </c:pt>
                <c:pt idx="3">
                  <c:v>4.05</c:v>
                </c:pt>
                <c:pt idx="4">
                  <c:v>4.3</c:v>
                </c:pt>
                <c:pt idx="5">
                  <c:v>4.1900000000000004</c:v>
                </c:pt>
                <c:pt idx="6">
                  <c:v>4.6500000000000004</c:v>
                </c:pt>
                <c:pt idx="7">
                  <c:v>4.22</c:v>
                </c:pt>
                <c:pt idx="8">
                  <c:v>4.38</c:v>
                </c:pt>
                <c:pt idx="9">
                  <c:v>4.42</c:v>
                </c:pt>
                <c:pt idx="10">
                  <c:v>4.26</c:v>
                </c:pt>
                <c:pt idx="11">
                  <c:v>4.3099999999999996</c:v>
                </c:pt>
                <c:pt idx="12">
                  <c:v>4.22</c:v>
                </c:pt>
                <c:pt idx="13">
                  <c:v>4.29</c:v>
                </c:pt>
                <c:pt idx="14">
                  <c:v>4.33</c:v>
                </c:pt>
                <c:pt idx="15">
                  <c:v>4.34</c:v>
                </c:pt>
                <c:pt idx="16">
                  <c:v>4.29</c:v>
                </c:pt>
                <c:pt idx="17">
                  <c:v>4.34</c:v>
                </c:pt>
                <c:pt idx="18">
                  <c:v>4.0999999999999996</c:v>
                </c:pt>
                <c:pt idx="19">
                  <c:v>4.22</c:v>
                </c:pt>
                <c:pt idx="20">
                  <c:v>4.17</c:v>
                </c:pt>
                <c:pt idx="21">
                  <c:v>4.1100000000000003</c:v>
                </c:pt>
                <c:pt idx="22">
                  <c:v>4.3</c:v>
                </c:pt>
                <c:pt idx="23">
                  <c:v>4.03</c:v>
                </c:pt>
                <c:pt idx="24">
                  <c:v>4.28</c:v>
                </c:pt>
                <c:pt idx="25">
                  <c:v>4.3099999999999996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78F-4189-8A5C-DC7B68E23D02}"/>
            </c:ext>
          </c:extLst>
        </c:ser>
        <c:ser>
          <c:idx val="30"/>
          <c:order val="30"/>
          <c:tx>
            <c:strRef>
              <c:f>Pistol!$A$35</c:f>
              <c:strCache>
                <c:ptCount val="1"/>
                <c:pt idx="0">
                  <c:v>USP-S Flashback MW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Pistol!$B$4:$BY$4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Pistol!$B$35:$BY$35</c:f>
              <c:numCache>
                <c:formatCode>General</c:formatCode>
                <c:ptCount val="76"/>
                <c:pt idx="0">
                  <c:v>0.92</c:v>
                </c:pt>
                <c:pt idx="1">
                  <c:v>0.85</c:v>
                </c:pt>
                <c:pt idx="2">
                  <c:v>0.87</c:v>
                </c:pt>
                <c:pt idx="3">
                  <c:v>0.93</c:v>
                </c:pt>
                <c:pt idx="4">
                  <c:v>0.92</c:v>
                </c:pt>
                <c:pt idx="5">
                  <c:v>0.93</c:v>
                </c:pt>
                <c:pt idx="6">
                  <c:v>0.86</c:v>
                </c:pt>
                <c:pt idx="7">
                  <c:v>0.97</c:v>
                </c:pt>
                <c:pt idx="8">
                  <c:v>0.85</c:v>
                </c:pt>
                <c:pt idx="9">
                  <c:v>0.94</c:v>
                </c:pt>
                <c:pt idx="10">
                  <c:v>0.93</c:v>
                </c:pt>
                <c:pt idx="11">
                  <c:v>0.84</c:v>
                </c:pt>
                <c:pt idx="12">
                  <c:v>0.86</c:v>
                </c:pt>
                <c:pt idx="13">
                  <c:v>0.86</c:v>
                </c:pt>
                <c:pt idx="14">
                  <c:v>0.88</c:v>
                </c:pt>
                <c:pt idx="15">
                  <c:v>0.88</c:v>
                </c:pt>
                <c:pt idx="16">
                  <c:v>0.87</c:v>
                </c:pt>
                <c:pt idx="17">
                  <c:v>0.88</c:v>
                </c:pt>
                <c:pt idx="18">
                  <c:v>0.85</c:v>
                </c:pt>
                <c:pt idx="19">
                  <c:v>0.86</c:v>
                </c:pt>
                <c:pt idx="20">
                  <c:v>0.86</c:v>
                </c:pt>
                <c:pt idx="21">
                  <c:v>0.87</c:v>
                </c:pt>
                <c:pt idx="22">
                  <c:v>0.88</c:v>
                </c:pt>
                <c:pt idx="23">
                  <c:v>0.84</c:v>
                </c:pt>
                <c:pt idx="24">
                  <c:v>0.84</c:v>
                </c:pt>
                <c:pt idx="25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78F-4189-8A5C-DC7B68E23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871119"/>
        <c:axId val="2038933551"/>
      </c:lineChart>
      <c:dateAx>
        <c:axId val="192487111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38933551"/>
        <c:crosses val="autoZero"/>
        <c:auto val="1"/>
        <c:lblOffset val="100"/>
        <c:baseTimeUnit val="days"/>
      </c:dateAx>
      <c:valAx>
        <c:axId val="203893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2487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Other Rifle-Skins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'Other Rifles'!$A$5</c:f>
              <c:strCache>
                <c:ptCount val="1"/>
                <c:pt idx="0">
                  <c:v>SCAR-20 Cardiac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Rifles'!$B$5:$BY$5</c:f>
              <c:numCache>
                <c:formatCode>General</c:formatCode>
                <c:ptCount val="76"/>
                <c:pt idx="6">
                  <c:v>3.05</c:v>
                </c:pt>
                <c:pt idx="7">
                  <c:v>3.02</c:v>
                </c:pt>
                <c:pt idx="8">
                  <c:v>3.19</c:v>
                </c:pt>
                <c:pt idx="9">
                  <c:v>2.91</c:v>
                </c:pt>
                <c:pt idx="10">
                  <c:v>3.04</c:v>
                </c:pt>
                <c:pt idx="11">
                  <c:v>3.11</c:v>
                </c:pt>
                <c:pt idx="12">
                  <c:v>3.11</c:v>
                </c:pt>
                <c:pt idx="13">
                  <c:v>3.07</c:v>
                </c:pt>
                <c:pt idx="14">
                  <c:v>2.78</c:v>
                </c:pt>
                <c:pt idx="15">
                  <c:v>2.82</c:v>
                </c:pt>
                <c:pt idx="16">
                  <c:v>3.1</c:v>
                </c:pt>
                <c:pt idx="17">
                  <c:v>3.1</c:v>
                </c:pt>
                <c:pt idx="18">
                  <c:v>2.9</c:v>
                </c:pt>
                <c:pt idx="19">
                  <c:v>3.17</c:v>
                </c:pt>
                <c:pt idx="20">
                  <c:v>3</c:v>
                </c:pt>
                <c:pt idx="21">
                  <c:v>3.02</c:v>
                </c:pt>
                <c:pt idx="22">
                  <c:v>2.82</c:v>
                </c:pt>
                <c:pt idx="23">
                  <c:v>2.72</c:v>
                </c:pt>
                <c:pt idx="24">
                  <c:v>2.72</c:v>
                </c:pt>
                <c:pt idx="25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5-4771-8874-3745AAD5DC0B}"/>
            </c:ext>
          </c:extLst>
        </c:ser>
        <c:ser>
          <c:idx val="1"/>
          <c:order val="1"/>
          <c:tx>
            <c:strRef>
              <c:f>'Other Rifles'!$A$6</c:f>
              <c:strCache>
                <c:ptCount val="1"/>
                <c:pt idx="0">
                  <c:v>AUG Chameleon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Rifles'!$B$6:$BY$6</c:f>
              <c:numCache>
                <c:formatCode>General</c:formatCode>
                <c:ptCount val="76"/>
                <c:pt idx="6">
                  <c:v>4.5599999999999996</c:v>
                </c:pt>
                <c:pt idx="7">
                  <c:v>4.63</c:v>
                </c:pt>
                <c:pt idx="8">
                  <c:v>4.3899999999999997</c:v>
                </c:pt>
                <c:pt idx="9">
                  <c:v>4.79</c:v>
                </c:pt>
                <c:pt idx="10">
                  <c:v>4.8</c:v>
                </c:pt>
                <c:pt idx="11">
                  <c:v>4.8499999999999996</c:v>
                </c:pt>
                <c:pt idx="12">
                  <c:v>4.79</c:v>
                </c:pt>
                <c:pt idx="13">
                  <c:v>4.84</c:v>
                </c:pt>
                <c:pt idx="14">
                  <c:v>4.53</c:v>
                </c:pt>
                <c:pt idx="15">
                  <c:v>4.6100000000000003</c:v>
                </c:pt>
                <c:pt idx="16">
                  <c:v>4.75</c:v>
                </c:pt>
                <c:pt idx="17">
                  <c:v>4.41</c:v>
                </c:pt>
                <c:pt idx="18">
                  <c:v>4.34</c:v>
                </c:pt>
                <c:pt idx="19">
                  <c:v>4.72</c:v>
                </c:pt>
                <c:pt idx="20">
                  <c:v>4.5599999999999996</c:v>
                </c:pt>
                <c:pt idx="21">
                  <c:v>4.72</c:v>
                </c:pt>
                <c:pt idx="22">
                  <c:v>4.72</c:v>
                </c:pt>
                <c:pt idx="23">
                  <c:v>4.5999999999999996</c:v>
                </c:pt>
                <c:pt idx="24">
                  <c:v>4.6100000000000003</c:v>
                </c:pt>
                <c:pt idx="25">
                  <c:v>4.7699999999999996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5-4771-8874-3745AAD5DC0B}"/>
            </c:ext>
          </c:extLst>
        </c:ser>
        <c:ser>
          <c:idx val="2"/>
          <c:order val="2"/>
          <c:tx>
            <c:strRef>
              <c:f>'Other Rifles'!$A$7</c:f>
              <c:strCache>
                <c:ptCount val="1"/>
                <c:pt idx="0">
                  <c:v>Stattrak SG 553 Tiger Moth 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Rifles'!$B$7:$BY$7</c:f>
              <c:numCache>
                <c:formatCode>General</c:formatCode>
                <c:ptCount val="76"/>
                <c:pt idx="6">
                  <c:v>3.35</c:v>
                </c:pt>
                <c:pt idx="7">
                  <c:v>3.64</c:v>
                </c:pt>
                <c:pt idx="8">
                  <c:v>3.58</c:v>
                </c:pt>
                <c:pt idx="9">
                  <c:v>3.53</c:v>
                </c:pt>
                <c:pt idx="10">
                  <c:v>3.59</c:v>
                </c:pt>
                <c:pt idx="11">
                  <c:v>3.52</c:v>
                </c:pt>
                <c:pt idx="12">
                  <c:v>3.47</c:v>
                </c:pt>
                <c:pt idx="13">
                  <c:v>3.36</c:v>
                </c:pt>
                <c:pt idx="14">
                  <c:v>3.65</c:v>
                </c:pt>
                <c:pt idx="15">
                  <c:v>3.51</c:v>
                </c:pt>
                <c:pt idx="16">
                  <c:v>3.6</c:v>
                </c:pt>
                <c:pt idx="17">
                  <c:v>3.63</c:v>
                </c:pt>
                <c:pt idx="18">
                  <c:v>3.7</c:v>
                </c:pt>
                <c:pt idx="19">
                  <c:v>3.91</c:v>
                </c:pt>
                <c:pt idx="20">
                  <c:v>3.46</c:v>
                </c:pt>
                <c:pt idx="21">
                  <c:v>3.37</c:v>
                </c:pt>
                <c:pt idx="22">
                  <c:v>3.39</c:v>
                </c:pt>
                <c:pt idx="23">
                  <c:v>3.46</c:v>
                </c:pt>
                <c:pt idx="24">
                  <c:v>3.4</c:v>
                </c:pt>
                <c:pt idx="25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B5-4771-8874-3745AAD5DC0B}"/>
            </c:ext>
          </c:extLst>
        </c:ser>
        <c:ser>
          <c:idx val="3"/>
          <c:order val="3"/>
          <c:tx>
            <c:strRef>
              <c:f>'Other Rifles'!$A$8</c:f>
              <c:strCache>
                <c:ptCount val="1"/>
                <c:pt idx="0">
                  <c:v>SSG 08 Blood in the Water MW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Rifles'!$B$8:$BY$8</c:f>
              <c:numCache>
                <c:formatCode>General</c:formatCode>
                <c:ptCount val="76"/>
                <c:pt idx="6">
                  <c:v>38.950000000000003</c:v>
                </c:pt>
                <c:pt idx="7">
                  <c:v>36.61</c:v>
                </c:pt>
                <c:pt idx="8">
                  <c:v>36.29</c:v>
                </c:pt>
                <c:pt idx="9">
                  <c:v>39.28</c:v>
                </c:pt>
                <c:pt idx="10">
                  <c:v>40.54</c:v>
                </c:pt>
                <c:pt idx="11">
                  <c:v>39.83</c:v>
                </c:pt>
                <c:pt idx="12">
                  <c:v>38.07</c:v>
                </c:pt>
                <c:pt idx="13">
                  <c:v>40.049999999999997</c:v>
                </c:pt>
                <c:pt idx="14">
                  <c:v>41</c:v>
                </c:pt>
                <c:pt idx="15">
                  <c:v>42.59</c:v>
                </c:pt>
                <c:pt idx="16">
                  <c:v>41.24</c:v>
                </c:pt>
                <c:pt idx="17">
                  <c:v>40.450000000000003</c:v>
                </c:pt>
                <c:pt idx="18">
                  <c:v>39.5</c:v>
                </c:pt>
                <c:pt idx="19">
                  <c:v>42.38</c:v>
                </c:pt>
                <c:pt idx="20">
                  <c:v>39.64</c:v>
                </c:pt>
                <c:pt idx="21">
                  <c:v>41.86</c:v>
                </c:pt>
                <c:pt idx="22">
                  <c:v>44.09</c:v>
                </c:pt>
                <c:pt idx="23">
                  <c:v>41.93</c:v>
                </c:pt>
                <c:pt idx="24">
                  <c:v>42.52</c:v>
                </c:pt>
                <c:pt idx="25">
                  <c:v>41.49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B5-4771-8874-3745AAD5DC0B}"/>
            </c:ext>
          </c:extLst>
        </c:ser>
        <c:ser>
          <c:idx val="4"/>
          <c:order val="4"/>
          <c:tx>
            <c:strRef>
              <c:f>'Other Rifles'!$A$9</c:f>
              <c:strCache>
                <c:ptCount val="1"/>
                <c:pt idx="0">
                  <c:v>Stattrak FAMAS Valence FT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Rifles'!$B$9:$BY$9</c:f>
              <c:numCache>
                <c:formatCode>General</c:formatCode>
                <c:ptCount val="76"/>
                <c:pt idx="6">
                  <c:v>3.71</c:v>
                </c:pt>
                <c:pt idx="7">
                  <c:v>3.54</c:v>
                </c:pt>
                <c:pt idx="8">
                  <c:v>3.52</c:v>
                </c:pt>
                <c:pt idx="9">
                  <c:v>3.61</c:v>
                </c:pt>
                <c:pt idx="10">
                  <c:v>3.58</c:v>
                </c:pt>
                <c:pt idx="11">
                  <c:v>3.65</c:v>
                </c:pt>
                <c:pt idx="12">
                  <c:v>3.64</c:v>
                </c:pt>
                <c:pt idx="13">
                  <c:v>3.47</c:v>
                </c:pt>
                <c:pt idx="14">
                  <c:v>3.77</c:v>
                </c:pt>
                <c:pt idx="15">
                  <c:v>3.75</c:v>
                </c:pt>
                <c:pt idx="16">
                  <c:v>3.69</c:v>
                </c:pt>
                <c:pt idx="17">
                  <c:v>3.59</c:v>
                </c:pt>
                <c:pt idx="18">
                  <c:v>3.48</c:v>
                </c:pt>
                <c:pt idx="19">
                  <c:v>3.58</c:v>
                </c:pt>
                <c:pt idx="20">
                  <c:v>3.61</c:v>
                </c:pt>
                <c:pt idx="21">
                  <c:v>3.57</c:v>
                </c:pt>
                <c:pt idx="22">
                  <c:v>3.33</c:v>
                </c:pt>
                <c:pt idx="23">
                  <c:v>3.52</c:v>
                </c:pt>
                <c:pt idx="24">
                  <c:v>3.35</c:v>
                </c:pt>
                <c:pt idx="25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B5-4771-8874-3745AAD5DC0B}"/>
            </c:ext>
          </c:extLst>
        </c:ser>
        <c:ser>
          <c:idx val="5"/>
          <c:order val="5"/>
          <c:tx>
            <c:strRef>
              <c:f>'Other Rifles'!$A$10</c:f>
              <c:strCache>
                <c:ptCount val="1"/>
                <c:pt idx="0">
                  <c:v>G3SG1 Stinger FN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Rifles'!$B$10:$BY$10</c:f>
              <c:numCache>
                <c:formatCode>General</c:formatCode>
                <c:ptCount val="76"/>
                <c:pt idx="6">
                  <c:v>1.07</c:v>
                </c:pt>
                <c:pt idx="7">
                  <c:v>1.17</c:v>
                </c:pt>
                <c:pt idx="8">
                  <c:v>1.1000000000000001</c:v>
                </c:pt>
                <c:pt idx="9">
                  <c:v>1.18</c:v>
                </c:pt>
                <c:pt idx="10">
                  <c:v>1.1100000000000001</c:v>
                </c:pt>
                <c:pt idx="11">
                  <c:v>1.06</c:v>
                </c:pt>
                <c:pt idx="12">
                  <c:v>1.1100000000000001</c:v>
                </c:pt>
                <c:pt idx="13">
                  <c:v>1.06</c:v>
                </c:pt>
                <c:pt idx="14">
                  <c:v>1.1499999999999999</c:v>
                </c:pt>
                <c:pt idx="15">
                  <c:v>1.2</c:v>
                </c:pt>
                <c:pt idx="16">
                  <c:v>1.0900000000000001</c:v>
                </c:pt>
                <c:pt idx="17">
                  <c:v>1.1200000000000001</c:v>
                </c:pt>
                <c:pt idx="18">
                  <c:v>1.1200000000000001</c:v>
                </c:pt>
                <c:pt idx="19">
                  <c:v>1.08</c:v>
                </c:pt>
                <c:pt idx="20">
                  <c:v>1.01</c:v>
                </c:pt>
                <c:pt idx="21">
                  <c:v>1.01</c:v>
                </c:pt>
                <c:pt idx="22">
                  <c:v>1.1000000000000001</c:v>
                </c:pt>
                <c:pt idx="23">
                  <c:v>1.1100000000000001</c:v>
                </c:pt>
                <c:pt idx="24">
                  <c:v>1.05</c:v>
                </c:pt>
                <c:pt idx="25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B5-4771-8874-3745AAD5DC0B}"/>
            </c:ext>
          </c:extLst>
        </c:ser>
        <c:ser>
          <c:idx val="6"/>
          <c:order val="6"/>
          <c:tx>
            <c:strRef>
              <c:f>'Other Rifles'!$A$11</c:f>
              <c:strCache>
                <c:ptCount val="1"/>
                <c:pt idx="0">
                  <c:v>FAMAS Roll Cage MW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Rifles'!$B$11:$BY$11</c:f>
              <c:numCache>
                <c:formatCode>General</c:formatCode>
                <c:ptCount val="76"/>
                <c:pt idx="6">
                  <c:v>6.22</c:v>
                </c:pt>
                <c:pt idx="7">
                  <c:v>6.24</c:v>
                </c:pt>
                <c:pt idx="8">
                  <c:v>6.41</c:v>
                </c:pt>
                <c:pt idx="9">
                  <c:v>6.04</c:v>
                </c:pt>
                <c:pt idx="10">
                  <c:v>6.51</c:v>
                </c:pt>
                <c:pt idx="11">
                  <c:v>6.35</c:v>
                </c:pt>
                <c:pt idx="12">
                  <c:v>5.89</c:v>
                </c:pt>
                <c:pt idx="13">
                  <c:v>6.11</c:v>
                </c:pt>
                <c:pt idx="14">
                  <c:v>6.27</c:v>
                </c:pt>
                <c:pt idx="15">
                  <c:v>6.52</c:v>
                </c:pt>
                <c:pt idx="16">
                  <c:v>6.3</c:v>
                </c:pt>
                <c:pt idx="17">
                  <c:v>6.39</c:v>
                </c:pt>
                <c:pt idx="18">
                  <c:v>6.34</c:v>
                </c:pt>
                <c:pt idx="19">
                  <c:v>6.46</c:v>
                </c:pt>
                <c:pt idx="20">
                  <c:v>6.26</c:v>
                </c:pt>
                <c:pt idx="21">
                  <c:v>6.29</c:v>
                </c:pt>
                <c:pt idx="22">
                  <c:v>6.29</c:v>
                </c:pt>
                <c:pt idx="23">
                  <c:v>6.24</c:v>
                </c:pt>
                <c:pt idx="24">
                  <c:v>5.87</c:v>
                </c:pt>
                <c:pt idx="25">
                  <c:v>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B5-4771-8874-3745AAD5DC0B}"/>
            </c:ext>
          </c:extLst>
        </c:ser>
        <c:ser>
          <c:idx val="7"/>
          <c:order val="7"/>
          <c:tx>
            <c:strRef>
              <c:f>'Other Rifles'!$A$12</c:f>
              <c:strCache>
                <c:ptCount val="1"/>
                <c:pt idx="0">
                  <c:v>Stattrak SSG 08 Death's Head MW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Rifles'!$B$12:$BY$12</c:f>
              <c:numCache>
                <c:formatCode>General</c:formatCode>
                <c:ptCount val="76"/>
                <c:pt idx="6">
                  <c:v>10.85</c:v>
                </c:pt>
                <c:pt idx="7">
                  <c:v>9.94</c:v>
                </c:pt>
                <c:pt idx="8">
                  <c:v>10.85</c:v>
                </c:pt>
                <c:pt idx="9">
                  <c:v>10.87</c:v>
                </c:pt>
                <c:pt idx="10">
                  <c:v>10.86</c:v>
                </c:pt>
                <c:pt idx="11">
                  <c:v>11.36</c:v>
                </c:pt>
                <c:pt idx="12">
                  <c:v>11.61</c:v>
                </c:pt>
                <c:pt idx="13">
                  <c:v>11.59</c:v>
                </c:pt>
                <c:pt idx="14">
                  <c:v>11.47</c:v>
                </c:pt>
                <c:pt idx="15">
                  <c:v>11.23</c:v>
                </c:pt>
                <c:pt idx="16">
                  <c:v>11.13</c:v>
                </c:pt>
                <c:pt idx="17">
                  <c:v>11.42</c:v>
                </c:pt>
                <c:pt idx="18">
                  <c:v>11.87</c:v>
                </c:pt>
                <c:pt idx="19">
                  <c:v>14.44</c:v>
                </c:pt>
                <c:pt idx="20">
                  <c:v>13.98</c:v>
                </c:pt>
                <c:pt idx="21">
                  <c:v>12.68</c:v>
                </c:pt>
                <c:pt idx="22">
                  <c:v>12.12</c:v>
                </c:pt>
                <c:pt idx="23">
                  <c:v>12.48</c:v>
                </c:pt>
                <c:pt idx="24">
                  <c:v>12.9</c:v>
                </c:pt>
                <c:pt idx="25">
                  <c:v>11.79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CB5-4771-8874-3745AAD5DC0B}"/>
            </c:ext>
          </c:extLst>
        </c:ser>
        <c:ser>
          <c:idx val="8"/>
          <c:order val="8"/>
          <c:tx>
            <c:strRef>
              <c:f>'Other Rifles'!$A$13</c:f>
              <c:strCache>
                <c:ptCount val="1"/>
                <c:pt idx="0">
                  <c:v>Stattrak Galil AR Stone Cold FT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Rifles'!$B$13:$BY$13</c:f>
              <c:numCache>
                <c:formatCode>General</c:formatCode>
                <c:ptCount val="76"/>
                <c:pt idx="6">
                  <c:v>3.38</c:v>
                </c:pt>
                <c:pt idx="7">
                  <c:v>3.1</c:v>
                </c:pt>
                <c:pt idx="8">
                  <c:v>3.23</c:v>
                </c:pt>
                <c:pt idx="9">
                  <c:v>3.13</c:v>
                </c:pt>
                <c:pt idx="10">
                  <c:v>3.24</c:v>
                </c:pt>
                <c:pt idx="11">
                  <c:v>2.93</c:v>
                </c:pt>
                <c:pt idx="12">
                  <c:v>2.76</c:v>
                </c:pt>
                <c:pt idx="13">
                  <c:v>3.06</c:v>
                </c:pt>
                <c:pt idx="14">
                  <c:v>2.93</c:v>
                </c:pt>
                <c:pt idx="15">
                  <c:v>2.79</c:v>
                </c:pt>
                <c:pt idx="16">
                  <c:v>2.82</c:v>
                </c:pt>
                <c:pt idx="17">
                  <c:v>2.81</c:v>
                </c:pt>
                <c:pt idx="18">
                  <c:v>2.85</c:v>
                </c:pt>
                <c:pt idx="19">
                  <c:v>2.82</c:v>
                </c:pt>
                <c:pt idx="20">
                  <c:v>2.7</c:v>
                </c:pt>
                <c:pt idx="21">
                  <c:v>3.12</c:v>
                </c:pt>
                <c:pt idx="22">
                  <c:v>3.13</c:v>
                </c:pt>
                <c:pt idx="23">
                  <c:v>3.19</c:v>
                </c:pt>
                <c:pt idx="24">
                  <c:v>3.28</c:v>
                </c:pt>
                <c:pt idx="25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B5-4771-8874-3745AAD5DC0B}"/>
            </c:ext>
          </c:extLst>
        </c:ser>
        <c:ser>
          <c:idx val="9"/>
          <c:order val="9"/>
          <c:tx>
            <c:strRef>
              <c:f>'Other Rifles'!$A$14</c:f>
              <c:strCache>
                <c:ptCount val="1"/>
                <c:pt idx="0">
                  <c:v>Stattrak AUG Momentum MW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Rifles'!$B$14:$BY$14</c:f>
              <c:numCache>
                <c:formatCode>General</c:formatCode>
                <c:ptCount val="76"/>
                <c:pt idx="6">
                  <c:v>18.91</c:v>
                </c:pt>
                <c:pt idx="7">
                  <c:v>17.989999999999998</c:v>
                </c:pt>
                <c:pt idx="8">
                  <c:v>20.02</c:v>
                </c:pt>
                <c:pt idx="9">
                  <c:v>19.47</c:v>
                </c:pt>
                <c:pt idx="10">
                  <c:v>19.440000000000001</c:v>
                </c:pt>
                <c:pt idx="11">
                  <c:v>19.55</c:v>
                </c:pt>
                <c:pt idx="12">
                  <c:v>19.579999999999998</c:v>
                </c:pt>
                <c:pt idx="13">
                  <c:v>19.96</c:v>
                </c:pt>
                <c:pt idx="14">
                  <c:v>18.88</c:v>
                </c:pt>
                <c:pt idx="15">
                  <c:v>19.25</c:v>
                </c:pt>
                <c:pt idx="16">
                  <c:v>18.98</c:v>
                </c:pt>
                <c:pt idx="17">
                  <c:v>18.920000000000002</c:v>
                </c:pt>
                <c:pt idx="18">
                  <c:v>18.66</c:v>
                </c:pt>
                <c:pt idx="19">
                  <c:v>19.93</c:v>
                </c:pt>
                <c:pt idx="20">
                  <c:v>19.72</c:v>
                </c:pt>
                <c:pt idx="21">
                  <c:v>17.55</c:v>
                </c:pt>
                <c:pt idx="22">
                  <c:v>18.78</c:v>
                </c:pt>
                <c:pt idx="23">
                  <c:v>18.03</c:v>
                </c:pt>
                <c:pt idx="24">
                  <c:v>19.27</c:v>
                </c:pt>
                <c:pt idx="25">
                  <c:v>19.27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CB5-4771-8874-3745AAD5DC0B}"/>
            </c:ext>
          </c:extLst>
        </c:ser>
        <c:ser>
          <c:idx val="10"/>
          <c:order val="10"/>
          <c:tx>
            <c:strRef>
              <c:f>'Other Rifles'!$A$15</c:f>
              <c:strCache>
                <c:ptCount val="1"/>
                <c:pt idx="0">
                  <c:v>Galil AR Tornado BS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Rifles'!$B$15:$BY$15</c:f>
              <c:numCache>
                <c:formatCode>General</c:formatCode>
                <c:ptCount val="76"/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1.52</c:v>
                </c:pt>
                <c:pt idx="10">
                  <c:v>1.61</c:v>
                </c:pt>
                <c:pt idx="11">
                  <c:v>1.41</c:v>
                </c:pt>
                <c:pt idx="12">
                  <c:v>1.45</c:v>
                </c:pt>
                <c:pt idx="13">
                  <c:v>1.42</c:v>
                </c:pt>
                <c:pt idx="14">
                  <c:v>1.46</c:v>
                </c:pt>
                <c:pt idx="15">
                  <c:v>1.46</c:v>
                </c:pt>
                <c:pt idx="16">
                  <c:v>1.44</c:v>
                </c:pt>
                <c:pt idx="17">
                  <c:v>1.41</c:v>
                </c:pt>
                <c:pt idx="18">
                  <c:v>1.42</c:v>
                </c:pt>
                <c:pt idx="19">
                  <c:v>1.44</c:v>
                </c:pt>
                <c:pt idx="20">
                  <c:v>1.56</c:v>
                </c:pt>
                <c:pt idx="21">
                  <c:v>1.8</c:v>
                </c:pt>
                <c:pt idx="22">
                  <c:v>1.8</c:v>
                </c:pt>
                <c:pt idx="23">
                  <c:v>1.58</c:v>
                </c:pt>
                <c:pt idx="24">
                  <c:v>1.8</c:v>
                </c:pt>
                <c:pt idx="25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B5-4771-8874-3745AAD5DC0B}"/>
            </c:ext>
          </c:extLst>
        </c:ser>
        <c:ser>
          <c:idx val="11"/>
          <c:order val="11"/>
          <c:tx>
            <c:strRef>
              <c:f>'Other Rifles'!$A$16</c:f>
              <c:strCache>
                <c:ptCount val="1"/>
                <c:pt idx="0">
                  <c:v>FAMAS Night Borre 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Rifles'!$B$16:$BY$16</c:f>
              <c:numCache>
                <c:formatCode>General</c:formatCode>
                <c:ptCount val="76"/>
                <c:pt idx="6">
                  <c:v>1.0900000000000001</c:v>
                </c:pt>
                <c:pt idx="7">
                  <c:v>1.35</c:v>
                </c:pt>
                <c:pt idx="8">
                  <c:v>1.28</c:v>
                </c:pt>
                <c:pt idx="9">
                  <c:v>1.58</c:v>
                </c:pt>
                <c:pt idx="10">
                  <c:v>1.67</c:v>
                </c:pt>
                <c:pt idx="11">
                  <c:v>1.58</c:v>
                </c:pt>
                <c:pt idx="12">
                  <c:v>1.53</c:v>
                </c:pt>
                <c:pt idx="13">
                  <c:v>1.47</c:v>
                </c:pt>
                <c:pt idx="14">
                  <c:v>1.38</c:v>
                </c:pt>
                <c:pt idx="15">
                  <c:v>1.4</c:v>
                </c:pt>
                <c:pt idx="16">
                  <c:v>1.26</c:v>
                </c:pt>
                <c:pt idx="17">
                  <c:v>1.49</c:v>
                </c:pt>
                <c:pt idx="18">
                  <c:v>1.52</c:v>
                </c:pt>
                <c:pt idx="19">
                  <c:v>1.56</c:v>
                </c:pt>
                <c:pt idx="20">
                  <c:v>1.69</c:v>
                </c:pt>
                <c:pt idx="21">
                  <c:v>1.65</c:v>
                </c:pt>
                <c:pt idx="22">
                  <c:v>1.69</c:v>
                </c:pt>
                <c:pt idx="23">
                  <c:v>1.64</c:v>
                </c:pt>
                <c:pt idx="24">
                  <c:v>1.68</c:v>
                </c:pt>
                <c:pt idx="25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CB5-4771-8874-3745AAD5DC0B}"/>
            </c:ext>
          </c:extLst>
        </c:ser>
        <c:ser>
          <c:idx val="12"/>
          <c:order val="12"/>
          <c:tx>
            <c:strRef>
              <c:f>'Other Rifles'!$A$17</c:f>
              <c:strCache>
                <c:ptCount val="1"/>
                <c:pt idx="0">
                  <c:v>FAMAS Macabre MW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Rifles'!$B$17:$BY$17</c:f>
              <c:numCache>
                <c:formatCode>General</c:formatCode>
                <c:ptCount val="76"/>
                <c:pt idx="6">
                  <c:v>1.26</c:v>
                </c:pt>
                <c:pt idx="7">
                  <c:v>1.27</c:v>
                </c:pt>
                <c:pt idx="8">
                  <c:v>1.26</c:v>
                </c:pt>
                <c:pt idx="9">
                  <c:v>1.24</c:v>
                </c:pt>
                <c:pt idx="10">
                  <c:v>1.26</c:v>
                </c:pt>
                <c:pt idx="11">
                  <c:v>1.26</c:v>
                </c:pt>
                <c:pt idx="12">
                  <c:v>1.26</c:v>
                </c:pt>
                <c:pt idx="13">
                  <c:v>1.3</c:v>
                </c:pt>
                <c:pt idx="14">
                  <c:v>1.33</c:v>
                </c:pt>
                <c:pt idx="15">
                  <c:v>1.43</c:v>
                </c:pt>
                <c:pt idx="16">
                  <c:v>1.43</c:v>
                </c:pt>
                <c:pt idx="17">
                  <c:v>1.39</c:v>
                </c:pt>
                <c:pt idx="18">
                  <c:v>1.43</c:v>
                </c:pt>
                <c:pt idx="19">
                  <c:v>1.46</c:v>
                </c:pt>
                <c:pt idx="20">
                  <c:v>1.47</c:v>
                </c:pt>
                <c:pt idx="21">
                  <c:v>1.43</c:v>
                </c:pt>
                <c:pt idx="22">
                  <c:v>1.44</c:v>
                </c:pt>
                <c:pt idx="23">
                  <c:v>1.51</c:v>
                </c:pt>
                <c:pt idx="24">
                  <c:v>1.51</c:v>
                </c:pt>
                <c:pt idx="25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B5-4771-8874-3745AAD5DC0B}"/>
            </c:ext>
          </c:extLst>
        </c:ser>
        <c:ser>
          <c:idx val="13"/>
          <c:order val="13"/>
          <c:tx>
            <c:strRef>
              <c:f>'Other Rifles'!$A$18</c:f>
              <c:strCache>
                <c:ptCount val="1"/>
                <c:pt idx="0">
                  <c:v>Galil AR Eco 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Rifles'!$B$18:$BY$18</c:f>
              <c:numCache>
                <c:formatCode>General</c:formatCode>
                <c:ptCount val="76"/>
                <c:pt idx="6">
                  <c:v>3.82</c:v>
                </c:pt>
                <c:pt idx="7">
                  <c:v>3.83</c:v>
                </c:pt>
                <c:pt idx="8">
                  <c:v>3.77</c:v>
                </c:pt>
                <c:pt idx="9">
                  <c:v>3.72</c:v>
                </c:pt>
                <c:pt idx="10">
                  <c:v>3.69</c:v>
                </c:pt>
                <c:pt idx="11">
                  <c:v>3.68</c:v>
                </c:pt>
                <c:pt idx="12">
                  <c:v>3.68</c:v>
                </c:pt>
                <c:pt idx="13">
                  <c:v>3.74</c:v>
                </c:pt>
                <c:pt idx="14">
                  <c:v>3.73</c:v>
                </c:pt>
                <c:pt idx="15">
                  <c:v>3.64</c:v>
                </c:pt>
                <c:pt idx="16">
                  <c:v>3.61</c:v>
                </c:pt>
                <c:pt idx="17">
                  <c:v>3.63</c:v>
                </c:pt>
                <c:pt idx="18">
                  <c:v>3.53</c:v>
                </c:pt>
                <c:pt idx="19">
                  <c:v>3.58</c:v>
                </c:pt>
                <c:pt idx="20">
                  <c:v>3.51</c:v>
                </c:pt>
                <c:pt idx="21">
                  <c:v>3.28</c:v>
                </c:pt>
                <c:pt idx="22">
                  <c:v>3.51</c:v>
                </c:pt>
                <c:pt idx="23">
                  <c:v>3.34</c:v>
                </c:pt>
                <c:pt idx="24">
                  <c:v>3.49</c:v>
                </c:pt>
                <c:pt idx="25">
                  <c:v>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CB5-4771-8874-3745AAD5DC0B}"/>
            </c:ext>
          </c:extLst>
        </c:ser>
        <c:ser>
          <c:idx val="14"/>
          <c:order val="14"/>
          <c:tx>
            <c:strRef>
              <c:f>'Other Rifles'!$A$19</c:f>
              <c:strCache>
                <c:ptCount val="1"/>
                <c:pt idx="0">
                  <c:v>SCAR-20 Powercore MW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Rifles'!$B$19:$BY$19</c:f>
              <c:numCache>
                <c:formatCode>General</c:formatCode>
                <c:ptCount val="76"/>
                <c:pt idx="6">
                  <c:v>0.5</c:v>
                </c:pt>
                <c:pt idx="7">
                  <c:v>0.49</c:v>
                </c:pt>
                <c:pt idx="8">
                  <c:v>0.5</c:v>
                </c:pt>
                <c:pt idx="9">
                  <c:v>0.46</c:v>
                </c:pt>
                <c:pt idx="10">
                  <c:v>0.47</c:v>
                </c:pt>
                <c:pt idx="11">
                  <c:v>0.47</c:v>
                </c:pt>
                <c:pt idx="12">
                  <c:v>0.5</c:v>
                </c:pt>
                <c:pt idx="13">
                  <c:v>0.51</c:v>
                </c:pt>
                <c:pt idx="14">
                  <c:v>0.47</c:v>
                </c:pt>
                <c:pt idx="15">
                  <c:v>0.46</c:v>
                </c:pt>
                <c:pt idx="16">
                  <c:v>0.49</c:v>
                </c:pt>
                <c:pt idx="17">
                  <c:v>0.5</c:v>
                </c:pt>
                <c:pt idx="18">
                  <c:v>0.49</c:v>
                </c:pt>
                <c:pt idx="19">
                  <c:v>0.47</c:v>
                </c:pt>
                <c:pt idx="20">
                  <c:v>0.49</c:v>
                </c:pt>
                <c:pt idx="21">
                  <c:v>0.49</c:v>
                </c:pt>
                <c:pt idx="22">
                  <c:v>0.49</c:v>
                </c:pt>
                <c:pt idx="23">
                  <c:v>0.47</c:v>
                </c:pt>
                <c:pt idx="24">
                  <c:v>0.46</c:v>
                </c:pt>
                <c:pt idx="25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CB5-4771-8874-3745AAD5DC0B}"/>
            </c:ext>
          </c:extLst>
        </c:ser>
        <c:ser>
          <c:idx val="15"/>
          <c:order val="15"/>
          <c:tx>
            <c:strRef>
              <c:f>'Other Rifles'!$A$20</c:f>
              <c:strCache>
                <c:ptCount val="1"/>
                <c:pt idx="0">
                  <c:v>SG 553 Atlas FN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Rifles'!$B$20:$BY$20</c:f>
              <c:numCache>
                <c:formatCode>General</c:formatCode>
                <c:ptCount val="76"/>
                <c:pt idx="6">
                  <c:v>0.32</c:v>
                </c:pt>
                <c:pt idx="7">
                  <c:v>0.34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  <c:pt idx="12">
                  <c:v>0.3</c:v>
                </c:pt>
                <c:pt idx="13">
                  <c:v>0.31</c:v>
                </c:pt>
                <c:pt idx="14">
                  <c:v>0.28999999999999998</c:v>
                </c:pt>
                <c:pt idx="15">
                  <c:v>0.28999999999999998</c:v>
                </c:pt>
                <c:pt idx="16">
                  <c:v>0.28000000000000003</c:v>
                </c:pt>
                <c:pt idx="17">
                  <c:v>0.3</c:v>
                </c:pt>
                <c:pt idx="18">
                  <c:v>0.28999999999999998</c:v>
                </c:pt>
                <c:pt idx="19">
                  <c:v>0.28000000000000003</c:v>
                </c:pt>
                <c:pt idx="20">
                  <c:v>0.28999999999999998</c:v>
                </c:pt>
                <c:pt idx="21">
                  <c:v>0.26</c:v>
                </c:pt>
                <c:pt idx="22">
                  <c:v>0.27</c:v>
                </c:pt>
                <c:pt idx="23">
                  <c:v>0.26</c:v>
                </c:pt>
                <c:pt idx="24">
                  <c:v>0.28000000000000003</c:v>
                </c:pt>
                <c:pt idx="2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CB5-4771-8874-3745AAD5DC0B}"/>
            </c:ext>
          </c:extLst>
        </c:ser>
        <c:ser>
          <c:idx val="16"/>
          <c:order val="16"/>
          <c:tx>
            <c:strRef>
              <c:f>'Other Rifles'!$A$21</c:f>
              <c:strCache>
                <c:ptCount val="1"/>
                <c:pt idx="0">
                  <c:v>SSG 08 Necropos MW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'Other Rifles'!$B$4:$BY$4</c:f>
              <c:numCache>
                <c:formatCode>m/d/yyyy</c:formatCode>
                <c:ptCount val="76"/>
                <c:pt idx="0">
                  <c:v>44331</c:v>
                </c:pt>
                <c:pt idx="1">
                  <c:v>44332</c:v>
                </c:pt>
                <c:pt idx="2">
                  <c:v>44334</c:v>
                </c:pt>
                <c:pt idx="3">
                  <c:v>44336</c:v>
                </c:pt>
                <c:pt idx="4">
                  <c:v>44337</c:v>
                </c:pt>
                <c:pt idx="5">
                  <c:v>44338</c:v>
                </c:pt>
                <c:pt idx="6">
                  <c:v>44339</c:v>
                </c:pt>
                <c:pt idx="7">
                  <c:v>44340</c:v>
                </c:pt>
                <c:pt idx="8">
                  <c:v>44341</c:v>
                </c:pt>
                <c:pt idx="9">
                  <c:v>44342</c:v>
                </c:pt>
                <c:pt idx="10">
                  <c:v>44343</c:v>
                </c:pt>
                <c:pt idx="11">
                  <c:v>44344</c:v>
                </c:pt>
                <c:pt idx="12">
                  <c:v>44345</c:v>
                </c:pt>
                <c:pt idx="13">
                  <c:v>44346</c:v>
                </c:pt>
                <c:pt idx="14">
                  <c:v>44347</c:v>
                </c:pt>
                <c:pt idx="15">
                  <c:v>44348</c:v>
                </c:pt>
                <c:pt idx="16">
                  <c:v>44349</c:v>
                </c:pt>
                <c:pt idx="17">
                  <c:v>44350</c:v>
                </c:pt>
                <c:pt idx="18">
                  <c:v>44351</c:v>
                </c:pt>
                <c:pt idx="19">
                  <c:v>44352</c:v>
                </c:pt>
                <c:pt idx="20">
                  <c:v>44353</c:v>
                </c:pt>
                <c:pt idx="21">
                  <c:v>44354</c:v>
                </c:pt>
                <c:pt idx="22">
                  <c:v>44355</c:v>
                </c:pt>
                <c:pt idx="23">
                  <c:v>44356</c:v>
                </c:pt>
                <c:pt idx="24">
                  <c:v>44357</c:v>
                </c:pt>
                <c:pt idx="25">
                  <c:v>44358</c:v>
                </c:pt>
                <c:pt idx="26">
                  <c:v>44359</c:v>
                </c:pt>
                <c:pt idx="27">
                  <c:v>44360</c:v>
                </c:pt>
                <c:pt idx="28">
                  <c:v>44361</c:v>
                </c:pt>
                <c:pt idx="29">
                  <c:v>44362</c:v>
                </c:pt>
                <c:pt idx="30">
                  <c:v>44363</c:v>
                </c:pt>
                <c:pt idx="31">
                  <c:v>44364</c:v>
                </c:pt>
                <c:pt idx="32">
                  <c:v>44365</c:v>
                </c:pt>
                <c:pt idx="33">
                  <c:v>44366</c:v>
                </c:pt>
                <c:pt idx="34">
                  <c:v>44367</c:v>
                </c:pt>
                <c:pt idx="35">
                  <c:v>44368</c:v>
                </c:pt>
                <c:pt idx="36">
                  <c:v>44369</c:v>
                </c:pt>
                <c:pt idx="37">
                  <c:v>44370</c:v>
                </c:pt>
                <c:pt idx="38">
                  <c:v>44371</c:v>
                </c:pt>
                <c:pt idx="39">
                  <c:v>44372</c:v>
                </c:pt>
                <c:pt idx="40">
                  <c:v>44373</c:v>
                </c:pt>
                <c:pt idx="41">
                  <c:v>44374</c:v>
                </c:pt>
                <c:pt idx="42">
                  <c:v>44375</c:v>
                </c:pt>
                <c:pt idx="43">
                  <c:v>44376</c:v>
                </c:pt>
                <c:pt idx="44">
                  <c:v>44377</c:v>
                </c:pt>
                <c:pt idx="45">
                  <c:v>44378</c:v>
                </c:pt>
                <c:pt idx="46">
                  <c:v>44379</c:v>
                </c:pt>
                <c:pt idx="47">
                  <c:v>44380</c:v>
                </c:pt>
                <c:pt idx="48">
                  <c:v>44381</c:v>
                </c:pt>
                <c:pt idx="49">
                  <c:v>44382</c:v>
                </c:pt>
                <c:pt idx="50">
                  <c:v>44383</c:v>
                </c:pt>
                <c:pt idx="51">
                  <c:v>44384</c:v>
                </c:pt>
                <c:pt idx="52">
                  <c:v>44385</c:v>
                </c:pt>
                <c:pt idx="53">
                  <c:v>44386</c:v>
                </c:pt>
                <c:pt idx="54">
                  <c:v>44387</c:v>
                </c:pt>
                <c:pt idx="55">
                  <c:v>44388</c:v>
                </c:pt>
                <c:pt idx="56">
                  <c:v>44389</c:v>
                </c:pt>
                <c:pt idx="57">
                  <c:v>44390</c:v>
                </c:pt>
                <c:pt idx="58">
                  <c:v>44391</c:v>
                </c:pt>
                <c:pt idx="59">
                  <c:v>44392</c:v>
                </c:pt>
                <c:pt idx="60">
                  <c:v>44393</c:v>
                </c:pt>
                <c:pt idx="61">
                  <c:v>44394</c:v>
                </c:pt>
                <c:pt idx="62">
                  <c:v>44395</c:v>
                </c:pt>
                <c:pt idx="63">
                  <c:v>44396</c:v>
                </c:pt>
                <c:pt idx="64">
                  <c:v>44397</c:v>
                </c:pt>
                <c:pt idx="65">
                  <c:v>44398</c:v>
                </c:pt>
                <c:pt idx="66">
                  <c:v>44399</c:v>
                </c:pt>
                <c:pt idx="67">
                  <c:v>44400</c:v>
                </c:pt>
                <c:pt idx="68">
                  <c:v>44401</c:v>
                </c:pt>
                <c:pt idx="69">
                  <c:v>44402</c:v>
                </c:pt>
                <c:pt idx="70">
                  <c:v>44403</c:v>
                </c:pt>
                <c:pt idx="71">
                  <c:v>44404</c:v>
                </c:pt>
                <c:pt idx="72">
                  <c:v>44405</c:v>
                </c:pt>
                <c:pt idx="73">
                  <c:v>44406</c:v>
                </c:pt>
                <c:pt idx="74">
                  <c:v>44407</c:v>
                </c:pt>
                <c:pt idx="75">
                  <c:v>44408</c:v>
                </c:pt>
              </c:numCache>
            </c:numRef>
          </c:cat>
          <c:val>
            <c:numRef>
              <c:f>'Other Rifles'!$B$21:$BY$21</c:f>
              <c:numCache>
                <c:formatCode>General</c:formatCode>
                <c:ptCount val="76"/>
                <c:pt idx="6">
                  <c:v>0.34</c:v>
                </c:pt>
                <c:pt idx="7">
                  <c:v>0.3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0.31</c:v>
                </c:pt>
                <c:pt idx="12">
                  <c:v>0.3</c:v>
                </c:pt>
                <c:pt idx="13">
                  <c:v>0.32</c:v>
                </c:pt>
                <c:pt idx="14">
                  <c:v>0.31</c:v>
                </c:pt>
                <c:pt idx="15">
                  <c:v>0.31</c:v>
                </c:pt>
                <c:pt idx="16">
                  <c:v>0.31</c:v>
                </c:pt>
                <c:pt idx="17">
                  <c:v>0.31</c:v>
                </c:pt>
                <c:pt idx="18">
                  <c:v>0.28999999999999998</c:v>
                </c:pt>
                <c:pt idx="19">
                  <c:v>0.3</c:v>
                </c:pt>
                <c:pt idx="20">
                  <c:v>0.32</c:v>
                </c:pt>
                <c:pt idx="21">
                  <c:v>0.31</c:v>
                </c:pt>
                <c:pt idx="22">
                  <c:v>0.31</c:v>
                </c:pt>
                <c:pt idx="23">
                  <c:v>0.32</c:v>
                </c:pt>
                <c:pt idx="24">
                  <c:v>0.32</c:v>
                </c:pt>
                <c:pt idx="2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CB5-4771-8874-3745AAD5D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56959"/>
        <c:axId val="206211039"/>
      </c:lineChart>
      <c:dateAx>
        <c:axId val="580569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6211039"/>
        <c:crosses val="autoZero"/>
        <c:auto val="1"/>
        <c:lblOffset val="100"/>
        <c:baseTimeUnit val="days"/>
      </c:dateAx>
      <c:valAx>
        <c:axId val="20621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805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57149</xdr:rowOff>
    </xdr:from>
    <xdr:to>
      <xdr:col>9</xdr:col>
      <xdr:colOff>257174</xdr:colOff>
      <xdr:row>17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34C2A-022D-41C3-840C-E882AC5F9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295274</xdr:colOff>
      <xdr:row>0</xdr:row>
      <xdr:rowOff>57150</xdr:rowOff>
    </xdr:from>
    <xdr:to>
      <xdr:col>18</xdr:col>
      <xdr:colOff>323849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9A02C-0CA3-4EC6-A98B-D65C349C2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361950</xdr:colOff>
      <xdr:row>0</xdr:row>
      <xdr:rowOff>47625</xdr:rowOff>
    </xdr:from>
    <xdr:to>
      <xdr:col>27</xdr:col>
      <xdr:colOff>314325</xdr:colOff>
      <xdr:row>17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063B04-A147-477E-8940-42CE53560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17</xdr:row>
      <xdr:rowOff>161924</xdr:rowOff>
    </xdr:from>
    <xdr:to>
      <xdr:col>9</xdr:col>
      <xdr:colOff>238125</xdr:colOff>
      <xdr:row>37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C11045-2E12-494E-8CB3-6FC17FC28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285750</xdr:colOff>
      <xdr:row>17</xdr:row>
      <xdr:rowOff>161925</xdr:rowOff>
    </xdr:from>
    <xdr:to>
      <xdr:col>18</xdr:col>
      <xdr:colOff>342900</xdr:colOff>
      <xdr:row>37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B99ED0-17EE-4682-B236-29DCE7E0D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371475</xdr:colOff>
      <xdr:row>17</xdr:row>
      <xdr:rowOff>152399</xdr:rowOff>
    </xdr:from>
    <xdr:to>
      <xdr:col>27</xdr:col>
      <xdr:colOff>295275</xdr:colOff>
      <xdr:row>37</xdr:row>
      <xdr:rowOff>66674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A5FE0E-DC59-4297-8F99-7196D13B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457200</xdr:colOff>
      <xdr:row>18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E18706-8098-4F4F-A712-DC2593637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466725</xdr:colOff>
      <xdr:row>0</xdr:row>
      <xdr:rowOff>0</xdr:rowOff>
    </xdr:from>
    <xdr:to>
      <xdr:col>17</xdr:col>
      <xdr:colOff>390525</xdr:colOff>
      <xdr:row>18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A8303-7F52-48CE-AF93-6B556189B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400050</xdr:colOff>
      <xdr:row>0</xdr:row>
      <xdr:rowOff>0</xdr:rowOff>
    </xdr:from>
    <xdr:to>
      <xdr:col>27</xdr:col>
      <xdr:colOff>114300</xdr:colOff>
      <xdr:row>18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094936-8DF1-4F28-93DE-B7C68F4FF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247650</xdr:colOff>
      <xdr:row>18</xdr:row>
      <xdr:rowOff>19049</xdr:rowOff>
    </xdr:from>
    <xdr:to>
      <xdr:col>27</xdr:col>
      <xdr:colOff>95250</xdr:colOff>
      <xdr:row>34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BF8FBF-FE59-4F99-B6C8-919A322D3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314325</xdr:colOff>
      <xdr:row>18</xdr:row>
      <xdr:rowOff>19050</xdr:rowOff>
    </xdr:from>
    <xdr:to>
      <xdr:col>19</xdr:col>
      <xdr:colOff>238125</xdr:colOff>
      <xdr:row>34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EB8ED1-7A87-4E62-892C-E26A487E7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28575</xdr:colOff>
      <xdr:row>18</xdr:row>
      <xdr:rowOff>19050</xdr:rowOff>
    </xdr:from>
    <xdr:to>
      <xdr:col>10</xdr:col>
      <xdr:colOff>295275</xdr:colOff>
      <xdr:row>39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F80570-BC83-4629-9555-562100366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19050</xdr:colOff>
      <xdr:row>39</xdr:row>
      <xdr:rowOff>76200</xdr:rowOff>
    </xdr:from>
    <xdr:to>
      <xdr:col>13</xdr:col>
      <xdr:colOff>552450</xdr:colOff>
      <xdr:row>64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9410CB-57A4-40FA-9230-076B30635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561974</xdr:colOff>
      <xdr:row>39</xdr:row>
      <xdr:rowOff>76199</xdr:rowOff>
    </xdr:from>
    <xdr:to>
      <xdr:col>32</xdr:col>
      <xdr:colOff>228600</xdr:colOff>
      <xdr:row>69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9322A0-E675-4F20-AF94-8A4E28E21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28575</xdr:colOff>
      <xdr:row>64</xdr:row>
      <xdr:rowOff>133349</xdr:rowOff>
    </xdr:from>
    <xdr:to>
      <xdr:col>13</xdr:col>
      <xdr:colOff>523875</xdr:colOff>
      <xdr:row>93</xdr:row>
      <xdr:rowOff>123824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5DDC81-3CAC-4EC3-821E-67E2C9058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D87D-08D1-4E06-B3B9-24BC16B794AB}">
  <dimension ref="A1"/>
  <sheetViews>
    <sheetView workbookViewId="0">
      <selection activeCell="AC20" sqref="AC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2D5C-875A-48FD-B62C-92C0429AB5D3}">
  <dimension ref="A1"/>
  <sheetViews>
    <sheetView workbookViewId="0">
      <selection activeCell="P81" sqref="P8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F03C-7B07-44A2-9AC3-2D6EC7C1F2EA}">
  <dimension ref="A3:BY35"/>
  <sheetViews>
    <sheetView zoomScale="80" zoomScaleNormal="80" workbookViewId="0">
      <pane xSplit="1" topLeftCell="U1" activePane="topRight" state="frozen"/>
      <selection pane="topRight" activeCell="AB31" sqref="AB31"/>
    </sheetView>
  </sheetViews>
  <sheetFormatPr defaultRowHeight="15" x14ac:dyDescent="0.25"/>
  <cols>
    <col min="1" max="1" width="14.5703125" customWidth="1"/>
    <col min="2" max="26" width="11.28515625" customWidth="1"/>
    <col min="27" max="74" width="12.42578125" customWidth="1"/>
    <col min="75" max="77" width="12" customWidth="1"/>
  </cols>
  <sheetData>
    <row r="3" spans="1:77" ht="23.25" x14ac:dyDescent="0.35">
      <c r="A3" s="3" t="s">
        <v>3</v>
      </c>
      <c r="D3" s="2" t="s">
        <v>32</v>
      </c>
    </row>
    <row r="4" spans="1:77" x14ac:dyDescent="0.25">
      <c r="B4" s="1">
        <v>44331</v>
      </c>
      <c r="C4" s="1">
        <v>44332</v>
      </c>
      <c r="D4" s="1">
        <v>44334</v>
      </c>
      <c r="E4" s="1">
        <v>44336</v>
      </c>
      <c r="F4" s="1">
        <v>44337</v>
      </c>
      <c r="G4" s="1">
        <v>44338</v>
      </c>
      <c r="H4" s="1">
        <v>44339</v>
      </c>
      <c r="I4" s="1">
        <v>44340</v>
      </c>
      <c r="J4" s="1">
        <v>44341</v>
      </c>
      <c r="K4" s="1">
        <v>44342</v>
      </c>
      <c r="L4" s="1">
        <v>44343</v>
      </c>
      <c r="M4" s="1">
        <v>44344</v>
      </c>
      <c r="N4" s="1">
        <v>44345</v>
      </c>
      <c r="O4" s="1">
        <v>44346</v>
      </c>
      <c r="P4" s="1">
        <v>44347</v>
      </c>
      <c r="Q4" s="1">
        <v>44348</v>
      </c>
      <c r="R4" s="1">
        <v>44349</v>
      </c>
      <c r="S4" s="1">
        <v>44350</v>
      </c>
      <c r="T4" s="1">
        <v>44351</v>
      </c>
      <c r="U4" s="1">
        <v>44352</v>
      </c>
      <c r="V4" s="1">
        <v>44353</v>
      </c>
      <c r="W4" s="1">
        <v>44354</v>
      </c>
      <c r="X4" s="1">
        <v>44355</v>
      </c>
      <c r="Y4" s="1">
        <v>44356</v>
      </c>
      <c r="Z4" s="1">
        <v>44357</v>
      </c>
      <c r="AA4" s="1">
        <v>44358</v>
      </c>
      <c r="AB4" s="1">
        <v>44359</v>
      </c>
      <c r="AC4" s="1">
        <v>44360</v>
      </c>
      <c r="AD4" s="1">
        <v>44361</v>
      </c>
      <c r="AE4" s="1">
        <v>44362</v>
      </c>
      <c r="AF4" s="1">
        <v>44363</v>
      </c>
      <c r="AG4" s="1">
        <v>44364</v>
      </c>
      <c r="AH4" s="1">
        <v>44365</v>
      </c>
      <c r="AI4" s="1">
        <v>44366</v>
      </c>
      <c r="AJ4" s="1">
        <v>44367</v>
      </c>
      <c r="AK4" s="1">
        <v>44368</v>
      </c>
      <c r="AL4" s="1">
        <v>44369</v>
      </c>
      <c r="AM4" s="1">
        <v>44370</v>
      </c>
      <c r="AN4" s="1">
        <v>44371</v>
      </c>
      <c r="AO4" s="1">
        <v>44372</v>
      </c>
      <c r="AP4" s="1">
        <v>44373</v>
      </c>
      <c r="AQ4" s="1">
        <v>44374</v>
      </c>
      <c r="AR4" s="1">
        <v>44375</v>
      </c>
      <c r="AS4" s="1">
        <v>44376</v>
      </c>
      <c r="AT4" s="1">
        <v>44377</v>
      </c>
      <c r="AU4" s="1">
        <v>44378</v>
      </c>
      <c r="AV4" s="1">
        <v>44379</v>
      </c>
      <c r="AW4" s="1">
        <v>44380</v>
      </c>
      <c r="AX4" s="1">
        <v>44381</v>
      </c>
      <c r="AY4" s="1">
        <v>44382</v>
      </c>
      <c r="AZ4" s="1">
        <v>44383</v>
      </c>
      <c r="BA4" s="1">
        <v>44384</v>
      </c>
      <c r="BB4" s="1">
        <v>44385</v>
      </c>
      <c r="BC4" s="1">
        <v>44386</v>
      </c>
      <c r="BD4" s="1">
        <v>44387</v>
      </c>
      <c r="BE4" s="1">
        <v>44388</v>
      </c>
      <c r="BF4" s="1">
        <v>44389</v>
      </c>
      <c r="BG4" s="1">
        <v>44390</v>
      </c>
      <c r="BH4" s="1">
        <v>44391</v>
      </c>
      <c r="BI4" s="1">
        <v>44392</v>
      </c>
      <c r="BJ4" s="1">
        <v>44393</v>
      </c>
      <c r="BK4" s="1">
        <v>44394</v>
      </c>
      <c r="BL4" s="1">
        <v>44395</v>
      </c>
      <c r="BM4" s="1">
        <v>44396</v>
      </c>
      <c r="BN4" s="1">
        <v>44397</v>
      </c>
      <c r="BO4" s="1">
        <v>44398</v>
      </c>
      <c r="BP4" s="1">
        <v>44399</v>
      </c>
      <c r="BQ4" s="1">
        <v>44400</v>
      </c>
      <c r="BR4" s="1">
        <v>44401</v>
      </c>
      <c r="BS4" s="1">
        <v>44402</v>
      </c>
      <c r="BT4" s="1">
        <v>44403</v>
      </c>
      <c r="BU4" s="1">
        <v>44404</v>
      </c>
      <c r="BV4" s="1">
        <v>44405</v>
      </c>
      <c r="BW4" s="1">
        <v>44406</v>
      </c>
      <c r="BX4" s="1">
        <v>44407</v>
      </c>
      <c r="BY4" s="1">
        <v>44408</v>
      </c>
    </row>
    <row r="5" spans="1:77" x14ac:dyDescent="0.25">
      <c r="A5" t="s">
        <v>1</v>
      </c>
      <c r="B5">
        <f>Investments!C135</f>
        <v>758.47</v>
      </c>
      <c r="C5">
        <f>Investments!D135</f>
        <v>748.99</v>
      </c>
      <c r="D5">
        <f>Investments!E135</f>
        <v>775.47</v>
      </c>
      <c r="E5">
        <f>Investments!F135</f>
        <v>836.83999999999992</v>
      </c>
      <c r="F5">
        <f>Investments!G135</f>
        <v>844.7</v>
      </c>
      <c r="G5">
        <f>Investments!H135</f>
        <v>993.96999999999991</v>
      </c>
      <c r="H5">
        <f>Investments!I135</f>
        <v>976</v>
      </c>
      <c r="I5">
        <f>Investments!J135</f>
        <v>1035.1599999999999</v>
      </c>
      <c r="J5">
        <f>Investments!K135</f>
        <v>1042.3999999999999</v>
      </c>
      <c r="K5">
        <f>Investments!L135</f>
        <v>1150.24</v>
      </c>
      <c r="L5">
        <f>Investments!M135</f>
        <v>1231.1599999999999</v>
      </c>
      <c r="M5">
        <f>Investments!N135</f>
        <v>1219.44</v>
      </c>
      <c r="N5">
        <f>Investments!O135</f>
        <v>1169.1000000000001</v>
      </c>
      <c r="O5">
        <f>Investments!P135</f>
        <v>1112.32</v>
      </c>
      <c r="P5">
        <f>Investments!Q135</f>
        <v>1092.4099999999999</v>
      </c>
      <c r="Q5">
        <f>Investments!R135</f>
        <v>1135.18</v>
      </c>
      <c r="R5">
        <f>Investments!S135</f>
        <v>1223.8499999999999</v>
      </c>
      <c r="S5">
        <f>Investments!T135</f>
        <v>1284.6300000000001</v>
      </c>
      <c r="T5">
        <f>Investments!U135</f>
        <v>1491.52</v>
      </c>
      <c r="U5">
        <f>Investments!V135</f>
        <v>1699.3999999999999</v>
      </c>
      <c r="V5">
        <f>Investments!W135</f>
        <v>1488.6999999999998</v>
      </c>
      <c r="W5">
        <f>Investments!X135</f>
        <v>1505.05</v>
      </c>
      <c r="X5">
        <f>Investments!Y135</f>
        <v>1513.87</v>
      </c>
      <c r="Y5">
        <f>Investments!Z135</f>
        <v>1507.3899999999999</v>
      </c>
      <c r="Z5">
        <f>Investments!AA135</f>
        <v>1524.1</v>
      </c>
      <c r="AA5">
        <f>Investments!AB135</f>
        <v>1532.28</v>
      </c>
    </row>
    <row r="6" spans="1:77" x14ac:dyDescent="0.25">
      <c r="A6" t="s">
        <v>0</v>
      </c>
      <c r="B6">
        <f>Knives!B10</f>
        <v>1973.0399999999997</v>
      </c>
      <c r="C6">
        <f>Knives!C10</f>
        <v>1981.8999999999999</v>
      </c>
      <c r="D6">
        <f>Knives!D10</f>
        <v>2000.1100000000001</v>
      </c>
      <c r="E6">
        <f>Knives!E10</f>
        <v>2012.3300000000002</v>
      </c>
      <c r="F6">
        <f>Knives!F10</f>
        <v>2033.0700000000002</v>
      </c>
      <c r="G6">
        <f>Knives!G10</f>
        <v>1997.2199999999998</v>
      </c>
      <c r="H6">
        <f>Knives!H10</f>
        <v>2013.88</v>
      </c>
      <c r="I6">
        <f>Knives!I10</f>
        <v>2043.2699999999998</v>
      </c>
      <c r="J6">
        <f>Knives!J10</f>
        <v>2020.53</v>
      </c>
      <c r="K6">
        <f>Knives!K10</f>
        <v>2205.54</v>
      </c>
      <c r="L6">
        <f>Knives!L10</f>
        <v>2177.7400000000002</v>
      </c>
      <c r="M6">
        <f>Knives!M10</f>
        <v>2165.3000000000002</v>
      </c>
      <c r="N6">
        <f>Knives!N10</f>
        <v>2132.02</v>
      </c>
      <c r="O6">
        <f>Knives!O10</f>
        <v>2137.7199999999998</v>
      </c>
      <c r="P6">
        <f>Knives!P10</f>
        <v>2110.66</v>
      </c>
      <c r="Q6">
        <f>Knives!Q10</f>
        <v>2114.9700000000003</v>
      </c>
      <c r="R6">
        <f>Knives!R10</f>
        <v>2140.1000000000004</v>
      </c>
      <c r="S6">
        <f>Knives!S10</f>
        <v>2154.6799999999998</v>
      </c>
      <c r="T6">
        <f>Knives!T10</f>
        <v>2100.75</v>
      </c>
      <c r="U6">
        <f>Knives!U10</f>
        <v>2175.81</v>
      </c>
      <c r="V6">
        <f>Knives!V10</f>
        <v>2301.6999999999998</v>
      </c>
      <c r="W6">
        <f>Knives!W10</f>
        <v>2249.21</v>
      </c>
      <c r="X6">
        <f>Knives!X10</f>
        <v>2257.7600000000002</v>
      </c>
      <c r="Y6">
        <f>Knives!Y10</f>
        <v>2243.5100000000002</v>
      </c>
      <c r="Z6">
        <f>Knives!Z10</f>
        <v>2223.92</v>
      </c>
      <c r="AA6">
        <f>Knives!AA10</f>
        <v>2249.7599999999998</v>
      </c>
    </row>
    <row r="7" spans="1:77" x14ac:dyDescent="0.25">
      <c r="A7" t="s">
        <v>2</v>
      </c>
      <c r="B7">
        <f>AWP!B13</f>
        <v>195.47</v>
      </c>
      <c r="C7">
        <f>AWP!C13</f>
        <v>190.54</v>
      </c>
      <c r="D7">
        <f>AWP!D13</f>
        <v>199.98999999999998</v>
      </c>
      <c r="E7">
        <f>AWP!E13</f>
        <v>193.30999999999997</v>
      </c>
      <c r="F7">
        <f>AWP!F13</f>
        <v>193.18999999999997</v>
      </c>
      <c r="G7">
        <f>AWP!G13</f>
        <v>185.43999999999997</v>
      </c>
      <c r="H7">
        <f>AWP!H13</f>
        <v>198.10999999999999</v>
      </c>
      <c r="I7">
        <f>AWP!I13</f>
        <v>199.2</v>
      </c>
      <c r="J7">
        <f>AWP!J13</f>
        <v>194.04999999999998</v>
      </c>
      <c r="K7">
        <f>AWP!K13</f>
        <v>205.29999999999998</v>
      </c>
      <c r="L7">
        <f>AWP!L13</f>
        <v>205.65</v>
      </c>
      <c r="M7">
        <f>AWP!M13</f>
        <v>195.62999999999997</v>
      </c>
      <c r="N7">
        <f>AWP!N13</f>
        <v>199.72999999999996</v>
      </c>
      <c r="O7">
        <f>AWP!O13</f>
        <v>190.32</v>
      </c>
      <c r="P7">
        <f>AWP!P13</f>
        <v>196.61</v>
      </c>
      <c r="Q7">
        <f>AWP!Q13</f>
        <v>200.15</v>
      </c>
      <c r="R7">
        <f>AWP!R13</f>
        <v>209.24</v>
      </c>
      <c r="S7">
        <f>AWP!S13</f>
        <v>202.45</v>
      </c>
      <c r="T7">
        <f>AWP!T13</f>
        <v>203.49</v>
      </c>
      <c r="U7">
        <f>AWP!U13</f>
        <v>203.33</v>
      </c>
      <c r="V7">
        <f>AWP!V13</f>
        <v>200.63000000000002</v>
      </c>
      <c r="W7">
        <f>AWP!W13</f>
        <v>202.01999999999998</v>
      </c>
      <c r="X7">
        <f>AWP!X13</f>
        <v>210.12</v>
      </c>
      <c r="Y7">
        <f>AWP!Y13</f>
        <v>201.97</v>
      </c>
      <c r="Z7">
        <f>AWP!Z13</f>
        <v>194.66</v>
      </c>
      <c r="AA7">
        <f>AWP!AA13</f>
        <v>199.41</v>
      </c>
    </row>
    <row r="8" spans="1:77" x14ac:dyDescent="0.25">
      <c r="A8" t="s">
        <v>4</v>
      </c>
      <c r="B8">
        <f>M4A4!B14</f>
        <v>178.95000000000002</v>
      </c>
      <c r="C8">
        <f>M4A4!C14</f>
        <v>175.29000000000002</v>
      </c>
      <c r="D8">
        <f>M4A4!D14</f>
        <v>172.94</v>
      </c>
      <c r="E8">
        <f>M4A4!E14</f>
        <v>175.82</v>
      </c>
      <c r="F8">
        <f>M4A4!F14</f>
        <v>175.51</v>
      </c>
      <c r="G8">
        <f>M4A4!G14</f>
        <v>177.33</v>
      </c>
      <c r="H8">
        <f>M4A4!H14</f>
        <v>173.10999999999999</v>
      </c>
      <c r="I8">
        <f>M4A4!I14</f>
        <v>171.3</v>
      </c>
      <c r="J8">
        <f>M4A4!J14</f>
        <v>167.67</v>
      </c>
      <c r="K8">
        <f>M4A4!K14</f>
        <v>171.02</v>
      </c>
      <c r="L8">
        <f>M4A4!L14</f>
        <v>169.12</v>
      </c>
      <c r="M8">
        <f>M4A4!M14</f>
        <v>169.39999999999998</v>
      </c>
      <c r="N8">
        <f>M4A4!N14</f>
        <v>170.18</v>
      </c>
      <c r="O8">
        <f>M4A4!O14</f>
        <v>172.92</v>
      </c>
      <c r="P8">
        <f>M4A4!P14</f>
        <v>173.81</v>
      </c>
      <c r="Q8">
        <f>M4A4!Q14</f>
        <v>175.42999999999998</v>
      </c>
      <c r="R8">
        <f>M4A4!R14</f>
        <v>176.54</v>
      </c>
      <c r="S8">
        <f>M4A4!S14</f>
        <v>171.85000000000002</v>
      </c>
      <c r="T8">
        <f>M4A4!T14</f>
        <v>179.60999999999999</v>
      </c>
      <c r="U8">
        <f>M4A4!U14</f>
        <v>184.22</v>
      </c>
      <c r="V8">
        <f>M4A4!V14</f>
        <v>178.42000000000002</v>
      </c>
      <c r="W8">
        <f>M4A4!W14</f>
        <v>179</v>
      </c>
      <c r="X8">
        <f>M4A4!X14</f>
        <v>173.3</v>
      </c>
      <c r="Y8">
        <f>M4A4!Y14</f>
        <v>175.9</v>
      </c>
      <c r="Z8">
        <f>M4A4!Z14</f>
        <v>173.57</v>
      </c>
      <c r="AA8">
        <f>M4A4!AA14</f>
        <v>173.67</v>
      </c>
    </row>
    <row r="9" spans="1:77" x14ac:dyDescent="0.25">
      <c r="A9" t="s">
        <v>5</v>
      </c>
      <c r="B9">
        <f>'M4A1-S'!B10</f>
        <v>76.64</v>
      </c>
      <c r="C9">
        <f>'M4A1-S'!C10</f>
        <v>74.11</v>
      </c>
      <c r="D9">
        <f>'M4A1-S'!D10</f>
        <v>72.600000000000009</v>
      </c>
      <c r="E9">
        <f>'M4A1-S'!E10</f>
        <v>70.94</v>
      </c>
      <c r="F9">
        <f>'M4A1-S'!F10</f>
        <v>74.349999999999994</v>
      </c>
      <c r="G9">
        <f>'M4A1-S'!G10</f>
        <v>72.739999999999995</v>
      </c>
      <c r="H9">
        <f>'M4A1-S'!H10</f>
        <v>70.75</v>
      </c>
      <c r="I9">
        <f>'M4A1-S'!I10</f>
        <v>72.7</v>
      </c>
      <c r="J9">
        <f>'M4A1-S'!J10</f>
        <v>71.73</v>
      </c>
      <c r="K9">
        <f>'M4A1-S'!K10</f>
        <v>70.23</v>
      </c>
      <c r="L9">
        <f>'M4A1-S'!L10</f>
        <v>69.36</v>
      </c>
      <c r="M9">
        <f>'M4A1-S'!M10</f>
        <v>71.36</v>
      </c>
      <c r="N9">
        <f>'M4A1-S'!N10</f>
        <v>71.34</v>
      </c>
      <c r="O9">
        <f>'M4A1-S'!O10</f>
        <v>79.61999999999999</v>
      </c>
      <c r="P9">
        <f>'M4A1-S'!P10</f>
        <v>74.830000000000013</v>
      </c>
      <c r="Q9">
        <f>'M4A1-S'!Q10</f>
        <v>73.97</v>
      </c>
      <c r="R9">
        <f>'M4A1-S'!R10</f>
        <v>73.09</v>
      </c>
      <c r="S9">
        <f>'M4A1-S'!S10</f>
        <v>71.33</v>
      </c>
      <c r="T9">
        <f>'M4A1-S'!T10</f>
        <v>73.13000000000001</v>
      </c>
      <c r="U9">
        <f>'M4A1-S'!U10</f>
        <v>70.48</v>
      </c>
      <c r="V9">
        <f>'M4A1-S'!V10</f>
        <v>70.73</v>
      </c>
      <c r="W9">
        <f>'M4A1-S'!W10</f>
        <v>69.709999999999994</v>
      </c>
      <c r="X9">
        <f>'M4A1-S'!X10</f>
        <v>70.080000000000013</v>
      </c>
      <c r="Y9">
        <f>'M4A1-S'!Y10</f>
        <v>70.78</v>
      </c>
      <c r="Z9">
        <f>'M4A1-S'!Z10</f>
        <v>72.92</v>
      </c>
      <c r="AA9">
        <f>'M4A1-S'!AA10</f>
        <v>72.039999999999992</v>
      </c>
    </row>
    <row r="10" spans="1:77" x14ac:dyDescent="0.25">
      <c r="A10" t="s">
        <v>6</v>
      </c>
      <c r="B10">
        <f>'AK47'!B12</f>
        <v>385.2</v>
      </c>
      <c r="C10">
        <f>'AK47'!C12</f>
        <v>398.33000000000004</v>
      </c>
      <c r="D10">
        <f>'AK47'!D12</f>
        <v>408.55</v>
      </c>
      <c r="E10">
        <f>'AK47'!E12</f>
        <v>396.45</v>
      </c>
      <c r="F10">
        <f>'AK47'!F12</f>
        <v>401.81</v>
      </c>
      <c r="G10">
        <f>'AK47'!G12</f>
        <v>389.48</v>
      </c>
      <c r="H10">
        <f>'AK47'!H12</f>
        <v>389.59</v>
      </c>
      <c r="I10">
        <f>'AK47'!I12</f>
        <v>395.04999999999995</v>
      </c>
      <c r="J10">
        <f>'AK47'!J12</f>
        <v>382.46</v>
      </c>
      <c r="K10">
        <f>'AK47'!K12</f>
        <v>403.94</v>
      </c>
      <c r="L10">
        <f>'AK47'!L12</f>
        <v>404.38</v>
      </c>
      <c r="M10">
        <f>'AK47'!M12</f>
        <v>401.66</v>
      </c>
      <c r="N10">
        <f>'AK47'!N12</f>
        <v>383.82000000000005</v>
      </c>
      <c r="O10">
        <f>'AK47'!O12</f>
        <v>392.5</v>
      </c>
      <c r="P10">
        <f>'AK47'!P12</f>
        <v>396.03</v>
      </c>
      <c r="Q10">
        <f>'AK47'!Q12</f>
        <v>405.53000000000003</v>
      </c>
      <c r="R10">
        <f>'AK47'!R12</f>
        <v>403.7</v>
      </c>
      <c r="S10">
        <f>'AK47'!S12</f>
        <v>409.21</v>
      </c>
      <c r="T10">
        <f>'AK47'!T12</f>
        <v>411.23999999999995</v>
      </c>
      <c r="U10">
        <f>'AK47'!U12</f>
        <v>447.6</v>
      </c>
      <c r="V10">
        <f>'AK47'!V12</f>
        <v>437.02000000000004</v>
      </c>
      <c r="W10">
        <f>'AK47'!W12</f>
        <v>437.36</v>
      </c>
      <c r="X10">
        <f>'AK47'!X12</f>
        <v>438.29999999999995</v>
      </c>
      <c r="Y10">
        <f>'AK47'!Y12</f>
        <v>473</v>
      </c>
      <c r="Z10">
        <f>'AK47'!Z12</f>
        <v>424.75</v>
      </c>
      <c r="AA10">
        <f>'AK47'!AA12</f>
        <v>424.18</v>
      </c>
    </row>
    <row r="11" spans="1:77" x14ac:dyDescent="0.25">
      <c r="A11" t="s">
        <v>7</v>
      </c>
      <c r="B11">
        <f>SMG!B20</f>
        <v>66.949999999999989</v>
      </c>
      <c r="C11">
        <f>SMG!C20</f>
        <v>67.2</v>
      </c>
      <c r="D11">
        <f>SMG!D20</f>
        <v>63.86</v>
      </c>
      <c r="E11">
        <f>SMG!E20</f>
        <v>63.059999999999995</v>
      </c>
      <c r="F11">
        <f>SMG!F20</f>
        <v>66.269999999999982</v>
      </c>
      <c r="G11">
        <f>SMG!G20</f>
        <v>67.61999999999999</v>
      </c>
      <c r="H11">
        <f>SMG!H20</f>
        <v>66.72</v>
      </c>
      <c r="I11">
        <f>SMG!I20</f>
        <v>66.37</v>
      </c>
      <c r="J11">
        <f>SMG!J20</f>
        <v>66.61999999999999</v>
      </c>
      <c r="K11">
        <f>SMG!K20</f>
        <v>67.290000000000006</v>
      </c>
      <c r="L11">
        <f>SMG!L20</f>
        <v>67.490000000000009</v>
      </c>
      <c r="M11">
        <f>SMG!M20</f>
        <v>65.86</v>
      </c>
      <c r="N11">
        <f>SMG!N20</f>
        <v>66.28</v>
      </c>
      <c r="O11">
        <f>SMG!O20</f>
        <v>64.61</v>
      </c>
      <c r="P11">
        <f>SMG!P20</f>
        <v>67.579999999999984</v>
      </c>
      <c r="Q11">
        <f>SMG!Q20</f>
        <v>66.710000000000008</v>
      </c>
      <c r="R11">
        <f>SMG!R20</f>
        <v>66.59</v>
      </c>
      <c r="S11">
        <f>SMG!S20</f>
        <v>65.92</v>
      </c>
      <c r="T11">
        <f>SMG!T20</f>
        <v>66.84</v>
      </c>
      <c r="U11">
        <f>SMG!U20</f>
        <v>65.679999999999978</v>
      </c>
      <c r="V11">
        <f>SMG!V20</f>
        <v>64.990000000000009</v>
      </c>
      <c r="W11">
        <f>SMG!W20</f>
        <v>66.27</v>
      </c>
      <c r="X11">
        <f>SMG!X20</f>
        <v>63.79</v>
      </c>
      <c r="Y11">
        <f>SMG!Y20</f>
        <v>64.69</v>
      </c>
      <c r="Z11">
        <f>SMG!Z20</f>
        <v>64.11</v>
      </c>
      <c r="AA11">
        <f>SMG!AA20</f>
        <v>65.44</v>
      </c>
    </row>
    <row r="12" spans="1:77" x14ac:dyDescent="0.25">
      <c r="A12" t="s">
        <v>8</v>
      </c>
      <c r="B12">
        <f>Heavy!B16</f>
        <v>23.470000000000002</v>
      </c>
      <c r="C12">
        <f>Heavy!C16</f>
        <v>23.17</v>
      </c>
      <c r="D12">
        <f>Heavy!D16</f>
        <v>22.01</v>
      </c>
      <c r="E12">
        <f>Heavy!E16</f>
        <v>22.600000000000005</v>
      </c>
      <c r="F12">
        <f>Heavy!F16</f>
        <v>22.220000000000002</v>
      </c>
      <c r="G12">
        <f>Heavy!G16</f>
        <v>22.89</v>
      </c>
      <c r="H12">
        <f>Heavy!H16</f>
        <v>21.77</v>
      </c>
      <c r="I12">
        <f>Heavy!I16</f>
        <v>22.729999999999997</v>
      </c>
      <c r="J12">
        <f>Heavy!J16</f>
        <v>22.259999999999998</v>
      </c>
      <c r="K12">
        <f>Heavy!K16</f>
        <v>22.8</v>
      </c>
      <c r="L12">
        <f>Heavy!L16</f>
        <v>22.68</v>
      </c>
      <c r="M12">
        <f>Heavy!M16</f>
        <v>23.410000000000004</v>
      </c>
      <c r="N12">
        <f>Heavy!N16</f>
        <v>23.259999999999998</v>
      </c>
      <c r="O12">
        <f>Heavy!O16</f>
        <v>22.509999999999998</v>
      </c>
      <c r="P12">
        <f>Heavy!P16</f>
        <v>22.850000000000005</v>
      </c>
      <c r="Q12">
        <f>Heavy!Q16</f>
        <v>23.580000000000002</v>
      </c>
      <c r="R12">
        <f>Heavy!R16</f>
        <v>24.09</v>
      </c>
      <c r="S12">
        <f>Heavy!S16</f>
        <v>23.599999999999998</v>
      </c>
      <c r="T12">
        <f>Heavy!T16</f>
        <v>23.330000000000002</v>
      </c>
      <c r="U12">
        <f>Heavy!U16</f>
        <v>23.560000000000002</v>
      </c>
      <c r="V12">
        <f>Heavy!V16</f>
        <v>23.870000000000005</v>
      </c>
      <c r="W12">
        <f>Heavy!W16</f>
        <v>22.989999999999995</v>
      </c>
      <c r="X12">
        <f>Heavy!X16</f>
        <v>23.049999999999994</v>
      </c>
      <c r="Y12">
        <f>Heavy!Y16</f>
        <v>23.1</v>
      </c>
      <c r="Z12">
        <f>Heavy!Z16</f>
        <v>22.469999999999995</v>
      </c>
      <c r="AA12">
        <f>Heavy!AA16</f>
        <v>22.91</v>
      </c>
    </row>
    <row r="13" spans="1:77" x14ac:dyDescent="0.25">
      <c r="A13" t="s">
        <v>9</v>
      </c>
      <c r="B13">
        <f>Pistol!B37</f>
        <v>346.62000000000006</v>
      </c>
      <c r="C13">
        <f>Pistol!C37</f>
        <v>340.68000000000012</v>
      </c>
      <c r="D13">
        <f>Pistol!D37</f>
        <v>342.52</v>
      </c>
      <c r="E13">
        <f>Pistol!E37</f>
        <v>349.93</v>
      </c>
      <c r="F13">
        <f>Pistol!F37</f>
        <v>345.59000000000003</v>
      </c>
      <c r="G13">
        <f>Pistol!G37</f>
        <v>347.56999999999994</v>
      </c>
      <c r="H13">
        <f>Pistol!H37</f>
        <v>350.87000000000006</v>
      </c>
      <c r="I13">
        <f>Pistol!I37</f>
        <v>349.74000000000012</v>
      </c>
      <c r="J13">
        <f>Pistol!J37</f>
        <v>354.99999999999994</v>
      </c>
      <c r="K13">
        <f>Pistol!K37</f>
        <v>360.81000000000012</v>
      </c>
      <c r="L13">
        <f>Pistol!L37</f>
        <v>357.97</v>
      </c>
      <c r="M13">
        <f>Pistol!M37</f>
        <v>359.93999999999988</v>
      </c>
      <c r="N13">
        <f>Pistol!N37</f>
        <v>357.37</v>
      </c>
      <c r="O13">
        <f>Pistol!O37</f>
        <v>356.7000000000001</v>
      </c>
      <c r="P13">
        <f>Pistol!P37</f>
        <v>352.5</v>
      </c>
      <c r="Q13">
        <f>Pistol!Q37</f>
        <v>364.53999999999991</v>
      </c>
      <c r="R13">
        <f>Pistol!R37</f>
        <v>370.18000000000006</v>
      </c>
      <c r="S13">
        <f>Pistol!S37</f>
        <v>374.84000000000003</v>
      </c>
      <c r="T13">
        <f>Pistol!T37</f>
        <v>375.61999999999995</v>
      </c>
      <c r="U13">
        <f>Pistol!U37</f>
        <v>401.50000000000006</v>
      </c>
      <c r="V13">
        <f>Pistol!V37</f>
        <v>403.28000000000014</v>
      </c>
      <c r="W13">
        <f>Pistol!W37</f>
        <v>389.87</v>
      </c>
      <c r="X13">
        <f>Pistol!X37</f>
        <v>386.06000000000006</v>
      </c>
      <c r="Y13">
        <f>Pistol!Y37</f>
        <v>392.11000000000007</v>
      </c>
      <c r="Z13">
        <f>Pistol!Z37</f>
        <v>392.42999999999989</v>
      </c>
      <c r="AA13">
        <f>Pistol!AA37</f>
        <v>399.49999999999994</v>
      </c>
    </row>
    <row r="14" spans="1:77" x14ac:dyDescent="0.25">
      <c r="A14" t="s">
        <v>129</v>
      </c>
      <c r="H14">
        <f>'Other Rifles'!H23</f>
        <v>102.47999999999999</v>
      </c>
      <c r="I14">
        <f>'Other Rifles'!I23</f>
        <v>98.559999999999974</v>
      </c>
      <c r="J14">
        <f>'Other Rifles'!J23</f>
        <v>101.12999999999998</v>
      </c>
      <c r="K14">
        <f>'Other Rifles'!K23</f>
        <v>103.96999999999997</v>
      </c>
      <c r="L14">
        <f>'Other Rifles'!L23</f>
        <v>106.04999999999998</v>
      </c>
      <c r="M14">
        <f>'Other Rifles'!M23</f>
        <v>105.24</v>
      </c>
      <c r="N14">
        <f>'Other Rifles'!N23</f>
        <v>103.05000000000001</v>
      </c>
      <c r="O14">
        <f>'Other Rifles'!O23</f>
        <v>105.63999999999999</v>
      </c>
      <c r="P14">
        <f>'Other Rifles'!P23</f>
        <v>105.4</v>
      </c>
      <c r="Q14">
        <f>'Other Rifles'!Q23</f>
        <v>107.26000000000002</v>
      </c>
      <c r="R14">
        <f>'Other Rifles'!R23</f>
        <v>105.52</v>
      </c>
      <c r="S14">
        <f>'Other Rifles'!S23</f>
        <v>104.86999999999999</v>
      </c>
      <c r="T14">
        <f>'Other Rifles'!T23</f>
        <v>103.73</v>
      </c>
      <c r="U14">
        <f>'Other Rifles'!U23</f>
        <v>111.57999999999997</v>
      </c>
      <c r="V14">
        <f>'Other Rifles'!V23</f>
        <v>107.27</v>
      </c>
      <c r="W14">
        <f>'Other Rifles'!W23</f>
        <v>106.41000000000001</v>
      </c>
      <c r="X14">
        <f>'Other Rifles'!X23</f>
        <v>109.28</v>
      </c>
      <c r="Y14">
        <f>'Other Rifles'!Y23</f>
        <v>106.4</v>
      </c>
      <c r="Z14">
        <f>'Other Rifles'!Z23</f>
        <v>108.50999999999999</v>
      </c>
      <c r="AA14">
        <f>'Other Rifles'!AA23</f>
        <v>106.52999999999999</v>
      </c>
    </row>
    <row r="15" spans="1:77" x14ac:dyDescent="0.25">
      <c r="B15">
        <f>SUM(B5:B14)</f>
        <v>4004.8099999999986</v>
      </c>
      <c r="C15">
        <f t="shared" ref="C15:H15" si="0">SUM(C5:C14)</f>
        <v>4000.21</v>
      </c>
      <c r="D15">
        <f t="shared" si="0"/>
        <v>4058.05</v>
      </c>
      <c r="E15">
        <f t="shared" si="0"/>
        <v>4121.28</v>
      </c>
      <c r="F15">
        <f t="shared" si="0"/>
        <v>4156.71</v>
      </c>
      <c r="G15">
        <f t="shared" si="0"/>
        <v>4254.2599999999993</v>
      </c>
      <c r="H15">
        <f t="shared" si="0"/>
        <v>4363.28</v>
      </c>
      <c r="I15">
        <f t="shared" ref="I15:J15" si="1">SUM(I5:I14)</f>
        <v>4454.08</v>
      </c>
      <c r="J15">
        <f t="shared" si="1"/>
        <v>4423.8500000000004</v>
      </c>
      <c r="K15">
        <f t="shared" ref="K15:L15" si="2">SUM(K5:K14)</f>
        <v>4761.1400000000003</v>
      </c>
      <c r="L15">
        <f t="shared" si="2"/>
        <v>4811.6000000000004</v>
      </c>
      <c r="M15">
        <f t="shared" ref="M15:N15" si="3">SUM(M5:M14)</f>
        <v>4777.24</v>
      </c>
      <c r="N15">
        <f t="shared" si="3"/>
        <v>4676.1499999999996</v>
      </c>
      <c r="O15">
        <f t="shared" ref="O15:P15" si="4">SUM(O5:O14)</f>
        <v>4634.8600000000006</v>
      </c>
      <c r="P15">
        <f t="shared" si="4"/>
        <v>4592.6799999999994</v>
      </c>
      <c r="Q15">
        <f t="shared" ref="Q15:R15" si="5">SUM(Q5:Q14)</f>
        <v>4667.3200000000006</v>
      </c>
      <c r="R15">
        <f t="shared" si="5"/>
        <v>4792.9000000000015</v>
      </c>
      <c r="S15">
        <f t="shared" ref="S15:T15" si="6">SUM(S5:S14)</f>
        <v>4863.38</v>
      </c>
      <c r="T15">
        <f t="shared" si="6"/>
        <v>5029.26</v>
      </c>
      <c r="U15">
        <f t="shared" ref="U15:V15" si="7">SUM(U5:U14)</f>
        <v>5383.1600000000008</v>
      </c>
      <c r="V15">
        <f t="shared" si="7"/>
        <v>5276.61</v>
      </c>
      <c r="W15">
        <f t="shared" ref="W15:X15" si="8">SUM(W5:W14)</f>
        <v>5227.8900000000003</v>
      </c>
      <c r="X15">
        <f t="shared" si="8"/>
        <v>5245.6100000000006</v>
      </c>
      <c r="Y15">
        <f t="shared" ref="Y15:Z15" si="9">SUM(Y5:Y14)</f>
        <v>5258.8499999999985</v>
      </c>
      <c r="Z15">
        <f t="shared" si="9"/>
        <v>5201.4400000000005</v>
      </c>
      <c r="AA15">
        <f t="shared" ref="AA15" si="10">SUM(AA5:AA14)</f>
        <v>5245.7199999999993</v>
      </c>
    </row>
    <row r="17" spans="1:77" ht="23.25" x14ac:dyDescent="0.35">
      <c r="A17" s="3" t="s">
        <v>10</v>
      </c>
    </row>
    <row r="18" spans="1:77" x14ac:dyDescent="0.25">
      <c r="B18" s="1">
        <f>B4</f>
        <v>44331</v>
      </c>
      <c r="C18" s="1">
        <f t="shared" ref="C18:L18" si="11">C4</f>
        <v>44332</v>
      </c>
      <c r="D18" s="1">
        <f t="shared" si="11"/>
        <v>44334</v>
      </c>
      <c r="E18" s="1">
        <f t="shared" si="11"/>
        <v>44336</v>
      </c>
      <c r="F18" s="1">
        <f t="shared" si="11"/>
        <v>44337</v>
      </c>
      <c r="G18" s="1">
        <f t="shared" si="11"/>
        <v>44338</v>
      </c>
      <c r="H18" s="1">
        <f t="shared" si="11"/>
        <v>44339</v>
      </c>
      <c r="I18" s="1">
        <f t="shared" si="11"/>
        <v>44340</v>
      </c>
      <c r="J18" s="1">
        <f t="shared" si="11"/>
        <v>44341</v>
      </c>
      <c r="K18" s="1">
        <f t="shared" si="11"/>
        <v>44342</v>
      </c>
      <c r="L18" s="1">
        <f t="shared" si="11"/>
        <v>44343</v>
      </c>
      <c r="M18" s="1">
        <f t="shared" ref="M18:BX18" si="12">M4</f>
        <v>44344</v>
      </c>
      <c r="N18" s="1">
        <f t="shared" si="12"/>
        <v>44345</v>
      </c>
      <c r="O18" s="1">
        <f t="shared" si="12"/>
        <v>44346</v>
      </c>
      <c r="P18" s="1">
        <f t="shared" si="12"/>
        <v>44347</v>
      </c>
      <c r="Q18" s="1">
        <f t="shared" si="12"/>
        <v>44348</v>
      </c>
      <c r="R18" s="1">
        <f t="shared" si="12"/>
        <v>44349</v>
      </c>
      <c r="S18" s="1">
        <f t="shared" si="12"/>
        <v>44350</v>
      </c>
      <c r="T18" s="1">
        <f t="shared" si="12"/>
        <v>44351</v>
      </c>
      <c r="U18" s="1">
        <f t="shared" si="12"/>
        <v>44352</v>
      </c>
      <c r="V18" s="1">
        <f t="shared" si="12"/>
        <v>44353</v>
      </c>
      <c r="W18" s="1">
        <f t="shared" si="12"/>
        <v>44354</v>
      </c>
      <c r="X18" s="1">
        <f t="shared" si="12"/>
        <v>44355</v>
      </c>
      <c r="Y18" s="1">
        <f t="shared" si="12"/>
        <v>44356</v>
      </c>
      <c r="Z18" s="1">
        <f t="shared" si="12"/>
        <v>44357</v>
      </c>
      <c r="AA18" s="1">
        <f t="shared" si="12"/>
        <v>44358</v>
      </c>
      <c r="AB18" s="1">
        <f t="shared" si="12"/>
        <v>44359</v>
      </c>
      <c r="AC18" s="1">
        <f t="shared" si="12"/>
        <v>44360</v>
      </c>
      <c r="AD18" s="1">
        <f t="shared" si="12"/>
        <v>44361</v>
      </c>
      <c r="AE18" s="1">
        <f t="shared" si="12"/>
        <v>44362</v>
      </c>
      <c r="AF18" s="1">
        <f t="shared" si="12"/>
        <v>44363</v>
      </c>
      <c r="AG18" s="1">
        <f t="shared" si="12"/>
        <v>44364</v>
      </c>
      <c r="AH18" s="1">
        <f t="shared" si="12"/>
        <v>44365</v>
      </c>
      <c r="AI18" s="1">
        <f t="shared" si="12"/>
        <v>44366</v>
      </c>
      <c r="AJ18" s="1">
        <f t="shared" si="12"/>
        <v>44367</v>
      </c>
      <c r="AK18" s="1">
        <f t="shared" si="12"/>
        <v>44368</v>
      </c>
      <c r="AL18" s="1">
        <f t="shared" si="12"/>
        <v>44369</v>
      </c>
      <c r="AM18" s="1">
        <f t="shared" si="12"/>
        <v>44370</v>
      </c>
      <c r="AN18" s="1">
        <f t="shared" si="12"/>
        <v>44371</v>
      </c>
      <c r="AO18" s="1">
        <f t="shared" si="12"/>
        <v>44372</v>
      </c>
      <c r="AP18" s="1">
        <f t="shared" si="12"/>
        <v>44373</v>
      </c>
      <c r="AQ18" s="1">
        <f t="shared" si="12"/>
        <v>44374</v>
      </c>
      <c r="AR18" s="1">
        <f t="shared" si="12"/>
        <v>44375</v>
      </c>
      <c r="AS18" s="1">
        <f t="shared" si="12"/>
        <v>44376</v>
      </c>
      <c r="AT18" s="1">
        <f t="shared" si="12"/>
        <v>44377</v>
      </c>
      <c r="AU18" s="1">
        <f t="shared" si="12"/>
        <v>44378</v>
      </c>
      <c r="AV18" s="1">
        <f t="shared" si="12"/>
        <v>44379</v>
      </c>
      <c r="AW18" s="1">
        <f t="shared" si="12"/>
        <v>44380</v>
      </c>
      <c r="AX18" s="1">
        <f t="shared" si="12"/>
        <v>44381</v>
      </c>
      <c r="AY18" s="1">
        <f t="shared" si="12"/>
        <v>44382</v>
      </c>
      <c r="AZ18" s="1">
        <f t="shared" si="12"/>
        <v>44383</v>
      </c>
      <c r="BA18" s="1">
        <f t="shared" si="12"/>
        <v>44384</v>
      </c>
      <c r="BB18" s="1">
        <f t="shared" si="12"/>
        <v>44385</v>
      </c>
      <c r="BC18" s="1">
        <f t="shared" si="12"/>
        <v>44386</v>
      </c>
      <c r="BD18" s="1">
        <f t="shared" si="12"/>
        <v>44387</v>
      </c>
      <c r="BE18" s="1">
        <f t="shared" si="12"/>
        <v>44388</v>
      </c>
      <c r="BF18" s="1">
        <f t="shared" si="12"/>
        <v>44389</v>
      </c>
      <c r="BG18" s="1">
        <f t="shared" si="12"/>
        <v>44390</v>
      </c>
      <c r="BH18" s="1">
        <f t="shared" si="12"/>
        <v>44391</v>
      </c>
      <c r="BI18" s="1">
        <f t="shared" si="12"/>
        <v>44392</v>
      </c>
      <c r="BJ18" s="1">
        <f t="shared" si="12"/>
        <v>44393</v>
      </c>
      <c r="BK18" s="1">
        <f t="shared" si="12"/>
        <v>44394</v>
      </c>
      <c r="BL18" s="1">
        <f t="shared" si="12"/>
        <v>44395</v>
      </c>
      <c r="BM18" s="1">
        <f t="shared" si="12"/>
        <v>44396</v>
      </c>
      <c r="BN18" s="1">
        <f t="shared" si="12"/>
        <v>44397</v>
      </c>
      <c r="BO18" s="1">
        <f t="shared" si="12"/>
        <v>44398</v>
      </c>
      <c r="BP18" s="1">
        <f t="shared" si="12"/>
        <v>44399</v>
      </c>
      <c r="BQ18" s="1">
        <f t="shared" si="12"/>
        <v>44400</v>
      </c>
      <c r="BR18" s="1">
        <f t="shared" si="12"/>
        <v>44401</v>
      </c>
      <c r="BS18" s="1">
        <f t="shared" si="12"/>
        <v>44402</v>
      </c>
      <c r="BT18" s="1">
        <f t="shared" si="12"/>
        <v>44403</v>
      </c>
      <c r="BU18" s="1">
        <f t="shared" si="12"/>
        <v>44404</v>
      </c>
      <c r="BV18" s="1">
        <f t="shared" si="12"/>
        <v>44405</v>
      </c>
      <c r="BW18" s="1">
        <f t="shared" si="12"/>
        <v>44406</v>
      </c>
      <c r="BX18" s="1">
        <f t="shared" si="12"/>
        <v>44407</v>
      </c>
      <c r="BY18" s="1">
        <f t="shared" ref="BY18" si="13">BY4</f>
        <v>44408</v>
      </c>
    </row>
    <row r="19" spans="1:77" x14ac:dyDescent="0.25">
      <c r="A19" t="s">
        <v>1</v>
      </c>
      <c r="B19">
        <f>Investments!C181</f>
        <v>525.4</v>
      </c>
      <c r="C19">
        <f>Investments!D181</f>
        <v>518.91</v>
      </c>
      <c r="D19">
        <f>Investments!E181</f>
        <v>537.06999999999994</v>
      </c>
      <c r="E19">
        <f>Investments!F181</f>
        <v>582.99</v>
      </c>
      <c r="F19">
        <f>Investments!G181</f>
        <v>589.27</v>
      </c>
      <c r="G19">
        <f>Investments!H181</f>
        <v>691.93000000000006</v>
      </c>
      <c r="H19">
        <f>Investments!I181</f>
        <v>672.6099999999999</v>
      </c>
      <c r="I19">
        <f>Investments!J181</f>
        <v>719.01</v>
      </c>
      <c r="J19">
        <f>Investments!K181</f>
        <v>723.31</v>
      </c>
      <c r="K19">
        <f>Investments!L181</f>
        <v>797.8599999999999</v>
      </c>
      <c r="L19">
        <f>Investments!M181</f>
        <v>852.05</v>
      </c>
      <c r="M19">
        <f>Investments!N181</f>
        <v>841.56999999999994</v>
      </c>
      <c r="N19">
        <f>Investments!O181</f>
        <v>806.5</v>
      </c>
      <c r="O19">
        <f>Investments!P181</f>
        <v>765.02</v>
      </c>
      <c r="P19">
        <f>Investments!Q181</f>
        <v>758.63</v>
      </c>
      <c r="Q19">
        <f>Investments!R181</f>
        <v>787.32999999999993</v>
      </c>
      <c r="R19">
        <f>Investments!S181</f>
        <v>847.58999999999992</v>
      </c>
      <c r="S19">
        <f>Investments!T181</f>
        <v>889.18000000000006</v>
      </c>
      <c r="T19">
        <f>Investments!U181</f>
        <v>1056.3400000000001</v>
      </c>
      <c r="U19">
        <f>Investments!V181</f>
        <v>1219.7</v>
      </c>
      <c r="V19">
        <f>Investments!W181</f>
        <v>1047.5900000000001</v>
      </c>
      <c r="W19">
        <f>Investments!X181</f>
        <v>1075.1399999999999</v>
      </c>
      <c r="X19">
        <f>Investments!Y181</f>
        <v>1081.92</v>
      </c>
      <c r="Y19">
        <f>Investments!Z181</f>
        <v>1074.4499999999998</v>
      </c>
      <c r="Z19">
        <f>Investments!AA181</f>
        <v>1087.7</v>
      </c>
      <c r="AA19">
        <f>Investments!AB181</f>
        <v>1100.54</v>
      </c>
    </row>
    <row r="20" spans="1:77" x14ac:dyDescent="0.25">
      <c r="A20" t="s">
        <v>0</v>
      </c>
      <c r="B20">
        <f>Knives!B25</f>
        <v>1341.61</v>
      </c>
      <c r="C20">
        <f>Knives!C25</f>
        <v>1347.64</v>
      </c>
      <c r="D20">
        <f>Knives!D25</f>
        <v>1360.04</v>
      </c>
      <c r="E20">
        <f>Knives!E25</f>
        <v>1368.3400000000001</v>
      </c>
      <c r="F20">
        <f>Knives!F25</f>
        <v>1382.44</v>
      </c>
      <c r="G20">
        <f>Knives!G25</f>
        <v>1358.07</v>
      </c>
      <c r="H20">
        <f>Knives!H25</f>
        <v>1369.3999999999999</v>
      </c>
      <c r="I20">
        <f>Knives!I25</f>
        <v>1389.3999999999999</v>
      </c>
      <c r="J20">
        <f>Knives!J25</f>
        <v>1373.9199999999998</v>
      </c>
      <c r="K20">
        <f>Knives!K25</f>
        <v>1499.72</v>
      </c>
      <c r="L20">
        <f>Knives!L25</f>
        <v>1480.83</v>
      </c>
      <c r="M20">
        <f>Knives!M25</f>
        <v>1472.35</v>
      </c>
      <c r="N20">
        <f>Knives!N25</f>
        <v>1449.75</v>
      </c>
      <c r="O20">
        <f>Knives!O25</f>
        <v>1453.6</v>
      </c>
      <c r="P20">
        <f>Knives!P25</f>
        <v>1435.21</v>
      </c>
      <c r="Q20">
        <f>Knives!Q25</f>
        <v>1438.15</v>
      </c>
      <c r="R20">
        <f>Knives!R25</f>
        <v>1455.23</v>
      </c>
      <c r="S20">
        <f>Knives!S25</f>
        <v>1465.1399999999999</v>
      </c>
      <c r="T20">
        <f>Knives!T25</f>
        <v>1428.49</v>
      </c>
      <c r="U20">
        <f>Knives!U25</f>
        <v>1479.5200000000002</v>
      </c>
      <c r="V20">
        <f>Knives!V25</f>
        <v>1565.1000000000001</v>
      </c>
      <c r="W20">
        <f>Knives!W25</f>
        <v>1529.4099999999999</v>
      </c>
      <c r="X20">
        <f>Knives!X25</f>
        <v>1535.23</v>
      </c>
      <c r="Y20">
        <f>Knives!Y25</f>
        <v>1525.57</v>
      </c>
      <c r="Z20">
        <f>Knives!Z25</f>
        <v>1512.21</v>
      </c>
      <c r="AA20">
        <f>Knives!AA25</f>
        <v>1529.8</v>
      </c>
    </row>
    <row r="21" spans="1:77" x14ac:dyDescent="0.25">
      <c r="A21" t="s">
        <v>2</v>
      </c>
      <c r="B21">
        <f>AWP!B30</f>
        <v>132.84</v>
      </c>
      <c r="C21">
        <f>AWP!C30</f>
        <v>129.48000000000002</v>
      </c>
      <c r="D21">
        <f>AWP!D30</f>
        <v>135.91999999999999</v>
      </c>
      <c r="E21">
        <f>AWP!E30</f>
        <v>131.34</v>
      </c>
      <c r="F21">
        <f>AWP!F30</f>
        <v>131.30000000000001</v>
      </c>
      <c r="G21">
        <f>AWP!G30</f>
        <v>126.00999999999998</v>
      </c>
      <c r="H21">
        <f>AWP!H30</f>
        <v>134.62</v>
      </c>
      <c r="I21">
        <f>AWP!I30</f>
        <v>135.38</v>
      </c>
      <c r="J21">
        <f>AWP!J30</f>
        <v>131.88</v>
      </c>
      <c r="K21">
        <f>AWP!K30</f>
        <v>139.54</v>
      </c>
      <c r="L21">
        <f>AWP!L30</f>
        <v>139.76000000000002</v>
      </c>
      <c r="M21">
        <f>AWP!M30</f>
        <v>132.94</v>
      </c>
      <c r="N21">
        <f>AWP!N30</f>
        <v>135.73999999999998</v>
      </c>
      <c r="O21">
        <f>AWP!O30</f>
        <v>129.32000000000002</v>
      </c>
      <c r="P21">
        <f>AWP!P30</f>
        <v>133.63</v>
      </c>
      <c r="Q21">
        <f>AWP!Q30</f>
        <v>136.01000000000002</v>
      </c>
      <c r="R21">
        <f>AWP!R30</f>
        <v>142.19000000000003</v>
      </c>
      <c r="S21">
        <f>AWP!S30</f>
        <v>137.6</v>
      </c>
      <c r="T21">
        <f>AWP!T30</f>
        <v>138.29999999999998</v>
      </c>
      <c r="U21">
        <f>AWP!U30</f>
        <v>138.18</v>
      </c>
      <c r="V21">
        <f>AWP!V30</f>
        <v>136.35</v>
      </c>
      <c r="W21">
        <f>AWP!W30</f>
        <v>137.31</v>
      </c>
      <c r="X21">
        <f>AWP!X30</f>
        <v>142.82</v>
      </c>
      <c r="Y21">
        <f>AWP!Y30</f>
        <v>137.25</v>
      </c>
      <c r="Z21">
        <f>AWP!Z30</f>
        <v>132.30999999999997</v>
      </c>
      <c r="AA21">
        <f>AWP!AA30</f>
        <v>135.51000000000002</v>
      </c>
    </row>
    <row r="22" spans="1:77" x14ac:dyDescent="0.25">
      <c r="A22" t="s">
        <v>4</v>
      </c>
      <c r="B22">
        <f>M4A4!B31</f>
        <v>121.59</v>
      </c>
      <c r="C22">
        <f>M4A4!C31</f>
        <v>119.11000000000001</v>
      </c>
      <c r="D22">
        <f>M4A4!D31</f>
        <v>117.53999999999999</v>
      </c>
      <c r="E22">
        <f>M4A4!E31</f>
        <v>119.46000000000001</v>
      </c>
      <c r="F22">
        <f>M4A4!F31</f>
        <v>119.24</v>
      </c>
      <c r="G22">
        <f>M4A4!G31</f>
        <v>120.49000000000001</v>
      </c>
      <c r="H22">
        <f>M4A4!H31</f>
        <v>117.63999999999999</v>
      </c>
      <c r="I22">
        <f>M4A4!I31</f>
        <v>116.38999999999999</v>
      </c>
      <c r="J22">
        <f>M4A4!J31</f>
        <v>113.93000000000002</v>
      </c>
      <c r="K22">
        <f>M4A4!K31</f>
        <v>116.18</v>
      </c>
      <c r="L22">
        <f>M4A4!L31</f>
        <v>114.9</v>
      </c>
      <c r="M22">
        <f>M4A4!M31</f>
        <v>115.07</v>
      </c>
      <c r="N22">
        <f>M4A4!N31</f>
        <v>115.64</v>
      </c>
      <c r="O22">
        <f>M4A4!O31</f>
        <v>117.48</v>
      </c>
      <c r="P22">
        <f>M4A4!P31</f>
        <v>118.10000000000001</v>
      </c>
      <c r="Q22">
        <f>M4A4!Q31</f>
        <v>119.21000000000001</v>
      </c>
      <c r="R22">
        <f>M4A4!R31</f>
        <v>119.92000000000002</v>
      </c>
      <c r="S22">
        <f>M4A4!S31</f>
        <v>116.75999999999999</v>
      </c>
      <c r="T22">
        <f>M4A4!T31</f>
        <v>122.03999999999999</v>
      </c>
      <c r="U22">
        <f>M4A4!U31</f>
        <v>125.17</v>
      </c>
      <c r="V22">
        <f>M4A4!V31</f>
        <v>121.23</v>
      </c>
      <c r="W22">
        <f>M4A4!W31</f>
        <v>121.62</v>
      </c>
      <c r="X22">
        <f>M4A4!X31</f>
        <v>117.74000000000001</v>
      </c>
      <c r="Y22">
        <f>M4A4!Y31</f>
        <v>119.54</v>
      </c>
      <c r="Z22">
        <f>M4A4!Z31</f>
        <v>117.90999999999998</v>
      </c>
      <c r="AA22">
        <f>M4A4!AA31</f>
        <v>117.99999999999999</v>
      </c>
    </row>
    <row r="23" spans="1:77" x14ac:dyDescent="0.25">
      <c r="A23" t="s">
        <v>5</v>
      </c>
      <c r="B23">
        <f>'M4A1-S'!B25</f>
        <v>52.08</v>
      </c>
      <c r="C23">
        <f>'M4A1-S'!C25</f>
        <v>50.35</v>
      </c>
      <c r="D23">
        <f>'M4A1-S'!D25</f>
        <v>49.309999999999995</v>
      </c>
      <c r="E23">
        <f>'M4A1-S'!E25</f>
        <v>48.19</v>
      </c>
      <c r="F23">
        <f>'M4A1-S'!F25</f>
        <v>50.499999999999993</v>
      </c>
      <c r="G23">
        <f>'M4A1-S'!G25</f>
        <v>49.410000000000004</v>
      </c>
      <c r="H23">
        <f>'M4A1-S'!H25</f>
        <v>48.07</v>
      </c>
      <c r="I23">
        <f>'M4A1-S'!I25</f>
        <v>49.4</v>
      </c>
      <c r="J23">
        <f>'M4A1-S'!J25</f>
        <v>48.72</v>
      </c>
      <c r="K23">
        <f>'M4A1-S'!K25</f>
        <v>47.69</v>
      </c>
      <c r="L23">
        <f>'M4A1-S'!L25</f>
        <v>47.120000000000005</v>
      </c>
      <c r="M23">
        <f>'M4A1-S'!M25</f>
        <v>48.47</v>
      </c>
      <c r="N23">
        <f>'M4A1-S'!N25</f>
        <v>48.46</v>
      </c>
      <c r="O23">
        <f>'M4A1-S'!O25</f>
        <v>54.1</v>
      </c>
      <c r="P23">
        <f>'M4A1-S'!P25</f>
        <v>50.849999999999994</v>
      </c>
      <c r="Q23">
        <f>'M4A1-S'!Q25</f>
        <v>50.24</v>
      </c>
      <c r="R23">
        <f>'M4A1-S'!R25</f>
        <v>49.65</v>
      </c>
      <c r="S23">
        <f>'M4A1-S'!S25</f>
        <v>48.45</v>
      </c>
      <c r="T23">
        <f>'M4A1-S'!T25</f>
        <v>49.669999999999995</v>
      </c>
      <c r="U23">
        <f>'M4A1-S'!U25</f>
        <v>47.89</v>
      </c>
      <c r="V23">
        <f>'M4A1-S'!V25</f>
        <v>48.050000000000004</v>
      </c>
      <c r="W23">
        <f>'M4A1-S'!W25</f>
        <v>47.37</v>
      </c>
      <c r="X23">
        <f>'M4A1-S'!X25</f>
        <v>47.6</v>
      </c>
      <c r="Y23">
        <f>'M4A1-S'!Y25</f>
        <v>48.08</v>
      </c>
      <c r="Z23">
        <f>'M4A1-S'!Z25</f>
        <v>49.54</v>
      </c>
      <c r="AA23">
        <f>'M4A1-S'!AA25</f>
        <v>48.94</v>
      </c>
    </row>
    <row r="24" spans="1:77" x14ac:dyDescent="0.25">
      <c r="A24" t="s">
        <v>6</v>
      </c>
      <c r="B24">
        <f>'AK47'!B27</f>
        <v>261.87</v>
      </c>
      <c r="C24">
        <f>'AK47'!C27</f>
        <v>270.81</v>
      </c>
      <c r="D24">
        <f>'AK47'!D27</f>
        <v>277.74</v>
      </c>
      <c r="E24">
        <f>'AK47'!E27</f>
        <v>269.50000000000006</v>
      </c>
      <c r="F24">
        <f>'AK47'!F27</f>
        <v>273.16000000000003</v>
      </c>
      <c r="G24">
        <f>'AK47'!G27</f>
        <v>264.77</v>
      </c>
      <c r="H24">
        <f>'AK47'!H27</f>
        <v>264.83</v>
      </c>
      <c r="I24">
        <f>'AK47'!I27</f>
        <v>268.57</v>
      </c>
      <c r="J24">
        <f>'AK47'!J27</f>
        <v>259.99999999999994</v>
      </c>
      <c r="K24">
        <f>'AK47'!K27</f>
        <v>274.61</v>
      </c>
      <c r="L24">
        <f>'AK47'!L27</f>
        <v>274.90000000000003</v>
      </c>
      <c r="M24">
        <f>'AK47'!M27</f>
        <v>273.05</v>
      </c>
      <c r="N24">
        <f>'AK47'!N27</f>
        <v>260.90999999999997</v>
      </c>
      <c r="O24">
        <f>'AK47'!O27</f>
        <v>266.83</v>
      </c>
      <c r="P24">
        <f>'AK47'!P27</f>
        <v>269.22000000000003</v>
      </c>
      <c r="Q24">
        <f>'AK47'!Q27</f>
        <v>275.69</v>
      </c>
      <c r="R24">
        <f>'AK47'!R27</f>
        <v>274.44</v>
      </c>
      <c r="S24">
        <f>'AK47'!S27</f>
        <v>278.2</v>
      </c>
      <c r="T24">
        <f>'AK47'!T27</f>
        <v>279.58999999999997</v>
      </c>
      <c r="U24">
        <f>'AK47'!U27</f>
        <v>304.29000000000002</v>
      </c>
      <c r="V24">
        <f>'AK47'!V27</f>
        <v>297.08999999999997</v>
      </c>
      <c r="W24">
        <f>'AK47'!W27</f>
        <v>297.32</v>
      </c>
      <c r="X24">
        <f>'AK47'!X27</f>
        <v>297.96999999999997</v>
      </c>
      <c r="Y24">
        <f>'AK47'!Y27</f>
        <v>321.53999999999996</v>
      </c>
      <c r="Z24">
        <f>'AK47'!Z27</f>
        <v>288.77</v>
      </c>
      <c r="AA24">
        <f>'AK47'!AA27</f>
        <v>288.37</v>
      </c>
    </row>
    <row r="25" spans="1:77" x14ac:dyDescent="0.25">
      <c r="A25" t="s">
        <v>7</v>
      </c>
      <c r="B25">
        <f>SMG!B43</f>
        <v>45.37</v>
      </c>
      <c r="C25">
        <f>SMG!C43</f>
        <v>45.5</v>
      </c>
      <c r="D25">
        <f>SMG!D43</f>
        <v>43.26</v>
      </c>
      <c r="E25">
        <f>SMG!E43</f>
        <v>42.749999999999993</v>
      </c>
      <c r="F25">
        <f>SMG!F43</f>
        <v>44.910000000000004</v>
      </c>
      <c r="G25">
        <f>SMG!G43</f>
        <v>45.809999999999995</v>
      </c>
      <c r="H25">
        <f>SMG!H43</f>
        <v>45.22</v>
      </c>
      <c r="I25">
        <f>SMG!I43</f>
        <v>45.000000000000007</v>
      </c>
      <c r="J25">
        <f>SMG!J43</f>
        <v>45.12</v>
      </c>
      <c r="K25">
        <f>SMG!K43</f>
        <v>45.61999999999999</v>
      </c>
      <c r="L25">
        <f>SMG!L43</f>
        <v>45.749999999999993</v>
      </c>
      <c r="M25">
        <f>SMG!M43</f>
        <v>44.61999999999999</v>
      </c>
      <c r="N25">
        <f>SMG!N43</f>
        <v>44.91</v>
      </c>
      <c r="O25">
        <f>SMG!O43</f>
        <v>43.769999999999996</v>
      </c>
      <c r="P25">
        <f>SMG!P43</f>
        <v>45.79999999999999</v>
      </c>
      <c r="Q25">
        <f>SMG!Q43</f>
        <v>45.2</v>
      </c>
      <c r="R25">
        <f>SMG!R43</f>
        <v>45.099999999999994</v>
      </c>
      <c r="S25">
        <f>SMG!S43</f>
        <v>44.64</v>
      </c>
      <c r="T25">
        <f>SMG!T43</f>
        <v>45.249999999999993</v>
      </c>
      <c r="U25">
        <f>SMG!U43</f>
        <v>44.449999999999996</v>
      </c>
      <c r="V25">
        <f>SMG!V43</f>
        <v>44.010000000000005</v>
      </c>
      <c r="W25">
        <f>SMG!W43</f>
        <v>44.92</v>
      </c>
      <c r="X25">
        <f>SMG!X43</f>
        <v>43.19</v>
      </c>
      <c r="Y25">
        <f>SMG!Y43</f>
        <v>43.809999999999995</v>
      </c>
      <c r="Z25">
        <f>SMG!Z43</f>
        <v>43.43</v>
      </c>
      <c r="AA25">
        <f>SMG!AA43</f>
        <v>44.36</v>
      </c>
    </row>
    <row r="26" spans="1:77" x14ac:dyDescent="0.25">
      <c r="A26" t="s">
        <v>8</v>
      </c>
      <c r="B26">
        <f>Heavy!B35</f>
        <v>15.849999999999998</v>
      </c>
      <c r="C26">
        <f>Heavy!C35</f>
        <v>15.66</v>
      </c>
      <c r="D26">
        <f>Heavy!D35</f>
        <v>14.860000000000001</v>
      </c>
      <c r="E26">
        <f>Heavy!E35</f>
        <v>15.25</v>
      </c>
      <c r="F26">
        <f>Heavy!F35</f>
        <v>15.02</v>
      </c>
      <c r="G26">
        <f>Heavy!G35</f>
        <v>15.449999999999998</v>
      </c>
      <c r="H26">
        <f>Heavy!H35</f>
        <v>14.7</v>
      </c>
      <c r="I26">
        <f>Heavy!I35</f>
        <v>15.329999999999998</v>
      </c>
      <c r="J26">
        <f>Heavy!J35</f>
        <v>15.050000000000002</v>
      </c>
      <c r="K26">
        <f>Heavy!K35</f>
        <v>15.38</v>
      </c>
      <c r="L26">
        <f>Heavy!L35</f>
        <v>15.29</v>
      </c>
      <c r="M26">
        <f>Heavy!M35</f>
        <v>15.79</v>
      </c>
      <c r="N26">
        <f>Heavy!N35</f>
        <v>15.69</v>
      </c>
      <c r="O26">
        <f>Heavy!O35</f>
        <v>15.179999999999998</v>
      </c>
      <c r="P26">
        <f>Heavy!P35</f>
        <v>15.419999999999996</v>
      </c>
      <c r="Q26">
        <f>Heavy!Q35</f>
        <v>15.91</v>
      </c>
      <c r="R26">
        <f>Heavy!R35</f>
        <v>16.29</v>
      </c>
      <c r="S26">
        <f>Heavy!S35</f>
        <v>15.949999999999998</v>
      </c>
      <c r="T26">
        <f>Heavy!T35</f>
        <v>15.799999999999995</v>
      </c>
      <c r="U26">
        <f>Heavy!U35</f>
        <v>15.919999999999996</v>
      </c>
      <c r="V26">
        <f>Heavy!V35</f>
        <v>16.11</v>
      </c>
      <c r="W26">
        <f>Heavy!W35</f>
        <v>15.519999999999998</v>
      </c>
      <c r="X26">
        <f>Heavy!X35</f>
        <v>15.569999999999999</v>
      </c>
      <c r="Y26">
        <f>Heavy!Y35</f>
        <v>15.589999999999998</v>
      </c>
      <c r="Z26">
        <f>Heavy!Z35</f>
        <v>15.169999999999998</v>
      </c>
      <c r="AA26">
        <f>Heavy!AA35</f>
        <v>15.479999999999999</v>
      </c>
    </row>
    <row r="27" spans="1:77" x14ac:dyDescent="0.25">
      <c r="A27" t="s">
        <v>9</v>
      </c>
      <c r="B27">
        <f>Pistol!B77</f>
        <v>235.34</v>
      </c>
      <c r="C27">
        <f>Pistol!C77</f>
        <v>231.30999999999997</v>
      </c>
      <c r="D27">
        <f>Pistol!D77</f>
        <v>232.52000000000004</v>
      </c>
      <c r="E27">
        <f>Pistol!E77</f>
        <v>237.59</v>
      </c>
      <c r="F27">
        <f>Pistol!F77</f>
        <v>234.61</v>
      </c>
      <c r="G27">
        <f>Pistol!G77</f>
        <v>235.98999999999995</v>
      </c>
      <c r="H27">
        <f>Pistol!H77</f>
        <v>238.26999999999998</v>
      </c>
      <c r="I27">
        <f>Pistol!I77</f>
        <v>237.48000000000005</v>
      </c>
      <c r="J27">
        <f>Pistol!J77</f>
        <v>241.04000000000002</v>
      </c>
      <c r="K27">
        <f>Pistol!K77</f>
        <v>244.97000000000003</v>
      </c>
      <c r="L27">
        <f>Pistol!L77</f>
        <v>243.01999999999998</v>
      </c>
      <c r="M27">
        <f>Pistol!M77</f>
        <v>244.43000000000004</v>
      </c>
      <c r="N27">
        <f>Pistol!N77</f>
        <v>242.61999999999998</v>
      </c>
      <c r="O27">
        <f>Pistol!O77</f>
        <v>242.17000000000002</v>
      </c>
      <c r="P27">
        <f>Pistol!P77</f>
        <v>239.37000000000003</v>
      </c>
      <c r="Q27">
        <f>Pistol!Q77</f>
        <v>247.53000000000003</v>
      </c>
      <c r="R27">
        <f>Pistol!R77</f>
        <v>251.39000000000001</v>
      </c>
      <c r="S27">
        <f>Pistol!S77</f>
        <v>254.46000000000006</v>
      </c>
      <c r="T27">
        <f>Pistol!T77</f>
        <v>255.03999999999996</v>
      </c>
      <c r="U27">
        <f>Pistol!U77</f>
        <v>272.67</v>
      </c>
      <c r="V27">
        <f>Pistol!V77</f>
        <v>273.84999999999997</v>
      </c>
      <c r="W27">
        <f>Pistol!W77</f>
        <v>264.72999999999996</v>
      </c>
      <c r="X27">
        <f>Pistol!X77</f>
        <v>262.17</v>
      </c>
      <c r="Y27">
        <f>Pistol!Y77</f>
        <v>266.25</v>
      </c>
      <c r="Z27">
        <f>Pistol!Z77</f>
        <v>266.46999999999997</v>
      </c>
      <c r="AA27">
        <f>Pistol!AA77</f>
        <v>271.34000000000009</v>
      </c>
    </row>
    <row r="28" spans="1:77" x14ac:dyDescent="0.25">
      <c r="A28" t="s">
        <v>129</v>
      </c>
      <c r="H28">
        <f>'Other Rifles'!H48</f>
        <v>69.47</v>
      </c>
      <c r="I28">
        <f>'Other Rifles'!I48</f>
        <v>66.839999999999989</v>
      </c>
      <c r="J28">
        <f>'Other Rifles'!J48</f>
        <v>68.570000000000022</v>
      </c>
      <c r="K28">
        <f>'Other Rifles'!K48</f>
        <v>70.499999999999986</v>
      </c>
      <c r="L28">
        <f>'Other Rifles'!L48</f>
        <v>71.900000000000006</v>
      </c>
      <c r="M28">
        <f>'Other Rifles'!M48</f>
        <v>71.349999999999994</v>
      </c>
      <c r="N28">
        <f>'Other Rifles'!N48</f>
        <v>69.900000000000006</v>
      </c>
      <c r="O28">
        <f>'Other Rifles'!O48</f>
        <v>71.650000000000006</v>
      </c>
      <c r="P28">
        <f>'Other Rifles'!P48</f>
        <v>71.500000000000014</v>
      </c>
      <c r="Q28">
        <f>'Other Rifles'!Q48</f>
        <v>72.75</v>
      </c>
      <c r="R28">
        <f>'Other Rifles'!R48</f>
        <v>71.559999999999988</v>
      </c>
      <c r="S28">
        <f>'Other Rifles'!S48</f>
        <v>71.099999999999994</v>
      </c>
      <c r="T28">
        <f>'Other Rifles'!T48</f>
        <v>70.349999999999994</v>
      </c>
      <c r="U28">
        <f>'Other Rifles'!U48</f>
        <v>75.680000000000007</v>
      </c>
      <c r="V28">
        <f>'Other Rifles'!V48</f>
        <v>72.75</v>
      </c>
      <c r="W28">
        <f>'Other Rifles'!W48</f>
        <v>72.159999999999982</v>
      </c>
      <c r="X28">
        <f>'Other Rifles'!X48</f>
        <v>74.11999999999999</v>
      </c>
      <c r="Y28">
        <f>'Other Rifles'!Y48</f>
        <v>72.14</v>
      </c>
      <c r="Z28">
        <f>'Other Rifles'!Z48</f>
        <v>73.59</v>
      </c>
      <c r="AA28">
        <f>'Other Rifles'!AA48</f>
        <v>72.290000000000006</v>
      </c>
    </row>
    <row r="29" spans="1:77" x14ac:dyDescent="0.25">
      <c r="B29">
        <f>SUM(B19:B28)</f>
        <v>2731.9499999999994</v>
      </c>
      <c r="C29">
        <f t="shared" ref="C29:H29" si="14">SUM(C19:C28)</f>
        <v>2728.77</v>
      </c>
      <c r="D29">
        <f t="shared" si="14"/>
        <v>2768.26</v>
      </c>
      <c r="E29">
        <f t="shared" si="14"/>
        <v>2815.4100000000003</v>
      </c>
      <c r="F29">
        <f t="shared" si="14"/>
        <v>2840.45</v>
      </c>
      <c r="G29">
        <f t="shared" si="14"/>
        <v>2907.9299999999994</v>
      </c>
      <c r="H29">
        <f t="shared" si="14"/>
        <v>2974.829999999999</v>
      </c>
      <c r="I29">
        <f t="shared" ref="I29:J29" si="15">SUM(I19:I28)</f>
        <v>3042.8</v>
      </c>
      <c r="J29">
        <f t="shared" si="15"/>
        <v>3021.5399999999995</v>
      </c>
      <c r="K29">
        <f t="shared" ref="K29:L29" si="16">SUM(K19:K28)</f>
        <v>3252.0699999999997</v>
      </c>
      <c r="L29">
        <f t="shared" si="16"/>
        <v>3285.5200000000004</v>
      </c>
      <c r="M29">
        <f t="shared" ref="M29:N29" si="17">SUM(M19:M28)</f>
        <v>3259.64</v>
      </c>
      <c r="N29">
        <f t="shared" si="17"/>
        <v>3190.1199999999994</v>
      </c>
      <c r="O29">
        <f t="shared" ref="O29:P29" si="18">SUM(O19:O28)</f>
        <v>3159.12</v>
      </c>
      <c r="P29">
        <f t="shared" si="18"/>
        <v>3137.7300000000005</v>
      </c>
      <c r="Q29">
        <f t="shared" ref="Q29:R29" si="19">SUM(Q19:Q28)</f>
        <v>3188.02</v>
      </c>
      <c r="R29">
        <f t="shared" si="19"/>
        <v>3273.3599999999997</v>
      </c>
      <c r="S29">
        <f t="shared" ref="S29:T29" si="20">SUM(S19:S28)</f>
        <v>3321.4799999999987</v>
      </c>
      <c r="T29">
        <f t="shared" si="20"/>
        <v>3460.8700000000003</v>
      </c>
      <c r="U29">
        <f t="shared" ref="U29:V29" si="21">SUM(U19:U28)</f>
        <v>3723.47</v>
      </c>
      <c r="V29">
        <f t="shared" si="21"/>
        <v>3622.130000000001</v>
      </c>
      <c r="W29">
        <f t="shared" ref="W29:X29" si="22">SUM(W19:W28)</f>
        <v>3605.4999999999995</v>
      </c>
      <c r="X29">
        <f t="shared" si="22"/>
        <v>3618.33</v>
      </c>
      <c r="Y29">
        <f t="shared" ref="Y29:Z29" si="23">SUM(Y19:Y28)</f>
        <v>3624.2199999999993</v>
      </c>
      <c r="Z29">
        <f t="shared" si="23"/>
        <v>3587.0999999999995</v>
      </c>
      <c r="AA29">
        <f t="shared" ref="AA29" si="24">SUM(AA19:AA28)</f>
        <v>3624.6300000000006</v>
      </c>
    </row>
    <row r="33" spans="1:77" x14ac:dyDescent="0.25">
      <c r="B33" s="1">
        <f>B4</f>
        <v>44331</v>
      </c>
      <c r="C33" s="1">
        <f t="shared" ref="C33:L33" si="25">C4</f>
        <v>44332</v>
      </c>
      <c r="D33" s="1">
        <f t="shared" si="25"/>
        <v>44334</v>
      </c>
      <c r="E33" s="1">
        <f t="shared" si="25"/>
        <v>44336</v>
      </c>
      <c r="F33" s="1">
        <f t="shared" si="25"/>
        <v>44337</v>
      </c>
      <c r="G33" s="1">
        <f t="shared" si="25"/>
        <v>44338</v>
      </c>
      <c r="H33" s="1">
        <f t="shared" si="25"/>
        <v>44339</v>
      </c>
      <c r="I33" s="1">
        <f t="shared" si="25"/>
        <v>44340</v>
      </c>
      <c r="J33" s="1">
        <f t="shared" si="25"/>
        <v>44341</v>
      </c>
      <c r="K33" s="1">
        <f t="shared" si="25"/>
        <v>44342</v>
      </c>
      <c r="L33" s="1">
        <f t="shared" si="25"/>
        <v>44343</v>
      </c>
      <c r="M33" s="1">
        <f t="shared" ref="M33:BX33" si="26">M4</f>
        <v>44344</v>
      </c>
      <c r="N33" s="1">
        <f t="shared" si="26"/>
        <v>44345</v>
      </c>
      <c r="O33" s="1">
        <f t="shared" si="26"/>
        <v>44346</v>
      </c>
      <c r="P33" s="1">
        <f t="shared" si="26"/>
        <v>44347</v>
      </c>
      <c r="Q33" s="1">
        <f t="shared" si="26"/>
        <v>44348</v>
      </c>
      <c r="R33" s="1">
        <f t="shared" si="26"/>
        <v>44349</v>
      </c>
      <c r="S33" s="1">
        <f t="shared" si="26"/>
        <v>44350</v>
      </c>
      <c r="T33" s="1">
        <f t="shared" si="26"/>
        <v>44351</v>
      </c>
      <c r="U33" s="1">
        <f t="shared" si="26"/>
        <v>44352</v>
      </c>
      <c r="V33" s="1">
        <f t="shared" si="26"/>
        <v>44353</v>
      </c>
      <c r="W33" s="1">
        <f t="shared" si="26"/>
        <v>44354</v>
      </c>
      <c r="X33" s="1">
        <f t="shared" si="26"/>
        <v>44355</v>
      </c>
      <c r="Y33" s="1">
        <f t="shared" si="26"/>
        <v>44356</v>
      </c>
      <c r="Z33" s="1">
        <f t="shared" si="26"/>
        <v>44357</v>
      </c>
      <c r="AA33" s="1">
        <f t="shared" ref="AA33" si="27">AA4</f>
        <v>44358</v>
      </c>
      <c r="AB33" s="1">
        <f t="shared" si="26"/>
        <v>44359</v>
      </c>
      <c r="AC33" s="1">
        <f t="shared" si="26"/>
        <v>44360</v>
      </c>
      <c r="AD33" s="1">
        <f t="shared" si="26"/>
        <v>44361</v>
      </c>
      <c r="AE33" s="1">
        <f t="shared" si="26"/>
        <v>44362</v>
      </c>
      <c r="AF33" s="1">
        <f t="shared" si="26"/>
        <v>44363</v>
      </c>
      <c r="AG33" s="1">
        <f t="shared" si="26"/>
        <v>44364</v>
      </c>
      <c r="AH33" s="1">
        <f t="shared" si="26"/>
        <v>44365</v>
      </c>
      <c r="AI33" s="1">
        <f t="shared" si="26"/>
        <v>44366</v>
      </c>
      <c r="AJ33" s="1">
        <f t="shared" si="26"/>
        <v>44367</v>
      </c>
      <c r="AK33" s="1">
        <f t="shared" si="26"/>
        <v>44368</v>
      </c>
      <c r="AL33" s="1">
        <f t="shared" si="26"/>
        <v>44369</v>
      </c>
      <c r="AM33" s="1">
        <f t="shared" si="26"/>
        <v>44370</v>
      </c>
      <c r="AN33" s="1">
        <f t="shared" si="26"/>
        <v>44371</v>
      </c>
      <c r="AO33" s="1">
        <f t="shared" si="26"/>
        <v>44372</v>
      </c>
      <c r="AP33" s="1">
        <f t="shared" si="26"/>
        <v>44373</v>
      </c>
      <c r="AQ33" s="1">
        <f t="shared" si="26"/>
        <v>44374</v>
      </c>
      <c r="AR33" s="1">
        <f t="shared" si="26"/>
        <v>44375</v>
      </c>
      <c r="AS33" s="1">
        <f t="shared" si="26"/>
        <v>44376</v>
      </c>
      <c r="AT33" s="1">
        <f t="shared" si="26"/>
        <v>44377</v>
      </c>
      <c r="AU33" s="1">
        <f t="shared" si="26"/>
        <v>44378</v>
      </c>
      <c r="AV33" s="1">
        <f t="shared" si="26"/>
        <v>44379</v>
      </c>
      <c r="AW33" s="1">
        <f t="shared" si="26"/>
        <v>44380</v>
      </c>
      <c r="AX33" s="1">
        <f t="shared" si="26"/>
        <v>44381</v>
      </c>
      <c r="AY33" s="1">
        <f t="shared" si="26"/>
        <v>44382</v>
      </c>
      <c r="AZ33" s="1">
        <f t="shared" si="26"/>
        <v>44383</v>
      </c>
      <c r="BA33" s="1">
        <f t="shared" si="26"/>
        <v>44384</v>
      </c>
      <c r="BB33" s="1">
        <f t="shared" si="26"/>
        <v>44385</v>
      </c>
      <c r="BC33" s="1">
        <f t="shared" si="26"/>
        <v>44386</v>
      </c>
      <c r="BD33" s="1">
        <f t="shared" si="26"/>
        <v>44387</v>
      </c>
      <c r="BE33" s="1">
        <f t="shared" si="26"/>
        <v>44388</v>
      </c>
      <c r="BF33" s="1">
        <f t="shared" si="26"/>
        <v>44389</v>
      </c>
      <c r="BG33" s="1">
        <f t="shared" si="26"/>
        <v>44390</v>
      </c>
      <c r="BH33" s="1">
        <f t="shared" si="26"/>
        <v>44391</v>
      </c>
      <c r="BI33" s="1">
        <f t="shared" si="26"/>
        <v>44392</v>
      </c>
      <c r="BJ33" s="1">
        <f t="shared" si="26"/>
        <v>44393</v>
      </c>
      <c r="BK33" s="1">
        <f t="shared" si="26"/>
        <v>44394</v>
      </c>
      <c r="BL33" s="1">
        <f t="shared" si="26"/>
        <v>44395</v>
      </c>
      <c r="BM33" s="1">
        <f t="shared" si="26"/>
        <v>44396</v>
      </c>
      <c r="BN33" s="1">
        <f t="shared" si="26"/>
        <v>44397</v>
      </c>
      <c r="BO33" s="1">
        <f t="shared" si="26"/>
        <v>44398</v>
      </c>
      <c r="BP33" s="1">
        <f t="shared" si="26"/>
        <v>44399</v>
      </c>
      <c r="BQ33" s="1">
        <f t="shared" si="26"/>
        <v>44400</v>
      </c>
      <c r="BR33" s="1">
        <f t="shared" si="26"/>
        <v>44401</v>
      </c>
      <c r="BS33" s="1">
        <f t="shared" si="26"/>
        <v>44402</v>
      </c>
      <c r="BT33" s="1">
        <f t="shared" si="26"/>
        <v>44403</v>
      </c>
      <c r="BU33" s="1">
        <f t="shared" si="26"/>
        <v>44404</v>
      </c>
      <c r="BV33" s="1">
        <f t="shared" si="26"/>
        <v>44405</v>
      </c>
      <c r="BW33" s="1">
        <f t="shared" si="26"/>
        <v>44406</v>
      </c>
      <c r="BX33" s="1">
        <f t="shared" si="26"/>
        <v>44407</v>
      </c>
      <c r="BY33" s="1">
        <f t="shared" ref="BY33" si="28">BY4</f>
        <v>44408</v>
      </c>
    </row>
    <row r="34" spans="1:77" x14ac:dyDescent="0.25">
      <c r="A34" s="2" t="s">
        <v>121</v>
      </c>
      <c r="B34">
        <f>B15</f>
        <v>4004.8099999999986</v>
      </c>
      <c r="C34">
        <f t="shared" ref="C34:E34" si="29">C15</f>
        <v>4000.21</v>
      </c>
      <c r="D34">
        <f t="shared" si="29"/>
        <v>4058.05</v>
      </c>
      <c r="E34">
        <f t="shared" si="29"/>
        <v>4121.28</v>
      </c>
      <c r="F34">
        <f t="shared" ref="F34:G34" si="30">F15</f>
        <v>4156.71</v>
      </c>
      <c r="G34">
        <f t="shared" si="30"/>
        <v>4254.2599999999993</v>
      </c>
      <c r="H34">
        <f t="shared" ref="H34:I34" si="31">H15</f>
        <v>4363.28</v>
      </c>
      <c r="I34">
        <f t="shared" si="31"/>
        <v>4454.08</v>
      </c>
      <c r="J34">
        <f t="shared" ref="J34:K34" si="32">J15</f>
        <v>4423.8500000000004</v>
      </c>
      <c r="K34">
        <f t="shared" si="32"/>
        <v>4761.1400000000003</v>
      </c>
      <c r="L34">
        <f t="shared" ref="L34:N34" si="33">L15</f>
        <v>4811.6000000000004</v>
      </c>
      <c r="M34">
        <f t="shared" si="33"/>
        <v>4777.24</v>
      </c>
      <c r="N34">
        <f t="shared" si="33"/>
        <v>4676.1499999999996</v>
      </c>
      <c r="O34">
        <f t="shared" ref="O34:P34" si="34">O15</f>
        <v>4634.8600000000006</v>
      </c>
      <c r="P34">
        <f t="shared" si="34"/>
        <v>4592.6799999999994</v>
      </c>
      <c r="Q34">
        <f t="shared" ref="Q34:R34" si="35">Q15</f>
        <v>4667.3200000000006</v>
      </c>
      <c r="R34">
        <f t="shared" si="35"/>
        <v>4792.9000000000015</v>
      </c>
      <c r="S34">
        <f t="shared" ref="S34:T34" si="36">S15</f>
        <v>4863.38</v>
      </c>
      <c r="T34">
        <f t="shared" si="36"/>
        <v>5029.26</v>
      </c>
      <c r="U34">
        <f t="shared" ref="U34:V34" si="37">U15</f>
        <v>5383.1600000000008</v>
      </c>
      <c r="V34">
        <f t="shared" si="37"/>
        <v>5276.61</v>
      </c>
      <c r="W34">
        <f t="shared" ref="W34:X34" si="38">W15</f>
        <v>5227.8900000000003</v>
      </c>
      <c r="X34">
        <f t="shared" si="38"/>
        <v>5245.6100000000006</v>
      </c>
      <c r="Y34">
        <f t="shared" ref="Y34:Z34" si="39">Y15</f>
        <v>5258.8499999999985</v>
      </c>
      <c r="Z34">
        <f t="shared" si="39"/>
        <v>5201.4400000000005</v>
      </c>
      <c r="AA34">
        <f t="shared" ref="AA34" si="40">AA15</f>
        <v>5245.7199999999993</v>
      </c>
    </row>
    <row r="35" spans="1:77" x14ac:dyDescent="0.25">
      <c r="A35" s="2" t="s">
        <v>122</v>
      </c>
      <c r="B35">
        <f>B29</f>
        <v>2731.9499999999994</v>
      </c>
      <c r="C35">
        <f t="shared" ref="C35:E35" si="41">C29</f>
        <v>2728.77</v>
      </c>
      <c r="D35">
        <f t="shared" si="41"/>
        <v>2768.26</v>
      </c>
      <c r="E35">
        <f t="shared" si="41"/>
        <v>2815.4100000000003</v>
      </c>
      <c r="F35">
        <f t="shared" ref="F35" si="42">F29</f>
        <v>2840.45</v>
      </c>
      <c r="G35">
        <f t="shared" ref="G35:L35" si="43">G29</f>
        <v>2907.9299999999994</v>
      </c>
      <c r="H35">
        <f t="shared" si="43"/>
        <v>2974.829999999999</v>
      </c>
      <c r="I35">
        <f t="shared" si="43"/>
        <v>3042.8</v>
      </c>
      <c r="J35">
        <f t="shared" si="43"/>
        <v>3021.5399999999995</v>
      </c>
      <c r="K35">
        <f t="shared" si="43"/>
        <v>3252.0699999999997</v>
      </c>
      <c r="L35">
        <f t="shared" si="43"/>
        <v>3285.5200000000004</v>
      </c>
      <c r="M35">
        <f t="shared" ref="M35:N35" si="44">M29</f>
        <v>3259.64</v>
      </c>
      <c r="N35">
        <f t="shared" si="44"/>
        <v>3190.1199999999994</v>
      </c>
      <c r="O35">
        <f t="shared" ref="O35:P35" si="45">O29</f>
        <v>3159.12</v>
      </c>
      <c r="P35">
        <f t="shared" si="45"/>
        <v>3137.7300000000005</v>
      </c>
      <c r="Q35">
        <f t="shared" ref="Q35:R35" si="46">Q29</f>
        <v>3188.02</v>
      </c>
      <c r="R35">
        <f t="shared" si="46"/>
        <v>3273.3599999999997</v>
      </c>
      <c r="S35">
        <f t="shared" ref="S35:T35" si="47">S29</f>
        <v>3321.4799999999987</v>
      </c>
      <c r="T35">
        <f t="shared" si="47"/>
        <v>3460.8700000000003</v>
      </c>
      <c r="U35">
        <f t="shared" ref="U35:V35" si="48">U29</f>
        <v>3723.47</v>
      </c>
      <c r="V35">
        <f t="shared" si="48"/>
        <v>3622.130000000001</v>
      </c>
      <c r="W35">
        <f t="shared" ref="W35:X35" si="49">W29</f>
        <v>3605.4999999999995</v>
      </c>
      <c r="X35">
        <f t="shared" si="49"/>
        <v>3618.33</v>
      </c>
      <c r="Y35">
        <f t="shared" ref="Y35:Z35" si="50">Y29</f>
        <v>3624.2199999999993</v>
      </c>
      <c r="Z35">
        <f t="shared" si="50"/>
        <v>3587.0999999999995</v>
      </c>
      <c r="AA35">
        <f t="shared" ref="AA35" si="51">AA29</f>
        <v>3624.6300000000006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EBD2-5FE1-47BB-B12B-DDD8F69B6CFF}">
  <dimension ref="A1:BZ181"/>
  <sheetViews>
    <sheetView zoomScale="86" zoomScaleNormal="86" workbookViewId="0">
      <pane xSplit="2" topLeftCell="V1" activePane="topRight" state="frozen"/>
      <selection pane="topRight" activeCell="AB34" sqref="AB34"/>
    </sheetView>
  </sheetViews>
  <sheetFormatPr defaultRowHeight="15" x14ac:dyDescent="0.25"/>
  <cols>
    <col min="1" max="1" width="11.140625" customWidth="1"/>
    <col min="2" max="2" width="23.42578125" customWidth="1"/>
    <col min="3" max="13" width="12.85546875" customWidth="1"/>
    <col min="14" max="14" width="14.140625" customWidth="1"/>
    <col min="15" max="15" width="12.85546875" customWidth="1"/>
    <col min="16" max="16" width="12.28515625" customWidth="1"/>
    <col min="17" max="26" width="12.42578125" customWidth="1"/>
    <col min="27" max="27" width="12.7109375" customWidth="1"/>
    <col min="28" max="78" width="12.85546875" customWidth="1"/>
  </cols>
  <sheetData>
    <row r="1" spans="1:78" ht="23.25" x14ac:dyDescent="0.35">
      <c r="A1" s="3" t="s">
        <v>1</v>
      </c>
    </row>
    <row r="2" spans="1:78" x14ac:dyDescent="0.25">
      <c r="A2" s="2" t="s">
        <v>11</v>
      </c>
      <c r="B2" s="2" t="s">
        <v>12</v>
      </c>
    </row>
    <row r="3" spans="1:78" x14ac:dyDescent="0.25">
      <c r="C3" s="1">
        <f>Totals!B4</f>
        <v>44331</v>
      </c>
      <c r="D3" s="1">
        <f>Totals!C4</f>
        <v>44332</v>
      </c>
      <c r="E3" s="1">
        <f>Totals!D4</f>
        <v>44334</v>
      </c>
      <c r="F3" s="1">
        <f>Totals!E4</f>
        <v>44336</v>
      </c>
      <c r="G3" s="1">
        <f>Totals!F4</f>
        <v>44337</v>
      </c>
      <c r="H3" s="1">
        <f>Totals!G4</f>
        <v>44338</v>
      </c>
      <c r="I3" s="1">
        <f>Totals!H4</f>
        <v>44339</v>
      </c>
      <c r="J3" s="1">
        <f>Totals!I4</f>
        <v>44340</v>
      </c>
      <c r="K3" s="1">
        <f>Totals!J4</f>
        <v>44341</v>
      </c>
      <c r="L3" s="1">
        <f>Totals!K4</f>
        <v>44342</v>
      </c>
      <c r="M3" s="1">
        <f>Totals!L4</f>
        <v>44343</v>
      </c>
      <c r="N3" s="1">
        <f>Totals!M4</f>
        <v>44344</v>
      </c>
      <c r="O3" s="1">
        <f>Totals!N4</f>
        <v>44345</v>
      </c>
      <c r="P3" s="1">
        <f>Totals!O4</f>
        <v>44346</v>
      </c>
      <c r="Q3" s="1">
        <f>Totals!P4</f>
        <v>44347</v>
      </c>
      <c r="R3" s="1">
        <f>Totals!Q4</f>
        <v>44348</v>
      </c>
      <c r="S3" s="1">
        <f>Totals!R4</f>
        <v>44349</v>
      </c>
      <c r="T3" s="1">
        <f>Totals!S4</f>
        <v>44350</v>
      </c>
      <c r="U3" s="1">
        <f>Totals!T4</f>
        <v>44351</v>
      </c>
      <c r="V3" s="1">
        <f>Totals!U4</f>
        <v>44352</v>
      </c>
      <c r="W3" s="1">
        <f>Totals!V4</f>
        <v>44353</v>
      </c>
      <c r="X3" s="1">
        <f>Totals!W4</f>
        <v>44354</v>
      </c>
      <c r="Y3" s="1">
        <f>Totals!X4</f>
        <v>44355</v>
      </c>
      <c r="Z3" s="1">
        <f>Totals!Y4</f>
        <v>44356</v>
      </c>
      <c r="AA3" s="1">
        <f>Totals!Z4</f>
        <v>44357</v>
      </c>
      <c r="AB3" s="1">
        <f>Totals!AA4</f>
        <v>44358</v>
      </c>
      <c r="AC3" s="1">
        <f>Totals!AB4</f>
        <v>44359</v>
      </c>
      <c r="AD3" s="1">
        <f>Totals!AC4</f>
        <v>44360</v>
      </c>
      <c r="AE3" s="1">
        <f>Totals!AD4</f>
        <v>44361</v>
      </c>
      <c r="AF3" s="1">
        <f>Totals!AE4</f>
        <v>44362</v>
      </c>
      <c r="AG3" s="1">
        <f>Totals!AF4</f>
        <v>44363</v>
      </c>
      <c r="AH3" s="1">
        <f>Totals!AG4</f>
        <v>44364</v>
      </c>
      <c r="AI3" s="1">
        <f>Totals!AH4</f>
        <v>44365</v>
      </c>
      <c r="AJ3" s="1">
        <f>Totals!AI4</f>
        <v>44366</v>
      </c>
      <c r="AK3" s="1">
        <f>Totals!AJ4</f>
        <v>44367</v>
      </c>
      <c r="AL3" s="1">
        <f>Totals!AK4</f>
        <v>44368</v>
      </c>
      <c r="AM3" s="1">
        <f>Totals!AL4</f>
        <v>44369</v>
      </c>
      <c r="AN3" s="1">
        <f>Totals!AM4</f>
        <v>44370</v>
      </c>
      <c r="AO3" s="1">
        <f>Totals!AN4</f>
        <v>44371</v>
      </c>
      <c r="AP3" s="1">
        <f>Totals!AO4</f>
        <v>44372</v>
      </c>
      <c r="AQ3" s="1">
        <f>Totals!AP4</f>
        <v>44373</v>
      </c>
      <c r="AR3" s="1">
        <f>Totals!AQ4</f>
        <v>44374</v>
      </c>
      <c r="AS3" s="1">
        <f>Totals!AR4</f>
        <v>44375</v>
      </c>
      <c r="AT3" s="1">
        <f>Totals!AS4</f>
        <v>44376</v>
      </c>
      <c r="AU3" s="1">
        <f>Totals!AT4</f>
        <v>44377</v>
      </c>
      <c r="AV3" s="1">
        <f>Totals!AU4</f>
        <v>44378</v>
      </c>
      <c r="AW3" s="1">
        <f>Totals!AV4</f>
        <v>44379</v>
      </c>
      <c r="AX3" s="1">
        <f>Totals!AW4</f>
        <v>44380</v>
      </c>
      <c r="AY3" s="1">
        <f>Totals!AX4</f>
        <v>44381</v>
      </c>
      <c r="AZ3" s="1">
        <f>Totals!AY4</f>
        <v>44382</v>
      </c>
      <c r="BA3" s="1">
        <f>Totals!AZ4</f>
        <v>44383</v>
      </c>
      <c r="BB3" s="1">
        <f>Totals!BA4</f>
        <v>44384</v>
      </c>
      <c r="BC3" s="1">
        <f>Totals!BB4</f>
        <v>44385</v>
      </c>
      <c r="BD3" s="1">
        <f>Totals!BC4</f>
        <v>44386</v>
      </c>
      <c r="BE3" s="1">
        <f>Totals!BD4</f>
        <v>44387</v>
      </c>
      <c r="BF3" s="1">
        <f>Totals!BE4</f>
        <v>44388</v>
      </c>
      <c r="BG3" s="1">
        <f>Totals!BF4</f>
        <v>44389</v>
      </c>
      <c r="BH3" s="1">
        <f>Totals!BG4</f>
        <v>44390</v>
      </c>
      <c r="BI3" s="1">
        <f>Totals!BH4</f>
        <v>44391</v>
      </c>
      <c r="BJ3" s="1">
        <f>Totals!BI4</f>
        <v>44392</v>
      </c>
      <c r="BK3" s="1">
        <f>Totals!BJ4</f>
        <v>44393</v>
      </c>
      <c r="BL3" s="1">
        <f>Totals!BK4</f>
        <v>44394</v>
      </c>
      <c r="BM3" s="1">
        <f>Totals!BL4</f>
        <v>44395</v>
      </c>
      <c r="BN3" s="1">
        <f>Totals!BM4</f>
        <v>44396</v>
      </c>
      <c r="BO3" s="1">
        <f>Totals!BN4</f>
        <v>44397</v>
      </c>
      <c r="BP3" s="1">
        <f>Totals!BO4</f>
        <v>44398</v>
      </c>
      <c r="BQ3" s="1">
        <f>Totals!BP4</f>
        <v>44399</v>
      </c>
      <c r="BR3" s="1">
        <f>Totals!BQ4</f>
        <v>44400</v>
      </c>
      <c r="BS3" s="1">
        <f>Totals!BR4</f>
        <v>44401</v>
      </c>
      <c r="BT3" s="1">
        <f>Totals!BS4</f>
        <v>44402</v>
      </c>
      <c r="BU3" s="1">
        <f>Totals!BT4</f>
        <v>44403</v>
      </c>
      <c r="BV3" s="1">
        <f>Totals!BU4</f>
        <v>44404</v>
      </c>
      <c r="BW3" s="1">
        <f>Totals!BV4</f>
        <v>44405</v>
      </c>
      <c r="BX3" s="1">
        <f>Totals!BW4</f>
        <v>44406</v>
      </c>
      <c r="BY3" s="1">
        <f>Totals!BX4</f>
        <v>44407</v>
      </c>
      <c r="BZ3" s="1">
        <f>Totals!BY4</f>
        <v>44408</v>
      </c>
    </row>
    <row r="4" spans="1:78" x14ac:dyDescent="0.25">
      <c r="A4">
        <v>1000</v>
      </c>
      <c r="B4" t="s">
        <v>13</v>
      </c>
      <c r="C4">
        <v>7.0000000000000007E-2</v>
      </c>
      <c r="D4">
        <v>7.0000000000000007E-2</v>
      </c>
      <c r="E4">
        <v>7.0000000000000007E-2</v>
      </c>
      <c r="F4">
        <v>7.0000000000000007E-2</v>
      </c>
      <c r="G4">
        <v>7.0000000000000007E-2</v>
      </c>
      <c r="H4">
        <v>7.0000000000000007E-2</v>
      </c>
      <c r="I4">
        <v>7.0000000000000007E-2</v>
      </c>
      <c r="J4">
        <v>7.0000000000000007E-2</v>
      </c>
      <c r="K4">
        <v>7.0000000000000007E-2</v>
      </c>
      <c r="L4">
        <v>7.0000000000000007E-2</v>
      </c>
      <c r="M4">
        <v>7.0000000000000007E-2</v>
      </c>
      <c r="N4">
        <v>0.06</v>
      </c>
      <c r="O4">
        <v>0.06</v>
      </c>
      <c r="P4">
        <v>7.0000000000000007E-2</v>
      </c>
      <c r="Q4">
        <v>7.0000000000000007E-2</v>
      </c>
      <c r="R4">
        <v>7.0000000000000007E-2</v>
      </c>
      <c r="S4">
        <v>7.0000000000000007E-2</v>
      </c>
      <c r="T4">
        <v>7.0000000000000007E-2</v>
      </c>
      <c r="U4">
        <v>0.08</v>
      </c>
      <c r="V4">
        <v>0.09</v>
      </c>
      <c r="W4">
        <v>0.08</v>
      </c>
      <c r="X4">
        <v>0.09</v>
      </c>
      <c r="Y4">
        <v>0.09</v>
      </c>
      <c r="Z4">
        <v>0.08</v>
      </c>
      <c r="AA4">
        <v>0.09</v>
      </c>
      <c r="AB4">
        <v>0.09</v>
      </c>
    </row>
    <row r="5" spans="1:78" x14ac:dyDescent="0.25">
      <c r="A5">
        <v>2000</v>
      </c>
      <c r="B5" t="s">
        <v>14</v>
      </c>
      <c r="C5">
        <v>7.0000000000000007E-2</v>
      </c>
      <c r="D5">
        <v>7.0000000000000007E-2</v>
      </c>
      <c r="E5">
        <v>7.0000000000000007E-2</v>
      </c>
      <c r="F5">
        <v>7.0000000000000007E-2</v>
      </c>
      <c r="G5">
        <v>7.0000000000000007E-2</v>
      </c>
      <c r="H5">
        <v>7.0000000000000007E-2</v>
      </c>
      <c r="I5">
        <v>7.0000000000000007E-2</v>
      </c>
      <c r="J5">
        <v>7.0000000000000007E-2</v>
      </c>
      <c r="K5">
        <v>7.0000000000000007E-2</v>
      </c>
      <c r="L5">
        <v>7.0000000000000007E-2</v>
      </c>
      <c r="M5">
        <v>7.0000000000000007E-2</v>
      </c>
      <c r="N5">
        <v>7.0000000000000007E-2</v>
      </c>
      <c r="O5">
        <v>7.0000000000000007E-2</v>
      </c>
      <c r="P5">
        <v>7.0000000000000007E-2</v>
      </c>
      <c r="Q5">
        <v>7.0000000000000007E-2</v>
      </c>
      <c r="R5">
        <v>7.0000000000000007E-2</v>
      </c>
      <c r="S5">
        <v>7.0000000000000007E-2</v>
      </c>
      <c r="T5">
        <v>7.0000000000000007E-2</v>
      </c>
      <c r="U5">
        <v>0.12</v>
      </c>
      <c r="V5">
        <v>0.14000000000000001</v>
      </c>
      <c r="W5">
        <v>0.11</v>
      </c>
      <c r="X5">
        <v>0.12</v>
      </c>
      <c r="Y5">
        <v>0.12</v>
      </c>
      <c r="Z5">
        <v>0.12</v>
      </c>
      <c r="AA5">
        <v>0.12</v>
      </c>
      <c r="AB5">
        <v>0.13</v>
      </c>
    </row>
    <row r="6" spans="1:78" x14ac:dyDescent="0.25">
      <c r="A6">
        <v>2000</v>
      </c>
      <c r="B6" t="s">
        <v>15</v>
      </c>
      <c r="C6">
        <v>0.05</v>
      </c>
      <c r="D6">
        <v>0.05</v>
      </c>
      <c r="E6">
        <v>0.05</v>
      </c>
      <c r="F6">
        <v>0.06</v>
      </c>
      <c r="G6">
        <v>0.06</v>
      </c>
      <c r="H6">
        <v>0.06</v>
      </c>
      <c r="I6">
        <v>0.05</v>
      </c>
      <c r="J6">
        <v>0.06</v>
      </c>
      <c r="K6">
        <v>0.06</v>
      </c>
      <c r="L6">
        <v>0.06</v>
      </c>
      <c r="M6">
        <v>0.06</v>
      </c>
      <c r="N6">
        <v>0.06</v>
      </c>
      <c r="O6">
        <v>0.06</v>
      </c>
      <c r="P6">
        <v>0.05</v>
      </c>
      <c r="Q6">
        <v>0.06</v>
      </c>
      <c r="R6">
        <v>0.06</v>
      </c>
      <c r="S6">
        <v>0.06</v>
      </c>
      <c r="T6">
        <v>0.06</v>
      </c>
      <c r="U6">
        <v>7.0000000000000007E-2</v>
      </c>
      <c r="V6">
        <v>0.08</v>
      </c>
      <c r="W6">
        <v>7.0000000000000007E-2</v>
      </c>
      <c r="X6">
        <v>0.08</v>
      </c>
      <c r="Y6">
        <v>0.08</v>
      </c>
      <c r="Z6">
        <v>0.08</v>
      </c>
      <c r="AA6">
        <v>0.08</v>
      </c>
      <c r="AB6">
        <v>0.08</v>
      </c>
    </row>
    <row r="7" spans="1:78" x14ac:dyDescent="0.25">
      <c r="A7">
        <v>215</v>
      </c>
      <c r="B7" t="s">
        <v>16</v>
      </c>
      <c r="C7">
        <v>0.08</v>
      </c>
      <c r="D7">
        <v>0.08</v>
      </c>
      <c r="E7">
        <v>0.08</v>
      </c>
      <c r="F7">
        <v>0.08</v>
      </c>
      <c r="G7">
        <v>0.08</v>
      </c>
      <c r="H7">
        <v>0.08</v>
      </c>
      <c r="I7">
        <v>0.08</v>
      </c>
      <c r="J7">
        <v>0.08</v>
      </c>
      <c r="K7">
        <v>0.08</v>
      </c>
      <c r="L7">
        <v>0.08</v>
      </c>
      <c r="M7">
        <v>0.08</v>
      </c>
      <c r="N7">
        <v>0.08</v>
      </c>
      <c r="O7">
        <v>0.08</v>
      </c>
      <c r="P7">
        <v>0.08</v>
      </c>
      <c r="Q7">
        <v>0.08</v>
      </c>
      <c r="R7">
        <v>0.08</v>
      </c>
      <c r="S7">
        <v>0.08</v>
      </c>
      <c r="T7">
        <v>0.08</v>
      </c>
      <c r="U7">
        <v>0.16</v>
      </c>
      <c r="V7">
        <v>0.21</v>
      </c>
      <c r="W7">
        <v>0.17</v>
      </c>
      <c r="X7">
        <v>0.18</v>
      </c>
      <c r="Y7">
        <v>0.18</v>
      </c>
      <c r="Z7">
        <v>0.2</v>
      </c>
      <c r="AA7">
        <v>0.23</v>
      </c>
      <c r="AB7">
        <v>0.24</v>
      </c>
    </row>
    <row r="8" spans="1:78" x14ac:dyDescent="0.25">
      <c r="A8">
        <v>150</v>
      </c>
      <c r="B8" t="s">
        <v>17</v>
      </c>
      <c r="C8">
        <v>0.35</v>
      </c>
      <c r="D8">
        <v>0.35</v>
      </c>
      <c r="E8">
        <v>0.35</v>
      </c>
      <c r="F8">
        <v>0.31</v>
      </c>
      <c r="G8">
        <v>0.3</v>
      </c>
      <c r="H8">
        <v>0.34</v>
      </c>
      <c r="I8">
        <v>0.3</v>
      </c>
      <c r="J8">
        <v>0.3</v>
      </c>
      <c r="K8">
        <v>0.31</v>
      </c>
      <c r="L8">
        <v>0.3</v>
      </c>
      <c r="M8">
        <v>0.31</v>
      </c>
      <c r="N8">
        <v>0.3</v>
      </c>
      <c r="O8">
        <v>0.32</v>
      </c>
      <c r="P8">
        <v>0.32</v>
      </c>
      <c r="Q8">
        <v>0.34</v>
      </c>
      <c r="R8">
        <v>0.3</v>
      </c>
      <c r="S8">
        <v>0.32</v>
      </c>
      <c r="T8">
        <v>0.3</v>
      </c>
      <c r="U8">
        <v>0.35</v>
      </c>
      <c r="V8">
        <v>0.35</v>
      </c>
      <c r="W8">
        <v>0.32</v>
      </c>
      <c r="X8">
        <v>0.32</v>
      </c>
      <c r="Y8">
        <v>0.3</v>
      </c>
      <c r="Z8">
        <v>0.31</v>
      </c>
      <c r="AA8">
        <v>0.3</v>
      </c>
      <c r="AB8">
        <v>0.3</v>
      </c>
    </row>
    <row r="12" spans="1:78" ht="23.25" x14ac:dyDescent="0.35">
      <c r="A12" s="3" t="s">
        <v>18</v>
      </c>
    </row>
    <row r="13" spans="1:78" x14ac:dyDescent="0.25">
      <c r="A13" s="2" t="s">
        <v>11</v>
      </c>
      <c r="B13" s="2" t="s">
        <v>12</v>
      </c>
    </row>
    <row r="14" spans="1:78" x14ac:dyDescent="0.25">
      <c r="C14" s="1">
        <f>C3</f>
        <v>44331</v>
      </c>
      <c r="D14" s="1">
        <f t="shared" ref="D14:BO14" si="0">D3</f>
        <v>44332</v>
      </c>
      <c r="E14" s="1">
        <f t="shared" si="0"/>
        <v>44334</v>
      </c>
      <c r="F14" s="1">
        <f t="shared" si="0"/>
        <v>44336</v>
      </c>
      <c r="G14" s="1">
        <f t="shared" si="0"/>
        <v>44337</v>
      </c>
      <c r="H14" s="1">
        <f t="shared" si="0"/>
        <v>44338</v>
      </c>
      <c r="I14" s="1">
        <f t="shared" si="0"/>
        <v>44339</v>
      </c>
      <c r="J14" s="1">
        <f t="shared" si="0"/>
        <v>44340</v>
      </c>
      <c r="K14" s="1">
        <f t="shared" si="0"/>
        <v>44341</v>
      </c>
      <c r="L14" s="1">
        <f t="shared" si="0"/>
        <v>44342</v>
      </c>
      <c r="M14" s="1">
        <f t="shared" si="0"/>
        <v>44343</v>
      </c>
      <c r="N14" s="1">
        <f t="shared" si="0"/>
        <v>44344</v>
      </c>
      <c r="O14" s="1">
        <f t="shared" si="0"/>
        <v>44345</v>
      </c>
      <c r="P14" s="1">
        <f t="shared" si="0"/>
        <v>44346</v>
      </c>
      <c r="Q14" s="1">
        <f t="shared" si="0"/>
        <v>44347</v>
      </c>
      <c r="R14" s="1">
        <f t="shared" si="0"/>
        <v>44348</v>
      </c>
      <c r="S14" s="1">
        <f t="shared" si="0"/>
        <v>44349</v>
      </c>
      <c r="T14" s="1">
        <f t="shared" si="0"/>
        <v>44350</v>
      </c>
      <c r="U14" s="1">
        <f t="shared" si="0"/>
        <v>44351</v>
      </c>
      <c r="V14" s="1">
        <f t="shared" si="0"/>
        <v>44352</v>
      </c>
      <c r="W14" s="1">
        <f t="shared" si="0"/>
        <v>44353</v>
      </c>
      <c r="X14" s="1">
        <f t="shared" si="0"/>
        <v>44354</v>
      </c>
      <c r="Y14" s="1">
        <f t="shared" si="0"/>
        <v>44355</v>
      </c>
      <c r="Z14" s="1">
        <f t="shared" si="0"/>
        <v>44356</v>
      </c>
      <c r="AA14" s="1">
        <f t="shared" si="0"/>
        <v>44357</v>
      </c>
      <c r="AB14" s="1">
        <f t="shared" si="0"/>
        <v>44358</v>
      </c>
      <c r="AC14" s="1">
        <f t="shared" si="0"/>
        <v>44359</v>
      </c>
      <c r="AD14" s="1">
        <f t="shared" si="0"/>
        <v>44360</v>
      </c>
      <c r="AE14" s="1">
        <f t="shared" si="0"/>
        <v>44361</v>
      </c>
      <c r="AF14" s="1">
        <f t="shared" si="0"/>
        <v>44362</v>
      </c>
      <c r="AG14" s="1">
        <f t="shared" si="0"/>
        <v>44363</v>
      </c>
      <c r="AH14" s="1">
        <f t="shared" si="0"/>
        <v>44364</v>
      </c>
      <c r="AI14" s="1">
        <f t="shared" si="0"/>
        <v>44365</v>
      </c>
      <c r="AJ14" s="1">
        <f t="shared" si="0"/>
        <v>44366</v>
      </c>
      <c r="AK14" s="1">
        <f t="shared" si="0"/>
        <v>44367</v>
      </c>
      <c r="AL14" s="1">
        <f t="shared" si="0"/>
        <v>44368</v>
      </c>
      <c r="AM14" s="1">
        <f t="shared" si="0"/>
        <v>44369</v>
      </c>
      <c r="AN14" s="1">
        <f t="shared" si="0"/>
        <v>44370</v>
      </c>
      <c r="AO14" s="1">
        <f t="shared" si="0"/>
        <v>44371</v>
      </c>
      <c r="AP14" s="1">
        <f t="shared" si="0"/>
        <v>44372</v>
      </c>
      <c r="AQ14" s="1">
        <f t="shared" si="0"/>
        <v>44373</v>
      </c>
      <c r="AR14" s="1">
        <f t="shared" si="0"/>
        <v>44374</v>
      </c>
      <c r="AS14" s="1">
        <f t="shared" si="0"/>
        <v>44375</v>
      </c>
      <c r="AT14" s="1">
        <f t="shared" si="0"/>
        <v>44376</v>
      </c>
      <c r="AU14" s="1">
        <f t="shared" si="0"/>
        <v>44377</v>
      </c>
      <c r="AV14" s="1">
        <f t="shared" si="0"/>
        <v>44378</v>
      </c>
      <c r="AW14" s="1">
        <f t="shared" si="0"/>
        <v>44379</v>
      </c>
      <c r="AX14" s="1">
        <f t="shared" si="0"/>
        <v>44380</v>
      </c>
      <c r="AY14" s="1">
        <f t="shared" si="0"/>
        <v>44381</v>
      </c>
      <c r="AZ14" s="1">
        <f t="shared" si="0"/>
        <v>44382</v>
      </c>
      <c r="BA14" s="1">
        <f t="shared" si="0"/>
        <v>44383</v>
      </c>
      <c r="BB14" s="1">
        <f t="shared" si="0"/>
        <v>44384</v>
      </c>
      <c r="BC14" s="1">
        <f t="shared" si="0"/>
        <v>44385</v>
      </c>
      <c r="BD14" s="1">
        <f t="shared" si="0"/>
        <v>44386</v>
      </c>
      <c r="BE14" s="1">
        <f t="shared" si="0"/>
        <v>44387</v>
      </c>
      <c r="BF14" s="1">
        <f t="shared" si="0"/>
        <v>44388</v>
      </c>
      <c r="BG14" s="1">
        <f t="shared" si="0"/>
        <v>44389</v>
      </c>
      <c r="BH14" s="1">
        <f t="shared" si="0"/>
        <v>44390</v>
      </c>
      <c r="BI14" s="1">
        <f t="shared" si="0"/>
        <v>44391</v>
      </c>
      <c r="BJ14" s="1">
        <f t="shared" si="0"/>
        <v>44392</v>
      </c>
      <c r="BK14" s="1">
        <f t="shared" si="0"/>
        <v>44393</v>
      </c>
      <c r="BL14" s="1">
        <f t="shared" si="0"/>
        <v>44394</v>
      </c>
      <c r="BM14" s="1">
        <f t="shared" si="0"/>
        <v>44395</v>
      </c>
      <c r="BN14" s="1">
        <f t="shared" si="0"/>
        <v>44396</v>
      </c>
      <c r="BO14" s="1">
        <f t="shared" si="0"/>
        <v>44397</v>
      </c>
      <c r="BP14" s="1">
        <f t="shared" ref="BP14:BZ14" si="1">BP3</f>
        <v>44398</v>
      </c>
      <c r="BQ14" s="1">
        <f t="shared" si="1"/>
        <v>44399</v>
      </c>
      <c r="BR14" s="1">
        <f t="shared" si="1"/>
        <v>44400</v>
      </c>
      <c r="BS14" s="1">
        <f t="shared" si="1"/>
        <v>44401</v>
      </c>
      <c r="BT14" s="1">
        <f t="shared" si="1"/>
        <v>44402</v>
      </c>
      <c r="BU14" s="1">
        <f t="shared" si="1"/>
        <v>44403</v>
      </c>
      <c r="BV14" s="1">
        <f t="shared" si="1"/>
        <v>44404</v>
      </c>
      <c r="BW14" s="1">
        <f t="shared" si="1"/>
        <v>44405</v>
      </c>
      <c r="BX14" s="1">
        <f t="shared" si="1"/>
        <v>44406</v>
      </c>
      <c r="BY14" s="1">
        <f t="shared" si="1"/>
        <v>44407</v>
      </c>
      <c r="BZ14" s="1">
        <f t="shared" si="1"/>
        <v>44408</v>
      </c>
    </row>
    <row r="15" spans="1:78" x14ac:dyDescent="0.25">
      <c r="A15">
        <v>5</v>
      </c>
      <c r="B15" t="s">
        <v>19</v>
      </c>
      <c r="C15">
        <v>0.05</v>
      </c>
      <c r="D15">
        <v>0.05</v>
      </c>
      <c r="E15">
        <v>0.05</v>
      </c>
      <c r="F15">
        <v>0.06</v>
      </c>
      <c r="G15">
        <v>0.06</v>
      </c>
      <c r="H15">
        <v>0.06</v>
      </c>
      <c r="I15">
        <v>0.05</v>
      </c>
      <c r="J15">
        <v>0.06</v>
      </c>
      <c r="K15">
        <v>0.06</v>
      </c>
      <c r="L15">
        <v>0.06</v>
      </c>
      <c r="M15">
        <v>0.06</v>
      </c>
      <c r="N15">
        <v>0.06</v>
      </c>
      <c r="O15">
        <v>0.06</v>
      </c>
      <c r="P15">
        <v>0.05</v>
      </c>
      <c r="Q15">
        <v>0.06</v>
      </c>
      <c r="R15">
        <v>0.06</v>
      </c>
      <c r="S15">
        <v>0.06</v>
      </c>
      <c r="T15">
        <v>0.06</v>
      </c>
      <c r="U15">
        <v>7.0000000000000007E-2</v>
      </c>
      <c r="V15">
        <v>0.08</v>
      </c>
      <c r="W15">
        <v>7.0000000000000007E-2</v>
      </c>
      <c r="X15">
        <v>0.08</v>
      </c>
      <c r="Y15">
        <v>0.08</v>
      </c>
      <c r="Z15">
        <v>0.08</v>
      </c>
      <c r="AA15">
        <v>0.08</v>
      </c>
      <c r="AB15">
        <v>0.08</v>
      </c>
    </row>
    <row r="16" spans="1:78" x14ac:dyDescent="0.25">
      <c r="A16">
        <v>16</v>
      </c>
      <c r="B16" t="s">
        <v>20</v>
      </c>
      <c r="C16">
        <v>7.0000000000000007E-2</v>
      </c>
      <c r="D16">
        <v>7.0000000000000007E-2</v>
      </c>
      <c r="E16">
        <v>7.0000000000000007E-2</v>
      </c>
      <c r="F16">
        <v>7.0000000000000007E-2</v>
      </c>
      <c r="G16">
        <v>7.0000000000000007E-2</v>
      </c>
      <c r="H16">
        <v>7.0000000000000007E-2</v>
      </c>
      <c r="I16">
        <v>7.0000000000000007E-2</v>
      </c>
      <c r="J16">
        <v>7.0000000000000007E-2</v>
      </c>
      <c r="K16">
        <v>7.0000000000000007E-2</v>
      </c>
      <c r="L16">
        <v>7.0000000000000007E-2</v>
      </c>
      <c r="M16">
        <v>7.0000000000000007E-2</v>
      </c>
      <c r="N16">
        <v>7.0000000000000007E-2</v>
      </c>
      <c r="O16">
        <v>7.0000000000000007E-2</v>
      </c>
      <c r="P16">
        <v>7.0000000000000007E-2</v>
      </c>
      <c r="Q16">
        <v>7.0000000000000007E-2</v>
      </c>
      <c r="R16">
        <v>0.08</v>
      </c>
      <c r="S16">
        <v>0.08</v>
      </c>
      <c r="T16">
        <v>0.08</v>
      </c>
      <c r="U16">
        <v>0.09</v>
      </c>
      <c r="V16">
        <v>0.12</v>
      </c>
      <c r="W16">
        <v>0.1</v>
      </c>
      <c r="X16">
        <v>0.1</v>
      </c>
      <c r="Y16">
        <v>0.09</v>
      </c>
      <c r="Z16">
        <v>0.1</v>
      </c>
      <c r="AA16">
        <v>0.09</v>
      </c>
      <c r="AB16">
        <v>0.09</v>
      </c>
    </row>
    <row r="17" spans="1:78" x14ac:dyDescent="0.25">
      <c r="A17">
        <v>4</v>
      </c>
      <c r="B17" t="s">
        <v>21</v>
      </c>
      <c r="C17">
        <v>0.35</v>
      </c>
      <c r="D17">
        <v>0.35</v>
      </c>
      <c r="E17">
        <v>0.35</v>
      </c>
      <c r="F17">
        <v>0.31</v>
      </c>
      <c r="G17">
        <v>0.3</v>
      </c>
      <c r="H17">
        <v>0.34</v>
      </c>
      <c r="I17">
        <v>0.3</v>
      </c>
      <c r="J17">
        <v>0.3</v>
      </c>
      <c r="K17">
        <v>0.31</v>
      </c>
      <c r="L17">
        <v>0.3</v>
      </c>
      <c r="M17">
        <v>0.31</v>
      </c>
      <c r="N17">
        <v>0.3</v>
      </c>
      <c r="O17">
        <v>0.32</v>
      </c>
      <c r="P17">
        <v>0.32</v>
      </c>
      <c r="Q17">
        <v>0.34</v>
      </c>
      <c r="R17">
        <v>0.3</v>
      </c>
      <c r="S17">
        <v>0.32</v>
      </c>
      <c r="T17">
        <v>0.3</v>
      </c>
      <c r="U17">
        <v>0.35</v>
      </c>
      <c r="V17">
        <v>0.35</v>
      </c>
      <c r="W17">
        <v>0.32</v>
      </c>
      <c r="X17">
        <v>0.32</v>
      </c>
      <c r="Y17">
        <v>0.3</v>
      </c>
      <c r="Z17">
        <v>0.31</v>
      </c>
      <c r="AA17">
        <v>0.3</v>
      </c>
      <c r="AB17">
        <v>0.3</v>
      </c>
    </row>
    <row r="18" spans="1:78" x14ac:dyDescent="0.25">
      <c r="A18">
        <v>16</v>
      </c>
      <c r="B18" t="s">
        <v>22</v>
      </c>
      <c r="C18">
        <v>7.0000000000000007E-2</v>
      </c>
      <c r="D18">
        <v>7.0000000000000007E-2</v>
      </c>
      <c r="E18">
        <v>7.0000000000000007E-2</v>
      </c>
      <c r="F18">
        <v>7.0000000000000007E-2</v>
      </c>
      <c r="G18">
        <v>7.0000000000000007E-2</v>
      </c>
      <c r="H18">
        <v>7.0000000000000007E-2</v>
      </c>
      <c r="I18">
        <v>7.0000000000000007E-2</v>
      </c>
      <c r="J18">
        <v>7.0000000000000007E-2</v>
      </c>
      <c r="K18">
        <v>7.0000000000000007E-2</v>
      </c>
      <c r="L18">
        <v>7.0000000000000007E-2</v>
      </c>
      <c r="M18">
        <v>7.0000000000000007E-2</v>
      </c>
      <c r="N18">
        <v>0.06</v>
      </c>
      <c r="O18">
        <v>0.06</v>
      </c>
      <c r="P18">
        <v>7.0000000000000007E-2</v>
      </c>
      <c r="Q18">
        <v>7.0000000000000007E-2</v>
      </c>
      <c r="R18">
        <v>7.0000000000000007E-2</v>
      </c>
      <c r="S18">
        <v>7.0000000000000007E-2</v>
      </c>
      <c r="T18">
        <v>7.0000000000000007E-2</v>
      </c>
      <c r="U18">
        <v>0.08</v>
      </c>
      <c r="V18">
        <v>0.09</v>
      </c>
      <c r="W18">
        <v>0.08</v>
      </c>
      <c r="X18">
        <v>0.09</v>
      </c>
      <c r="Y18">
        <v>0.09</v>
      </c>
      <c r="Z18">
        <v>0.08</v>
      </c>
      <c r="AA18">
        <v>0.09</v>
      </c>
      <c r="AB18">
        <v>0.09</v>
      </c>
    </row>
    <row r="19" spans="1:78" x14ac:dyDescent="0.25">
      <c r="A19">
        <v>19</v>
      </c>
      <c r="B19" t="s">
        <v>23</v>
      </c>
      <c r="C19">
        <v>0.21</v>
      </c>
      <c r="D19">
        <v>0.21</v>
      </c>
      <c r="E19">
        <v>0.21</v>
      </c>
      <c r="F19">
        <v>0.21</v>
      </c>
      <c r="G19">
        <v>0.21</v>
      </c>
      <c r="H19">
        <v>0.21</v>
      </c>
      <c r="I19">
        <v>0.21</v>
      </c>
      <c r="J19">
        <v>0.21</v>
      </c>
      <c r="K19">
        <v>0.21</v>
      </c>
      <c r="L19">
        <v>0.2</v>
      </c>
      <c r="M19">
        <v>0.2</v>
      </c>
      <c r="N19">
        <v>0.21</v>
      </c>
      <c r="O19">
        <v>0.21</v>
      </c>
      <c r="P19">
        <v>0.24</v>
      </c>
      <c r="Q19">
        <v>0.24</v>
      </c>
      <c r="R19">
        <v>0.24</v>
      </c>
      <c r="S19">
        <v>0.26</v>
      </c>
      <c r="T19">
        <v>0.27</v>
      </c>
      <c r="U19">
        <v>0.34</v>
      </c>
      <c r="V19">
        <v>0.43</v>
      </c>
      <c r="W19">
        <v>0.3</v>
      </c>
      <c r="X19">
        <v>0.31</v>
      </c>
      <c r="Y19">
        <v>0.34</v>
      </c>
      <c r="Z19">
        <v>0.31</v>
      </c>
      <c r="AA19">
        <v>0.36</v>
      </c>
      <c r="AB19">
        <v>0.38</v>
      </c>
    </row>
    <row r="20" spans="1:78" x14ac:dyDescent="0.25">
      <c r="A20">
        <v>6</v>
      </c>
      <c r="B20" t="s">
        <v>24</v>
      </c>
      <c r="C20">
        <v>0.08</v>
      </c>
      <c r="D20">
        <v>0.08</v>
      </c>
      <c r="E20">
        <v>0.08</v>
      </c>
      <c r="F20">
        <v>0.08</v>
      </c>
      <c r="G20">
        <v>0.08</v>
      </c>
      <c r="H20">
        <v>0.08</v>
      </c>
      <c r="I20">
        <v>0.08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0.16</v>
      </c>
      <c r="V20">
        <v>0.21</v>
      </c>
      <c r="W20">
        <v>0.17</v>
      </c>
      <c r="X20">
        <v>0.18</v>
      </c>
      <c r="Y20">
        <v>0.18</v>
      </c>
      <c r="Z20">
        <v>0.2</v>
      </c>
      <c r="AA20">
        <v>0.23</v>
      </c>
      <c r="AB20">
        <v>0.24</v>
      </c>
    </row>
    <row r="21" spans="1:78" x14ac:dyDescent="0.25">
      <c r="A21">
        <v>7</v>
      </c>
      <c r="B21" t="s">
        <v>25</v>
      </c>
      <c r="C21">
        <v>1.1200000000000001</v>
      </c>
      <c r="D21">
        <v>1.1200000000000001</v>
      </c>
      <c r="E21">
        <v>1.2</v>
      </c>
      <c r="F21">
        <v>1.24</v>
      </c>
      <c r="G21">
        <v>1.21</v>
      </c>
      <c r="H21">
        <v>1.26</v>
      </c>
      <c r="I21">
        <v>1.27</v>
      </c>
      <c r="J21">
        <v>1.31</v>
      </c>
      <c r="K21">
        <v>1.53</v>
      </c>
      <c r="L21">
        <v>1.45</v>
      </c>
      <c r="M21">
        <v>1.51</v>
      </c>
      <c r="N21">
        <v>1.49</v>
      </c>
      <c r="O21">
        <v>1.41</v>
      </c>
      <c r="P21">
        <v>1.39</v>
      </c>
      <c r="Q21">
        <v>1.31</v>
      </c>
      <c r="R21">
        <v>1.34</v>
      </c>
      <c r="S21">
        <v>1.31</v>
      </c>
      <c r="T21">
        <v>1.35</v>
      </c>
      <c r="U21">
        <v>1.35</v>
      </c>
      <c r="V21">
        <v>1.35</v>
      </c>
      <c r="W21">
        <v>1.46</v>
      </c>
      <c r="X21">
        <v>1.46</v>
      </c>
      <c r="Y21">
        <v>1.42</v>
      </c>
      <c r="Z21">
        <v>1.49</v>
      </c>
      <c r="AA21">
        <v>1.33</v>
      </c>
      <c r="AB21">
        <v>1.41</v>
      </c>
    </row>
    <row r="22" spans="1:78" x14ac:dyDescent="0.25">
      <c r="A22">
        <v>4</v>
      </c>
      <c r="B22" t="s">
        <v>26</v>
      </c>
      <c r="C22">
        <v>0.17</v>
      </c>
      <c r="D22">
        <v>0.17</v>
      </c>
      <c r="E22">
        <v>0.19</v>
      </c>
      <c r="F22">
        <v>0.19</v>
      </c>
      <c r="G22">
        <v>0.17</v>
      </c>
      <c r="H22">
        <v>0.18</v>
      </c>
      <c r="I22">
        <v>0.18</v>
      </c>
      <c r="J22">
        <v>0.17</v>
      </c>
      <c r="K22">
        <v>0.17</v>
      </c>
      <c r="L22">
        <v>0.18</v>
      </c>
      <c r="M22">
        <v>0.18</v>
      </c>
      <c r="N22">
        <v>0.19</v>
      </c>
      <c r="O22">
        <v>0.2</v>
      </c>
      <c r="P22">
        <v>0.21</v>
      </c>
      <c r="Q22">
        <v>0.21</v>
      </c>
      <c r="R22">
        <v>0.24</v>
      </c>
      <c r="S22">
        <v>0.24</v>
      </c>
      <c r="T22">
        <v>0.23</v>
      </c>
      <c r="U22">
        <v>0.34</v>
      </c>
      <c r="V22">
        <v>0.39</v>
      </c>
      <c r="W22">
        <v>0.34</v>
      </c>
      <c r="X22">
        <v>0.36</v>
      </c>
      <c r="Y22">
        <v>0.36</v>
      </c>
      <c r="Z22">
        <v>0.37</v>
      </c>
      <c r="AA22">
        <v>0.36</v>
      </c>
      <c r="AB22">
        <v>0.38</v>
      </c>
    </row>
    <row r="23" spans="1:78" x14ac:dyDescent="0.25">
      <c r="A23">
        <v>4</v>
      </c>
      <c r="B23" t="s">
        <v>27</v>
      </c>
      <c r="C23">
        <v>7.0000000000000007E-2</v>
      </c>
      <c r="D23">
        <v>7.0000000000000007E-2</v>
      </c>
      <c r="E23">
        <v>7.0000000000000007E-2</v>
      </c>
      <c r="F23">
        <v>7.0000000000000007E-2</v>
      </c>
      <c r="G23">
        <v>7.0000000000000007E-2</v>
      </c>
      <c r="H23">
        <v>7.0000000000000007E-2</v>
      </c>
      <c r="I23">
        <v>7.0000000000000007E-2</v>
      </c>
      <c r="J23">
        <v>7.0000000000000007E-2</v>
      </c>
      <c r="K23">
        <v>7.0000000000000007E-2</v>
      </c>
      <c r="L23">
        <v>7.0000000000000007E-2</v>
      </c>
      <c r="M23">
        <v>7.0000000000000007E-2</v>
      </c>
      <c r="N23">
        <v>7.0000000000000007E-2</v>
      </c>
      <c r="O23">
        <v>7.0000000000000007E-2</v>
      </c>
      <c r="P23">
        <v>7.0000000000000007E-2</v>
      </c>
      <c r="Q23">
        <v>7.0000000000000007E-2</v>
      </c>
      <c r="R23">
        <v>7.0000000000000007E-2</v>
      </c>
      <c r="S23">
        <v>7.0000000000000007E-2</v>
      </c>
      <c r="T23">
        <v>7.0000000000000007E-2</v>
      </c>
      <c r="U23">
        <v>0.12</v>
      </c>
      <c r="V23">
        <v>0.14000000000000001</v>
      </c>
      <c r="W23">
        <v>0.11</v>
      </c>
      <c r="X23">
        <v>0.12</v>
      </c>
      <c r="Y23">
        <v>0.12</v>
      </c>
      <c r="Z23">
        <v>0.12</v>
      </c>
      <c r="AA23">
        <v>0.12</v>
      </c>
      <c r="AB23">
        <v>0.13</v>
      </c>
    </row>
    <row r="24" spans="1:78" x14ac:dyDescent="0.25">
      <c r="A24">
        <v>1</v>
      </c>
      <c r="B24" t="s">
        <v>28</v>
      </c>
      <c r="C24">
        <v>0.59</v>
      </c>
      <c r="D24">
        <v>0.57999999999999996</v>
      </c>
      <c r="E24">
        <v>0.55000000000000004</v>
      </c>
      <c r="F24">
        <v>0.53</v>
      </c>
      <c r="G24">
        <v>0.6</v>
      </c>
      <c r="H24">
        <v>0.6</v>
      </c>
      <c r="I24">
        <v>0.6</v>
      </c>
      <c r="J24">
        <v>0.61</v>
      </c>
      <c r="K24">
        <v>0.57999999999999996</v>
      </c>
      <c r="L24">
        <v>0.61</v>
      </c>
      <c r="M24">
        <v>0.57999999999999996</v>
      </c>
      <c r="N24">
        <v>0.62</v>
      </c>
      <c r="O24">
        <v>0.65</v>
      </c>
      <c r="P24">
        <v>0.66</v>
      </c>
      <c r="Q24">
        <v>0.65</v>
      </c>
      <c r="R24">
        <v>0.66</v>
      </c>
      <c r="S24">
        <v>0.64</v>
      </c>
      <c r="T24">
        <v>0.64</v>
      </c>
      <c r="U24">
        <v>0.72</v>
      </c>
      <c r="V24">
        <v>0.86</v>
      </c>
      <c r="W24">
        <v>0.73</v>
      </c>
      <c r="X24">
        <v>0.64</v>
      </c>
      <c r="Y24">
        <v>0.65</v>
      </c>
      <c r="Z24">
        <v>0.74</v>
      </c>
      <c r="AA24">
        <v>0.71</v>
      </c>
      <c r="AB24">
        <v>0.72</v>
      </c>
    </row>
    <row r="28" spans="1:78" ht="23.25" x14ac:dyDescent="0.35">
      <c r="A28" s="3" t="s">
        <v>29</v>
      </c>
    </row>
    <row r="29" spans="1:78" x14ac:dyDescent="0.25">
      <c r="A29" s="2" t="s">
        <v>11</v>
      </c>
      <c r="B29" s="2" t="s">
        <v>12</v>
      </c>
    </row>
    <row r="30" spans="1:78" x14ac:dyDescent="0.25">
      <c r="C30" s="1">
        <f>C14</f>
        <v>44331</v>
      </c>
      <c r="D30" s="1">
        <f t="shared" ref="D30:BO30" si="2">D14</f>
        <v>44332</v>
      </c>
      <c r="E30" s="1">
        <f t="shared" si="2"/>
        <v>44334</v>
      </c>
      <c r="F30" s="1">
        <f t="shared" si="2"/>
        <v>44336</v>
      </c>
      <c r="G30" s="1">
        <f t="shared" si="2"/>
        <v>44337</v>
      </c>
      <c r="H30" s="1">
        <f t="shared" si="2"/>
        <v>44338</v>
      </c>
      <c r="I30" s="1">
        <f t="shared" si="2"/>
        <v>44339</v>
      </c>
      <c r="J30" s="1">
        <f t="shared" si="2"/>
        <v>44340</v>
      </c>
      <c r="K30" s="1">
        <f t="shared" si="2"/>
        <v>44341</v>
      </c>
      <c r="L30" s="1">
        <f t="shared" si="2"/>
        <v>44342</v>
      </c>
      <c r="M30" s="1">
        <f t="shared" si="2"/>
        <v>44343</v>
      </c>
      <c r="N30" s="1">
        <f t="shared" si="2"/>
        <v>44344</v>
      </c>
      <c r="O30" s="1">
        <f t="shared" si="2"/>
        <v>44345</v>
      </c>
      <c r="P30" s="1">
        <f t="shared" si="2"/>
        <v>44346</v>
      </c>
      <c r="Q30" s="1">
        <f t="shared" si="2"/>
        <v>44347</v>
      </c>
      <c r="R30" s="1">
        <f t="shared" si="2"/>
        <v>44348</v>
      </c>
      <c r="S30" s="1">
        <f t="shared" si="2"/>
        <v>44349</v>
      </c>
      <c r="T30" s="1">
        <f t="shared" si="2"/>
        <v>44350</v>
      </c>
      <c r="U30" s="1">
        <f t="shared" si="2"/>
        <v>44351</v>
      </c>
      <c r="V30" s="1">
        <f t="shared" si="2"/>
        <v>44352</v>
      </c>
      <c r="W30" s="1">
        <f t="shared" si="2"/>
        <v>44353</v>
      </c>
      <c r="X30" s="1">
        <f t="shared" si="2"/>
        <v>44354</v>
      </c>
      <c r="Y30" s="1">
        <f t="shared" si="2"/>
        <v>44355</v>
      </c>
      <c r="Z30" s="1">
        <f t="shared" si="2"/>
        <v>44356</v>
      </c>
      <c r="AA30" s="1">
        <f t="shared" si="2"/>
        <v>44357</v>
      </c>
      <c r="AB30" s="1">
        <f t="shared" si="2"/>
        <v>44358</v>
      </c>
      <c r="AC30" s="1">
        <f t="shared" si="2"/>
        <v>44359</v>
      </c>
      <c r="AD30" s="1">
        <f t="shared" si="2"/>
        <v>44360</v>
      </c>
      <c r="AE30" s="1">
        <f t="shared" si="2"/>
        <v>44361</v>
      </c>
      <c r="AF30" s="1">
        <f t="shared" si="2"/>
        <v>44362</v>
      </c>
      <c r="AG30" s="1">
        <f t="shared" si="2"/>
        <v>44363</v>
      </c>
      <c r="AH30" s="1">
        <f t="shared" si="2"/>
        <v>44364</v>
      </c>
      <c r="AI30" s="1">
        <f t="shared" si="2"/>
        <v>44365</v>
      </c>
      <c r="AJ30" s="1">
        <f t="shared" si="2"/>
        <v>44366</v>
      </c>
      <c r="AK30" s="1">
        <f t="shared" si="2"/>
        <v>44367</v>
      </c>
      <c r="AL30" s="1">
        <f t="shared" si="2"/>
        <v>44368</v>
      </c>
      <c r="AM30" s="1">
        <f t="shared" si="2"/>
        <v>44369</v>
      </c>
      <c r="AN30" s="1">
        <f t="shared" si="2"/>
        <v>44370</v>
      </c>
      <c r="AO30" s="1">
        <f t="shared" si="2"/>
        <v>44371</v>
      </c>
      <c r="AP30" s="1">
        <f t="shared" si="2"/>
        <v>44372</v>
      </c>
      <c r="AQ30" s="1">
        <f t="shared" si="2"/>
        <v>44373</v>
      </c>
      <c r="AR30" s="1">
        <f t="shared" si="2"/>
        <v>44374</v>
      </c>
      <c r="AS30" s="1">
        <f t="shared" si="2"/>
        <v>44375</v>
      </c>
      <c r="AT30" s="1">
        <f t="shared" si="2"/>
        <v>44376</v>
      </c>
      <c r="AU30" s="1">
        <f t="shared" si="2"/>
        <v>44377</v>
      </c>
      <c r="AV30" s="1">
        <f t="shared" si="2"/>
        <v>44378</v>
      </c>
      <c r="AW30" s="1">
        <f t="shared" si="2"/>
        <v>44379</v>
      </c>
      <c r="AX30" s="1">
        <f t="shared" si="2"/>
        <v>44380</v>
      </c>
      <c r="AY30" s="1">
        <f t="shared" si="2"/>
        <v>44381</v>
      </c>
      <c r="AZ30" s="1">
        <f t="shared" si="2"/>
        <v>44382</v>
      </c>
      <c r="BA30" s="1">
        <f t="shared" si="2"/>
        <v>44383</v>
      </c>
      <c r="BB30" s="1">
        <f t="shared" si="2"/>
        <v>44384</v>
      </c>
      <c r="BC30" s="1">
        <f t="shared" si="2"/>
        <v>44385</v>
      </c>
      <c r="BD30" s="1">
        <f t="shared" si="2"/>
        <v>44386</v>
      </c>
      <c r="BE30" s="1">
        <f t="shared" si="2"/>
        <v>44387</v>
      </c>
      <c r="BF30" s="1">
        <f t="shared" si="2"/>
        <v>44388</v>
      </c>
      <c r="BG30" s="1">
        <f t="shared" si="2"/>
        <v>44389</v>
      </c>
      <c r="BH30" s="1">
        <f t="shared" si="2"/>
        <v>44390</v>
      </c>
      <c r="BI30" s="1">
        <f t="shared" si="2"/>
        <v>44391</v>
      </c>
      <c r="BJ30" s="1">
        <f t="shared" si="2"/>
        <v>44392</v>
      </c>
      <c r="BK30" s="1">
        <f t="shared" si="2"/>
        <v>44393</v>
      </c>
      <c r="BL30" s="1">
        <f t="shared" si="2"/>
        <v>44394</v>
      </c>
      <c r="BM30" s="1">
        <f t="shared" si="2"/>
        <v>44395</v>
      </c>
      <c r="BN30" s="1">
        <f t="shared" si="2"/>
        <v>44396</v>
      </c>
      <c r="BO30" s="1">
        <f t="shared" si="2"/>
        <v>44397</v>
      </c>
      <c r="BP30" s="1">
        <f t="shared" ref="BP30:BZ30" si="3">BP14</f>
        <v>44398</v>
      </c>
      <c r="BQ30" s="1">
        <f t="shared" si="3"/>
        <v>44399</v>
      </c>
      <c r="BR30" s="1">
        <f t="shared" si="3"/>
        <v>44400</v>
      </c>
      <c r="BS30" s="1">
        <f t="shared" si="3"/>
        <v>44401</v>
      </c>
      <c r="BT30" s="1">
        <f t="shared" si="3"/>
        <v>44402</v>
      </c>
      <c r="BU30" s="1">
        <f t="shared" si="3"/>
        <v>44403</v>
      </c>
      <c r="BV30" s="1">
        <f t="shared" si="3"/>
        <v>44404</v>
      </c>
      <c r="BW30" s="1">
        <f t="shared" si="3"/>
        <v>44405</v>
      </c>
      <c r="BX30" s="1">
        <f t="shared" si="3"/>
        <v>44406</v>
      </c>
      <c r="BY30" s="1">
        <f t="shared" si="3"/>
        <v>44407</v>
      </c>
      <c r="BZ30" s="1">
        <f t="shared" si="3"/>
        <v>44408</v>
      </c>
    </row>
    <row r="31" spans="1:78" x14ac:dyDescent="0.25">
      <c r="A31">
        <v>48</v>
      </c>
      <c r="B31" t="s">
        <v>30</v>
      </c>
      <c r="C31">
        <v>3.88</v>
      </c>
      <c r="D31">
        <v>3.68</v>
      </c>
      <c r="E31">
        <v>3.95</v>
      </c>
      <c r="F31">
        <v>4.45</v>
      </c>
      <c r="G31">
        <v>4.41</v>
      </c>
      <c r="H31">
        <v>5.99</v>
      </c>
      <c r="I31">
        <v>5.89</v>
      </c>
      <c r="J31">
        <v>6.51</v>
      </c>
      <c r="K31">
        <v>6.53</v>
      </c>
      <c r="L31">
        <v>7.68</v>
      </c>
      <c r="M31">
        <v>8.69</v>
      </c>
      <c r="N31">
        <v>8.59</v>
      </c>
      <c r="O31">
        <v>7.72</v>
      </c>
      <c r="P31">
        <v>7.24</v>
      </c>
      <c r="Q31">
        <v>6.86</v>
      </c>
      <c r="R31">
        <v>7.73</v>
      </c>
      <c r="S31">
        <v>8.58</v>
      </c>
      <c r="T31">
        <v>9.0500000000000007</v>
      </c>
      <c r="U31">
        <v>9.33</v>
      </c>
      <c r="V31">
        <v>10.95</v>
      </c>
      <c r="W31">
        <v>9.56</v>
      </c>
      <c r="X31">
        <v>9.48</v>
      </c>
      <c r="Y31">
        <v>9.57</v>
      </c>
      <c r="Z31">
        <v>9.52</v>
      </c>
      <c r="AA31">
        <v>9.51</v>
      </c>
      <c r="AB31">
        <v>9.25</v>
      </c>
    </row>
    <row r="32" spans="1:78" x14ac:dyDescent="0.25">
      <c r="A32">
        <v>10</v>
      </c>
      <c r="B32" t="s">
        <v>123</v>
      </c>
      <c r="C32">
        <v>3.48</v>
      </c>
      <c r="D32">
        <v>3.52</v>
      </c>
      <c r="E32">
        <v>3.93</v>
      </c>
      <c r="F32">
        <v>4.28</v>
      </c>
      <c r="G32">
        <v>4.5</v>
      </c>
      <c r="H32">
        <v>5.8</v>
      </c>
      <c r="I32">
        <v>5.7</v>
      </c>
      <c r="J32">
        <v>6.3</v>
      </c>
      <c r="K32">
        <v>6.26</v>
      </c>
      <c r="L32">
        <v>7.32</v>
      </c>
      <c r="M32">
        <v>7.99</v>
      </c>
      <c r="N32">
        <v>8.44</v>
      </c>
      <c r="O32">
        <v>8.14</v>
      </c>
      <c r="P32">
        <v>7.19</v>
      </c>
      <c r="Q32">
        <v>6.37</v>
      </c>
      <c r="R32">
        <v>6.86</v>
      </c>
      <c r="S32">
        <v>8.0500000000000007</v>
      </c>
      <c r="T32">
        <v>8.85</v>
      </c>
      <c r="U32">
        <v>9.02</v>
      </c>
      <c r="V32">
        <v>9.75</v>
      </c>
      <c r="W32">
        <v>9.83</v>
      </c>
      <c r="X32">
        <v>8.81</v>
      </c>
      <c r="Y32">
        <v>9.0299999999999994</v>
      </c>
      <c r="Z32">
        <v>9.2799999999999994</v>
      </c>
      <c r="AA32">
        <v>9.1300000000000008</v>
      </c>
      <c r="AB32">
        <v>9.23</v>
      </c>
    </row>
    <row r="33" spans="1:28" x14ac:dyDescent="0.25">
      <c r="A33">
        <v>6</v>
      </c>
      <c r="B33" t="s">
        <v>124</v>
      </c>
      <c r="C33">
        <v>3.55</v>
      </c>
      <c r="D33">
        <v>3.44</v>
      </c>
      <c r="E33">
        <v>3.96</v>
      </c>
      <c r="F33">
        <v>4.43</v>
      </c>
      <c r="G33">
        <v>4.51</v>
      </c>
      <c r="H33">
        <v>6.71</v>
      </c>
      <c r="I33">
        <v>7.22</v>
      </c>
      <c r="J33">
        <v>6.07</v>
      </c>
      <c r="K33">
        <v>6.58</v>
      </c>
      <c r="L33">
        <v>7.49</v>
      </c>
      <c r="M33">
        <v>8.1300000000000008</v>
      </c>
      <c r="N33">
        <v>8.51</v>
      </c>
      <c r="O33">
        <v>7.87</v>
      </c>
      <c r="P33">
        <v>7.56</v>
      </c>
      <c r="Q33">
        <v>6.94</v>
      </c>
      <c r="R33">
        <v>7.04</v>
      </c>
      <c r="S33">
        <v>7.9</v>
      </c>
      <c r="T33">
        <v>9.69</v>
      </c>
      <c r="U33">
        <v>9.7200000000000006</v>
      </c>
      <c r="V33">
        <v>11.1</v>
      </c>
      <c r="W33">
        <v>9.5399999999999991</v>
      </c>
      <c r="X33">
        <v>9.2799999999999994</v>
      </c>
      <c r="Y33">
        <v>9.11</v>
      </c>
      <c r="Z33">
        <v>9.44</v>
      </c>
      <c r="AA33">
        <v>9.5500000000000007</v>
      </c>
      <c r="AB33">
        <v>9.57</v>
      </c>
    </row>
    <row r="34" spans="1:28" x14ac:dyDescent="0.25">
      <c r="A34">
        <v>10</v>
      </c>
      <c r="B34" t="s">
        <v>125</v>
      </c>
      <c r="C34">
        <v>4.1399999999999997</v>
      </c>
      <c r="D34">
        <v>3.9</v>
      </c>
      <c r="E34">
        <v>3.9</v>
      </c>
      <c r="F34">
        <v>4.72</v>
      </c>
      <c r="G34">
        <v>5.0999999999999996</v>
      </c>
      <c r="H34">
        <v>5.9</v>
      </c>
      <c r="I34">
        <v>6.56</v>
      </c>
      <c r="J34">
        <v>7.13</v>
      </c>
      <c r="K34">
        <v>7.19</v>
      </c>
      <c r="L34">
        <v>7.96</v>
      </c>
      <c r="M34">
        <v>8.5399999999999991</v>
      </c>
      <c r="N34">
        <v>8.32</v>
      </c>
      <c r="O34">
        <v>8.1999999999999993</v>
      </c>
      <c r="P34">
        <v>7.6</v>
      </c>
      <c r="Q34">
        <v>7.55</v>
      </c>
      <c r="R34">
        <v>7.85</v>
      </c>
      <c r="S34">
        <v>8.7799999999999994</v>
      </c>
      <c r="T34">
        <v>9.06</v>
      </c>
      <c r="U34">
        <v>10.08</v>
      </c>
      <c r="V34">
        <v>10.84</v>
      </c>
      <c r="W34">
        <v>10.4</v>
      </c>
      <c r="X34">
        <v>9.6199999999999992</v>
      </c>
      <c r="Y34">
        <v>10.18</v>
      </c>
      <c r="Z34">
        <v>10.039999999999999</v>
      </c>
      <c r="AA34">
        <v>10.039999999999999</v>
      </c>
      <c r="AB34">
        <v>9.82</v>
      </c>
    </row>
    <row r="35" spans="1:28" x14ac:dyDescent="0.25">
      <c r="A35">
        <v>10</v>
      </c>
      <c r="B35" t="s">
        <v>126</v>
      </c>
      <c r="C35">
        <v>3.57</v>
      </c>
      <c r="D35">
        <v>3.56</v>
      </c>
      <c r="E35">
        <v>3.84</v>
      </c>
      <c r="F35">
        <v>4.29</v>
      </c>
      <c r="G35">
        <v>4.4000000000000004</v>
      </c>
      <c r="H35">
        <v>5.67</v>
      </c>
      <c r="I35">
        <v>5.87</v>
      </c>
      <c r="J35">
        <v>6.3</v>
      </c>
      <c r="K35">
        <v>6.23</v>
      </c>
      <c r="L35">
        <v>7.42</v>
      </c>
      <c r="M35">
        <v>7.86</v>
      </c>
      <c r="N35">
        <v>8.2100000000000009</v>
      </c>
      <c r="O35">
        <v>8.0500000000000007</v>
      </c>
      <c r="P35">
        <v>7.96</v>
      </c>
      <c r="Q35">
        <v>7.24</v>
      </c>
      <c r="R35">
        <v>6.93</v>
      </c>
      <c r="S35">
        <v>7.97</v>
      </c>
      <c r="T35">
        <v>8.89</v>
      </c>
      <c r="U35">
        <v>9.69</v>
      </c>
      <c r="V35">
        <v>11.46</v>
      </c>
      <c r="W35">
        <v>9.69</v>
      </c>
      <c r="X35">
        <v>9.33</v>
      </c>
      <c r="Y35">
        <v>9.2799999999999994</v>
      </c>
      <c r="Z35">
        <v>9.34</v>
      </c>
      <c r="AA35">
        <v>9.26</v>
      </c>
      <c r="AB35">
        <v>9.15</v>
      </c>
    </row>
    <row r="36" spans="1:28" x14ac:dyDescent="0.25">
      <c r="A36">
        <v>7</v>
      </c>
      <c r="B36" t="s">
        <v>127</v>
      </c>
      <c r="C36">
        <v>3.49</v>
      </c>
      <c r="D36">
        <v>3.76</v>
      </c>
      <c r="E36">
        <v>4.03</v>
      </c>
      <c r="F36">
        <v>4.41</v>
      </c>
      <c r="G36">
        <v>4.76</v>
      </c>
      <c r="H36">
        <v>6.12</v>
      </c>
      <c r="I36">
        <v>6.58</v>
      </c>
      <c r="J36">
        <v>6.58</v>
      </c>
      <c r="K36">
        <v>6.57</v>
      </c>
      <c r="L36">
        <v>7.69</v>
      </c>
      <c r="M36">
        <v>8.5299999999999994</v>
      </c>
      <c r="N36">
        <v>8.4600000000000009</v>
      </c>
      <c r="O36">
        <v>8.48</v>
      </c>
      <c r="P36">
        <v>7.97</v>
      </c>
      <c r="Q36">
        <v>7.9</v>
      </c>
      <c r="R36">
        <v>7.89</v>
      </c>
      <c r="S36">
        <v>8.59</v>
      </c>
      <c r="T36">
        <v>9.3699999999999992</v>
      </c>
      <c r="U36">
        <v>11.08</v>
      </c>
      <c r="V36">
        <v>10.94</v>
      </c>
      <c r="W36">
        <v>9.91</v>
      </c>
      <c r="X36">
        <v>9.39</v>
      </c>
      <c r="Y36">
        <v>9.7100000000000009</v>
      </c>
      <c r="Z36">
        <v>9.3800000000000008</v>
      </c>
      <c r="AA36">
        <v>9.84</v>
      </c>
      <c r="AB36">
        <v>9.82</v>
      </c>
    </row>
    <row r="37" spans="1:28" x14ac:dyDescent="0.25">
      <c r="A37">
        <v>5</v>
      </c>
      <c r="B37" t="s">
        <v>128</v>
      </c>
      <c r="C37">
        <v>3.5</v>
      </c>
      <c r="D37">
        <v>3.7</v>
      </c>
      <c r="E37">
        <v>3.9</v>
      </c>
      <c r="F37">
        <v>4.2</v>
      </c>
      <c r="G37">
        <v>4.5</v>
      </c>
      <c r="H37">
        <v>6.6</v>
      </c>
      <c r="I37">
        <v>6.41</v>
      </c>
      <c r="J37">
        <v>6.41</v>
      </c>
      <c r="K37">
        <v>6.56</v>
      </c>
      <c r="L37">
        <v>8.83</v>
      </c>
      <c r="M37">
        <v>9.61</v>
      </c>
      <c r="N37">
        <v>9.02</v>
      </c>
      <c r="O37">
        <v>8.69</v>
      </c>
      <c r="P37">
        <v>8.19</v>
      </c>
      <c r="Q37">
        <v>7.37</v>
      </c>
      <c r="R37">
        <v>7.63</v>
      </c>
      <c r="S37">
        <v>8.23</v>
      </c>
      <c r="T37">
        <v>9.16</v>
      </c>
      <c r="U37">
        <v>9.89</v>
      </c>
      <c r="V37">
        <v>11.16</v>
      </c>
      <c r="W37">
        <v>11.16</v>
      </c>
      <c r="X37">
        <v>10.029999999999999</v>
      </c>
      <c r="Y37">
        <v>9.81</v>
      </c>
      <c r="Z37">
        <v>9.52</v>
      </c>
      <c r="AA37">
        <v>9.67</v>
      </c>
      <c r="AB37">
        <v>9.61</v>
      </c>
    </row>
    <row r="48" spans="1:28" ht="31.5" x14ac:dyDescent="0.5">
      <c r="A48" s="4" t="s">
        <v>33</v>
      </c>
    </row>
    <row r="51" spans="1:78" ht="23.25" x14ac:dyDescent="0.35">
      <c r="A51" s="3" t="s">
        <v>1</v>
      </c>
    </row>
    <row r="52" spans="1:78" x14ac:dyDescent="0.25">
      <c r="A52" s="2" t="s">
        <v>11</v>
      </c>
      <c r="B52" s="2" t="s">
        <v>12</v>
      </c>
    </row>
    <row r="53" spans="1:78" x14ac:dyDescent="0.25">
      <c r="C53" s="1">
        <f t="shared" ref="C53:M53" si="4">C30</f>
        <v>44331</v>
      </c>
      <c r="D53" s="1">
        <f t="shared" si="4"/>
        <v>44332</v>
      </c>
      <c r="E53" s="1">
        <f t="shared" si="4"/>
        <v>44334</v>
      </c>
      <c r="F53" s="1">
        <f t="shared" si="4"/>
        <v>44336</v>
      </c>
      <c r="G53" s="1">
        <f t="shared" si="4"/>
        <v>44337</v>
      </c>
      <c r="H53" s="1">
        <f t="shared" si="4"/>
        <v>44338</v>
      </c>
      <c r="I53" s="1">
        <f t="shared" si="4"/>
        <v>44339</v>
      </c>
      <c r="J53" s="1">
        <f t="shared" si="4"/>
        <v>44340</v>
      </c>
      <c r="K53" s="1">
        <f t="shared" si="4"/>
        <v>44341</v>
      </c>
      <c r="L53" s="1">
        <f t="shared" si="4"/>
        <v>44342</v>
      </c>
      <c r="M53" s="1">
        <f t="shared" si="4"/>
        <v>44343</v>
      </c>
      <c r="N53" s="1">
        <f t="shared" ref="N53" si="5">N30</f>
        <v>44344</v>
      </c>
      <c r="O53" s="1">
        <f t="shared" ref="O53:AA53" si="6">O30</f>
        <v>44345</v>
      </c>
      <c r="P53" s="1">
        <f t="shared" si="6"/>
        <v>44346</v>
      </c>
      <c r="Q53" s="1">
        <f t="shared" si="6"/>
        <v>44347</v>
      </c>
      <c r="R53" s="1">
        <f t="shared" si="6"/>
        <v>44348</v>
      </c>
      <c r="S53" s="1">
        <f t="shared" si="6"/>
        <v>44349</v>
      </c>
      <c r="T53" s="1">
        <f t="shared" si="6"/>
        <v>44350</v>
      </c>
      <c r="U53" s="1">
        <f t="shared" si="6"/>
        <v>44351</v>
      </c>
      <c r="V53" s="1">
        <f t="shared" si="6"/>
        <v>44352</v>
      </c>
      <c r="W53" s="1">
        <f t="shared" si="6"/>
        <v>44353</v>
      </c>
      <c r="X53" s="1">
        <f t="shared" si="6"/>
        <v>44354</v>
      </c>
      <c r="Y53" s="1">
        <f t="shared" si="6"/>
        <v>44355</v>
      </c>
      <c r="Z53" s="1">
        <f t="shared" si="6"/>
        <v>44356</v>
      </c>
      <c r="AA53" s="1">
        <f t="shared" si="6"/>
        <v>44357</v>
      </c>
      <c r="AB53" s="1">
        <f t="shared" ref="AB53:BZ53" si="7">AB30</f>
        <v>44358</v>
      </c>
      <c r="AC53" s="1">
        <f t="shared" si="7"/>
        <v>44359</v>
      </c>
      <c r="AD53" s="1">
        <f t="shared" si="7"/>
        <v>44360</v>
      </c>
      <c r="AE53" s="1">
        <f t="shared" si="7"/>
        <v>44361</v>
      </c>
      <c r="AF53" s="1">
        <f t="shared" si="7"/>
        <v>44362</v>
      </c>
      <c r="AG53" s="1">
        <f t="shared" si="7"/>
        <v>44363</v>
      </c>
      <c r="AH53" s="1">
        <f t="shared" si="7"/>
        <v>44364</v>
      </c>
      <c r="AI53" s="1">
        <f t="shared" si="7"/>
        <v>44365</v>
      </c>
      <c r="AJ53" s="1">
        <f t="shared" si="7"/>
        <v>44366</v>
      </c>
      <c r="AK53" s="1">
        <f t="shared" si="7"/>
        <v>44367</v>
      </c>
      <c r="AL53" s="1">
        <f t="shared" si="7"/>
        <v>44368</v>
      </c>
      <c r="AM53" s="1">
        <f t="shared" si="7"/>
        <v>44369</v>
      </c>
      <c r="AN53" s="1">
        <f t="shared" si="7"/>
        <v>44370</v>
      </c>
      <c r="AO53" s="1">
        <f t="shared" si="7"/>
        <v>44371</v>
      </c>
      <c r="AP53" s="1">
        <f t="shared" si="7"/>
        <v>44372</v>
      </c>
      <c r="AQ53" s="1">
        <f t="shared" si="7"/>
        <v>44373</v>
      </c>
      <c r="AR53" s="1">
        <f t="shared" si="7"/>
        <v>44374</v>
      </c>
      <c r="AS53" s="1">
        <f t="shared" si="7"/>
        <v>44375</v>
      </c>
      <c r="AT53" s="1">
        <f t="shared" si="7"/>
        <v>44376</v>
      </c>
      <c r="AU53" s="1">
        <f t="shared" si="7"/>
        <v>44377</v>
      </c>
      <c r="AV53" s="1">
        <f t="shared" si="7"/>
        <v>44378</v>
      </c>
      <c r="AW53" s="1">
        <f t="shared" si="7"/>
        <v>44379</v>
      </c>
      <c r="AX53" s="1">
        <f t="shared" si="7"/>
        <v>44380</v>
      </c>
      <c r="AY53" s="1">
        <f t="shared" si="7"/>
        <v>44381</v>
      </c>
      <c r="AZ53" s="1">
        <f t="shared" si="7"/>
        <v>44382</v>
      </c>
      <c r="BA53" s="1">
        <f t="shared" si="7"/>
        <v>44383</v>
      </c>
      <c r="BB53" s="1">
        <f t="shared" si="7"/>
        <v>44384</v>
      </c>
      <c r="BC53" s="1">
        <f t="shared" si="7"/>
        <v>44385</v>
      </c>
      <c r="BD53" s="1">
        <f t="shared" si="7"/>
        <v>44386</v>
      </c>
      <c r="BE53" s="1">
        <f t="shared" si="7"/>
        <v>44387</v>
      </c>
      <c r="BF53" s="1">
        <f t="shared" si="7"/>
        <v>44388</v>
      </c>
      <c r="BG53" s="1">
        <f t="shared" si="7"/>
        <v>44389</v>
      </c>
      <c r="BH53" s="1">
        <f t="shared" si="7"/>
        <v>44390</v>
      </c>
      <c r="BI53" s="1">
        <f t="shared" si="7"/>
        <v>44391</v>
      </c>
      <c r="BJ53" s="1">
        <f t="shared" si="7"/>
        <v>44392</v>
      </c>
      <c r="BK53" s="1">
        <f t="shared" si="7"/>
        <v>44393</v>
      </c>
      <c r="BL53" s="1">
        <f t="shared" si="7"/>
        <v>44394</v>
      </c>
      <c r="BM53" s="1">
        <f t="shared" si="7"/>
        <v>44395</v>
      </c>
      <c r="BN53" s="1">
        <f t="shared" si="7"/>
        <v>44396</v>
      </c>
      <c r="BO53" s="1">
        <f t="shared" si="7"/>
        <v>44397</v>
      </c>
      <c r="BP53" s="1">
        <f t="shared" si="7"/>
        <v>44398</v>
      </c>
      <c r="BQ53" s="1">
        <f t="shared" si="7"/>
        <v>44399</v>
      </c>
      <c r="BR53" s="1">
        <f t="shared" si="7"/>
        <v>44400</v>
      </c>
      <c r="BS53" s="1">
        <f t="shared" si="7"/>
        <v>44401</v>
      </c>
      <c r="BT53" s="1">
        <f t="shared" si="7"/>
        <v>44402</v>
      </c>
      <c r="BU53" s="1">
        <f t="shared" si="7"/>
        <v>44403</v>
      </c>
      <c r="BV53" s="1">
        <f t="shared" si="7"/>
        <v>44404</v>
      </c>
      <c r="BW53" s="1">
        <f t="shared" si="7"/>
        <v>44405</v>
      </c>
      <c r="BX53" s="1">
        <f t="shared" si="7"/>
        <v>44406</v>
      </c>
      <c r="BY53" s="1">
        <f t="shared" si="7"/>
        <v>44407</v>
      </c>
      <c r="BZ53" s="1">
        <f t="shared" si="7"/>
        <v>44408</v>
      </c>
    </row>
    <row r="54" spans="1:78" x14ac:dyDescent="0.25">
      <c r="A54">
        <v>1000</v>
      </c>
      <c r="B54" t="s">
        <v>13</v>
      </c>
      <c r="C54">
        <f t="shared" ref="C54:M54" si="8">C4-ROUNDUP(C4*0.1,2)-ROUNDUP(C4*0.05,2)</f>
        <v>0.05</v>
      </c>
      <c r="D54">
        <f t="shared" si="8"/>
        <v>0.05</v>
      </c>
      <c r="E54">
        <f t="shared" si="8"/>
        <v>0.05</v>
      </c>
      <c r="F54">
        <f t="shared" si="8"/>
        <v>0.05</v>
      </c>
      <c r="G54">
        <f t="shared" si="8"/>
        <v>0.05</v>
      </c>
      <c r="H54">
        <f t="shared" si="8"/>
        <v>0.05</v>
      </c>
      <c r="I54">
        <f t="shared" si="8"/>
        <v>0.05</v>
      </c>
      <c r="J54">
        <f t="shared" si="8"/>
        <v>0.05</v>
      </c>
      <c r="K54">
        <f t="shared" si="8"/>
        <v>0.05</v>
      </c>
      <c r="L54">
        <f t="shared" si="8"/>
        <v>0.05</v>
      </c>
      <c r="M54">
        <f t="shared" si="8"/>
        <v>0.05</v>
      </c>
      <c r="N54">
        <f t="shared" ref="N54" si="9">N4-ROUNDUP(N4*0.1,2)-ROUNDUP(N4*0.05,2)</f>
        <v>3.9999999999999994E-2</v>
      </c>
      <c r="O54">
        <f t="shared" ref="O54:AA54" si="10">O4-ROUNDUP(O4*0.1,2)-ROUNDUP(O4*0.05,2)</f>
        <v>3.9999999999999994E-2</v>
      </c>
      <c r="P54">
        <f t="shared" si="10"/>
        <v>0.05</v>
      </c>
      <c r="Q54">
        <f t="shared" si="10"/>
        <v>0.05</v>
      </c>
      <c r="R54">
        <f t="shared" si="10"/>
        <v>0.05</v>
      </c>
      <c r="S54">
        <f t="shared" si="10"/>
        <v>0.05</v>
      </c>
      <c r="T54">
        <f t="shared" si="10"/>
        <v>0.05</v>
      </c>
      <c r="U54">
        <f t="shared" si="10"/>
        <v>6.0000000000000005E-2</v>
      </c>
      <c r="V54">
        <f t="shared" si="10"/>
        <v>7.0000000000000007E-2</v>
      </c>
      <c r="W54">
        <f t="shared" si="10"/>
        <v>6.0000000000000005E-2</v>
      </c>
      <c r="X54">
        <f t="shared" si="10"/>
        <v>7.0000000000000007E-2</v>
      </c>
      <c r="Y54">
        <f t="shared" si="10"/>
        <v>7.0000000000000007E-2</v>
      </c>
      <c r="Z54">
        <f t="shared" si="10"/>
        <v>6.0000000000000005E-2</v>
      </c>
      <c r="AA54">
        <f t="shared" si="10"/>
        <v>7.0000000000000007E-2</v>
      </c>
      <c r="AB54">
        <f t="shared" ref="AB54:BZ54" si="11">AB4-ROUNDUP(AB4*0.1,2)-ROUNDUP(AB4*0.05,2)</f>
        <v>7.0000000000000007E-2</v>
      </c>
      <c r="AC54">
        <f t="shared" si="11"/>
        <v>0</v>
      </c>
      <c r="AD54">
        <f t="shared" si="11"/>
        <v>0</v>
      </c>
      <c r="AE54">
        <f t="shared" si="11"/>
        <v>0</v>
      </c>
      <c r="AF54">
        <f t="shared" si="11"/>
        <v>0</v>
      </c>
      <c r="AG54">
        <f t="shared" si="11"/>
        <v>0</v>
      </c>
      <c r="AH54">
        <f t="shared" si="11"/>
        <v>0</v>
      </c>
      <c r="AI54">
        <f t="shared" si="11"/>
        <v>0</v>
      </c>
      <c r="AJ54">
        <f t="shared" si="11"/>
        <v>0</v>
      </c>
      <c r="AK54">
        <f t="shared" si="11"/>
        <v>0</v>
      </c>
      <c r="AL54">
        <f t="shared" si="11"/>
        <v>0</v>
      </c>
      <c r="AM54">
        <f t="shared" si="11"/>
        <v>0</v>
      </c>
      <c r="AN54">
        <f t="shared" si="11"/>
        <v>0</v>
      </c>
      <c r="AO54">
        <f t="shared" si="11"/>
        <v>0</v>
      </c>
      <c r="AP54">
        <f t="shared" si="11"/>
        <v>0</v>
      </c>
      <c r="AQ54">
        <f t="shared" si="11"/>
        <v>0</v>
      </c>
      <c r="AR54">
        <f t="shared" si="11"/>
        <v>0</v>
      </c>
      <c r="AS54">
        <f t="shared" si="11"/>
        <v>0</v>
      </c>
      <c r="AT54">
        <f t="shared" si="11"/>
        <v>0</v>
      </c>
      <c r="AU54">
        <f t="shared" si="11"/>
        <v>0</v>
      </c>
      <c r="AV54">
        <f t="shared" si="11"/>
        <v>0</v>
      </c>
      <c r="AW54">
        <f t="shared" si="11"/>
        <v>0</v>
      </c>
      <c r="AX54">
        <f t="shared" si="11"/>
        <v>0</v>
      </c>
      <c r="AY54">
        <f t="shared" si="11"/>
        <v>0</v>
      </c>
      <c r="AZ54">
        <f t="shared" si="11"/>
        <v>0</v>
      </c>
      <c r="BA54">
        <f t="shared" si="11"/>
        <v>0</v>
      </c>
      <c r="BB54">
        <f t="shared" si="11"/>
        <v>0</v>
      </c>
      <c r="BC54">
        <f t="shared" si="11"/>
        <v>0</v>
      </c>
      <c r="BD54">
        <f t="shared" si="11"/>
        <v>0</v>
      </c>
      <c r="BE54">
        <f t="shared" si="11"/>
        <v>0</v>
      </c>
      <c r="BF54">
        <f t="shared" si="11"/>
        <v>0</v>
      </c>
      <c r="BG54">
        <f t="shared" si="11"/>
        <v>0</v>
      </c>
      <c r="BH54">
        <f t="shared" si="11"/>
        <v>0</v>
      </c>
      <c r="BI54">
        <f t="shared" si="11"/>
        <v>0</v>
      </c>
      <c r="BJ54">
        <f t="shared" si="11"/>
        <v>0</v>
      </c>
      <c r="BK54">
        <f t="shared" si="11"/>
        <v>0</v>
      </c>
      <c r="BL54">
        <f t="shared" si="11"/>
        <v>0</v>
      </c>
      <c r="BM54">
        <f t="shared" si="11"/>
        <v>0</v>
      </c>
      <c r="BN54">
        <f t="shared" si="11"/>
        <v>0</v>
      </c>
      <c r="BO54">
        <f t="shared" si="11"/>
        <v>0</v>
      </c>
      <c r="BP54">
        <f t="shared" si="11"/>
        <v>0</v>
      </c>
      <c r="BQ54">
        <f t="shared" si="11"/>
        <v>0</v>
      </c>
      <c r="BR54">
        <f t="shared" si="11"/>
        <v>0</v>
      </c>
      <c r="BS54">
        <f t="shared" si="11"/>
        <v>0</v>
      </c>
      <c r="BT54">
        <f t="shared" si="11"/>
        <v>0</v>
      </c>
      <c r="BU54">
        <f t="shared" si="11"/>
        <v>0</v>
      </c>
      <c r="BV54">
        <f t="shared" si="11"/>
        <v>0</v>
      </c>
      <c r="BW54">
        <f t="shared" si="11"/>
        <v>0</v>
      </c>
      <c r="BX54">
        <f t="shared" si="11"/>
        <v>0</v>
      </c>
      <c r="BY54">
        <f t="shared" si="11"/>
        <v>0</v>
      </c>
      <c r="BZ54">
        <f t="shared" si="11"/>
        <v>0</v>
      </c>
    </row>
    <row r="55" spans="1:78" x14ac:dyDescent="0.25">
      <c r="A55">
        <v>2000</v>
      </c>
      <c r="B55" t="s">
        <v>14</v>
      </c>
      <c r="C55">
        <f t="shared" ref="C55:M55" si="12">C5-ROUNDUP(C5*0.1,2)-ROUNDUP(C5*0.05,2)</f>
        <v>0.05</v>
      </c>
      <c r="D55">
        <f t="shared" si="12"/>
        <v>0.05</v>
      </c>
      <c r="E55">
        <f t="shared" si="12"/>
        <v>0.05</v>
      </c>
      <c r="F55">
        <f t="shared" si="12"/>
        <v>0.05</v>
      </c>
      <c r="G55">
        <f t="shared" si="12"/>
        <v>0.05</v>
      </c>
      <c r="H55">
        <f t="shared" si="12"/>
        <v>0.05</v>
      </c>
      <c r="I55">
        <f t="shared" si="12"/>
        <v>0.05</v>
      </c>
      <c r="J55">
        <f t="shared" si="12"/>
        <v>0.05</v>
      </c>
      <c r="K55">
        <f t="shared" si="12"/>
        <v>0.05</v>
      </c>
      <c r="L55">
        <f t="shared" si="12"/>
        <v>0.05</v>
      </c>
      <c r="M55">
        <f t="shared" si="12"/>
        <v>0.05</v>
      </c>
      <c r="N55">
        <f t="shared" ref="N55" si="13">N5-ROUNDUP(N5*0.1,2)-ROUNDUP(N5*0.05,2)</f>
        <v>0.05</v>
      </c>
      <c r="O55">
        <f t="shared" ref="O55:AA55" si="14">O5-ROUNDUP(O5*0.1,2)-ROUNDUP(O5*0.05,2)</f>
        <v>0.05</v>
      </c>
      <c r="P55">
        <f t="shared" si="14"/>
        <v>0.05</v>
      </c>
      <c r="Q55">
        <f t="shared" si="14"/>
        <v>0.05</v>
      </c>
      <c r="R55">
        <f t="shared" si="14"/>
        <v>0.05</v>
      </c>
      <c r="S55">
        <f t="shared" si="14"/>
        <v>0.05</v>
      </c>
      <c r="T55">
        <f t="shared" si="14"/>
        <v>0.05</v>
      </c>
      <c r="U55">
        <f t="shared" si="14"/>
        <v>0.09</v>
      </c>
      <c r="V55">
        <f t="shared" si="14"/>
        <v>0.11000000000000001</v>
      </c>
      <c r="W55">
        <f t="shared" si="14"/>
        <v>0.08</v>
      </c>
      <c r="X55">
        <f t="shared" si="14"/>
        <v>0.09</v>
      </c>
      <c r="Y55">
        <f t="shared" si="14"/>
        <v>0.09</v>
      </c>
      <c r="Z55">
        <f t="shared" si="14"/>
        <v>0.09</v>
      </c>
      <c r="AA55">
        <f t="shared" si="14"/>
        <v>0.09</v>
      </c>
      <c r="AB55">
        <f t="shared" ref="AB55:BZ55" si="15">AB5-ROUNDUP(AB5*0.1,2)-ROUNDUP(AB5*0.05,2)</f>
        <v>0.1</v>
      </c>
      <c r="AC55">
        <f t="shared" si="15"/>
        <v>0</v>
      </c>
      <c r="AD55">
        <f t="shared" si="15"/>
        <v>0</v>
      </c>
      <c r="AE55">
        <f t="shared" si="15"/>
        <v>0</v>
      </c>
      <c r="AF55">
        <f t="shared" si="15"/>
        <v>0</v>
      </c>
      <c r="AG55">
        <f t="shared" si="15"/>
        <v>0</v>
      </c>
      <c r="AH55">
        <f t="shared" si="15"/>
        <v>0</v>
      </c>
      <c r="AI55">
        <f t="shared" si="15"/>
        <v>0</v>
      </c>
      <c r="AJ55">
        <f t="shared" si="15"/>
        <v>0</v>
      </c>
      <c r="AK55">
        <f t="shared" si="15"/>
        <v>0</v>
      </c>
      <c r="AL55">
        <f t="shared" si="15"/>
        <v>0</v>
      </c>
      <c r="AM55">
        <f t="shared" si="15"/>
        <v>0</v>
      </c>
      <c r="AN55">
        <f t="shared" si="15"/>
        <v>0</v>
      </c>
      <c r="AO55">
        <f t="shared" si="15"/>
        <v>0</v>
      </c>
      <c r="AP55">
        <f t="shared" si="15"/>
        <v>0</v>
      </c>
      <c r="AQ55">
        <f t="shared" si="15"/>
        <v>0</v>
      </c>
      <c r="AR55">
        <f t="shared" si="15"/>
        <v>0</v>
      </c>
      <c r="AS55">
        <f t="shared" si="15"/>
        <v>0</v>
      </c>
      <c r="AT55">
        <f t="shared" si="15"/>
        <v>0</v>
      </c>
      <c r="AU55">
        <f t="shared" si="15"/>
        <v>0</v>
      </c>
      <c r="AV55">
        <f t="shared" si="15"/>
        <v>0</v>
      </c>
      <c r="AW55">
        <f t="shared" si="15"/>
        <v>0</v>
      </c>
      <c r="AX55">
        <f t="shared" si="15"/>
        <v>0</v>
      </c>
      <c r="AY55">
        <f t="shared" si="15"/>
        <v>0</v>
      </c>
      <c r="AZ55">
        <f t="shared" si="15"/>
        <v>0</v>
      </c>
      <c r="BA55">
        <f t="shared" si="15"/>
        <v>0</v>
      </c>
      <c r="BB55">
        <f t="shared" si="15"/>
        <v>0</v>
      </c>
      <c r="BC55">
        <f t="shared" si="15"/>
        <v>0</v>
      </c>
      <c r="BD55">
        <f t="shared" si="15"/>
        <v>0</v>
      </c>
      <c r="BE55">
        <f t="shared" si="15"/>
        <v>0</v>
      </c>
      <c r="BF55">
        <f t="shared" si="15"/>
        <v>0</v>
      </c>
      <c r="BG55">
        <f t="shared" si="15"/>
        <v>0</v>
      </c>
      <c r="BH55">
        <f t="shared" si="15"/>
        <v>0</v>
      </c>
      <c r="BI55">
        <f t="shared" si="15"/>
        <v>0</v>
      </c>
      <c r="BJ55">
        <f t="shared" si="15"/>
        <v>0</v>
      </c>
      <c r="BK55">
        <f t="shared" si="15"/>
        <v>0</v>
      </c>
      <c r="BL55">
        <f t="shared" si="15"/>
        <v>0</v>
      </c>
      <c r="BM55">
        <f t="shared" si="15"/>
        <v>0</v>
      </c>
      <c r="BN55">
        <f t="shared" si="15"/>
        <v>0</v>
      </c>
      <c r="BO55">
        <f t="shared" si="15"/>
        <v>0</v>
      </c>
      <c r="BP55">
        <f t="shared" si="15"/>
        <v>0</v>
      </c>
      <c r="BQ55">
        <f t="shared" si="15"/>
        <v>0</v>
      </c>
      <c r="BR55">
        <f t="shared" si="15"/>
        <v>0</v>
      </c>
      <c r="BS55">
        <f t="shared" si="15"/>
        <v>0</v>
      </c>
      <c r="BT55">
        <f t="shared" si="15"/>
        <v>0</v>
      </c>
      <c r="BU55">
        <f t="shared" si="15"/>
        <v>0</v>
      </c>
      <c r="BV55">
        <f t="shared" si="15"/>
        <v>0</v>
      </c>
      <c r="BW55">
        <f t="shared" si="15"/>
        <v>0</v>
      </c>
      <c r="BX55">
        <f t="shared" si="15"/>
        <v>0</v>
      </c>
      <c r="BY55">
        <f t="shared" si="15"/>
        <v>0</v>
      </c>
      <c r="BZ55">
        <f t="shared" si="15"/>
        <v>0</v>
      </c>
    </row>
    <row r="56" spans="1:78" x14ac:dyDescent="0.25">
      <c r="A56">
        <v>2000</v>
      </c>
      <c r="B56" t="s">
        <v>15</v>
      </c>
      <c r="C56">
        <f t="shared" ref="C56:M56" si="16">C6-ROUNDUP(C6*0.1,2)-ROUNDUP(C6*0.05,2)</f>
        <v>0.03</v>
      </c>
      <c r="D56">
        <f t="shared" si="16"/>
        <v>0.03</v>
      </c>
      <c r="E56">
        <f t="shared" si="16"/>
        <v>0.03</v>
      </c>
      <c r="F56">
        <f t="shared" si="16"/>
        <v>3.9999999999999994E-2</v>
      </c>
      <c r="G56">
        <f t="shared" si="16"/>
        <v>3.9999999999999994E-2</v>
      </c>
      <c r="H56">
        <f t="shared" si="16"/>
        <v>3.9999999999999994E-2</v>
      </c>
      <c r="I56">
        <f t="shared" si="16"/>
        <v>0.03</v>
      </c>
      <c r="J56">
        <f t="shared" si="16"/>
        <v>3.9999999999999994E-2</v>
      </c>
      <c r="K56">
        <f t="shared" si="16"/>
        <v>3.9999999999999994E-2</v>
      </c>
      <c r="L56">
        <f t="shared" si="16"/>
        <v>3.9999999999999994E-2</v>
      </c>
      <c r="M56">
        <f t="shared" si="16"/>
        <v>3.9999999999999994E-2</v>
      </c>
      <c r="N56">
        <f t="shared" ref="N56" si="17">N6-ROUNDUP(N6*0.1,2)-ROUNDUP(N6*0.05,2)</f>
        <v>3.9999999999999994E-2</v>
      </c>
      <c r="O56">
        <f t="shared" ref="O56:AA56" si="18">O6-ROUNDUP(O6*0.1,2)-ROUNDUP(O6*0.05,2)</f>
        <v>3.9999999999999994E-2</v>
      </c>
      <c r="P56">
        <f t="shared" si="18"/>
        <v>0.03</v>
      </c>
      <c r="Q56">
        <f t="shared" si="18"/>
        <v>3.9999999999999994E-2</v>
      </c>
      <c r="R56">
        <f t="shared" si="18"/>
        <v>3.9999999999999994E-2</v>
      </c>
      <c r="S56">
        <f t="shared" si="18"/>
        <v>3.9999999999999994E-2</v>
      </c>
      <c r="T56">
        <f t="shared" si="18"/>
        <v>3.9999999999999994E-2</v>
      </c>
      <c r="U56">
        <f t="shared" si="18"/>
        <v>0.05</v>
      </c>
      <c r="V56">
        <f t="shared" si="18"/>
        <v>6.0000000000000005E-2</v>
      </c>
      <c r="W56">
        <f t="shared" si="18"/>
        <v>0.05</v>
      </c>
      <c r="X56">
        <f t="shared" si="18"/>
        <v>6.0000000000000005E-2</v>
      </c>
      <c r="Y56">
        <f t="shared" si="18"/>
        <v>6.0000000000000005E-2</v>
      </c>
      <c r="Z56">
        <f t="shared" si="18"/>
        <v>6.0000000000000005E-2</v>
      </c>
      <c r="AA56">
        <f t="shared" si="18"/>
        <v>6.0000000000000005E-2</v>
      </c>
      <c r="AB56">
        <f t="shared" ref="AB56:BZ56" si="19">AB6-ROUNDUP(AB6*0.1,2)-ROUNDUP(AB6*0.05,2)</f>
        <v>6.0000000000000005E-2</v>
      </c>
      <c r="AC56">
        <f t="shared" si="19"/>
        <v>0</v>
      </c>
      <c r="AD56">
        <f t="shared" si="19"/>
        <v>0</v>
      </c>
      <c r="AE56">
        <f t="shared" si="19"/>
        <v>0</v>
      </c>
      <c r="AF56">
        <f t="shared" si="19"/>
        <v>0</v>
      </c>
      <c r="AG56">
        <f t="shared" si="19"/>
        <v>0</v>
      </c>
      <c r="AH56">
        <f t="shared" si="19"/>
        <v>0</v>
      </c>
      <c r="AI56">
        <f t="shared" si="19"/>
        <v>0</v>
      </c>
      <c r="AJ56">
        <f t="shared" si="19"/>
        <v>0</v>
      </c>
      <c r="AK56">
        <f t="shared" si="19"/>
        <v>0</v>
      </c>
      <c r="AL56">
        <f t="shared" si="19"/>
        <v>0</v>
      </c>
      <c r="AM56">
        <f t="shared" si="19"/>
        <v>0</v>
      </c>
      <c r="AN56">
        <f t="shared" si="19"/>
        <v>0</v>
      </c>
      <c r="AO56">
        <f t="shared" si="19"/>
        <v>0</v>
      </c>
      <c r="AP56">
        <f t="shared" si="19"/>
        <v>0</v>
      </c>
      <c r="AQ56">
        <f t="shared" si="19"/>
        <v>0</v>
      </c>
      <c r="AR56">
        <f t="shared" si="19"/>
        <v>0</v>
      </c>
      <c r="AS56">
        <f t="shared" si="19"/>
        <v>0</v>
      </c>
      <c r="AT56">
        <f t="shared" si="19"/>
        <v>0</v>
      </c>
      <c r="AU56">
        <f t="shared" si="19"/>
        <v>0</v>
      </c>
      <c r="AV56">
        <f t="shared" si="19"/>
        <v>0</v>
      </c>
      <c r="AW56">
        <f t="shared" si="19"/>
        <v>0</v>
      </c>
      <c r="AX56">
        <f t="shared" si="19"/>
        <v>0</v>
      </c>
      <c r="AY56">
        <f t="shared" si="19"/>
        <v>0</v>
      </c>
      <c r="AZ56">
        <f t="shared" si="19"/>
        <v>0</v>
      </c>
      <c r="BA56">
        <f t="shared" si="19"/>
        <v>0</v>
      </c>
      <c r="BB56">
        <f t="shared" si="19"/>
        <v>0</v>
      </c>
      <c r="BC56">
        <f t="shared" si="19"/>
        <v>0</v>
      </c>
      <c r="BD56">
        <f t="shared" si="19"/>
        <v>0</v>
      </c>
      <c r="BE56">
        <f t="shared" si="19"/>
        <v>0</v>
      </c>
      <c r="BF56">
        <f t="shared" si="19"/>
        <v>0</v>
      </c>
      <c r="BG56">
        <f t="shared" si="19"/>
        <v>0</v>
      </c>
      <c r="BH56">
        <f t="shared" si="19"/>
        <v>0</v>
      </c>
      <c r="BI56">
        <f t="shared" si="19"/>
        <v>0</v>
      </c>
      <c r="BJ56">
        <f t="shared" si="19"/>
        <v>0</v>
      </c>
      <c r="BK56">
        <f t="shared" si="19"/>
        <v>0</v>
      </c>
      <c r="BL56">
        <f t="shared" si="19"/>
        <v>0</v>
      </c>
      <c r="BM56">
        <f t="shared" si="19"/>
        <v>0</v>
      </c>
      <c r="BN56">
        <f t="shared" si="19"/>
        <v>0</v>
      </c>
      <c r="BO56">
        <f t="shared" si="19"/>
        <v>0</v>
      </c>
      <c r="BP56">
        <f t="shared" si="19"/>
        <v>0</v>
      </c>
      <c r="BQ56">
        <f t="shared" si="19"/>
        <v>0</v>
      </c>
      <c r="BR56">
        <f t="shared" si="19"/>
        <v>0</v>
      </c>
      <c r="BS56">
        <f t="shared" si="19"/>
        <v>0</v>
      </c>
      <c r="BT56">
        <f t="shared" si="19"/>
        <v>0</v>
      </c>
      <c r="BU56">
        <f t="shared" si="19"/>
        <v>0</v>
      </c>
      <c r="BV56">
        <f t="shared" si="19"/>
        <v>0</v>
      </c>
      <c r="BW56">
        <f t="shared" si="19"/>
        <v>0</v>
      </c>
      <c r="BX56">
        <f t="shared" si="19"/>
        <v>0</v>
      </c>
      <c r="BY56">
        <f t="shared" si="19"/>
        <v>0</v>
      </c>
      <c r="BZ56">
        <f t="shared" si="19"/>
        <v>0</v>
      </c>
    </row>
    <row r="57" spans="1:78" x14ac:dyDescent="0.25">
      <c r="A57">
        <v>215</v>
      </c>
      <c r="B57" t="s">
        <v>16</v>
      </c>
      <c r="C57">
        <f t="shared" ref="C57:M57" si="20">C7-ROUNDUP(C7*0.1,2)-ROUNDUP(C7*0.05,2)</f>
        <v>6.0000000000000005E-2</v>
      </c>
      <c r="D57">
        <f t="shared" si="20"/>
        <v>6.0000000000000005E-2</v>
      </c>
      <c r="E57">
        <f t="shared" si="20"/>
        <v>6.0000000000000005E-2</v>
      </c>
      <c r="F57">
        <f t="shared" si="20"/>
        <v>6.0000000000000005E-2</v>
      </c>
      <c r="G57">
        <f t="shared" si="20"/>
        <v>6.0000000000000005E-2</v>
      </c>
      <c r="H57">
        <f t="shared" si="20"/>
        <v>6.0000000000000005E-2</v>
      </c>
      <c r="I57">
        <f t="shared" si="20"/>
        <v>6.0000000000000005E-2</v>
      </c>
      <c r="J57">
        <f t="shared" si="20"/>
        <v>6.0000000000000005E-2</v>
      </c>
      <c r="K57">
        <f t="shared" si="20"/>
        <v>6.0000000000000005E-2</v>
      </c>
      <c r="L57">
        <f t="shared" si="20"/>
        <v>6.0000000000000005E-2</v>
      </c>
      <c r="M57">
        <f t="shared" si="20"/>
        <v>6.0000000000000005E-2</v>
      </c>
      <c r="N57">
        <f t="shared" ref="N57" si="21">N7-ROUNDUP(N7*0.1,2)-ROUNDUP(N7*0.05,2)</f>
        <v>6.0000000000000005E-2</v>
      </c>
      <c r="O57">
        <f t="shared" ref="O57:AA57" si="22">O7-ROUNDUP(O7*0.1,2)-ROUNDUP(O7*0.05,2)</f>
        <v>6.0000000000000005E-2</v>
      </c>
      <c r="P57">
        <f t="shared" si="22"/>
        <v>6.0000000000000005E-2</v>
      </c>
      <c r="Q57">
        <f t="shared" si="22"/>
        <v>6.0000000000000005E-2</v>
      </c>
      <c r="R57">
        <f t="shared" si="22"/>
        <v>6.0000000000000005E-2</v>
      </c>
      <c r="S57">
        <f t="shared" si="22"/>
        <v>6.0000000000000005E-2</v>
      </c>
      <c r="T57">
        <f t="shared" si="22"/>
        <v>6.0000000000000005E-2</v>
      </c>
      <c r="U57">
        <f t="shared" si="22"/>
        <v>0.13</v>
      </c>
      <c r="V57">
        <f t="shared" si="22"/>
        <v>0.16</v>
      </c>
      <c r="W57">
        <f t="shared" si="22"/>
        <v>0.14000000000000001</v>
      </c>
      <c r="X57">
        <f t="shared" si="22"/>
        <v>0.15</v>
      </c>
      <c r="Y57">
        <f t="shared" si="22"/>
        <v>0.15</v>
      </c>
      <c r="Z57">
        <f t="shared" si="22"/>
        <v>0.17</v>
      </c>
      <c r="AA57">
        <f t="shared" si="22"/>
        <v>0.18000000000000002</v>
      </c>
      <c r="AB57">
        <f t="shared" ref="AB57:BZ57" si="23">AB7-ROUNDUP(AB7*0.1,2)-ROUNDUP(AB7*0.05,2)</f>
        <v>0.19</v>
      </c>
      <c r="AC57">
        <f t="shared" si="23"/>
        <v>0</v>
      </c>
      <c r="AD57">
        <f t="shared" si="23"/>
        <v>0</v>
      </c>
      <c r="AE57">
        <f t="shared" si="23"/>
        <v>0</v>
      </c>
      <c r="AF57">
        <f t="shared" si="23"/>
        <v>0</v>
      </c>
      <c r="AG57">
        <f t="shared" si="23"/>
        <v>0</v>
      </c>
      <c r="AH57">
        <f t="shared" si="23"/>
        <v>0</v>
      </c>
      <c r="AI57">
        <f t="shared" si="23"/>
        <v>0</v>
      </c>
      <c r="AJ57">
        <f t="shared" si="23"/>
        <v>0</v>
      </c>
      <c r="AK57">
        <f t="shared" si="23"/>
        <v>0</v>
      </c>
      <c r="AL57">
        <f t="shared" si="23"/>
        <v>0</v>
      </c>
      <c r="AM57">
        <f t="shared" si="23"/>
        <v>0</v>
      </c>
      <c r="AN57">
        <f t="shared" si="23"/>
        <v>0</v>
      </c>
      <c r="AO57">
        <f t="shared" si="23"/>
        <v>0</v>
      </c>
      <c r="AP57">
        <f t="shared" si="23"/>
        <v>0</v>
      </c>
      <c r="AQ57">
        <f t="shared" si="23"/>
        <v>0</v>
      </c>
      <c r="AR57">
        <f t="shared" si="23"/>
        <v>0</v>
      </c>
      <c r="AS57">
        <f t="shared" si="23"/>
        <v>0</v>
      </c>
      <c r="AT57">
        <f t="shared" si="23"/>
        <v>0</v>
      </c>
      <c r="AU57">
        <f t="shared" si="23"/>
        <v>0</v>
      </c>
      <c r="AV57">
        <f t="shared" si="23"/>
        <v>0</v>
      </c>
      <c r="AW57">
        <f t="shared" si="23"/>
        <v>0</v>
      </c>
      <c r="AX57">
        <f t="shared" si="23"/>
        <v>0</v>
      </c>
      <c r="AY57">
        <f t="shared" si="23"/>
        <v>0</v>
      </c>
      <c r="AZ57">
        <f t="shared" si="23"/>
        <v>0</v>
      </c>
      <c r="BA57">
        <f t="shared" si="23"/>
        <v>0</v>
      </c>
      <c r="BB57">
        <f t="shared" si="23"/>
        <v>0</v>
      </c>
      <c r="BC57">
        <f t="shared" si="23"/>
        <v>0</v>
      </c>
      <c r="BD57">
        <f t="shared" si="23"/>
        <v>0</v>
      </c>
      <c r="BE57">
        <f t="shared" si="23"/>
        <v>0</v>
      </c>
      <c r="BF57">
        <f t="shared" si="23"/>
        <v>0</v>
      </c>
      <c r="BG57">
        <f t="shared" si="23"/>
        <v>0</v>
      </c>
      <c r="BH57">
        <f t="shared" si="23"/>
        <v>0</v>
      </c>
      <c r="BI57">
        <f t="shared" si="23"/>
        <v>0</v>
      </c>
      <c r="BJ57">
        <f t="shared" si="23"/>
        <v>0</v>
      </c>
      <c r="BK57">
        <f t="shared" si="23"/>
        <v>0</v>
      </c>
      <c r="BL57">
        <f t="shared" si="23"/>
        <v>0</v>
      </c>
      <c r="BM57">
        <f t="shared" si="23"/>
        <v>0</v>
      </c>
      <c r="BN57">
        <f t="shared" si="23"/>
        <v>0</v>
      </c>
      <c r="BO57">
        <f t="shared" si="23"/>
        <v>0</v>
      </c>
      <c r="BP57">
        <f t="shared" si="23"/>
        <v>0</v>
      </c>
      <c r="BQ57">
        <f t="shared" si="23"/>
        <v>0</v>
      </c>
      <c r="BR57">
        <f t="shared" si="23"/>
        <v>0</v>
      </c>
      <c r="BS57">
        <f t="shared" si="23"/>
        <v>0</v>
      </c>
      <c r="BT57">
        <f t="shared" si="23"/>
        <v>0</v>
      </c>
      <c r="BU57">
        <f t="shared" si="23"/>
        <v>0</v>
      </c>
      <c r="BV57">
        <f t="shared" si="23"/>
        <v>0</v>
      </c>
      <c r="BW57">
        <f t="shared" si="23"/>
        <v>0</v>
      </c>
      <c r="BX57">
        <f t="shared" si="23"/>
        <v>0</v>
      </c>
      <c r="BY57">
        <f t="shared" si="23"/>
        <v>0</v>
      </c>
      <c r="BZ57">
        <f t="shared" si="23"/>
        <v>0</v>
      </c>
    </row>
    <row r="58" spans="1:78" x14ac:dyDescent="0.25">
      <c r="A58">
        <v>150</v>
      </c>
      <c r="B58" t="s">
        <v>17</v>
      </c>
      <c r="C58">
        <f t="shared" ref="C58:M58" si="24">C8-ROUNDUP(C8*0.1,2)-ROUNDUP(C8*0.05,2)</f>
        <v>0.28999999999999998</v>
      </c>
      <c r="D58">
        <f t="shared" si="24"/>
        <v>0.28999999999999998</v>
      </c>
      <c r="E58">
        <f t="shared" si="24"/>
        <v>0.28999999999999998</v>
      </c>
      <c r="F58">
        <f t="shared" si="24"/>
        <v>0.25</v>
      </c>
      <c r="G58">
        <f t="shared" si="24"/>
        <v>0.25</v>
      </c>
      <c r="H58">
        <f t="shared" si="24"/>
        <v>0.28000000000000003</v>
      </c>
      <c r="I58">
        <f t="shared" si="24"/>
        <v>0.25</v>
      </c>
      <c r="J58">
        <f t="shared" si="24"/>
        <v>0.25</v>
      </c>
      <c r="K58">
        <f t="shared" si="24"/>
        <v>0.25</v>
      </c>
      <c r="L58">
        <f t="shared" si="24"/>
        <v>0.25</v>
      </c>
      <c r="M58">
        <f t="shared" si="24"/>
        <v>0.25</v>
      </c>
      <c r="N58">
        <f t="shared" ref="N58" si="25">N8-ROUNDUP(N8*0.1,2)-ROUNDUP(N8*0.05,2)</f>
        <v>0.25</v>
      </c>
      <c r="O58">
        <f t="shared" ref="O58:AA58" si="26">O8-ROUNDUP(O8*0.1,2)-ROUNDUP(O8*0.05,2)</f>
        <v>0.26</v>
      </c>
      <c r="P58">
        <f t="shared" si="26"/>
        <v>0.26</v>
      </c>
      <c r="Q58">
        <f t="shared" si="26"/>
        <v>0.28000000000000003</v>
      </c>
      <c r="R58">
        <f t="shared" si="26"/>
        <v>0.25</v>
      </c>
      <c r="S58">
        <f t="shared" si="26"/>
        <v>0.26</v>
      </c>
      <c r="T58">
        <f t="shared" si="26"/>
        <v>0.25</v>
      </c>
      <c r="U58">
        <f t="shared" si="26"/>
        <v>0.28999999999999998</v>
      </c>
      <c r="V58">
        <f t="shared" si="26"/>
        <v>0.28999999999999998</v>
      </c>
      <c r="W58">
        <f t="shared" si="26"/>
        <v>0.26</v>
      </c>
      <c r="X58">
        <f t="shared" si="26"/>
        <v>0.26</v>
      </c>
      <c r="Y58">
        <f t="shared" si="26"/>
        <v>0.25</v>
      </c>
      <c r="Z58">
        <f t="shared" si="26"/>
        <v>0.25</v>
      </c>
      <c r="AA58">
        <f t="shared" si="26"/>
        <v>0.25</v>
      </c>
      <c r="AB58">
        <f t="shared" ref="AB58:BZ58" si="27">AB8-ROUNDUP(AB8*0.1,2)-ROUNDUP(AB8*0.05,2)</f>
        <v>0.25</v>
      </c>
      <c r="AC58">
        <f t="shared" si="27"/>
        <v>0</v>
      </c>
      <c r="AD58">
        <f t="shared" si="27"/>
        <v>0</v>
      </c>
      <c r="AE58">
        <f t="shared" si="27"/>
        <v>0</v>
      </c>
      <c r="AF58">
        <f t="shared" si="27"/>
        <v>0</v>
      </c>
      <c r="AG58">
        <f t="shared" si="27"/>
        <v>0</v>
      </c>
      <c r="AH58">
        <f t="shared" si="27"/>
        <v>0</v>
      </c>
      <c r="AI58">
        <f t="shared" si="27"/>
        <v>0</v>
      </c>
      <c r="AJ58">
        <f t="shared" si="27"/>
        <v>0</v>
      </c>
      <c r="AK58">
        <f t="shared" si="27"/>
        <v>0</v>
      </c>
      <c r="AL58">
        <f t="shared" si="27"/>
        <v>0</v>
      </c>
      <c r="AM58">
        <f t="shared" si="27"/>
        <v>0</v>
      </c>
      <c r="AN58">
        <f t="shared" si="27"/>
        <v>0</v>
      </c>
      <c r="AO58">
        <f t="shared" si="27"/>
        <v>0</v>
      </c>
      <c r="AP58">
        <f t="shared" si="27"/>
        <v>0</v>
      </c>
      <c r="AQ58">
        <f t="shared" si="27"/>
        <v>0</v>
      </c>
      <c r="AR58">
        <f t="shared" si="27"/>
        <v>0</v>
      </c>
      <c r="AS58">
        <f t="shared" si="27"/>
        <v>0</v>
      </c>
      <c r="AT58">
        <f t="shared" si="27"/>
        <v>0</v>
      </c>
      <c r="AU58">
        <f t="shared" si="27"/>
        <v>0</v>
      </c>
      <c r="AV58">
        <f t="shared" si="27"/>
        <v>0</v>
      </c>
      <c r="AW58">
        <f t="shared" si="27"/>
        <v>0</v>
      </c>
      <c r="AX58">
        <f t="shared" si="27"/>
        <v>0</v>
      </c>
      <c r="AY58">
        <f t="shared" si="27"/>
        <v>0</v>
      </c>
      <c r="AZ58">
        <f t="shared" si="27"/>
        <v>0</v>
      </c>
      <c r="BA58">
        <f t="shared" si="27"/>
        <v>0</v>
      </c>
      <c r="BB58">
        <f t="shared" si="27"/>
        <v>0</v>
      </c>
      <c r="BC58">
        <f t="shared" si="27"/>
        <v>0</v>
      </c>
      <c r="BD58">
        <f t="shared" si="27"/>
        <v>0</v>
      </c>
      <c r="BE58">
        <f t="shared" si="27"/>
        <v>0</v>
      </c>
      <c r="BF58">
        <f t="shared" si="27"/>
        <v>0</v>
      </c>
      <c r="BG58">
        <f t="shared" si="27"/>
        <v>0</v>
      </c>
      <c r="BH58">
        <f t="shared" si="27"/>
        <v>0</v>
      </c>
      <c r="BI58">
        <f t="shared" si="27"/>
        <v>0</v>
      </c>
      <c r="BJ58">
        <f t="shared" si="27"/>
        <v>0</v>
      </c>
      <c r="BK58">
        <f t="shared" si="27"/>
        <v>0</v>
      </c>
      <c r="BL58">
        <f t="shared" si="27"/>
        <v>0</v>
      </c>
      <c r="BM58">
        <f t="shared" si="27"/>
        <v>0</v>
      </c>
      <c r="BN58">
        <f t="shared" si="27"/>
        <v>0</v>
      </c>
      <c r="BO58">
        <f t="shared" si="27"/>
        <v>0</v>
      </c>
      <c r="BP58">
        <f t="shared" si="27"/>
        <v>0</v>
      </c>
      <c r="BQ58">
        <f t="shared" si="27"/>
        <v>0</v>
      </c>
      <c r="BR58">
        <f t="shared" si="27"/>
        <v>0</v>
      </c>
      <c r="BS58">
        <f t="shared" si="27"/>
        <v>0</v>
      </c>
      <c r="BT58">
        <f t="shared" si="27"/>
        <v>0</v>
      </c>
      <c r="BU58">
        <f t="shared" si="27"/>
        <v>0</v>
      </c>
      <c r="BV58">
        <f t="shared" si="27"/>
        <v>0</v>
      </c>
      <c r="BW58">
        <f t="shared" si="27"/>
        <v>0</v>
      </c>
      <c r="BX58">
        <f t="shared" si="27"/>
        <v>0</v>
      </c>
      <c r="BY58">
        <f t="shared" si="27"/>
        <v>0</v>
      </c>
      <c r="BZ58">
        <f t="shared" si="27"/>
        <v>0</v>
      </c>
    </row>
    <row r="62" spans="1:78" ht="23.25" x14ac:dyDescent="0.35">
      <c r="A62" s="3" t="s">
        <v>18</v>
      </c>
    </row>
    <row r="63" spans="1:78" x14ac:dyDescent="0.25">
      <c r="A63" s="2" t="s">
        <v>11</v>
      </c>
      <c r="B63" s="2" t="s">
        <v>12</v>
      </c>
    </row>
    <row r="64" spans="1:78" x14ac:dyDescent="0.25">
      <c r="C64" s="1">
        <f>C53</f>
        <v>44331</v>
      </c>
      <c r="D64" s="1">
        <f t="shared" ref="D64:M64" si="28">D53</f>
        <v>44332</v>
      </c>
      <c r="E64" s="1">
        <f t="shared" si="28"/>
        <v>44334</v>
      </c>
      <c r="F64" s="1">
        <f t="shared" si="28"/>
        <v>44336</v>
      </c>
      <c r="G64" s="1">
        <f t="shared" si="28"/>
        <v>44337</v>
      </c>
      <c r="H64" s="1">
        <f t="shared" si="28"/>
        <v>44338</v>
      </c>
      <c r="I64" s="1">
        <f t="shared" si="28"/>
        <v>44339</v>
      </c>
      <c r="J64" s="1">
        <f t="shared" si="28"/>
        <v>44340</v>
      </c>
      <c r="K64" s="1">
        <f t="shared" si="28"/>
        <v>44341</v>
      </c>
      <c r="L64" s="1">
        <f t="shared" si="28"/>
        <v>44342</v>
      </c>
      <c r="M64" s="1">
        <f t="shared" si="28"/>
        <v>44343</v>
      </c>
      <c r="N64" s="1">
        <f t="shared" ref="N64" si="29">N53</f>
        <v>44344</v>
      </c>
      <c r="O64" s="1">
        <f t="shared" ref="O64:AA64" si="30">O53</f>
        <v>44345</v>
      </c>
      <c r="P64" s="1">
        <f t="shared" si="30"/>
        <v>44346</v>
      </c>
      <c r="Q64" s="1">
        <f t="shared" si="30"/>
        <v>44347</v>
      </c>
      <c r="R64" s="1">
        <f t="shared" si="30"/>
        <v>44348</v>
      </c>
      <c r="S64" s="1">
        <f t="shared" si="30"/>
        <v>44349</v>
      </c>
      <c r="T64" s="1">
        <f t="shared" si="30"/>
        <v>44350</v>
      </c>
      <c r="U64" s="1">
        <f t="shared" si="30"/>
        <v>44351</v>
      </c>
      <c r="V64" s="1">
        <f t="shared" si="30"/>
        <v>44352</v>
      </c>
      <c r="W64" s="1">
        <f t="shared" si="30"/>
        <v>44353</v>
      </c>
      <c r="X64" s="1">
        <f t="shared" si="30"/>
        <v>44354</v>
      </c>
      <c r="Y64" s="1">
        <f t="shared" si="30"/>
        <v>44355</v>
      </c>
      <c r="Z64" s="1">
        <f t="shared" si="30"/>
        <v>44356</v>
      </c>
      <c r="AA64" s="1">
        <f t="shared" si="30"/>
        <v>44357</v>
      </c>
      <c r="AB64" s="1">
        <f t="shared" ref="AB64:BZ64" si="31">AB53</f>
        <v>44358</v>
      </c>
      <c r="AC64" s="1">
        <f t="shared" si="31"/>
        <v>44359</v>
      </c>
      <c r="AD64" s="1">
        <f t="shared" si="31"/>
        <v>44360</v>
      </c>
      <c r="AE64" s="1">
        <f t="shared" si="31"/>
        <v>44361</v>
      </c>
      <c r="AF64" s="1">
        <f t="shared" si="31"/>
        <v>44362</v>
      </c>
      <c r="AG64" s="1">
        <f t="shared" si="31"/>
        <v>44363</v>
      </c>
      <c r="AH64" s="1">
        <f t="shared" si="31"/>
        <v>44364</v>
      </c>
      <c r="AI64" s="1">
        <f t="shared" si="31"/>
        <v>44365</v>
      </c>
      <c r="AJ64" s="1">
        <f t="shared" si="31"/>
        <v>44366</v>
      </c>
      <c r="AK64" s="1">
        <f t="shared" si="31"/>
        <v>44367</v>
      </c>
      <c r="AL64" s="1">
        <f t="shared" si="31"/>
        <v>44368</v>
      </c>
      <c r="AM64" s="1">
        <f t="shared" si="31"/>
        <v>44369</v>
      </c>
      <c r="AN64" s="1">
        <f t="shared" si="31"/>
        <v>44370</v>
      </c>
      <c r="AO64" s="1">
        <f t="shared" si="31"/>
        <v>44371</v>
      </c>
      <c r="AP64" s="1">
        <f t="shared" si="31"/>
        <v>44372</v>
      </c>
      <c r="AQ64" s="1">
        <f t="shared" si="31"/>
        <v>44373</v>
      </c>
      <c r="AR64" s="1">
        <f t="shared" si="31"/>
        <v>44374</v>
      </c>
      <c r="AS64" s="1">
        <f t="shared" si="31"/>
        <v>44375</v>
      </c>
      <c r="AT64" s="1">
        <f t="shared" si="31"/>
        <v>44376</v>
      </c>
      <c r="AU64" s="1">
        <f t="shared" si="31"/>
        <v>44377</v>
      </c>
      <c r="AV64" s="1">
        <f t="shared" si="31"/>
        <v>44378</v>
      </c>
      <c r="AW64" s="1">
        <f t="shared" si="31"/>
        <v>44379</v>
      </c>
      <c r="AX64" s="1">
        <f t="shared" si="31"/>
        <v>44380</v>
      </c>
      <c r="AY64" s="1">
        <f t="shared" si="31"/>
        <v>44381</v>
      </c>
      <c r="AZ64" s="1">
        <f t="shared" si="31"/>
        <v>44382</v>
      </c>
      <c r="BA64" s="1">
        <f t="shared" si="31"/>
        <v>44383</v>
      </c>
      <c r="BB64" s="1">
        <f t="shared" si="31"/>
        <v>44384</v>
      </c>
      <c r="BC64" s="1">
        <f t="shared" si="31"/>
        <v>44385</v>
      </c>
      <c r="BD64" s="1">
        <f t="shared" si="31"/>
        <v>44386</v>
      </c>
      <c r="BE64" s="1">
        <f t="shared" si="31"/>
        <v>44387</v>
      </c>
      <c r="BF64" s="1">
        <f t="shared" si="31"/>
        <v>44388</v>
      </c>
      <c r="BG64" s="1">
        <f t="shared" si="31"/>
        <v>44389</v>
      </c>
      <c r="BH64" s="1">
        <f t="shared" si="31"/>
        <v>44390</v>
      </c>
      <c r="BI64" s="1">
        <f t="shared" si="31"/>
        <v>44391</v>
      </c>
      <c r="BJ64" s="1">
        <f t="shared" si="31"/>
        <v>44392</v>
      </c>
      <c r="BK64" s="1">
        <f t="shared" si="31"/>
        <v>44393</v>
      </c>
      <c r="BL64" s="1">
        <f t="shared" si="31"/>
        <v>44394</v>
      </c>
      <c r="BM64" s="1">
        <f t="shared" si="31"/>
        <v>44395</v>
      </c>
      <c r="BN64" s="1">
        <f t="shared" si="31"/>
        <v>44396</v>
      </c>
      <c r="BO64" s="1">
        <f t="shared" si="31"/>
        <v>44397</v>
      </c>
      <c r="BP64" s="1">
        <f t="shared" si="31"/>
        <v>44398</v>
      </c>
      <c r="BQ64" s="1">
        <f t="shared" si="31"/>
        <v>44399</v>
      </c>
      <c r="BR64" s="1">
        <f t="shared" si="31"/>
        <v>44400</v>
      </c>
      <c r="BS64" s="1">
        <f t="shared" si="31"/>
        <v>44401</v>
      </c>
      <c r="BT64" s="1">
        <f t="shared" si="31"/>
        <v>44402</v>
      </c>
      <c r="BU64" s="1">
        <f t="shared" si="31"/>
        <v>44403</v>
      </c>
      <c r="BV64" s="1">
        <f t="shared" si="31"/>
        <v>44404</v>
      </c>
      <c r="BW64" s="1">
        <f t="shared" si="31"/>
        <v>44405</v>
      </c>
      <c r="BX64" s="1">
        <f t="shared" si="31"/>
        <v>44406</v>
      </c>
      <c r="BY64" s="1">
        <f t="shared" si="31"/>
        <v>44407</v>
      </c>
      <c r="BZ64" s="1">
        <f t="shared" si="31"/>
        <v>44408</v>
      </c>
    </row>
    <row r="65" spans="1:78" x14ac:dyDescent="0.25">
      <c r="A65">
        <v>5</v>
      </c>
      <c r="B65" t="s">
        <v>19</v>
      </c>
      <c r="C65">
        <f t="shared" ref="C65:M65" si="32">C15-ROUNDUP(C15*0.1,2)-ROUNDUP(C15*0.05,2)</f>
        <v>0.03</v>
      </c>
      <c r="D65">
        <f t="shared" si="32"/>
        <v>0.03</v>
      </c>
      <c r="E65">
        <f t="shared" si="32"/>
        <v>0.03</v>
      </c>
      <c r="F65">
        <f t="shared" si="32"/>
        <v>3.9999999999999994E-2</v>
      </c>
      <c r="G65">
        <f t="shared" si="32"/>
        <v>3.9999999999999994E-2</v>
      </c>
      <c r="H65">
        <f t="shared" si="32"/>
        <v>3.9999999999999994E-2</v>
      </c>
      <c r="I65">
        <f t="shared" si="32"/>
        <v>0.03</v>
      </c>
      <c r="J65">
        <f t="shared" si="32"/>
        <v>3.9999999999999994E-2</v>
      </c>
      <c r="K65">
        <f t="shared" si="32"/>
        <v>3.9999999999999994E-2</v>
      </c>
      <c r="L65">
        <f t="shared" si="32"/>
        <v>3.9999999999999994E-2</v>
      </c>
      <c r="M65">
        <f t="shared" si="32"/>
        <v>3.9999999999999994E-2</v>
      </c>
      <c r="N65">
        <f t="shared" ref="N65" si="33">N15-ROUNDUP(N15*0.1,2)-ROUNDUP(N15*0.05,2)</f>
        <v>3.9999999999999994E-2</v>
      </c>
      <c r="O65">
        <f t="shared" ref="O65:AA65" si="34">O15-ROUNDUP(O15*0.1,2)-ROUNDUP(O15*0.05,2)</f>
        <v>3.9999999999999994E-2</v>
      </c>
      <c r="P65">
        <f t="shared" si="34"/>
        <v>0.03</v>
      </c>
      <c r="Q65">
        <f t="shared" si="34"/>
        <v>3.9999999999999994E-2</v>
      </c>
      <c r="R65">
        <f t="shared" si="34"/>
        <v>3.9999999999999994E-2</v>
      </c>
      <c r="S65">
        <f t="shared" si="34"/>
        <v>3.9999999999999994E-2</v>
      </c>
      <c r="T65">
        <f t="shared" si="34"/>
        <v>3.9999999999999994E-2</v>
      </c>
      <c r="U65">
        <f t="shared" si="34"/>
        <v>0.05</v>
      </c>
      <c r="V65">
        <f t="shared" si="34"/>
        <v>6.0000000000000005E-2</v>
      </c>
      <c r="W65">
        <f t="shared" si="34"/>
        <v>0.05</v>
      </c>
      <c r="X65">
        <f t="shared" si="34"/>
        <v>6.0000000000000005E-2</v>
      </c>
      <c r="Y65">
        <f t="shared" si="34"/>
        <v>6.0000000000000005E-2</v>
      </c>
      <c r="Z65">
        <f t="shared" si="34"/>
        <v>6.0000000000000005E-2</v>
      </c>
      <c r="AA65">
        <f t="shared" si="34"/>
        <v>6.0000000000000005E-2</v>
      </c>
      <c r="AB65">
        <f t="shared" ref="AB65:BZ65" si="35">AB15-ROUNDUP(AB15*0.1,2)-ROUNDUP(AB15*0.05,2)</f>
        <v>6.0000000000000005E-2</v>
      </c>
      <c r="AC65">
        <f t="shared" si="35"/>
        <v>0</v>
      </c>
      <c r="AD65">
        <f t="shared" si="35"/>
        <v>0</v>
      </c>
      <c r="AE65">
        <f t="shared" si="35"/>
        <v>0</v>
      </c>
      <c r="AF65">
        <f t="shared" si="35"/>
        <v>0</v>
      </c>
      <c r="AG65">
        <f t="shared" si="35"/>
        <v>0</v>
      </c>
      <c r="AH65">
        <f t="shared" si="35"/>
        <v>0</v>
      </c>
      <c r="AI65">
        <f t="shared" si="35"/>
        <v>0</v>
      </c>
      <c r="AJ65">
        <f t="shared" si="35"/>
        <v>0</v>
      </c>
      <c r="AK65">
        <f t="shared" si="35"/>
        <v>0</v>
      </c>
      <c r="AL65">
        <f t="shared" si="35"/>
        <v>0</v>
      </c>
      <c r="AM65">
        <f t="shared" si="35"/>
        <v>0</v>
      </c>
      <c r="AN65">
        <f t="shared" si="35"/>
        <v>0</v>
      </c>
      <c r="AO65">
        <f t="shared" si="35"/>
        <v>0</v>
      </c>
      <c r="AP65">
        <f t="shared" si="35"/>
        <v>0</v>
      </c>
      <c r="AQ65">
        <f t="shared" si="35"/>
        <v>0</v>
      </c>
      <c r="AR65">
        <f t="shared" si="35"/>
        <v>0</v>
      </c>
      <c r="AS65">
        <f t="shared" si="35"/>
        <v>0</v>
      </c>
      <c r="AT65">
        <f t="shared" si="35"/>
        <v>0</v>
      </c>
      <c r="AU65">
        <f t="shared" si="35"/>
        <v>0</v>
      </c>
      <c r="AV65">
        <f t="shared" si="35"/>
        <v>0</v>
      </c>
      <c r="AW65">
        <f t="shared" si="35"/>
        <v>0</v>
      </c>
      <c r="AX65">
        <f t="shared" si="35"/>
        <v>0</v>
      </c>
      <c r="AY65">
        <f t="shared" si="35"/>
        <v>0</v>
      </c>
      <c r="AZ65">
        <f t="shared" si="35"/>
        <v>0</v>
      </c>
      <c r="BA65">
        <f t="shared" si="35"/>
        <v>0</v>
      </c>
      <c r="BB65">
        <f t="shared" si="35"/>
        <v>0</v>
      </c>
      <c r="BC65">
        <f t="shared" si="35"/>
        <v>0</v>
      </c>
      <c r="BD65">
        <f t="shared" si="35"/>
        <v>0</v>
      </c>
      <c r="BE65">
        <f t="shared" si="35"/>
        <v>0</v>
      </c>
      <c r="BF65">
        <f t="shared" si="35"/>
        <v>0</v>
      </c>
      <c r="BG65">
        <f t="shared" si="35"/>
        <v>0</v>
      </c>
      <c r="BH65">
        <f t="shared" si="35"/>
        <v>0</v>
      </c>
      <c r="BI65">
        <f t="shared" si="35"/>
        <v>0</v>
      </c>
      <c r="BJ65">
        <f t="shared" si="35"/>
        <v>0</v>
      </c>
      <c r="BK65">
        <f t="shared" si="35"/>
        <v>0</v>
      </c>
      <c r="BL65">
        <f t="shared" si="35"/>
        <v>0</v>
      </c>
      <c r="BM65">
        <f t="shared" si="35"/>
        <v>0</v>
      </c>
      <c r="BN65">
        <f t="shared" si="35"/>
        <v>0</v>
      </c>
      <c r="BO65">
        <f t="shared" si="35"/>
        <v>0</v>
      </c>
      <c r="BP65">
        <f t="shared" si="35"/>
        <v>0</v>
      </c>
      <c r="BQ65">
        <f t="shared" si="35"/>
        <v>0</v>
      </c>
      <c r="BR65">
        <f t="shared" si="35"/>
        <v>0</v>
      </c>
      <c r="BS65">
        <f t="shared" si="35"/>
        <v>0</v>
      </c>
      <c r="BT65">
        <f t="shared" si="35"/>
        <v>0</v>
      </c>
      <c r="BU65">
        <f t="shared" si="35"/>
        <v>0</v>
      </c>
      <c r="BV65">
        <f t="shared" si="35"/>
        <v>0</v>
      </c>
      <c r="BW65">
        <f t="shared" si="35"/>
        <v>0</v>
      </c>
      <c r="BX65">
        <f t="shared" si="35"/>
        <v>0</v>
      </c>
      <c r="BY65">
        <f t="shared" si="35"/>
        <v>0</v>
      </c>
      <c r="BZ65">
        <f t="shared" si="35"/>
        <v>0</v>
      </c>
    </row>
    <row r="66" spans="1:78" x14ac:dyDescent="0.25">
      <c r="A66">
        <v>16</v>
      </c>
      <c r="B66" t="s">
        <v>20</v>
      </c>
      <c r="C66">
        <f t="shared" ref="C66:M66" si="36">C16-ROUNDUP(C16*0.1,2)-ROUNDUP(C16*0.05,2)</f>
        <v>0.05</v>
      </c>
      <c r="D66">
        <f t="shared" si="36"/>
        <v>0.05</v>
      </c>
      <c r="E66">
        <f t="shared" si="36"/>
        <v>0.05</v>
      </c>
      <c r="F66">
        <f t="shared" si="36"/>
        <v>0.05</v>
      </c>
      <c r="G66">
        <f t="shared" si="36"/>
        <v>0.05</v>
      </c>
      <c r="H66">
        <f t="shared" si="36"/>
        <v>0.05</v>
      </c>
      <c r="I66">
        <f t="shared" si="36"/>
        <v>0.05</v>
      </c>
      <c r="J66">
        <f t="shared" si="36"/>
        <v>0.05</v>
      </c>
      <c r="K66">
        <f t="shared" si="36"/>
        <v>0.05</v>
      </c>
      <c r="L66">
        <f t="shared" si="36"/>
        <v>0.05</v>
      </c>
      <c r="M66">
        <f t="shared" si="36"/>
        <v>0.05</v>
      </c>
      <c r="N66">
        <f t="shared" ref="N66" si="37">N16-ROUNDUP(N16*0.1,2)-ROUNDUP(N16*0.05,2)</f>
        <v>0.05</v>
      </c>
      <c r="O66">
        <f t="shared" ref="O66:AA66" si="38">O16-ROUNDUP(O16*0.1,2)-ROUNDUP(O16*0.05,2)</f>
        <v>0.05</v>
      </c>
      <c r="P66">
        <f t="shared" si="38"/>
        <v>0.05</v>
      </c>
      <c r="Q66">
        <f t="shared" si="38"/>
        <v>0.05</v>
      </c>
      <c r="R66">
        <f t="shared" si="38"/>
        <v>6.0000000000000005E-2</v>
      </c>
      <c r="S66">
        <f t="shared" si="38"/>
        <v>6.0000000000000005E-2</v>
      </c>
      <c r="T66">
        <f t="shared" si="38"/>
        <v>6.0000000000000005E-2</v>
      </c>
      <c r="U66">
        <f t="shared" si="38"/>
        <v>7.0000000000000007E-2</v>
      </c>
      <c r="V66">
        <f t="shared" si="38"/>
        <v>0.09</v>
      </c>
      <c r="W66">
        <f t="shared" si="38"/>
        <v>8.0000000000000016E-2</v>
      </c>
      <c r="X66">
        <f t="shared" si="38"/>
        <v>8.0000000000000016E-2</v>
      </c>
      <c r="Y66">
        <f t="shared" si="38"/>
        <v>7.0000000000000007E-2</v>
      </c>
      <c r="Z66">
        <f t="shared" si="38"/>
        <v>8.0000000000000016E-2</v>
      </c>
      <c r="AA66">
        <f t="shared" si="38"/>
        <v>7.0000000000000007E-2</v>
      </c>
      <c r="AB66">
        <f t="shared" ref="AB66:BZ66" si="39">AB16-ROUNDUP(AB16*0.1,2)-ROUNDUP(AB16*0.05,2)</f>
        <v>7.0000000000000007E-2</v>
      </c>
      <c r="AC66">
        <f t="shared" si="39"/>
        <v>0</v>
      </c>
      <c r="AD66">
        <f t="shared" si="39"/>
        <v>0</v>
      </c>
      <c r="AE66">
        <f t="shared" si="39"/>
        <v>0</v>
      </c>
      <c r="AF66">
        <f t="shared" si="39"/>
        <v>0</v>
      </c>
      <c r="AG66">
        <f t="shared" si="39"/>
        <v>0</v>
      </c>
      <c r="AH66">
        <f t="shared" si="39"/>
        <v>0</v>
      </c>
      <c r="AI66">
        <f t="shared" si="39"/>
        <v>0</v>
      </c>
      <c r="AJ66">
        <f t="shared" si="39"/>
        <v>0</v>
      </c>
      <c r="AK66">
        <f t="shared" si="39"/>
        <v>0</v>
      </c>
      <c r="AL66">
        <f t="shared" si="39"/>
        <v>0</v>
      </c>
      <c r="AM66">
        <f t="shared" si="39"/>
        <v>0</v>
      </c>
      <c r="AN66">
        <f t="shared" si="39"/>
        <v>0</v>
      </c>
      <c r="AO66">
        <f t="shared" si="39"/>
        <v>0</v>
      </c>
      <c r="AP66">
        <f t="shared" si="39"/>
        <v>0</v>
      </c>
      <c r="AQ66">
        <f t="shared" si="39"/>
        <v>0</v>
      </c>
      <c r="AR66">
        <f t="shared" si="39"/>
        <v>0</v>
      </c>
      <c r="AS66">
        <f t="shared" si="39"/>
        <v>0</v>
      </c>
      <c r="AT66">
        <f t="shared" si="39"/>
        <v>0</v>
      </c>
      <c r="AU66">
        <f t="shared" si="39"/>
        <v>0</v>
      </c>
      <c r="AV66">
        <f t="shared" si="39"/>
        <v>0</v>
      </c>
      <c r="AW66">
        <f t="shared" si="39"/>
        <v>0</v>
      </c>
      <c r="AX66">
        <f t="shared" si="39"/>
        <v>0</v>
      </c>
      <c r="AY66">
        <f t="shared" si="39"/>
        <v>0</v>
      </c>
      <c r="AZ66">
        <f t="shared" si="39"/>
        <v>0</v>
      </c>
      <c r="BA66">
        <f t="shared" si="39"/>
        <v>0</v>
      </c>
      <c r="BB66">
        <f t="shared" si="39"/>
        <v>0</v>
      </c>
      <c r="BC66">
        <f t="shared" si="39"/>
        <v>0</v>
      </c>
      <c r="BD66">
        <f t="shared" si="39"/>
        <v>0</v>
      </c>
      <c r="BE66">
        <f t="shared" si="39"/>
        <v>0</v>
      </c>
      <c r="BF66">
        <f t="shared" si="39"/>
        <v>0</v>
      </c>
      <c r="BG66">
        <f t="shared" si="39"/>
        <v>0</v>
      </c>
      <c r="BH66">
        <f t="shared" si="39"/>
        <v>0</v>
      </c>
      <c r="BI66">
        <f t="shared" si="39"/>
        <v>0</v>
      </c>
      <c r="BJ66">
        <f t="shared" si="39"/>
        <v>0</v>
      </c>
      <c r="BK66">
        <f t="shared" si="39"/>
        <v>0</v>
      </c>
      <c r="BL66">
        <f t="shared" si="39"/>
        <v>0</v>
      </c>
      <c r="BM66">
        <f t="shared" si="39"/>
        <v>0</v>
      </c>
      <c r="BN66">
        <f t="shared" si="39"/>
        <v>0</v>
      </c>
      <c r="BO66">
        <f t="shared" si="39"/>
        <v>0</v>
      </c>
      <c r="BP66">
        <f t="shared" si="39"/>
        <v>0</v>
      </c>
      <c r="BQ66">
        <f t="shared" si="39"/>
        <v>0</v>
      </c>
      <c r="BR66">
        <f t="shared" si="39"/>
        <v>0</v>
      </c>
      <c r="BS66">
        <f t="shared" si="39"/>
        <v>0</v>
      </c>
      <c r="BT66">
        <f t="shared" si="39"/>
        <v>0</v>
      </c>
      <c r="BU66">
        <f t="shared" si="39"/>
        <v>0</v>
      </c>
      <c r="BV66">
        <f t="shared" si="39"/>
        <v>0</v>
      </c>
      <c r="BW66">
        <f t="shared" si="39"/>
        <v>0</v>
      </c>
      <c r="BX66">
        <f t="shared" si="39"/>
        <v>0</v>
      </c>
      <c r="BY66">
        <f t="shared" si="39"/>
        <v>0</v>
      </c>
      <c r="BZ66">
        <f t="shared" si="39"/>
        <v>0</v>
      </c>
    </row>
    <row r="67" spans="1:78" x14ac:dyDescent="0.25">
      <c r="A67">
        <v>3</v>
      </c>
      <c r="B67" t="s">
        <v>21</v>
      </c>
      <c r="C67">
        <f t="shared" ref="C67:M67" si="40">C17-ROUNDUP(C17*0.1,2)-ROUNDUP(C17*0.05,2)</f>
        <v>0.28999999999999998</v>
      </c>
      <c r="D67">
        <f t="shared" si="40"/>
        <v>0.28999999999999998</v>
      </c>
      <c r="E67">
        <f t="shared" si="40"/>
        <v>0.28999999999999998</v>
      </c>
      <c r="F67">
        <f t="shared" si="40"/>
        <v>0.25</v>
      </c>
      <c r="G67">
        <f t="shared" si="40"/>
        <v>0.25</v>
      </c>
      <c r="H67">
        <f t="shared" si="40"/>
        <v>0.28000000000000003</v>
      </c>
      <c r="I67">
        <f t="shared" si="40"/>
        <v>0.25</v>
      </c>
      <c r="J67">
        <f t="shared" si="40"/>
        <v>0.25</v>
      </c>
      <c r="K67">
        <f t="shared" si="40"/>
        <v>0.25</v>
      </c>
      <c r="L67">
        <f t="shared" si="40"/>
        <v>0.25</v>
      </c>
      <c r="M67">
        <f t="shared" si="40"/>
        <v>0.25</v>
      </c>
      <c r="N67">
        <f t="shared" ref="N67" si="41">N17-ROUNDUP(N17*0.1,2)-ROUNDUP(N17*0.05,2)</f>
        <v>0.25</v>
      </c>
      <c r="O67">
        <f t="shared" ref="O67:AA67" si="42">O17-ROUNDUP(O17*0.1,2)-ROUNDUP(O17*0.05,2)</f>
        <v>0.26</v>
      </c>
      <c r="P67">
        <f t="shared" si="42"/>
        <v>0.26</v>
      </c>
      <c r="Q67">
        <f t="shared" si="42"/>
        <v>0.28000000000000003</v>
      </c>
      <c r="R67">
        <f t="shared" si="42"/>
        <v>0.25</v>
      </c>
      <c r="S67">
        <f t="shared" si="42"/>
        <v>0.26</v>
      </c>
      <c r="T67">
        <f t="shared" si="42"/>
        <v>0.25</v>
      </c>
      <c r="U67">
        <f t="shared" si="42"/>
        <v>0.28999999999999998</v>
      </c>
      <c r="V67">
        <f t="shared" si="42"/>
        <v>0.28999999999999998</v>
      </c>
      <c r="W67">
        <f t="shared" si="42"/>
        <v>0.26</v>
      </c>
      <c r="X67">
        <f t="shared" si="42"/>
        <v>0.26</v>
      </c>
      <c r="Y67">
        <f t="shared" si="42"/>
        <v>0.25</v>
      </c>
      <c r="Z67">
        <f t="shared" si="42"/>
        <v>0.25</v>
      </c>
      <c r="AA67">
        <f t="shared" si="42"/>
        <v>0.25</v>
      </c>
      <c r="AB67">
        <f t="shared" ref="AB67:BZ67" si="43">AB17-ROUNDUP(AB17*0.1,2)-ROUNDUP(AB17*0.05,2)</f>
        <v>0.25</v>
      </c>
      <c r="AC67">
        <f t="shared" si="43"/>
        <v>0</v>
      </c>
      <c r="AD67">
        <f t="shared" si="43"/>
        <v>0</v>
      </c>
      <c r="AE67">
        <f t="shared" si="43"/>
        <v>0</v>
      </c>
      <c r="AF67">
        <f t="shared" si="43"/>
        <v>0</v>
      </c>
      <c r="AG67">
        <f t="shared" si="43"/>
        <v>0</v>
      </c>
      <c r="AH67">
        <f t="shared" si="43"/>
        <v>0</v>
      </c>
      <c r="AI67">
        <f t="shared" si="43"/>
        <v>0</v>
      </c>
      <c r="AJ67">
        <f t="shared" si="43"/>
        <v>0</v>
      </c>
      <c r="AK67">
        <f t="shared" si="43"/>
        <v>0</v>
      </c>
      <c r="AL67">
        <f t="shared" si="43"/>
        <v>0</v>
      </c>
      <c r="AM67">
        <f t="shared" si="43"/>
        <v>0</v>
      </c>
      <c r="AN67">
        <f t="shared" si="43"/>
        <v>0</v>
      </c>
      <c r="AO67">
        <f t="shared" si="43"/>
        <v>0</v>
      </c>
      <c r="AP67">
        <f t="shared" si="43"/>
        <v>0</v>
      </c>
      <c r="AQ67">
        <f t="shared" si="43"/>
        <v>0</v>
      </c>
      <c r="AR67">
        <f t="shared" si="43"/>
        <v>0</v>
      </c>
      <c r="AS67">
        <f t="shared" si="43"/>
        <v>0</v>
      </c>
      <c r="AT67">
        <f t="shared" si="43"/>
        <v>0</v>
      </c>
      <c r="AU67">
        <f t="shared" si="43"/>
        <v>0</v>
      </c>
      <c r="AV67">
        <f t="shared" si="43"/>
        <v>0</v>
      </c>
      <c r="AW67">
        <f t="shared" si="43"/>
        <v>0</v>
      </c>
      <c r="AX67">
        <f t="shared" si="43"/>
        <v>0</v>
      </c>
      <c r="AY67">
        <f t="shared" si="43"/>
        <v>0</v>
      </c>
      <c r="AZ67">
        <f t="shared" si="43"/>
        <v>0</v>
      </c>
      <c r="BA67">
        <f t="shared" si="43"/>
        <v>0</v>
      </c>
      <c r="BB67">
        <f t="shared" si="43"/>
        <v>0</v>
      </c>
      <c r="BC67">
        <f t="shared" si="43"/>
        <v>0</v>
      </c>
      <c r="BD67">
        <f t="shared" si="43"/>
        <v>0</v>
      </c>
      <c r="BE67">
        <f t="shared" si="43"/>
        <v>0</v>
      </c>
      <c r="BF67">
        <f t="shared" si="43"/>
        <v>0</v>
      </c>
      <c r="BG67">
        <f t="shared" si="43"/>
        <v>0</v>
      </c>
      <c r="BH67">
        <f t="shared" si="43"/>
        <v>0</v>
      </c>
      <c r="BI67">
        <f t="shared" si="43"/>
        <v>0</v>
      </c>
      <c r="BJ67">
        <f t="shared" si="43"/>
        <v>0</v>
      </c>
      <c r="BK67">
        <f t="shared" si="43"/>
        <v>0</v>
      </c>
      <c r="BL67">
        <f t="shared" si="43"/>
        <v>0</v>
      </c>
      <c r="BM67">
        <f t="shared" si="43"/>
        <v>0</v>
      </c>
      <c r="BN67">
        <f t="shared" si="43"/>
        <v>0</v>
      </c>
      <c r="BO67">
        <f t="shared" si="43"/>
        <v>0</v>
      </c>
      <c r="BP67">
        <f t="shared" si="43"/>
        <v>0</v>
      </c>
      <c r="BQ67">
        <f t="shared" si="43"/>
        <v>0</v>
      </c>
      <c r="BR67">
        <f t="shared" si="43"/>
        <v>0</v>
      </c>
      <c r="BS67">
        <f t="shared" si="43"/>
        <v>0</v>
      </c>
      <c r="BT67">
        <f t="shared" si="43"/>
        <v>0</v>
      </c>
      <c r="BU67">
        <f t="shared" si="43"/>
        <v>0</v>
      </c>
      <c r="BV67">
        <f t="shared" si="43"/>
        <v>0</v>
      </c>
      <c r="BW67">
        <f t="shared" si="43"/>
        <v>0</v>
      </c>
      <c r="BX67">
        <f t="shared" si="43"/>
        <v>0</v>
      </c>
      <c r="BY67">
        <f t="shared" si="43"/>
        <v>0</v>
      </c>
      <c r="BZ67">
        <f t="shared" si="43"/>
        <v>0</v>
      </c>
    </row>
    <row r="68" spans="1:78" x14ac:dyDescent="0.25">
      <c r="A68">
        <v>16</v>
      </c>
      <c r="B68" t="s">
        <v>22</v>
      </c>
      <c r="C68">
        <f t="shared" ref="C68:M68" si="44">C18-ROUNDUP(C18*0.1,2)-ROUNDUP(C18*0.05,2)</f>
        <v>0.05</v>
      </c>
      <c r="D68">
        <f t="shared" si="44"/>
        <v>0.05</v>
      </c>
      <c r="E68">
        <f t="shared" si="44"/>
        <v>0.05</v>
      </c>
      <c r="F68">
        <f t="shared" si="44"/>
        <v>0.05</v>
      </c>
      <c r="G68">
        <f t="shared" si="44"/>
        <v>0.05</v>
      </c>
      <c r="H68">
        <f t="shared" si="44"/>
        <v>0.05</v>
      </c>
      <c r="I68">
        <f t="shared" si="44"/>
        <v>0.05</v>
      </c>
      <c r="J68">
        <f t="shared" si="44"/>
        <v>0.05</v>
      </c>
      <c r="K68">
        <f t="shared" si="44"/>
        <v>0.05</v>
      </c>
      <c r="L68">
        <f t="shared" si="44"/>
        <v>0.05</v>
      </c>
      <c r="M68">
        <f t="shared" si="44"/>
        <v>0.05</v>
      </c>
      <c r="N68">
        <f t="shared" ref="N68" si="45">N18-ROUNDUP(N18*0.1,2)-ROUNDUP(N18*0.05,2)</f>
        <v>3.9999999999999994E-2</v>
      </c>
      <c r="O68">
        <f t="shared" ref="O68:AA68" si="46">O18-ROUNDUP(O18*0.1,2)-ROUNDUP(O18*0.05,2)</f>
        <v>3.9999999999999994E-2</v>
      </c>
      <c r="P68">
        <f t="shared" si="46"/>
        <v>0.05</v>
      </c>
      <c r="Q68">
        <f t="shared" si="46"/>
        <v>0.05</v>
      </c>
      <c r="R68">
        <f t="shared" si="46"/>
        <v>0.05</v>
      </c>
      <c r="S68">
        <f t="shared" si="46"/>
        <v>0.05</v>
      </c>
      <c r="T68">
        <f t="shared" si="46"/>
        <v>0.05</v>
      </c>
      <c r="U68">
        <f t="shared" si="46"/>
        <v>6.0000000000000005E-2</v>
      </c>
      <c r="V68">
        <f t="shared" si="46"/>
        <v>7.0000000000000007E-2</v>
      </c>
      <c r="W68">
        <f t="shared" si="46"/>
        <v>6.0000000000000005E-2</v>
      </c>
      <c r="X68">
        <f t="shared" si="46"/>
        <v>7.0000000000000007E-2</v>
      </c>
      <c r="Y68">
        <f t="shared" si="46"/>
        <v>7.0000000000000007E-2</v>
      </c>
      <c r="Z68">
        <f t="shared" si="46"/>
        <v>6.0000000000000005E-2</v>
      </c>
      <c r="AA68">
        <f t="shared" si="46"/>
        <v>7.0000000000000007E-2</v>
      </c>
      <c r="AB68">
        <f t="shared" ref="AB68:BZ68" si="47">AB18-ROUNDUP(AB18*0.1,2)-ROUNDUP(AB18*0.05,2)</f>
        <v>7.0000000000000007E-2</v>
      </c>
      <c r="AC68">
        <f t="shared" si="47"/>
        <v>0</v>
      </c>
      <c r="AD68">
        <f t="shared" si="47"/>
        <v>0</v>
      </c>
      <c r="AE68">
        <f t="shared" si="47"/>
        <v>0</v>
      </c>
      <c r="AF68">
        <f t="shared" si="47"/>
        <v>0</v>
      </c>
      <c r="AG68">
        <f t="shared" si="47"/>
        <v>0</v>
      </c>
      <c r="AH68">
        <f t="shared" si="47"/>
        <v>0</v>
      </c>
      <c r="AI68">
        <f t="shared" si="47"/>
        <v>0</v>
      </c>
      <c r="AJ68">
        <f t="shared" si="47"/>
        <v>0</v>
      </c>
      <c r="AK68">
        <f t="shared" si="47"/>
        <v>0</v>
      </c>
      <c r="AL68">
        <f t="shared" si="47"/>
        <v>0</v>
      </c>
      <c r="AM68">
        <f t="shared" si="47"/>
        <v>0</v>
      </c>
      <c r="AN68">
        <f t="shared" si="47"/>
        <v>0</v>
      </c>
      <c r="AO68">
        <f t="shared" si="47"/>
        <v>0</v>
      </c>
      <c r="AP68">
        <f t="shared" si="47"/>
        <v>0</v>
      </c>
      <c r="AQ68">
        <f t="shared" si="47"/>
        <v>0</v>
      </c>
      <c r="AR68">
        <f t="shared" si="47"/>
        <v>0</v>
      </c>
      <c r="AS68">
        <f t="shared" si="47"/>
        <v>0</v>
      </c>
      <c r="AT68">
        <f t="shared" si="47"/>
        <v>0</v>
      </c>
      <c r="AU68">
        <f t="shared" si="47"/>
        <v>0</v>
      </c>
      <c r="AV68">
        <f t="shared" si="47"/>
        <v>0</v>
      </c>
      <c r="AW68">
        <f t="shared" si="47"/>
        <v>0</v>
      </c>
      <c r="AX68">
        <f t="shared" si="47"/>
        <v>0</v>
      </c>
      <c r="AY68">
        <f t="shared" si="47"/>
        <v>0</v>
      </c>
      <c r="AZ68">
        <f t="shared" si="47"/>
        <v>0</v>
      </c>
      <c r="BA68">
        <f t="shared" si="47"/>
        <v>0</v>
      </c>
      <c r="BB68">
        <f t="shared" si="47"/>
        <v>0</v>
      </c>
      <c r="BC68">
        <f t="shared" si="47"/>
        <v>0</v>
      </c>
      <c r="BD68">
        <f t="shared" si="47"/>
        <v>0</v>
      </c>
      <c r="BE68">
        <f t="shared" si="47"/>
        <v>0</v>
      </c>
      <c r="BF68">
        <f t="shared" si="47"/>
        <v>0</v>
      </c>
      <c r="BG68">
        <f t="shared" si="47"/>
        <v>0</v>
      </c>
      <c r="BH68">
        <f t="shared" si="47"/>
        <v>0</v>
      </c>
      <c r="BI68">
        <f t="shared" si="47"/>
        <v>0</v>
      </c>
      <c r="BJ68">
        <f t="shared" si="47"/>
        <v>0</v>
      </c>
      <c r="BK68">
        <f t="shared" si="47"/>
        <v>0</v>
      </c>
      <c r="BL68">
        <f t="shared" si="47"/>
        <v>0</v>
      </c>
      <c r="BM68">
        <f t="shared" si="47"/>
        <v>0</v>
      </c>
      <c r="BN68">
        <f t="shared" si="47"/>
        <v>0</v>
      </c>
      <c r="BO68">
        <f t="shared" si="47"/>
        <v>0</v>
      </c>
      <c r="BP68">
        <f t="shared" si="47"/>
        <v>0</v>
      </c>
      <c r="BQ68">
        <f t="shared" si="47"/>
        <v>0</v>
      </c>
      <c r="BR68">
        <f t="shared" si="47"/>
        <v>0</v>
      </c>
      <c r="BS68">
        <f t="shared" si="47"/>
        <v>0</v>
      </c>
      <c r="BT68">
        <f t="shared" si="47"/>
        <v>0</v>
      </c>
      <c r="BU68">
        <f t="shared" si="47"/>
        <v>0</v>
      </c>
      <c r="BV68">
        <f t="shared" si="47"/>
        <v>0</v>
      </c>
      <c r="BW68">
        <f t="shared" si="47"/>
        <v>0</v>
      </c>
      <c r="BX68">
        <f t="shared" si="47"/>
        <v>0</v>
      </c>
      <c r="BY68">
        <f t="shared" si="47"/>
        <v>0</v>
      </c>
      <c r="BZ68">
        <f t="shared" si="47"/>
        <v>0</v>
      </c>
    </row>
    <row r="69" spans="1:78" x14ac:dyDescent="0.25">
      <c r="A69">
        <v>19</v>
      </c>
      <c r="B69" t="s">
        <v>23</v>
      </c>
      <c r="C69">
        <f t="shared" ref="C69:M69" si="48">C19-ROUNDUP(C19*0.1,2)-ROUNDUP(C19*0.05,2)</f>
        <v>0.16</v>
      </c>
      <c r="D69">
        <f t="shared" si="48"/>
        <v>0.16</v>
      </c>
      <c r="E69">
        <f t="shared" si="48"/>
        <v>0.16</v>
      </c>
      <c r="F69">
        <f t="shared" si="48"/>
        <v>0.16</v>
      </c>
      <c r="G69">
        <f t="shared" si="48"/>
        <v>0.16</v>
      </c>
      <c r="H69">
        <f t="shared" si="48"/>
        <v>0.16</v>
      </c>
      <c r="I69">
        <f t="shared" si="48"/>
        <v>0.16</v>
      </c>
      <c r="J69">
        <f t="shared" si="48"/>
        <v>0.16</v>
      </c>
      <c r="K69">
        <f t="shared" si="48"/>
        <v>0.16</v>
      </c>
      <c r="L69">
        <f t="shared" si="48"/>
        <v>0.17</v>
      </c>
      <c r="M69">
        <f t="shared" si="48"/>
        <v>0.17</v>
      </c>
      <c r="N69">
        <f t="shared" ref="N69" si="49">N19-ROUNDUP(N19*0.1,2)-ROUNDUP(N19*0.05,2)</f>
        <v>0.16</v>
      </c>
      <c r="O69">
        <f t="shared" ref="O69:AA69" si="50">O19-ROUNDUP(O19*0.1,2)-ROUNDUP(O19*0.05,2)</f>
        <v>0.16</v>
      </c>
      <c r="P69">
        <f t="shared" si="50"/>
        <v>0.19</v>
      </c>
      <c r="Q69">
        <f t="shared" si="50"/>
        <v>0.19</v>
      </c>
      <c r="R69">
        <f t="shared" si="50"/>
        <v>0.19</v>
      </c>
      <c r="S69">
        <f t="shared" si="50"/>
        <v>0.21000000000000002</v>
      </c>
      <c r="T69">
        <f t="shared" si="50"/>
        <v>0.22000000000000003</v>
      </c>
      <c r="U69">
        <f t="shared" si="50"/>
        <v>0.28000000000000003</v>
      </c>
      <c r="V69">
        <f t="shared" si="50"/>
        <v>0.35</v>
      </c>
      <c r="W69">
        <f t="shared" si="50"/>
        <v>0.25</v>
      </c>
      <c r="X69">
        <f t="shared" si="50"/>
        <v>0.25</v>
      </c>
      <c r="Y69">
        <f t="shared" si="50"/>
        <v>0.28000000000000003</v>
      </c>
      <c r="Z69">
        <f t="shared" si="50"/>
        <v>0.25</v>
      </c>
      <c r="AA69">
        <f t="shared" si="50"/>
        <v>0.3</v>
      </c>
      <c r="AB69">
        <f t="shared" ref="AB69:BZ69" si="51">AB19-ROUNDUP(AB19*0.1,2)-ROUNDUP(AB19*0.05,2)</f>
        <v>0.32</v>
      </c>
      <c r="AC69">
        <f t="shared" si="51"/>
        <v>0</v>
      </c>
      <c r="AD69">
        <f t="shared" si="51"/>
        <v>0</v>
      </c>
      <c r="AE69">
        <f t="shared" si="51"/>
        <v>0</v>
      </c>
      <c r="AF69">
        <f t="shared" si="51"/>
        <v>0</v>
      </c>
      <c r="AG69">
        <f t="shared" si="51"/>
        <v>0</v>
      </c>
      <c r="AH69">
        <f t="shared" si="51"/>
        <v>0</v>
      </c>
      <c r="AI69">
        <f t="shared" si="51"/>
        <v>0</v>
      </c>
      <c r="AJ69">
        <f t="shared" si="51"/>
        <v>0</v>
      </c>
      <c r="AK69">
        <f t="shared" si="51"/>
        <v>0</v>
      </c>
      <c r="AL69">
        <f t="shared" si="51"/>
        <v>0</v>
      </c>
      <c r="AM69">
        <f t="shared" si="51"/>
        <v>0</v>
      </c>
      <c r="AN69">
        <f t="shared" si="51"/>
        <v>0</v>
      </c>
      <c r="AO69">
        <f t="shared" si="51"/>
        <v>0</v>
      </c>
      <c r="AP69">
        <f t="shared" si="51"/>
        <v>0</v>
      </c>
      <c r="AQ69">
        <f t="shared" si="51"/>
        <v>0</v>
      </c>
      <c r="AR69">
        <f t="shared" si="51"/>
        <v>0</v>
      </c>
      <c r="AS69">
        <f t="shared" si="51"/>
        <v>0</v>
      </c>
      <c r="AT69">
        <f t="shared" si="51"/>
        <v>0</v>
      </c>
      <c r="AU69">
        <f t="shared" si="51"/>
        <v>0</v>
      </c>
      <c r="AV69">
        <f t="shared" si="51"/>
        <v>0</v>
      </c>
      <c r="AW69">
        <f t="shared" si="51"/>
        <v>0</v>
      </c>
      <c r="AX69">
        <f t="shared" si="51"/>
        <v>0</v>
      </c>
      <c r="AY69">
        <f t="shared" si="51"/>
        <v>0</v>
      </c>
      <c r="AZ69">
        <f t="shared" si="51"/>
        <v>0</v>
      </c>
      <c r="BA69">
        <f t="shared" si="51"/>
        <v>0</v>
      </c>
      <c r="BB69">
        <f t="shared" si="51"/>
        <v>0</v>
      </c>
      <c r="BC69">
        <f t="shared" si="51"/>
        <v>0</v>
      </c>
      <c r="BD69">
        <f t="shared" si="51"/>
        <v>0</v>
      </c>
      <c r="BE69">
        <f t="shared" si="51"/>
        <v>0</v>
      </c>
      <c r="BF69">
        <f t="shared" si="51"/>
        <v>0</v>
      </c>
      <c r="BG69">
        <f t="shared" si="51"/>
        <v>0</v>
      </c>
      <c r="BH69">
        <f t="shared" si="51"/>
        <v>0</v>
      </c>
      <c r="BI69">
        <f t="shared" si="51"/>
        <v>0</v>
      </c>
      <c r="BJ69">
        <f t="shared" si="51"/>
        <v>0</v>
      </c>
      <c r="BK69">
        <f t="shared" si="51"/>
        <v>0</v>
      </c>
      <c r="BL69">
        <f t="shared" si="51"/>
        <v>0</v>
      </c>
      <c r="BM69">
        <f t="shared" si="51"/>
        <v>0</v>
      </c>
      <c r="BN69">
        <f t="shared" si="51"/>
        <v>0</v>
      </c>
      <c r="BO69">
        <f t="shared" si="51"/>
        <v>0</v>
      </c>
      <c r="BP69">
        <f t="shared" si="51"/>
        <v>0</v>
      </c>
      <c r="BQ69">
        <f t="shared" si="51"/>
        <v>0</v>
      </c>
      <c r="BR69">
        <f t="shared" si="51"/>
        <v>0</v>
      </c>
      <c r="BS69">
        <f t="shared" si="51"/>
        <v>0</v>
      </c>
      <c r="BT69">
        <f t="shared" si="51"/>
        <v>0</v>
      </c>
      <c r="BU69">
        <f t="shared" si="51"/>
        <v>0</v>
      </c>
      <c r="BV69">
        <f t="shared" si="51"/>
        <v>0</v>
      </c>
      <c r="BW69">
        <f t="shared" si="51"/>
        <v>0</v>
      </c>
      <c r="BX69">
        <f t="shared" si="51"/>
        <v>0</v>
      </c>
      <c r="BY69">
        <f t="shared" si="51"/>
        <v>0</v>
      </c>
      <c r="BZ69">
        <f t="shared" si="51"/>
        <v>0</v>
      </c>
    </row>
    <row r="70" spans="1:78" x14ac:dyDescent="0.25">
      <c r="A70">
        <v>6</v>
      </c>
      <c r="B70" t="s">
        <v>24</v>
      </c>
      <c r="C70">
        <f t="shared" ref="C70:M70" si="52">C20-ROUNDUP(C20*0.1,2)-ROUNDUP(C20*0.05,2)</f>
        <v>6.0000000000000005E-2</v>
      </c>
      <c r="D70">
        <f t="shared" si="52"/>
        <v>6.0000000000000005E-2</v>
      </c>
      <c r="E70">
        <f t="shared" si="52"/>
        <v>6.0000000000000005E-2</v>
      </c>
      <c r="F70">
        <f t="shared" si="52"/>
        <v>6.0000000000000005E-2</v>
      </c>
      <c r="G70">
        <f t="shared" si="52"/>
        <v>6.0000000000000005E-2</v>
      </c>
      <c r="H70">
        <f t="shared" si="52"/>
        <v>6.0000000000000005E-2</v>
      </c>
      <c r="I70">
        <f t="shared" si="52"/>
        <v>6.0000000000000005E-2</v>
      </c>
      <c r="J70">
        <f t="shared" si="52"/>
        <v>6.0000000000000005E-2</v>
      </c>
      <c r="K70">
        <f t="shared" si="52"/>
        <v>6.0000000000000005E-2</v>
      </c>
      <c r="L70">
        <f t="shared" si="52"/>
        <v>6.0000000000000005E-2</v>
      </c>
      <c r="M70">
        <f t="shared" si="52"/>
        <v>6.0000000000000005E-2</v>
      </c>
      <c r="N70">
        <f t="shared" ref="N70" si="53">N20-ROUNDUP(N20*0.1,2)-ROUNDUP(N20*0.05,2)</f>
        <v>6.0000000000000005E-2</v>
      </c>
      <c r="O70">
        <f t="shared" ref="O70:AA70" si="54">O20-ROUNDUP(O20*0.1,2)-ROUNDUP(O20*0.05,2)</f>
        <v>6.0000000000000005E-2</v>
      </c>
      <c r="P70">
        <f t="shared" si="54"/>
        <v>6.0000000000000005E-2</v>
      </c>
      <c r="Q70">
        <f t="shared" si="54"/>
        <v>6.0000000000000005E-2</v>
      </c>
      <c r="R70">
        <f t="shared" si="54"/>
        <v>6.0000000000000005E-2</v>
      </c>
      <c r="S70">
        <f t="shared" si="54"/>
        <v>6.0000000000000005E-2</v>
      </c>
      <c r="T70">
        <f t="shared" si="54"/>
        <v>6.0000000000000005E-2</v>
      </c>
      <c r="U70">
        <f t="shared" si="54"/>
        <v>0.13</v>
      </c>
      <c r="V70">
        <f t="shared" si="54"/>
        <v>0.16</v>
      </c>
      <c r="W70">
        <f t="shared" si="54"/>
        <v>0.14000000000000001</v>
      </c>
      <c r="X70">
        <f t="shared" si="54"/>
        <v>0.15</v>
      </c>
      <c r="Y70">
        <f t="shared" si="54"/>
        <v>0.15</v>
      </c>
      <c r="Z70">
        <f t="shared" si="54"/>
        <v>0.17</v>
      </c>
      <c r="AA70">
        <f t="shared" si="54"/>
        <v>0.18000000000000002</v>
      </c>
      <c r="AB70">
        <f t="shared" ref="AB70:BZ70" si="55">AB20-ROUNDUP(AB20*0.1,2)-ROUNDUP(AB20*0.05,2)</f>
        <v>0.19</v>
      </c>
      <c r="AC70">
        <f t="shared" si="55"/>
        <v>0</v>
      </c>
      <c r="AD70">
        <f t="shared" si="55"/>
        <v>0</v>
      </c>
      <c r="AE70">
        <f t="shared" si="55"/>
        <v>0</v>
      </c>
      <c r="AF70">
        <f t="shared" si="55"/>
        <v>0</v>
      </c>
      <c r="AG70">
        <f t="shared" si="55"/>
        <v>0</v>
      </c>
      <c r="AH70">
        <f t="shared" si="55"/>
        <v>0</v>
      </c>
      <c r="AI70">
        <f t="shared" si="55"/>
        <v>0</v>
      </c>
      <c r="AJ70">
        <f t="shared" si="55"/>
        <v>0</v>
      </c>
      <c r="AK70">
        <f t="shared" si="55"/>
        <v>0</v>
      </c>
      <c r="AL70">
        <f t="shared" si="55"/>
        <v>0</v>
      </c>
      <c r="AM70">
        <f t="shared" si="55"/>
        <v>0</v>
      </c>
      <c r="AN70">
        <f t="shared" si="55"/>
        <v>0</v>
      </c>
      <c r="AO70">
        <f t="shared" si="55"/>
        <v>0</v>
      </c>
      <c r="AP70">
        <f t="shared" si="55"/>
        <v>0</v>
      </c>
      <c r="AQ70">
        <f t="shared" si="55"/>
        <v>0</v>
      </c>
      <c r="AR70">
        <f t="shared" si="55"/>
        <v>0</v>
      </c>
      <c r="AS70">
        <f t="shared" si="55"/>
        <v>0</v>
      </c>
      <c r="AT70">
        <f t="shared" si="55"/>
        <v>0</v>
      </c>
      <c r="AU70">
        <f t="shared" si="55"/>
        <v>0</v>
      </c>
      <c r="AV70">
        <f t="shared" si="55"/>
        <v>0</v>
      </c>
      <c r="AW70">
        <f t="shared" si="55"/>
        <v>0</v>
      </c>
      <c r="AX70">
        <f t="shared" si="55"/>
        <v>0</v>
      </c>
      <c r="AY70">
        <f t="shared" si="55"/>
        <v>0</v>
      </c>
      <c r="AZ70">
        <f t="shared" si="55"/>
        <v>0</v>
      </c>
      <c r="BA70">
        <f t="shared" si="55"/>
        <v>0</v>
      </c>
      <c r="BB70">
        <f t="shared" si="55"/>
        <v>0</v>
      </c>
      <c r="BC70">
        <f t="shared" si="55"/>
        <v>0</v>
      </c>
      <c r="BD70">
        <f t="shared" si="55"/>
        <v>0</v>
      </c>
      <c r="BE70">
        <f t="shared" si="55"/>
        <v>0</v>
      </c>
      <c r="BF70">
        <f t="shared" si="55"/>
        <v>0</v>
      </c>
      <c r="BG70">
        <f t="shared" si="55"/>
        <v>0</v>
      </c>
      <c r="BH70">
        <f t="shared" si="55"/>
        <v>0</v>
      </c>
      <c r="BI70">
        <f t="shared" si="55"/>
        <v>0</v>
      </c>
      <c r="BJ70">
        <f t="shared" si="55"/>
        <v>0</v>
      </c>
      <c r="BK70">
        <f t="shared" si="55"/>
        <v>0</v>
      </c>
      <c r="BL70">
        <f t="shared" si="55"/>
        <v>0</v>
      </c>
      <c r="BM70">
        <f t="shared" si="55"/>
        <v>0</v>
      </c>
      <c r="BN70">
        <f t="shared" si="55"/>
        <v>0</v>
      </c>
      <c r="BO70">
        <f t="shared" si="55"/>
        <v>0</v>
      </c>
      <c r="BP70">
        <f t="shared" si="55"/>
        <v>0</v>
      </c>
      <c r="BQ70">
        <f t="shared" si="55"/>
        <v>0</v>
      </c>
      <c r="BR70">
        <f t="shared" si="55"/>
        <v>0</v>
      </c>
      <c r="BS70">
        <f t="shared" si="55"/>
        <v>0</v>
      </c>
      <c r="BT70">
        <f t="shared" si="55"/>
        <v>0</v>
      </c>
      <c r="BU70">
        <f t="shared" si="55"/>
        <v>0</v>
      </c>
      <c r="BV70">
        <f t="shared" si="55"/>
        <v>0</v>
      </c>
      <c r="BW70">
        <f t="shared" si="55"/>
        <v>0</v>
      </c>
      <c r="BX70">
        <f t="shared" si="55"/>
        <v>0</v>
      </c>
      <c r="BY70">
        <f t="shared" si="55"/>
        <v>0</v>
      </c>
      <c r="BZ70">
        <f t="shared" si="55"/>
        <v>0</v>
      </c>
    </row>
    <row r="71" spans="1:78" x14ac:dyDescent="0.25">
      <c r="A71">
        <v>7</v>
      </c>
      <c r="B71" t="s">
        <v>25</v>
      </c>
      <c r="C71">
        <f t="shared" ref="C71:M71" si="56">C21-ROUNDUP(C21*0.1,2)-ROUNDUP(C21*0.05,2)</f>
        <v>0.94</v>
      </c>
      <c r="D71">
        <f t="shared" si="56"/>
        <v>0.94</v>
      </c>
      <c r="E71">
        <f t="shared" si="56"/>
        <v>1.02</v>
      </c>
      <c r="F71">
        <f t="shared" si="56"/>
        <v>1.0399999999999998</v>
      </c>
      <c r="G71">
        <f t="shared" si="56"/>
        <v>1.01</v>
      </c>
      <c r="H71">
        <f t="shared" si="56"/>
        <v>1.0599999999999998</v>
      </c>
      <c r="I71">
        <f t="shared" si="56"/>
        <v>1.07</v>
      </c>
      <c r="J71">
        <f t="shared" si="56"/>
        <v>1.0999999999999999</v>
      </c>
      <c r="K71">
        <f t="shared" si="56"/>
        <v>1.29</v>
      </c>
      <c r="L71">
        <f t="shared" si="56"/>
        <v>1.2199999999999998</v>
      </c>
      <c r="M71">
        <f t="shared" si="56"/>
        <v>1.27</v>
      </c>
      <c r="N71">
        <f t="shared" ref="N71" si="57">N21-ROUNDUP(N21*0.1,2)-ROUNDUP(N21*0.05,2)</f>
        <v>1.2599999999999998</v>
      </c>
      <c r="O71">
        <f t="shared" ref="O71:AA71" si="58">O21-ROUNDUP(O21*0.1,2)-ROUNDUP(O21*0.05,2)</f>
        <v>1.1799999999999997</v>
      </c>
      <c r="P71">
        <f t="shared" si="58"/>
        <v>1.18</v>
      </c>
      <c r="Q71">
        <f t="shared" si="58"/>
        <v>1.0999999999999999</v>
      </c>
      <c r="R71">
        <f t="shared" si="58"/>
        <v>1.1300000000000001</v>
      </c>
      <c r="S71">
        <f t="shared" si="58"/>
        <v>1.0999999999999999</v>
      </c>
      <c r="T71">
        <f t="shared" si="58"/>
        <v>1.1399999999999999</v>
      </c>
      <c r="U71">
        <f t="shared" si="58"/>
        <v>1.1399999999999999</v>
      </c>
      <c r="V71">
        <f t="shared" si="58"/>
        <v>1.1399999999999999</v>
      </c>
      <c r="W71">
        <f t="shared" si="58"/>
        <v>1.23</v>
      </c>
      <c r="X71">
        <f t="shared" si="58"/>
        <v>1.23</v>
      </c>
      <c r="Y71">
        <f t="shared" si="58"/>
        <v>1.19</v>
      </c>
      <c r="Z71">
        <f t="shared" si="58"/>
        <v>1.2599999999999998</v>
      </c>
      <c r="AA71">
        <f t="shared" si="58"/>
        <v>1.1199999999999999</v>
      </c>
      <c r="AB71">
        <f t="shared" ref="AB71:BZ71" si="59">AB21-ROUNDUP(AB21*0.1,2)-ROUNDUP(AB21*0.05,2)</f>
        <v>1.1799999999999997</v>
      </c>
      <c r="AC71">
        <f t="shared" si="59"/>
        <v>0</v>
      </c>
      <c r="AD71">
        <f t="shared" si="59"/>
        <v>0</v>
      </c>
      <c r="AE71">
        <f t="shared" si="59"/>
        <v>0</v>
      </c>
      <c r="AF71">
        <f t="shared" si="59"/>
        <v>0</v>
      </c>
      <c r="AG71">
        <f t="shared" si="59"/>
        <v>0</v>
      </c>
      <c r="AH71">
        <f t="shared" si="59"/>
        <v>0</v>
      </c>
      <c r="AI71">
        <f t="shared" si="59"/>
        <v>0</v>
      </c>
      <c r="AJ71">
        <f t="shared" si="59"/>
        <v>0</v>
      </c>
      <c r="AK71">
        <f t="shared" si="59"/>
        <v>0</v>
      </c>
      <c r="AL71">
        <f t="shared" si="59"/>
        <v>0</v>
      </c>
      <c r="AM71">
        <f t="shared" si="59"/>
        <v>0</v>
      </c>
      <c r="AN71">
        <f t="shared" si="59"/>
        <v>0</v>
      </c>
      <c r="AO71">
        <f t="shared" si="59"/>
        <v>0</v>
      </c>
      <c r="AP71">
        <f t="shared" si="59"/>
        <v>0</v>
      </c>
      <c r="AQ71">
        <f t="shared" si="59"/>
        <v>0</v>
      </c>
      <c r="AR71">
        <f t="shared" si="59"/>
        <v>0</v>
      </c>
      <c r="AS71">
        <f t="shared" si="59"/>
        <v>0</v>
      </c>
      <c r="AT71">
        <f t="shared" si="59"/>
        <v>0</v>
      </c>
      <c r="AU71">
        <f t="shared" si="59"/>
        <v>0</v>
      </c>
      <c r="AV71">
        <f t="shared" si="59"/>
        <v>0</v>
      </c>
      <c r="AW71">
        <f t="shared" si="59"/>
        <v>0</v>
      </c>
      <c r="AX71">
        <f t="shared" si="59"/>
        <v>0</v>
      </c>
      <c r="AY71">
        <f t="shared" si="59"/>
        <v>0</v>
      </c>
      <c r="AZ71">
        <f t="shared" si="59"/>
        <v>0</v>
      </c>
      <c r="BA71">
        <f t="shared" si="59"/>
        <v>0</v>
      </c>
      <c r="BB71">
        <f t="shared" si="59"/>
        <v>0</v>
      </c>
      <c r="BC71">
        <f t="shared" si="59"/>
        <v>0</v>
      </c>
      <c r="BD71">
        <f t="shared" si="59"/>
        <v>0</v>
      </c>
      <c r="BE71">
        <f t="shared" si="59"/>
        <v>0</v>
      </c>
      <c r="BF71">
        <f t="shared" si="59"/>
        <v>0</v>
      </c>
      <c r="BG71">
        <f t="shared" si="59"/>
        <v>0</v>
      </c>
      <c r="BH71">
        <f t="shared" si="59"/>
        <v>0</v>
      </c>
      <c r="BI71">
        <f t="shared" si="59"/>
        <v>0</v>
      </c>
      <c r="BJ71">
        <f t="shared" si="59"/>
        <v>0</v>
      </c>
      <c r="BK71">
        <f t="shared" si="59"/>
        <v>0</v>
      </c>
      <c r="BL71">
        <f t="shared" si="59"/>
        <v>0</v>
      </c>
      <c r="BM71">
        <f t="shared" si="59"/>
        <v>0</v>
      </c>
      <c r="BN71">
        <f t="shared" si="59"/>
        <v>0</v>
      </c>
      <c r="BO71">
        <f t="shared" si="59"/>
        <v>0</v>
      </c>
      <c r="BP71">
        <f t="shared" si="59"/>
        <v>0</v>
      </c>
      <c r="BQ71">
        <f t="shared" si="59"/>
        <v>0</v>
      </c>
      <c r="BR71">
        <f t="shared" si="59"/>
        <v>0</v>
      </c>
      <c r="BS71">
        <f t="shared" si="59"/>
        <v>0</v>
      </c>
      <c r="BT71">
        <f t="shared" si="59"/>
        <v>0</v>
      </c>
      <c r="BU71">
        <f t="shared" si="59"/>
        <v>0</v>
      </c>
      <c r="BV71">
        <f t="shared" si="59"/>
        <v>0</v>
      </c>
      <c r="BW71">
        <f t="shared" si="59"/>
        <v>0</v>
      </c>
      <c r="BX71">
        <f t="shared" si="59"/>
        <v>0</v>
      </c>
      <c r="BY71">
        <f t="shared" si="59"/>
        <v>0</v>
      </c>
      <c r="BZ71">
        <f t="shared" si="59"/>
        <v>0</v>
      </c>
    </row>
    <row r="72" spans="1:78" x14ac:dyDescent="0.25">
      <c r="A72">
        <v>4</v>
      </c>
      <c r="B72" t="s">
        <v>26</v>
      </c>
      <c r="C72">
        <f t="shared" ref="C72:M72" si="60">C22-ROUNDUP(C22*0.1,2)-ROUNDUP(C22*0.05,2)</f>
        <v>0.14000000000000001</v>
      </c>
      <c r="D72">
        <f t="shared" si="60"/>
        <v>0.14000000000000001</v>
      </c>
      <c r="E72">
        <f t="shared" si="60"/>
        <v>0.16</v>
      </c>
      <c r="F72">
        <f t="shared" si="60"/>
        <v>0.16</v>
      </c>
      <c r="G72">
        <f t="shared" si="60"/>
        <v>0.14000000000000001</v>
      </c>
      <c r="H72">
        <f t="shared" si="60"/>
        <v>0.15</v>
      </c>
      <c r="I72">
        <f t="shared" si="60"/>
        <v>0.15</v>
      </c>
      <c r="J72">
        <f t="shared" si="60"/>
        <v>0.14000000000000001</v>
      </c>
      <c r="K72">
        <f t="shared" si="60"/>
        <v>0.14000000000000001</v>
      </c>
      <c r="L72">
        <f t="shared" si="60"/>
        <v>0.15</v>
      </c>
      <c r="M72">
        <f t="shared" si="60"/>
        <v>0.15</v>
      </c>
      <c r="N72">
        <f t="shared" ref="N72" si="61">N22-ROUNDUP(N22*0.1,2)-ROUNDUP(N22*0.05,2)</f>
        <v>0.16</v>
      </c>
      <c r="O72">
        <f t="shared" ref="O72:AA72" si="62">O22-ROUNDUP(O22*0.1,2)-ROUNDUP(O22*0.05,2)</f>
        <v>0.17</v>
      </c>
      <c r="P72">
        <f t="shared" si="62"/>
        <v>0.16</v>
      </c>
      <c r="Q72">
        <f t="shared" si="62"/>
        <v>0.16</v>
      </c>
      <c r="R72">
        <f t="shared" si="62"/>
        <v>0.19</v>
      </c>
      <c r="S72">
        <f t="shared" si="62"/>
        <v>0.19</v>
      </c>
      <c r="T72">
        <f t="shared" si="62"/>
        <v>0.18000000000000002</v>
      </c>
      <c r="U72">
        <f t="shared" si="62"/>
        <v>0.28000000000000003</v>
      </c>
      <c r="V72">
        <f t="shared" si="62"/>
        <v>0.33</v>
      </c>
      <c r="W72">
        <f t="shared" si="62"/>
        <v>0.28000000000000003</v>
      </c>
      <c r="X72">
        <f t="shared" si="62"/>
        <v>0.3</v>
      </c>
      <c r="Y72">
        <f t="shared" si="62"/>
        <v>0.3</v>
      </c>
      <c r="Z72">
        <f t="shared" si="62"/>
        <v>0.31</v>
      </c>
      <c r="AA72">
        <f t="shared" si="62"/>
        <v>0.3</v>
      </c>
      <c r="AB72">
        <f t="shared" ref="AB72:BZ72" si="63">AB22-ROUNDUP(AB22*0.1,2)-ROUNDUP(AB22*0.05,2)</f>
        <v>0.32</v>
      </c>
      <c r="AC72">
        <f t="shared" si="63"/>
        <v>0</v>
      </c>
      <c r="AD72">
        <f t="shared" si="63"/>
        <v>0</v>
      </c>
      <c r="AE72">
        <f t="shared" si="63"/>
        <v>0</v>
      </c>
      <c r="AF72">
        <f t="shared" si="63"/>
        <v>0</v>
      </c>
      <c r="AG72">
        <f t="shared" si="63"/>
        <v>0</v>
      </c>
      <c r="AH72">
        <f t="shared" si="63"/>
        <v>0</v>
      </c>
      <c r="AI72">
        <f t="shared" si="63"/>
        <v>0</v>
      </c>
      <c r="AJ72">
        <f t="shared" si="63"/>
        <v>0</v>
      </c>
      <c r="AK72">
        <f t="shared" si="63"/>
        <v>0</v>
      </c>
      <c r="AL72">
        <f t="shared" si="63"/>
        <v>0</v>
      </c>
      <c r="AM72">
        <f t="shared" si="63"/>
        <v>0</v>
      </c>
      <c r="AN72">
        <f t="shared" si="63"/>
        <v>0</v>
      </c>
      <c r="AO72">
        <f t="shared" si="63"/>
        <v>0</v>
      </c>
      <c r="AP72">
        <f t="shared" si="63"/>
        <v>0</v>
      </c>
      <c r="AQ72">
        <f t="shared" si="63"/>
        <v>0</v>
      </c>
      <c r="AR72">
        <f t="shared" si="63"/>
        <v>0</v>
      </c>
      <c r="AS72">
        <f t="shared" si="63"/>
        <v>0</v>
      </c>
      <c r="AT72">
        <f t="shared" si="63"/>
        <v>0</v>
      </c>
      <c r="AU72">
        <f t="shared" si="63"/>
        <v>0</v>
      </c>
      <c r="AV72">
        <f t="shared" si="63"/>
        <v>0</v>
      </c>
      <c r="AW72">
        <f t="shared" si="63"/>
        <v>0</v>
      </c>
      <c r="AX72">
        <f t="shared" si="63"/>
        <v>0</v>
      </c>
      <c r="AY72">
        <f t="shared" si="63"/>
        <v>0</v>
      </c>
      <c r="AZ72">
        <f t="shared" si="63"/>
        <v>0</v>
      </c>
      <c r="BA72">
        <f t="shared" si="63"/>
        <v>0</v>
      </c>
      <c r="BB72">
        <f t="shared" si="63"/>
        <v>0</v>
      </c>
      <c r="BC72">
        <f t="shared" si="63"/>
        <v>0</v>
      </c>
      <c r="BD72">
        <f t="shared" si="63"/>
        <v>0</v>
      </c>
      <c r="BE72">
        <f t="shared" si="63"/>
        <v>0</v>
      </c>
      <c r="BF72">
        <f t="shared" si="63"/>
        <v>0</v>
      </c>
      <c r="BG72">
        <f t="shared" si="63"/>
        <v>0</v>
      </c>
      <c r="BH72">
        <f t="shared" si="63"/>
        <v>0</v>
      </c>
      <c r="BI72">
        <f t="shared" si="63"/>
        <v>0</v>
      </c>
      <c r="BJ72">
        <f t="shared" si="63"/>
        <v>0</v>
      </c>
      <c r="BK72">
        <f t="shared" si="63"/>
        <v>0</v>
      </c>
      <c r="BL72">
        <f t="shared" si="63"/>
        <v>0</v>
      </c>
      <c r="BM72">
        <f t="shared" si="63"/>
        <v>0</v>
      </c>
      <c r="BN72">
        <f t="shared" si="63"/>
        <v>0</v>
      </c>
      <c r="BO72">
        <f t="shared" si="63"/>
        <v>0</v>
      </c>
      <c r="BP72">
        <f t="shared" si="63"/>
        <v>0</v>
      </c>
      <c r="BQ72">
        <f t="shared" si="63"/>
        <v>0</v>
      </c>
      <c r="BR72">
        <f t="shared" si="63"/>
        <v>0</v>
      </c>
      <c r="BS72">
        <f t="shared" si="63"/>
        <v>0</v>
      </c>
      <c r="BT72">
        <f t="shared" si="63"/>
        <v>0</v>
      </c>
      <c r="BU72">
        <f t="shared" si="63"/>
        <v>0</v>
      </c>
      <c r="BV72">
        <f t="shared" si="63"/>
        <v>0</v>
      </c>
      <c r="BW72">
        <f t="shared" si="63"/>
        <v>0</v>
      </c>
      <c r="BX72">
        <f t="shared" si="63"/>
        <v>0</v>
      </c>
      <c r="BY72">
        <f t="shared" si="63"/>
        <v>0</v>
      </c>
      <c r="BZ72">
        <f t="shared" si="63"/>
        <v>0</v>
      </c>
    </row>
    <row r="73" spans="1:78" x14ac:dyDescent="0.25">
      <c r="A73">
        <v>4</v>
      </c>
      <c r="B73" t="s">
        <v>27</v>
      </c>
      <c r="C73">
        <f t="shared" ref="C73:M73" si="64">C23-ROUNDUP(C23*0.1,2)-ROUNDUP(C23*0.05,2)</f>
        <v>0.05</v>
      </c>
      <c r="D73">
        <f t="shared" si="64"/>
        <v>0.05</v>
      </c>
      <c r="E73">
        <f t="shared" si="64"/>
        <v>0.05</v>
      </c>
      <c r="F73">
        <f t="shared" si="64"/>
        <v>0.05</v>
      </c>
      <c r="G73">
        <f t="shared" si="64"/>
        <v>0.05</v>
      </c>
      <c r="H73">
        <f t="shared" si="64"/>
        <v>0.05</v>
      </c>
      <c r="I73">
        <f t="shared" si="64"/>
        <v>0.05</v>
      </c>
      <c r="J73">
        <f t="shared" si="64"/>
        <v>0.05</v>
      </c>
      <c r="K73">
        <f t="shared" si="64"/>
        <v>0.05</v>
      </c>
      <c r="L73">
        <f t="shared" si="64"/>
        <v>0.05</v>
      </c>
      <c r="M73">
        <f t="shared" si="64"/>
        <v>0.05</v>
      </c>
      <c r="N73">
        <f t="shared" ref="N73" si="65">N23-ROUNDUP(N23*0.1,2)-ROUNDUP(N23*0.05,2)</f>
        <v>0.05</v>
      </c>
      <c r="O73">
        <f t="shared" ref="O73:AA73" si="66">O23-ROUNDUP(O23*0.1,2)-ROUNDUP(O23*0.05,2)</f>
        <v>0.05</v>
      </c>
      <c r="P73">
        <f t="shared" si="66"/>
        <v>0.05</v>
      </c>
      <c r="Q73">
        <f t="shared" si="66"/>
        <v>0.05</v>
      </c>
      <c r="R73">
        <f t="shared" si="66"/>
        <v>0.05</v>
      </c>
      <c r="S73">
        <f t="shared" si="66"/>
        <v>0.05</v>
      </c>
      <c r="T73">
        <f t="shared" si="66"/>
        <v>0.05</v>
      </c>
      <c r="U73">
        <f t="shared" si="66"/>
        <v>0.09</v>
      </c>
      <c r="V73">
        <f t="shared" si="66"/>
        <v>0.11000000000000001</v>
      </c>
      <c r="W73">
        <f t="shared" si="66"/>
        <v>0.08</v>
      </c>
      <c r="X73">
        <f t="shared" si="66"/>
        <v>0.09</v>
      </c>
      <c r="Y73">
        <f t="shared" si="66"/>
        <v>0.09</v>
      </c>
      <c r="Z73">
        <f t="shared" si="66"/>
        <v>0.09</v>
      </c>
      <c r="AA73">
        <f t="shared" si="66"/>
        <v>0.09</v>
      </c>
      <c r="AB73">
        <f t="shared" ref="AB73:BZ73" si="67">AB23-ROUNDUP(AB23*0.1,2)-ROUNDUP(AB23*0.05,2)</f>
        <v>0.1</v>
      </c>
      <c r="AC73">
        <f t="shared" si="67"/>
        <v>0</v>
      </c>
      <c r="AD73">
        <f t="shared" si="67"/>
        <v>0</v>
      </c>
      <c r="AE73">
        <f t="shared" si="67"/>
        <v>0</v>
      </c>
      <c r="AF73">
        <f t="shared" si="67"/>
        <v>0</v>
      </c>
      <c r="AG73">
        <f t="shared" si="67"/>
        <v>0</v>
      </c>
      <c r="AH73">
        <f t="shared" si="67"/>
        <v>0</v>
      </c>
      <c r="AI73">
        <f t="shared" si="67"/>
        <v>0</v>
      </c>
      <c r="AJ73">
        <f t="shared" si="67"/>
        <v>0</v>
      </c>
      <c r="AK73">
        <f t="shared" si="67"/>
        <v>0</v>
      </c>
      <c r="AL73">
        <f t="shared" si="67"/>
        <v>0</v>
      </c>
      <c r="AM73">
        <f t="shared" si="67"/>
        <v>0</v>
      </c>
      <c r="AN73">
        <f t="shared" si="67"/>
        <v>0</v>
      </c>
      <c r="AO73">
        <f t="shared" si="67"/>
        <v>0</v>
      </c>
      <c r="AP73">
        <f t="shared" si="67"/>
        <v>0</v>
      </c>
      <c r="AQ73">
        <f t="shared" si="67"/>
        <v>0</v>
      </c>
      <c r="AR73">
        <f t="shared" si="67"/>
        <v>0</v>
      </c>
      <c r="AS73">
        <f t="shared" si="67"/>
        <v>0</v>
      </c>
      <c r="AT73">
        <f t="shared" si="67"/>
        <v>0</v>
      </c>
      <c r="AU73">
        <f t="shared" si="67"/>
        <v>0</v>
      </c>
      <c r="AV73">
        <f t="shared" si="67"/>
        <v>0</v>
      </c>
      <c r="AW73">
        <f t="shared" si="67"/>
        <v>0</v>
      </c>
      <c r="AX73">
        <f t="shared" si="67"/>
        <v>0</v>
      </c>
      <c r="AY73">
        <f t="shared" si="67"/>
        <v>0</v>
      </c>
      <c r="AZ73">
        <f t="shared" si="67"/>
        <v>0</v>
      </c>
      <c r="BA73">
        <f t="shared" si="67"/>
        <v>0</v>
      </c>
      <c r="BB73">
        <f t="shared" si="67"/>
        <v>0</v>
      </c>
      <c r="BC73">
        <f t="shared" si="67"/>
        <v>0</v>
      </c>
      <c r="BD73">
        <f t="shared" si="67"/>
        <v>0</v>
      </c>
      <c r="BE73">
        <f t="shared" si="67"/>
        <v>0</v>
      </c>
      <c r="BF73">
        <f t="shared" si="67"/>
        <v>0</v>
      </c>
      <c r="BG73">
        <f t="shared" si="67"/>
        <v>0</v>
      </c>
      <c r="BH73">
        <f t="shared" si="67"/>
        <v>0</v>
      </c>
      <c r="BI73">
        <f t="shared" si="67"/>
        <v>0</v>
      </c>
      <c r="BJ73">
        <f t="shared" si="67"/>
        <v>0</v>
      </c>
      <c r="BK73">
        <f t="shared" si="67"/>
        <v>0</v>
      </c>
      <c r="BL73">
        <f t="shared" si="67"/>
        <v>0</v>
      </c>
      <c r="BM73">
        <f t="shared" si="67"/>
        <v>0</v>
      </c>
      <c r="BN73">
        <f t="shared" si="67"/>
        <v>0</v>
      </c>
      <c r="BO73">
        <f t="shared" si="67"/>
        <v>0</v>
      </c>
      <c r="BP73">
        <f t="shared" si="67"/>
        <v>0</v>
      </c>
      <c r="BQ73">
        <f t="shared" si="67"/>
        <v>0</v>
      </c>
      <c r="BR73">
        <f t="shared" si="67"/>
        <v>0</v>
      </c>
      <c r="BS73">
        <f t="shared" si="67"/>
        <v>0</v>
      </c>
      <c r="BT73">
        <f t="shared" si="67"/>
        <v>0</v>
      </c>
      <c r="BU73">
        <f t="shared" si="67"/>
        <v>0</v>
      </c>
      <c r="BV73">
        <f t="shared" si="67"/>
        <v>0</v>
      </c>
      <c r="BW73">
        <f t="shared" si="67"/>
        <v>0</v>
      </c>
      <c r="BX73">
        <f t="shared" si="67"/>
        <v>0</v>
      </c>
      <c r="BY73">
        <f t="shared" si="67"/>
        <v>0</v>
      </c>
      <c r="BZ73">
        <f t="shared" si="67"/>
        <v>0</v>
      </c>
    </row>
    <row r="74" spans="1:78" x14ac:dyDescent="0.25">
      <c r="A74">
        <v>1</v>
      </c>
      <c r="B74" t="s">
        <v>28</v>
      </c>
      <c r="C74">
        <f t="shared" ref="C74:M74" si="68">C24-ROUNDUP(C24*0.1,2)-ROUNDUP(C24*0.05,2)</f>
        <v>0.49999999999999989</v>
      </c>
      <c r="D74">
        <f t="shared" si="68"/>
        <v>0.48999999999999988</v>
      </c>
      <c r="E74">
        <f t="shared" si="68"/>
        <v>0.46000000000000008</v>
      </c>
      <c r="F74">
        <f t="shared" si="68"/>
        <v>0.44000000000000006</v>
      </c>
      <c r="G74">
        <f t="shared" si="68"/>
        <v>0.51</v>
      </c>
      <c r="H74">
        <f t="shared" si="68"/>
        <v>0.51</v>
      </c>
      <c r="I74">
        <f t="shared" si="68"/>
        <v>0.51</v>
      </c>
      <c r="J74">
        <f t="shared" si="68"/>
        <v>0.5</v>
      </c>
      <c r="K74">
        <f t="shared" si="68"/>
        <v>0.48999999999999988</v>
      </c>
      <c r="L74">
        <f t="shared" si="68"/>
        <v>0.5</v>
      </c>
      <c r="M74">
        <f t="shared" si="68"/>
        <v>0.48999999999999988</v>
      </c>
      <c r="N74">
        <f t="shared" ref="N74" si="69">N24-ROUNDUP(N24*0.1,2)-ROUNDUP(N24*0.05,2)</f>
        <v>0.51</v>
      </c>
      <c r="O74">
        <f t="shared" ref="O74:AA74" si="70">O24-ROUNDUP(O24*0.1,2)-ROUNDUP(O24*0.05,2)</f>
        <v>0.54</v>
      </c>
      <c r="P74">
        <f t="shared" si="70"/>
        <v>0.55000000000000004</v>
      </c>
      <c r="Q74">
        <f t="shared" si="70"/>
        <v>0.54</v>
      </c>
      <c r="R74">
        <f t="shared" si="70"/>
        <v>0.55000000000000004</v>
      </c>
      <c r="S74">
        <f t="shared" si="70"/>
        <v>0.53</v>
      </c>
      <c r="T74">
        <f t="shared" si="70"/>
        <v>0.53</v>
      </c>
      <c r="U74">
        <f t="shared" si="70"/>
        <v>0.6</v>
      </c>
      <c r="V74">
        <f t="shared" si="70"/>
        <v>0.72</v>
      </c>
      <c r="W74">
        <f t="shared" si="70"/>
        <v>0.61</v>
      </c>
      <c r="X74">
        <f t="shared" si="70"/>
        <v>0.53</v>
      </c>
      <c r="Y74">
        <f t="shared" si="70"/>
        <v>0.54</v>
      </c>
      <c r="Z74">
        <f t="shared" si="70"/>
        <v>0.62</v>
      </c>
      <c r="AA74">
        <f t="shared" si="70"/>
        <v>0.59</v>
      </c>
      <c r="AB74">
        <f t="shared" ref="AB74:BZ74" si="71">AB24-ROUNDUP(AB24*0.1,2)-ROUNDUP(AB24*0.05,2)</f>
        <v>0.6</v>
      </c>
      <c r="AC74">
        <f t="shared" si="71"/>
        <v>0</v>
      </c>
      <c r="AD74">
        <f t="shared" si="71"/>
        <v>0</v>
      </c>
      <c r="AE74">
        <f t="shared" si="71"/>
        <v>0</v>
      </c>
      <c r="AF74">
        <f t="shared" si="71"/>
        <v>0</v>
      </c>
      <c r="AG74">
        <f t="shared" si="71"/>
        <v>0</v>
      </c>
      <c r="AH74">
        <f t="shared" si="71"/>
        <v>0</v>
      </c>
      <c r="AI74">
        <f t="shared" si="71"/>
        <v>0</v>
      </c>
      <c r="AJ74">
        <f t="shared" si="71"/>
        <v>0</v>
      </c>
      <c r="AK74">
        <f t="shared" si="71"/>
        <v>0</v>
      </c>
      <c r="AL74">
        <f t="shared" si="71"/>
        <v>0</v>
      </c>
      <c r="AM74">
        <f t="shared" si="71"/>
        <v>0</v>
      </c>
      <c r="AN74">
        <f t="shared" si="71"/>
        <v>0</v>
      </c>
      <c r="AO74">
        <f t="shared" si="71"/>
        <v>0</v>
      </c>
      <c r="AP74">
        <f t="shared" si="71"/>
        <v>0</v>
      </c>
      <c r="AQ74">
        <f t="shared" si="71"/>
        <v>0</v>
      </c>
      <c r="AR74">
        <f t="shared" si="71"/>
        <v>0</v>
      </c>
      <c r="AS74">
        <f t="shared" si="71"/>
        <v>0</v>
      </c>
      <c r="AT74">
        <f t="shared" si="71"/>
        <v>0</v>
      </c>
      <c r="AU74">
        <f t="shared" si="71"/>
        <v>0</v>
      </c>
      <c r="AV74">
        <f t="shared" si="71"/>
        <v>0</v>
      </c>
      <c r="AW74">
        <f t="shared" si="71"/>
        <v>0</v>
      </c>
      <c r="AX74">
        <f t="shared" si="71"/>
        <v>0</v>
      </c>
      <c r="AY74">
        <f t="shared" si="71"/>
        <v>0</v>
      </c>
      <c r="AZ74">
        <f t="shared" si="71"/>
        <v>0</v>
      </c>
      <c r="BA74">
        <f t="shared" si="71"/>
        <v>0</v>
      </c>
      <c r="BB74">
        <f t="shared" si="71"/>
        <v>0</v>
      </c>
      <c r="BC74">
        <f t="shared" si="71"/>
        <v>0</v>
      </c>
      <c r="BD74">
        <f t="shared" si="71"/>
        <v>0</v>
      </c>
      <c r="BE74">
        <f t="shared" si="71"/>
        <v>0</v>
      </c>
      <c r="BF74">
        <f t="shared" si="71"/>
        <v>0</v>
      </c>
      <c r="BG74">
        <f t="shared" si="71"/>
        <v>0</v>
      </c>
      <c r="BH74">
        <f t="shared" si="71"/>
        <v>0</v>
      </c>
      <c r="BI74">
        <f t="shared" si="71"/>
        <v>0</v>
      </c>
      <c r="BJ74">
        <f t="shared" si="71"/>
        <v>0</v>
      </c>
      <c r="BK74">
        <f t="shared" si="71"/>
        <v>0</v>
      </c>
      <c r="BL74">
        <f t="shared" si="71"/>
        <v>0</v>
      </c>
      <c r="BM74">
        <f t="shared" si="71"/>
        <v>0</v>
      </c>
      <c r="BN74">
        <f t="shared" si="71"/>
        <v>0</v>
      </c>
      <c r="BO74">
        <f t="shared" si="71"/>
        <v>0</v>
      </c>
      <c r="BP74">
        <f t="shared" si="71"/>
        <v>0</v>
      </c>
      <c r="BQ74">
        <f t="shared" si="71"/>
        <v>0</v>
      </c>
      <c r="BR74">
        <f t="shared" si="71"/>
        <v>0</v>
      </c>
      <c r="BS74">
        <f t="shared" si="71"/>
        <v>0</v>
      </c>
      <c r="BT74">
        <f t="shared" si="71"/>
        <v>0</v>
      </c>
      <c r="BU74">
        <f t="shared" si="71"/>
        <v>0</v>
      </c>
      <c r="BV74">
        <f t="shared" si="71"/>
        <v>0</v>
      </c>
      <c r="BW74">
        <f t="shared" si="71"/>
        <v>0</v>
      </c>
      <c r="BX74">
        <f t="shared" si="71"/>
        <v>0</v>
      </c>
      <c r="BY74">
        <f t="shared" si="71"/>
        <v>0</v>
      </c>
      <c r="BZ74">
        <f t="shared" si="71"/>
        <v>0</v>
      </c>
    </row>
    <row r="78" spans="1:78" ht="23.25" x14ac:dyDescent="0.35">
      <c r="A78" s="3" t="s">
        <v>29</v>
      </c>
    </row>
    <row r="79" spans="1:78" x14ac:dyDescent="0.25">
      <c r="A79" s="2" t="s">
        <v>11</v>
      </c>
      <c r="B79" s="2" t="s">
        <v>12</v>
      </c>
    </row>
    <row r="80" spans="1:78" x14ac:dyDescent="0.25">
      <c r="C80" s="1">
        <f t="shared" ref="C80:M80" si="72">C64</f>
        <v>44331</v>
      </c>
      <c r="D80" s="1">
        <f t="shared" si="72"/>
        <v>44332</v>
      </c>
      <c r="E80" s="1">
        <f t="shared" si="72"/>
        <v>44334</v>
      </c>
      <c r="F80" s="1">
        <f t="shared" si="72"/>
        <v>44336</v>
      </c>
      <c r="G80" s="1">
        <f t="shared" si="72"/>
        <v>44337</v>
      </c>
      <c r="H80" s="1">
        <f t="shared" si="72"/>
        <v>44338</v>
      </c>
      <c r="I80" s="1">
        <f t="shared" si="72"/>
        <v>44339</v>
      </c>
      <c r="J80" s="1">
        <f t="shared" si="72"/>
        <v>44340</v>
      </c>
      <c r="K80" s="1">
        <f t="shared" si="72"/>
        <v>44341</v>
      </c>
      <c r="L80" s="1">
        <f t="shared" si="72"/>
        <v>44342</v>
      </c>
      <c r="M80" s="1">
        <f t="shared" si="72"/>
        <v>44343</v>
      </c>
      <c r="N80" s="1">
        <f t="shared" ref="N80" si="73">N64</f>
        <v>44344</v>
      </c>
      <c r="O80" s="1">
        <f t="shared" ref="O80:AA80" si="74">O64</f>
        <v>44345</v>
      </c>
      <c r="P80" s="1">
        <f t="shared" si="74"/>
        <v>44346</v>
      </c>
      <c r="Q80" s="1">
        <f t="shared" si="74"/>
        <v>44347</v>
      </c>
      <c r="R80" s="1">
        <f t="shared" si="74"/>
        <v>44348</v>
      </c>
      <c r="S80" s="1">
        <f t="shared" si="74"/>
        <v>44349</v>
      </c>
      <c r="T80" s="1">
        <f t="shared" si="74"/>
        <v>44350</v>
      </c>
      <c r="U80" s="1">
        <f t="shared" si="74"/>
        <v>44351</v>
      </c>
      <c r="V80" s="1">
        <f t="shared" si="74"/>
        <v>44352</v>
      </c>
      <c r="W80" s="1">
        <f t="shared" si="74"/>
        <v>44353</v>
      </c>
      <c r="X80" s="1">
        <f t="shared" si="74"/>
        <v>44354</v>
      </c>
      <c r="Y80" s="1">
        <f t="shared" si="74"/>
        <v>44355</v>
      </c>
      <c r="Z80" s="1">
        <f t="shared" si="74"/>
        <v>44356</v>
      </c>
      <c r="AA80" s="1">
        <f t="shared" si="74"/>
        <v>44357</v>
      </c>
      <c r="AB80" s="1">
        <f t="shared" ref="AB80:BZ80" si="75">AB64</f>
        <v>44358</v>
      </c>
      <c r="AC80" s="1">
        <f t="shared" si="75"/>
        <v>44359</v>
      </c>
      <c r="AD80" s="1">
        <f t="shared" si="75"/>
        <v>44360</v>
      </c>
      <c r="AE80" s="1">
        <f t="shared" si="75"/>
        <v>44361</v>
      </c>
      <c r="AF80" s="1">
        <f t="shared" si="75"/>
        <v>44362</v>
      </c>
      <c r="AG80" s="1">
        <f t="shared" si="75"/>
        <v>44363</v>
      </c>
      <c r="AH80" s="1">
        <f t="shared" si="75"/>
        <v>44364</v>
      </c>
      <c r="AI80" s="1">
        <f t="shared" si="75"/>
        <v>44365</v>
      </c>
      <c r="AJ80" s="1">
        <f t="shared" si="75"/>
        <v>44366</v>
      </c>
      <c r="AK80" s="1">
        <f t="shared" si="75"/>
        <v>44367</v>
      </c>
      <c r="AL80" s="1">
        <f t="shared" si="75"/>
        <v>44368</v>
      </c>
      <c r="AM80" s="1">
        <f t="shared" si="75"/>
        <v>44369</v>
      </c>
      <c r="AN80" s="1">
        <f t="shared" si="75"/>
        <v>44370</v>
      </c>
      <c r="AO80" s="1">
        <f t="shared" si="75"/>
        <v>44371</v>
      </c>
      <c r="AP80" s="1">
        <f t="shared" si="75"/>
        <v>44372</v>
      </c>
      <c r="AQ80" s="1">
        <f t="shared" si="75"/>
        <v>44373</v>
      </c>
      <c r="AR80" s="1">
        <f t="shared" si="75"/>
        <v>44374</v>
      </c>
      <c r="AS80" s="1">
        <f t="shared" si="75"/>
        <v>44375</v>
      </c>
      <c r="AT80" s="1">
        <f t="shared" si="75"/>
        <v>44376</v>
      </c>
      <c r="AU80" s="1">
        <f t="shared" si="75"/>
        <v>44377</v>
      </c>
      <c r="AV80" s="1">
        <f t="shared" si="75"/>
        <v>44378</v>
      </c>
      <c r="AW80" s="1">
        <f t="shared" si="75"/>
        <v>44379</v>
      </c>
      <c r="AX80" s="1">
        <f t="shared" si="75"/>
        <v>44380</v>
      </c>
      <c r="AY80" s="1">
        <f t="shared" si="75"/>
        <v>44381</v>
      </c>
      <c r="AZ80" s="1">
        <f t="shared" si="75"/>
        <v>44382</v>
      </c>
      <c r="BA80" s="1">
        <f t="shared" si="75"/>
        <v>44383</v>
      </c>
      <c r="BB80" s="1">
        <f t="shared" si="75"/>
        <v>44384</v>
      </c>
      <c r="BC80" s="1">
        <f t="shared" si="75"/>
        <v>44385</v>
      </c>
      <c r="BD80" s="1">
        <f t="shared" si="75"/>
        <v>44386</v>
      </c>
      <c r="BE80" s="1">
        <f t="shared" si="75"/>
        <v>44387</v>
      </c>
      <c r="BF80" s="1">
        <f t="shared" si="75"/>
        <v>44388</v>
      </c>
      <c r="BG80" s="1">
        <f t="shared" si="75"/>
        <v>44389</v>
      </c>
      <c r="BH80" s="1">
        <f t="shared" si="75"/>
        <v>44390</v>
      </c>
      <c r="BI80" s="1">
        <f t="shared" si="75"/>
        <v>44391</v>
      </c>
      <c r="BJ80" s="1">
        <f t="shared" si="75"/>
        <v>44392</v>
      </c>
      <c r="BK80" s="1">
        <f t="shared" si="75"/>
        <v>44393</v>
      </c>
      <c r="BL80" s="1">
        <f t="shared" si="75"/>
        <v>44394</v>
      </c>
      <c r="BM80" s="1">
        <f t="shared" si="75"/>
        <v>44395</v>
      </c>
      <c r="BN80" s="1">
        <f t="shared" si="75"/>
        <v>44396</v>
      </c>
      <c r="BO80" s="1">
        <f t="shared" si="75"/>
        <v>44397</v>
      </c>
      <c r="BP80" s="1">
        <f t="shared" si="75"/>
        <v>44398</v>
      </c>
      <c r="BQ80" s="1">
        <f t="shared" si="75"/>
        <v>44399</v>
      </c>
      <c r="BR80" s="1">
        <f t="shared" si="75"/>
        <v>44400</v>
      </c>
      <c r="BS80" s="1">
        <f t="shared" si="75"/>
        <v>44401</v>
      </c>
      <c r="BT80" s="1">
        <f t="shared" si="75"/>
        <v>44402</v>
      </c>
      <c r="BU80" s="1">
        <f t="shared" si="75"/>
        <v>44403</v>
      </c>
      <c r="BV80" s="1">
        <f t="shared" si="75"/>
        <v>44404</v>
      </c>
      <c r="BW80" s="1">
        <f t="shared" si="75"/>
        <v>44405</v>
      </c>
      <c r="BX80" s="1">
        <f t="shared" si="75"/>
        <v>44406</v>
      </c>
      <c r="BY80" s="1">
        <f t="shared" si="75"/>
        <v>44407</v>
      </c>
      <c r="BZ80" s="1">
        <f t="shared" si="75"/>
        <v>44408</v>
      </c>
    </row>
    <row r="81" spans="1:78" x14ac:dyDescent="0.25">
      <c r="A81">
        <v>48</v>
      </c>
      <c r="B81" t="s">
        <v>30</v>
      </c>
      <c r="C81">
        <f t="shared" ref="C81" si="76">C31-ROUNDUP(C31*0.1,2)-ROUNDUP(C31*0.05,2)</f>
        <v>3.2899999999999996</v>
      </c>
      <c r="D81">
        <f t="shared" ref="D81:M81" si="77">D31-ROUNDUP(D31*0.1,2)-ROUNDUP(D31*0.05,2)</f>
        <v>3.12</v>
      </c>
      <c r="E81">
        <f t="shared" si="77"/>
        <v>3.35</v>
      </c>
      <c r="F81">
        <f t="shared" si="77"/>
        <v>3.77</v>
      </c>
      <c r="G81">
        <f t="shared" si="77"/>
        <v>3.73</v>
      </c>
      <c r="H81">
        <f t="shared" si="77"/>
        <v>5.0900000000000007</v>
      </c>
      <c r="I81">
        <f t="shared" si="77"/>
        <v>5</v>
      </c>
      <c r="J81">
        <f t="shared" si="77"/>
        <v>5.52</v>
      </c>
      <c r="K81">
        <f t="shared" si="77"/>
        <v>5.54</v>
      </c>
      <c r="L81">
        <f t="shared" si="77"/>
        <v>6.5200000000000005</v>
      </c>
      <c r="M81">
        <f t="shared" si="77"/>
        <v>7.379999999999999</v>
      </c>
      <c r="N81">
        <f t="shared" ref="N81" si="78">N31-ROUNDUP(N31*0.1,2)-ROUNDUP(N31*0.05,2)</f>
        <v>7.3</v>
      </c>
      <c r="O81">
        <f t="shared" ref="O81:AA81" si="79">O31-ROUNDUP(O31*0.1,2)-ROUNDUP(O31*0.05,2)</f>
        <v>6.55</v>
      </c>
      <c r="P81">
        <f t="shared" si="79"/>
        <v>6.14</v>
      </c>
      <c r="Q81">
        <f t="shared" si="79"/>
        <v>5.82</v>
      </c>
      <c r="R81">
        <f t="shared" si="79"/>
        <v>6.5600000000000005</v>
      </c>
      <c r="S81">
        <f t="shared" si="79"/>
        <v>7.29</v>
      </c>
      <c r="T81">
        <f t="shared" si="79"/>
        <v>7.6800000000000006</v>
      </c>
      <c r="U81">
        <f t="shared" si="79"/>
        <v>7.9200000000000008</v>
      </c>
      <c r="V81">
        <f t="shared" si="79"/>
        <v>9.2999999999999989</v>
      </c>
      <c r="W81">
        <f t="shared" si="79"/>
        <v>8.120000000000001</v>
      </c>
      <c r="X81">
        <f t="shared" si="79"/>
        <v>8.0500000000000007</v>
      </c>
      <c r="Y81">
        <f t="shared" si="79"/>
        <v>8.129999999999999</v>
      </c>
      <c r="Z81">
        <f t="shared" si="79"/>
        <v>8.0799999999999983</v>
      </c>
      <c r="AA81">
        <f t="shared" si="79"/>
        <v>8.07</v>
      </c>
      <c r="AB81">
        <f t="shared" ref="AB81:BZ81" si="80">AB31-ROUNDUP(AB31*0.1,2)-ROUNDUP(AB31*0.05,2)</f>
        <v>7.8500000000000005</v>
      </c>
      <c r="AC81">
        <f t="shared" si="80"/>
        <v>0</v>
      </c>
      <c r="AD81">
        <f t="shared" si="80"/>
        <v>0</v>
      </c>
      <c r="AE81">
        <f t="shared" si="80"/>
        <v>0</v>
      </c>
      <c r="AF81">
        <f t="shared" si="80"/>
        <v>0</v>
      </c>
      <c r="AG81">
        <f t="shared" si="80"/>
        <v>0</v>
      </c>
      <c r="AH81">
        <f t="shared" si="80"/>
        <v>0</v>
      </c>
      <c r="AI81">
        <f t="shared" si="80"/>
        <v>0</v>
      </c>
      <c r="AJ81">
        <f t="shared" si="80"/>
        <v>0</v>
      </c>
      <c r="AK81">
        <f t="shared" si="80"/>
        <v>0</v>
      </c>
      <c r="AL81">
        <f t="shared" si="80"/>
        <v>0</v>
      </c>
      <c r="AM81">
        <f t="shared" si="80"/>
        <v>0</v>
      </c>
      <c r="AN81">
        <f t="shared" si="80"/>
        <v>0</v>
      </c>
      <c r="AO81">
        <f t="shared" si="80"/>
        <v>0</v>
      </c>
      <c r="AP81">
        <f t="shared" si="80"/>
        <v>0</v>
      </c>
      <c r="AQ81">
        <f t="shared" si="80"/>
        <v>0</v>
      </c>
      <c r="AR81">
        <f t="shared" si="80"/>
        <v>0</v>
      </c>
      <c r="AS81">
        <f t="shared" si="80"/>
        <v>0</v>
      </c>
      <c r="AT81">
        <f t="shared" si="80"/>
        <v>0</v>
      </c>
      <c r="AU81">
        <f t="shared" si="80"/>
        <v>0</v>
      </c>
      <c r="AV81">
        <f t="shared" si="80"/>
        <v>0</v>
      </c>
      <c r="AW81">
        <f t="shared" si="80"/>
        <v>0</v>
      </c>
      <c r="AX81">
        <f t="shared" si="80"/>
        <v>0</v>
      </c>
      <c r="AY81">
        <f t="shared" si="80"/>
        <v>0</v>
      </c>
      <c r="AZ81">
        <f t="shared" si="80"/>
        <v>0</v>
      </c>
      <c r="BA81">
        <f t="shared" si="80"/>
        <v>0</v>
      </c>
      <c r="BB81">
        <f t="shared" si="80"/>
        <v>0</v>
      </c>
      <c r="BC81">
        <f t="shared" si="80"/>
        <v>0</v>
      </c>
      <c r="BD81">
        <f t="shared" si="80"/>
        <v>0</v>
      </c>
      <c r="BE81">
        <f t="shared" si="80"/>
        <v>0</v>
      </c>
      <c r="BF81">
        <f t="shared" si="80"/>
        <v>0</v>
      </c>
      <c r="BG81">
        <f t="shared" si="80"/>
        <v>0</v>
      </c>
      <c r="BH81">
        <f t="shared" si="80"/>
        <v>0</v>
      </c>
      <c r="BI81">
        <f t="shared" si="80"/>
        <v>0</v>
      </c>
      <c r="BJ81">
        <f t="shared" si="80"/>
        <v>0</v>
      </c>
      <c r="BK81">
        <f t="shared" si="80"/>
        <v>0</v>
      </c>
      <c r="BL81">
        <f t="shared" si="80"/>
        <v>0</v>
      </c>
      <c r="BM81">
        <f t="shared" si="80"/>
        <v>0</v>
      </c>
      <c r="BN81">
        <f t="shared" si="80"/>
        <v>0</v>
      </c>
      <c r="BO81">
        <f t="shared" si="80"/>
        <v>0</v>
      </c>
      <c r="BP81">
        <f t="shared" si="80"/>
        <v>0</v>
      </c>
      <c r="BQ81">
        <f t="shared" si="80"/>
        <v>0</v>
      </c>
      <c r="BR81">
        <f t="shared" si="80"/>
        <v>0</v>
      </c>
      <c r="BS81">
        <f t="shared" si="80"/>
        <v>0</v>
      </c>
      <c r="BT81">
        <f t="shared" si="80"/>
        <v>0</v>
      </c>
      <c r="BU81">
        <f t="shared" si="80"/>
        <v>0</v>
      </c>
      <c r="BV81">
        <f t="shared" si="80"/>
        <v>0</v>
      </c>
      <c r="BW81">
        <f t="shared" si="80"/>
        <v>0</v>
      </c>
      <c r="BX81">
        <f t="shared" si="80"/>
        <v>0</v>
      </c>
      <c r="BY81">
        <f t="shared" si="80"/>
        <v>0</v>
      </c>
      <c r="BZ81">
        <f t="shared" si="80"/>
        <v>0</v>
      </c>
    </row>
    <row r="82" spans="1:78" x14ac:dyDescent="0.25">
      <c r="A82">
        <v>10</v>
      </c>
      <c r="B82" t="s">
        <v>123</v>
      </c>
      <c r="C82">
        <f t="shared" ref="C82:M82" si="81">C32-ROUNDUP(C32*0.1,2)-ROUNDUP(C32*0.05,2)</f>
        <v>2.9499999999999997</v>
      </c>
      <c r="D82">
        <f t="shared" si="81"/>
        <v>2.98</v>
      </c>
      <c r="E82">
        <f t="shared" si="81"/>
        <v>3.33</v>
      </c>
      <c r="F82">
        <f t="shared" si="81"/>
        <v>3.63</v>
      </c>
      <c r="G82">
        <f t="shared" si="81"/>
        <v>3.82</v>
      </c>
      <c r="H82">
        <f t="shared" si="81"/>
        <v>4.93</v>
      </c>
      <c r="I82">
        <f t="shared" si="81"/>
        <v>4.84</v>
      </c>
      <c r="J82">
        <f t="shared" si="81"/>
        <v>5.35</v>
      </c>
      <c r="K82">
        <f t="shared" si="81"/>
        <v>5.31</v>
      </c>
      <c r="L82">
        <f t="shared" si="81"/>
        <v>6.21</v>
      </c>
      <c r="M82">
        <f t="shared" si="81"/>
        <v>6.79</v>
      </c>
      <c r="N82">
        <f t="shared" ref="N82" si="82">N32-ROUNDUP(N32*0.1,2)-ROUNDUP(N32*0.05,2)</f>
        <v>7.16</v>
      </c>
      <c r="O82">
        <f t="shared" ref="O82:AA82" si="83">O32-ROUNDUP(O32*0.1,2)-ROUNDUP(O32*0.05,2)</f>
        <v>6.91</v>
      </c>
      <c r="P82">
        <f t="shared" si="83"/>
        <v>6.11</v>
      </c>
      <c r="Q82">
        <f t="shared" si="83"/>
        <v>5.41</v>
      </c>
      <c r="R82">
        <f t="shared" si="83"/>
        <v>5.82</v>
      </c>
      <c r="S82">
        <f t="shared" si="83"/>
        <v>6.83</v>
      </c>
      <c r="T82">
        <f t="shared" si="83"/>
        <v>7.51</v>
      </c>
      <c r="U82">
        <f t="shared" si="83"/>
        <v>7.6499999999999995</v>
      </c>
      <c r="V82">
        <f t="shared" si="83"/>
        <v>8.2799999999999994</v>
      </c>
      <c r="W82">
        <f t="shared" si="83"/>
        <v>8.34</v>
      </c>
      <c r="X82">
        <f t="shared" si="83"/>
        <v>7.4700000000000006</v>
      </c>
      <c r="Y82">
        <f t="shared" si="83"/>
        <v>7.6599999999999993</v>
      </c>
      <c r="Z82">
        <f t="shared" si="83"/>
        <v>7.88</v>
      </c>
      <c r="AA82">
        <f t="shared" si="83"/>
        <v>7.7500000000000009</v>
      </c>
      <c r="AB82">
        <f t="shared" ref="AB82:BZ82" si="84">AB32-ROUNDUP(AB32*0.1,2)-ROUNDUP(AB32*0.05,2)</f>
        <v>7.830000000000001</v>
      </c>
      <c r="AC82">
        <f t="shared" si="84"/>
        <v>0</v>
      </c>
      <c r="AD82">
        <f t="shared" si="84"/>
        <v>0</v>
      </c>
      <c r="AE82">
        <f t="shared" si="84"/>
        <v>0</v>
      </c>
      <c r="AF82">
        <f t="shared" si="84"/>
        <v>0</v>
      </c>
      <c r="AG82">
        <f t="shared" si="84"/>
        <v>0</v>
      </c>
      <c r="AH82">
        <f t="shared" si="84"/>
        <v>0</v>
      </c>
      <c r="AI82">
        <f t="shared" si="84"/>
        <v>0</v>
      </c>
      <c r="AJ82">
        <f t="shared" si="84"/>
        <v>0</v>
      </c>
      <c r="AK82">
        <f t="shared" si="84"/>
        <v>0</v>
      </c>
      <c r="AL82">
        <f t="shared" si="84"/>
        <v>0</v>
      </c>
      <c r="AM82">
        <f t="shared" si="84"/>
        <v>0</v>
      </c>
      <c r="AN82">
        <f t="shared" si="84"/>
        <v>0</v>
      </c>
      <c r="AO82">
        <f t="shared" si="84"/>
        <v>0</v>
      </c>
      <c r="AP82">
        <f t="shared" si="84"/>
        <v>0</v>
      </c>
      <c r="AQ82">
        <f t="shared" si="84"/>
        <v>0</v>
      </c>
      <c r="AR82">
        <f t="shared" si="84"/>
        <v>0</v>
      </c>
      <c r="AS82">
        <f t="shared" si="84"/>
        <v>0</v>
      </c>
      <c r="AT82">
        <f t="shared" si="84"/>
        <v>0</v>
      </c>
      <c r="AU82">
        <f t="shared" si="84"/>
        <v>0</v>
      </c>
      <c r="AV82">
        <f t="shared" si="84"/>
        <v>0</v>
      </c>
      <c r="AW82">
        <f t="shared" si="84"/>
        <v>0</v>
      </c>
      <c r="AX82">
        <f t="shared" si="84"/>
        <v>0</v>
      </c>
      <c r="AY82">
        <f t="shared" si="84"/>
        <v>0</v>
      </c>
      <c r="AZ82">
        <f t="shared" si="84"/>
        <v>0</v>
      </c>
      <c r="BA82">
        <f t="shared" si="84"/>
        <v>0</v>
      </c>
      <c r="BB82">
        <f t="shared" si="84"/>
        <v>0</v>
      </c>
      <c r="BC82">
        <f t="shared" si="84"/>
        <v>0</v>
      </c>
      <c r="BD82">
        <f t="shared" si="84"/>
        <v>0</v>
      </c>
      <c r="BE82">
        <f t="shared" si="84"/>
        <v>0</v>
      </c>
      <c r="BF82">
        <f t="shared" si="84"/>
        <v>0</v>
      </c>
      <c r="BG82">
        <f t="shared" si="84"/>
        <v>0</v>
      </c>
      <c r="BH82">
        <f t="shared" si="84"/>
        <v>0</v>
      </c>
      <c r="BI82">
        <f t="shared" si="84"/>
        <v>0</v>
      </c>
      <c r="BJ82">
        <f t="shared" si="84"/>
        <v>0</v>
      </c>
      <c r="BK82">
        <f t="shared" si="84"/>
        <v>0</v>
      </c>
      <c r="BL82">
        <f t="shared" si="84"/>
        <v>0</v>
      </c>
      <c r="BM82">
        <f t="shared" si="84"/>
        <v>0</v>
      </c>
      <c r="BN82">
        <f t="shared" si="84"/>
        <v>0</v>
      </c>
      <c r="BO82">
        <f t="shared" si="84"/>
        <v>0</v>
      </c>
      <c r="BP82">
        <f t="shared" si="84"/>
        <v>0</v>
      </c>
      <c r="BQ82">
        <f t="shared" si="84"/>
        <v>0</v>
      </c>
      <c r="BR82">
        <f t="shared" si="84"/>
        <v>0</v>
      </c>
      <c r="BS82">
        <f t="shared" si="84"/>
        <v>0</v>
      </c>
      <c r="BT82">
        <f t="shared" si="84"/>
        <v>0</v>
      </c>
      <c r="BU82">
        <f t="shared" si="84"/>
        <v>0</v>
      </c>
      <c r="BV82">
        <f t="shared" si="84"/>
        <v>0</v>
      </c>
      <c r="BW82">
        <f t="shared" si="84"/>
        <v>0</v>
      </c>
      <c r="BX82">
        <f t="shared" si="84"/>
        <v>0</v>
      </c>
      <c r="BY82">
        <f t="shared" si="84"/>
        <v>0</v>
      </c>
      <c r="BZ82">
        <f t="shared" si="84"/>
        <v>0</v>
      </c>
    </row>
    <row r="83" spans="1:78" x14ac:dyDescent="0.25">
      <c r="A83">
        <v>6</v>
      </c>
      <c r="B83" t="s">
        <v>124</v>
      </c>
      <c r="C83">
        <f t="shared" ref="C83:M83" si="85">C33-ROUNDUP(C33*0.1,2)-ROUNDUP(C33*0.05,2)</f>
        <v>3.01</v>
      </c>
      <c r="D83">
        <f t="shared" si="85"/>
        <v>2.9099999999999997</v>
      </c>
      <c r="E83">
        <f t="shared" si="85"/>
        <v>3.36</v>
      </c>
      <c r="F83">
        <f t="shared" si="85"/>
        <v>3.7499999999999996</v>
      </c>
      <c r="G83">
        <f t="shared" si="85"/>
        <v>3.82</v>
      </c>
      <c r="H83">
        <f t="shared" si="85"/>
        <v>5.69</v>
      </c>
      <c r="I83">
        <f t="shared" si="85"/>
        <v>6.12</v>
      </c>
      <c r="J83">
        <f t="shared" si="85"/>
        <v>5.15</v>
      </c>
      <c r="K83">
        <f t="shared" si="85"/>
        <v>5.59</v>
      </c>
      <c r="L83">
        <f t="shared" si="85"/>
        <v>6.36</v>
      </c>
      <c r="M83">
        <f t="shared" si="85"/>
        <v>6.9</v>
      </c>
      <c r="N83">
        <f t="shared" ref="N83" si="86">N33-ROUNDUP(N33*0.1,2)-ROUNDUP(N33*0.05,2)</f>
        <v>7.22</v>
      </c>
      <c r="O83">
        <f t="shared" ref="O83:AA83" si="87">O33-ROUNDUP(O33*0.1,2)-ROUNDUP(O33*0.05,2)</f>
        <v>6.68</v>
      </c>
      <c r="P83">
        <f t="shared" si="87"/>
        <v>6.42</v>
      </c>
      <c r="Q83">
        <f t="shared" si="87"/>
        <v>5.8900000000000006</v>
      </c>
      <c r="R83">
        <f t="shared" si="87"/>
        <v>5.97</v>
      </c>
      <c r="S83">
        <f t="shared" si="87"/>
        <v>6.71</v>
      </c>
      <c r="T83">
        <f t="shared" si="87"/>
        <v>8.2299999999999986</v>
      </c>
      <c r="U83">
        <f t="shared" si="87"/>
        <v>8.25</v>
      </c>
      <c r="V83">
        <f t="shared" si="87"/>
        <v>9.43</v>
      </c>
      <c r="W83">
        <f t="shared" si="87"/>
        <v>8.0999999999999979</v>
      </c>
      <c r="X83">
        <f t="shared" si="87"/>
        <v>7.88</v>
      </c>
      <c r="Y83">
        <f t="shared" si="87"/>
        <v>7.7299999999999995</v>
      </c>
      <c r="Z83">
        <f t="shared" si="87"/>
        <v>8.01</v>
      </c>
      <c r="AA83">
        <f t="shared" si="87"/>
        <v>8.11</v>
      </c>
      <c r="AB83">
        <f t="shared" ref="AB83:BZ83" si="88">AB33-ROUNDUP(AB33*0.1,2)-ROUNDUP(AB33*0.05,2)</f>
        <v>8.129999999999999</v>
      </c>
      <c r="AC83">
        <f t="shared" si="88"/>
        <v>0</v>
      </c>
      <c r="AD83">
        <f t="shared" si="88"/>
        <v>0</v>
      </c>
      <c r="AE83">
        <f t="shared" si="88"/>
        <v>0</v>
      </c>
      <c r="AF83">
        <f t="shared" si="88"/>
        <v>0</v>
      </c>
      <c r="AG83">
        <f t="shared" si="88"/>
        <v>0</v>
      </c>
      <c r="AH83">
        <f t="shared" si="88"/>
        <v>0</v>
      </c>
      <c r="AI83">
        <f t="shared" si="88"/>
        <v>0</v>
      </c>
      <c r="AJ83">
        <f t="shared" si="88"/>
        <v>0</v>
      </c>
      <c r="AK83">
        <f t="shared" si="88"/>
        <v>0</v>
      </c>
      <c r="AL83">
        <f t="shared" si="88"/>
        <v>0</v>
      </c>
      <c r="AM83">
        <f t="shared" si="88"/>
        <v>0</v>
      </c>
      <c r="AN83">
        <f t="shared" si="88"/>
        <v>0</v>
      </c>
      <c r="AO83">
        <f t="shared" si="88"/>
        <v>0</v>
      </c>
      <c r="AP83">
        <f t="shared" si="88"/>
        <v>0</v>
      </c>
      <c r="AQ83">
        <f t="shared" si="88"/>
        <v>0</v>
      </c>
      <c r="AR83">
        <f t="shared" si="88"/>
        <v>0</v>
      </c>
      <c r="AS83">
        <f t="shared" si="88"/>
        <v>0</v>
      </c>
      <c r="AT83">
        <f t="shared" si="88"/>
        <v>0</v>
      </c>
      <c r="AU83">
        <f t="shared" si="88"/>
        <v>0</v>
      </c>
      <c r="AV83">
        <f t="shared" si="88"/>
        <v>0</v>
      </c>
      <c r="AW83">
        <f t="shared" si="88"/>
        <v>0</v>
      </c>
      <c r="AX83">
        <f t="shared" si="88"/>
        <v>0</v>
      </c>
      <c r="AY83">
        <f t="shared" si="88"/>
        <v>0</v>
      </c>
      <c r="AZ83">
        <f t="shared" si="88"/>
        <v>0</v>
      </c>
      <c r="BA83">
        <f t="shared" si="88"/>
        <v>0</v>
      </c>
      <c r="BB83">
        <f t="shared" si="88"/>
        <v>0</v>
      </c>
      <c r="BC83">
        <f t="shared" si="88"/>
        <v>0</v>
      </c>
      <c r="BD83">
        <f t="shared" si="88"/>
        <v>0</v>
      </c>
      <c r="BE83">
        <f t="shared" si="88"/>
        <v>0</v>
      </c>
      <c r="BF83">
        <f t="shared" si="88"/>
        <v>0</v>
      </c>
      <c r="BG83">
        <f t="shared" si="88"/>
        <v>0</v>
      </c>
      <c r="BH83">
        <f t="shared" si="88"/>
        <v>0</v>
      </c>
      <c r="BI83">
        <f t="shared" si="88"/>
        <v>0</v>
      </c>
      <c r="BJ83">
        <f t="shared" si="88"/>
        <v>0</v>
      </c>
      <c r="BK83">
        <f t="shared" si="88"/>
        <v>0</v>
      </c>
      <c r="BL83">
        <f t="shared" si="88"/>
        <v>0</v>
      </c>
      <c r="BM83">
        <f t="shared" si="88"/>
        <v>0</v>
      </c>
      <c r="BN83">
        <f t="shared" si="88"/>
        <v>0</v>
      </c>
      <c r="BO83">
        <f t="shared" si="88"/>
        <v>0</v>
      </c>
      <c r="BP83">
        <f t="shared" si="88"/>
        <v>0</v>
      </c>
      <c r="BQ83">
        <f t="shared" si="88"/>
        <v>0</v>
      </c>
      <c r="BR83">
        <f t="shared" si="88"/>
        <v>0</v>
      </c>
      <c r="BS83">
        <f t="shared" si="88"/>
        <v>0</v>
      </c>
      <c r="BT83">
        <f t="shared" si="88"/>
        <v>0</v>
      </c>
      <c r="BU83">
        <f t="shared" si="88"/>
        <v>0</v>
      </c>
      <c r="BV83">
        <f t="shared" si="88"/>
        <v>0</v>
      </c>
      <c r="BW83">
        <f t="shared" si="88"/>
        <v>0</v>
      </c>
      <c r="BX83">
        <f t="shared" si="88"/>
        <v>0</v>
      </c>
      <c r="BY83">
        <f t="shared" si="88"/>
        <v>0</v>
      </c>
      <c r="BZ83">
        <f t="shared" si="88"/>
        <v>0</v>
      </c>
    </row>
    <row r="84" spans="1:78" x14ac:dyDescent="0.25">
      <c r="A84">
        <v>10</v>
      </c>
      <c r="B84" t="s">
        <v>125</v>
      </c>
      <c r="C84">
        <f t="shared" ref="C84:M84" si="89">C34-ROUNDUP(C34*0.1,2)-ROUNDUP(C34*0.05,2)</f>
        <v>3.51</v>
      </c>
      <c r="D84">
        <f t="shared" si="89"/>
        <v>3.3099999999999996</v>
      </c>
      <c r="E84">
        <f t="shared" si="89"/>
        <v>3.3099999999999996</v>
      </c>
      <c r="F84">
        <f t="shared" si="89"/>
        <v>4</v>
      </c>
      <c r="G84">
        <f t="shared" si="89"/>
        <v>4.33</v>
      </c>
      <c r="H84">
        <f t="shared" si="89"/>
        <v>5.0100000000000007</v>
      </c>
      <c r="I84">
        <f t="shared" si="89"/>
        <v>5.5699999999999994</v>
      </c>
      <c r="J84">
        <f t="shared" si="89"/>
        <v>6.05</v>
      </c>
      <c r="K84">
        <f t="shared" si="89"/>
        <v>6.11</v>
      </c>
      <c r="L84">
        <f t="shared" si="89"/>
        <v>6.76</v>
      </c>
      <c r="M84">
        <f t="shared" si="89"/>
        <v>7.2499999999999991</v>
      </c>
      <c r="N84">
        <f t="shared" ref="N84" si="90">N34-ROUNDUP(N34*0.1,2)-ROUNDUP(N34*0.05,2)</f>
        <v>7.0600000000000005</v>
      </c>
      <c r="O84">
        <f t="shared" ref="O84:AA84" si="91">O34-ROUNDUP(O34*0.1,2)-ROUNDUP(O34*0.05,2)</f>
        <v>6.9699999999999989</v>
      </c>
      <c r="P84">
        <f t="shared" si="91"/>
        <v>6.46</v>
      </c>
      <c r="Q84">
        <f t="shared" si="91"/>
        <v>6.41</v>
      </c>
      <c r="R84">
        <f t="shared" si="91"/>
        <v>6.6599999999999993</v>
      </c>
      <c r="S84">
        <f t="shared" si="91"/>
        <v>7.4599999999999991</v>
      </c>
      <c r="T84">
        <f t="shared" si="91"/>
        <v>7.69</v>
      </c>
      <c r="U84">
        <f t="shared" si="91"/>
        <v>8.56</v>
      </c>
      <c r="V84">
        <f t="shared" si="91"/>
        <v>9.1999999999999993</v>
      </c>
      <c r="W84">
        <f t="shared" si="91"/>
        <v>8.84</v>
      </c>
      <c r="X84">
        <f t="shared" si="91"/>
        <v>8.1599999999999984</v>
      </c>
      <c r="Y84">
        <f t="shared" si="91"/>
        <v>8.65</v>
      </c>
      <c r="Z84">
        <f t="shared" si="91"/>
        <v>8.52</v>
      </c>
      <c r="AA84">
        <f t="shared" si="91"/>
        <v>8.52</v>
      </c>
      <c r="AB84">
        <f t="shared" ref="AB84:BZ84" si="92">AB34-ROUNDUP(AB34*0.1,2)-ROUNDUP(AB34*0.05,2)</f>
        <v>8.33</v>
      </c>
      <c r="AC84">
        <f t="shared" si="92"/>
        <v>0</v>
      </c>
      <c r="AD84">
        <f t="shared" si="92"/>
        <v>0</v>
      </c>
      <c r="AE84">
        <f t="shared" si="92"/>
        <v>0</v>
      </c>
      <c r="AF84">
        <f t="shared" si="92"/>
        <v>0</v>
      </c>
      <c r="AG84">
        <f t="shared" si="92"/>
        <v>0</v>
      </c>
      <c r="AH84">
        <f t="shared" si="92"/>
        <v>0</v>
      </c>
      <c r="AI84">
        <f t="shared" si="92"/>
        <v>0</v>
      </c>
      <c r="AJ84">
        <f t="shared" si="92"/>
        <v>0</v>
      </c>
      <c r="AK84">
        <f t="shared" si="92"/>
        <v>0</v>
      </c>
      <c r="AL84">
        <f t="shared" si="92"/>
        <v>0</v>
      </c>
      <c r="AM84">
        <f t="shared" si="92"/>
        <v>0</v>
      </c>
      <c r="AN84">
        <f t="shared" si="92"/>
        <v>0</v>
      </c>
      <c r="AO84">
        <f t="shared" si="92"/>
        <v>0</v>
      </c>
      <c r="AP84">
        <f t="shared" si="92"/>
        <v>0</v>
      </c>
      <c r="AQ84">
        <f t="shared" si="92"/>
        <v>0</v>
      </c>
      <c r="AR84">
        <f t="shared" si="92"/>
        <v>0</v>
      </c>
      <c r="AS84">
        <f t="shared" si="92"/>
        <v>0</v>
      </c>
      <c r="AT84">
        <f t="shared" si="92"/>
        <v>0</v>
      </c>
      <c r="AU84">
        <f t="shared" si="92"/>
        <v>0</v>
      </c>
      <c r="AV84">
        <f t="shared" si="92"/>
        <v>0</v>
      </c>
      <c r="AW84">
        <f t="shared" si="92"/>
        <v>0</v>
      </c>
      <c r="AX84">
        <f t="shared" si="92"/>
        <v>0</v>
      </c>
      <c r="AY84">
        <f t="shared" si="92"/>
        <v>0</v>
      </c>
      <c r="AZ84">
        <f t="shared" si="92"/>
        <v>0</v>
      </c>
      <c r="BA84">
        <f t="shared" si="92"/>
        <v>0</v>
      </c>
      <c r="BB84">
        <f t="shared" si="92"/>
        <v>0</v>
      </c>
      <c r="BC84">
        <f t="shared" si="92"/>
        <v>0</v>
      </c>
      <c r="BD84">
        <f t="shared" si="92"/>
        <v>0</v>
      </c>
      <c r="BE84">
        <f t="shared" si="92"/>
        <v>0</v>
      </c>
      <c r="BF84">
        <f t="shared" si="92"/>
        <v>0</v>
      </c>
      <c r="BG84">
        <f t="shared" si="92"/>
        <v>0</v>
      </c>
      <c r="BH84">
        <f t="shared" si="92"/>
        <v>0</v>
      </c>
      <c r="BI84">
        <f t="shared" si="92"/>
        <v>0</v>
      </c>
      <c r="BJ84">
        <f t="shared" si="92"/>
        <v>0</v>
      </c>
      <c r="BK84">
        <f t="shared" si="92"/>
        <v>0</v>
      </c>
      <c r="BL84">
        <f t="shared" si="92"/>
        <v>0</v>
      </c>
      <c r="BM84">
        <f t="shared" si="92"/>
        <v>0</v>
      </c>
      <c r="BN84">
        <f t="shared" si="92"/>
        <v>0</v>
      </c>
      <c r="BO84">
        <f t="shared" si="92"/>
        <v>0</v>
      </c>
      <c r="BP84">
        <f t="shared" si="92"/>
        <v>0</v>
      </c>
      <c r="BQ84">
        <f t="shared" si="92"/>
        <v>0</v>
      </c>
      <c r="BR84">
        <f t="shared" si="92"/>
        <v>0</v>
      </c>
      <c r="BS84">
        <f t="shared" si="92"/>
        <v>0</v>
      </c>
      <c r="BT84">
        <f t="shared" si="92"/>
        <v>0</v>
      </c>
      <c r="BU84">
        <f t="shared" si="92"/>
        <v>0</v>
      </c>
      <c r="BV84">
        <f t="shared" si="92"/>
        <v>0</v>
      </c>
      <c r="BW84">
        <f t="shared" si="92"/>
        <v>0</v>
      </c>
      <c r="BX84">
        <f t="shared" si="92"/>
        <v>0</v>
      </c>
      <c r="BY84">
        <f t="shared" si="92"/>
        <v>0</v>
      </c>
      <c r="BZ84">
        <f t="shared" si="92"/>
        <v>0</v>
      </c>
    </row>
    <row r="85" spans="1:78" x14ac:dyDescent="0.25">
      <c r="A85">
        <v>10</v>
      </c>
      <c r="B85" t="s">
        <v>126</v>
      </c>
      <c r="C85">
        <f t="shared" ref="C85:M85" si="93">C35-ROUNDUP(C35*0.1,2)-ROUNDUP(C35*0.05,2)</f>
        <v>3.03</v>
      </c>
      <c r="D85">
        <f t="shared" si="93"/>
        <v>3.02</v>
      </c>
      <c r="E85">
        <f t="shared" si="93"/>
        <v>3.2499999999999996</v>
      </c>
      <c r="F85">
        <f t="shared" si="93"/>
        <v>3.6399999999999997</v>
      </c>
      <c r="G85">
        <f t="shared" si="93"/>
        <v>3.74</v>
      </c>
      <c r="H85">
        <f t="shared" si="93"/>
        <v>4.8099999999999996</v>
      </c>
      <c r="I85">
        <f t="shared" si="93"/>
        <v>4.9800000000000004</v>
      </c>
      <c r="J85">
        <f t="shared" si="93"/>
        <v>5.35</v>
      </c>
      <c r="K85">
        <f t="shared" si="93"/>
        <v>5.28</v>
      </c>
      <c r="L85">
        <f t="shared" si="93"/>
        <v>6.29</v>
      </c>
      <c r="M85">
        <f t="shared" si="93"/>
        <v>6.67</v>
      </c>
      <c r="N85">
        <f t="shared" ref="N85" si="94">N35-ROUNDUP(N35*0.1,2)-ROUNDUP(N35*0.05,2)</f>
        <v>6.9600000000000009</v>
      </c>
      <c r="O85">
        <f t="shared" ref="O85:AA85" si="95">O35-ROUNDUP(O35*0.1,2)-ROUNDUP(O35*0.05,2)</f>
        <v>6.83</v>
      </c>
      <c r="P85">
        <f t="shared" si="95"/>
        <v>6.76</v>
      </c>
      <c r="Q85">
        <f t="shared" si="95"/>
        <v>6.14</v>
      </c>
      <c r="R85">
        <f t="shared" si="95"/>
        <v>5.88</v>
      </c>
      <c r="S85">
        <f t="shared" si="95"/>
        <v>6.77</v>
      </c>
      <c r="T85">
        <f t="shared" si="95"/>
        <v>7.55</v>
      </c>
      <c r="U85">
        <f t="shared" si="95"/>
        <v>8.2299999999999986</v>
      </c>
      <c r="V85">
        <f t="shared" si="95"/>
        <v>9.73</v>
      </c>
      <c r="W85">
        <f t="shared" si="95"/>
        <v>8.2299999999999986</v>
      </c>
      <c r="X85">
        <f t="shared" si="95"/>
        <v>7.9200000000000008</v>
      </c>
      <c r="Y85">
        <f t="shared" si="95"/>
        <v>7.88</v>
      </c>
      <c r="Z85">
        <f t="shared" si="95"/>
        <v>7.9300000000000006</v>
      </c>
      <c r="AA85">
        <f t="shared" si="95"/>
        <v>7.86</v>
      </c>
      <c r="AB85">
        <f t="shared" ref="AB85:BZ85" si="96">AB35-ROUNDUP(AB35*0.1,2)-ROUNDUP(AB35*0.05,2)</f>
        <v>7.7700000000000005</v>
      </c>
      <c r="AC85">
        <f t="shared" si="96"/>
        <v>0</v>
      </c>
      <c r="AD85">
        <f t="shared" si="96"/>
        <v>0</v>
      </c>
      <c r="AE85">
        <f t="shared" si="96"/>
        <v>0</v>
      </c>
      <c r="AF85">
        <f t="shared" si="96"/>
        <v>0</v>
      </c>
      <c r="AG85">
        <f t="shared" si="96"/>
        <v>0</v>
      </c>
      <c r="AH85">
        <f t="shared" si="96"/>
        <v>0</v>
      </c>
      <c r="AI85">
        <f t="shared" si="96"/>
        <v>0</v>
      </c>
      <c r="AJ85">
        <f t="shared" si="96"/>
        <v>0</v>
      </c>
      <c r="AK85">
        <f t="shared" si="96"/>
        <v>0</v>
      </c>
      <c r="AL85">
        <f t="shared" si="96"/>
        <v>0</v>
      </c>
      <c r="AM85">
        <f t="shared" si="96"/>
        <v>0</v>
      </c>
      <c r="AN85">
        <f t="shared" si="96"/>
        <v>0</v>
      </c>
      <c r="AO85">
        <f t="shared" si="96"/>
        <v>0</v>
      </c>
      <c r="AP85">
        <f t="shared" si="96"/>
        <v>0</v>
      </c>
      <c r="AQ85">
        <f t="shared" si="96"/>
        <v>0</v>
      </c>
      <c r="AR85">
        <f t="shared" si="96"/>
        <v>0</v>
      </c>
      <c r="AS85">
        <f t="shared" si="96"/>
        <v>0</v>
      </c>
      <c r="AT85">
        <f t="shared" si="96"/>
        <v>0</v>
      </c>
      <c r="AU85">
        <f t="shared" si="96"/>
        <v>0</v>
      </c>
      <c r="AV85">
        <f t="shared" si="96"/>
        <v>0</v>
      </c>
      <c r="AW85">
        <f t="shared" si="96"/>
        <v>0</v>
      </c>
      <c r="AX85">
        <f t="shared" si="96"/>
        <v>0</v>
      </c>
      <c r="AY85">
        <f t="shared" si="96"/>
        <v>0</v>
      </c>
      <c r="AZ85">
        <f t="shared" si="96"/>
        <v>0</v>
      </c>
      <c r="BA85">
        <f t="shared" si="96"/>
        <v>0</v>
      </c>
      <c r="BB85">
        <f t="shared" si="96"/>
        <v>0</v>
      </c>
      <c r="BC85">
        <f t="shared" si="96"/>
        <v>0</v>
      </c>
      <c r="BD85">
        <f t="shared" si="96"/>
        <v>0</v>
      </c>
      <c r="BE85">
        <f t="shared" si="96"/>
        <v>0</v>
      </c>
      <c r="BF85">
        <f t="shared" si="96"/>
        <v>0</v>
      </c>
      <c r="BG85">
        <f t="shared" si="96"/>
        <v>0</v>
      </c>
      <c r="BH85">
        <f t="shared" si="96"/>
        <v>0</v>
      </c>
      <c r="BI85">
        <f t="shared" si="96"/>
        <v>0</v>
      </c>
      <c r="BJ85">
        <f t="shared" si="96"/>
        <v>0</v>
      </c>
      <c r="BK85">
        <f t="shared" si="96"/>
        <v>0</v>
      </c>
      <c r="BL85">
        <f t="shared" si="96"/>
        <v>0</v>
      </c>
      <c r="BM85">
        <f t="shared" si="96"/>
        <v>0</v>
      </c>
      <c r="BN85">
        <f t="shared" si="96"/>
        <v>0</v>
      </c>
      <c r="BO85">
        <f t="shared" si="96"/>
        <v>0</v>
      </c>
      <c r="BP85">
        <f t="shared" si="96"/>
        <v>0</v>
      </c>
      <c r="BQ85">
        <f t="shared" si="96"/>
        <v>0</v>
      </c>
      <c r="BR85">
        <f t="shared" si="96"/>
        <v>0</v>
      </c>
      <c r="BS85">
        <f t="shared" si="96"/>
        <v>0</v>
      </c>
      <c r="BT85">
        <f t="shared" si="96"/>
        <v>0</v>
      </c>
      <c r="BU85">
        <f t="shared" si="96"/>
        <v>0</v>
      </c>
      <c r="BV85">
        <f t="shared" si="96"/>
        <v>0</v>
      </c>
      <c r="BW85">
        <f t="shared" si="96"/>
        <v>0</v>
      </c>
      <c r="BX85">
        <f t="shared" si="96"/>
        <v>0</v>
      </c>
      <c r="BY85">
        <f t="shared" si="96"/>
        <v>0</v>
      </c>
      <c r="BZ85">
        <f t="shared" si="96"/>
        <v>0</v>
      </c>
    </row>
    <row r="86" spans="1:78" x14ac:dyDescent="0.25">
      <c r="A86">
        <v>7</v>
      </c>
      <c r="B86" t="s">
        <v>127</v>
      </c>
      <c r="C86">
        <f t="shared" ref="C86:M86" si="97">C36-ROUNDUP(C36*0.1,2)-ROUNDUP(C36*0.05,2)</f>
        <v>2.96</v>
      </c>
      <c r="D86">
        <f t="shared" si="97"/>
        <v>3.19</v>
      </c>
      <c r="E86">
        <f t="shared" si="97"/>
        <v>3.41</v>
      </c>
      <c r="F86">
        <f t="shared" si="97"/>
        <v>3.73</v>
      </c>
      <c r="G86">
        <f t="shared" si="97"/>
        <v>4.0399999999999991</v>
      </c>
      <c r="H86">
        <f t="shared" si="97"/>
        <v>5.19</v>
      </c>
      <c r="I86">
        <f t="shared" si="97"/>
        <v>5.59</v>
      </c>
      <c r="J86">
        <f t="shared" si="97"/>
        <v>5.59</v>
      </c>
      <c r="K86">
        <f t="shared" si="97"/>
        <v>5.58</v>
      </c>
      <c r="L86">
        <f t="shared" si="97"/>
        <v>6.53</v>
      </c>
      <c r="M86">
        <f t="shared" si="97"/>
        <v>7.2399999999999993</v>
      </c>
      <c r="N86">
        <f t="shared" ref="N86" si="98">N36-ROUNDUP(N36*0.1,2)-ROUNDUP(N36*0.05,2)</f>
        <v>7.1800000000000015</v>
      </c>
      <c r="O86">
        <f t="shared" ref="O86:AA86" si="99">O36-ROUNDUP(O36*0.1,2)-ROUNDUP(O36*0.05,2)</f>
        <v>7.2000000000000011</v>
      </c>
      <c r="P86">
        <f t="shared" si="99"/>
        <v>6.77</v>
      </c>
      <c r="Q86">
        <f t="shared" si="99"/>
        <v>6.71</v>
      </c>
      <c r="R86">
        <f t="shared" si="99"/>
        <v>6.6999999999999993</v>
      </c>
      <c r="S86">
        <f t="shared" si="99"/>
        <v>7.3</v>
      </c>
      <c r="T86">
        <f t="shared" si="99"/>
        <v>7.96</v>
      </c>
      <c r="U86">
        <f t="shared" si="99"/>
        <v>9.41</v>
      </c>
      <c r="V86">
        <f t="shared" si="99"/>
        <v>9.2899999999999991</v>
      </c>
      <c r="W86">
        <f t="shared" si="99"/>
        <v>8.41</v>
      </c>
      <c r="X86">
        <f t="shared" si="99"/>
        <v>7.9800000000000013</v>
      </c>
      <c r="Y86">
        <f t="shared" si="99"/>
        <v>8.24</v>
      </c>
      <c r="Z86">
        <f t="shared" si="99"/>
        <v>7.9700000000000015</v>
      </c>
      <c r="AA86">
        <f t="shared" si="99"/>
        <v>8.35</v>
      </c>
      <c r="AB86">
        <f t="shared" ref="AB86:BZ86" si="100">AB36-ROUNDUP(AB36*0.1,2)-ROUNDUP(AB36*0.05,2)</f>
        <v>8.33</v>
      </c>
      <c r="AC86">
        <f t="shared" si="100"/>
        <v>0</v>
      </c>
      <c r="AD86">
        <f t="shared" si="100"/>
        <v>0</v>
      </c>
      <c r="AE86">
        <f t="shared" si="100"/>
        <v>0</v>
      </c>
      <c r="AF86">
        <f t="shared" si="100"/>
        <v>0</v>
      </c>
      <c r="AG86">
        <f t="shared" si="100"/>
        <v>0</v>
      </c>
      <c r="AH86">
        <f t="shared" si="100"/>
        <v>0</v>
      </c>
      <c r="AI86">
        <f t="shared" si="100"/>
        <v>0</v>
      </c>
      <c r="AJ86">
        <f t="shared" si="100"/>
        <v>0</v>
      </c>
      <c r="AK86">
        <f t="shared" si="100"/>
        <v>0</v>
      </c>
      <c r="AL86">
        <f t="shared" si="100"/>
        <v>0</v>
      </c>
      <c r="AM86">
        <f t="shared" si="100"/>
        <v>0</v>
      </c>
      <c r="AN86">
        <f t="shared" si="100"/>
        <v>0</v>
      </c>
      <c r="AO86">
        <f t="shared" si="100"/>
        <v>0</v>
      </c>
      <c r="AP86">
        <f t="shared" si="100"/>
        <v>0</v>
      </c>
      <c r="AQ86">
        <f t="shared" si="100"/>
        <v>0</v>
      </c>
      <c r="AR86">
        <f t="shared" si="100"/>
        <v>0</v>
      </c>
      <c r="AS86">
        <f t="shared" si="100"/>
        <v>0</v>
      </c>
      <c r="AT86">
        <f t="shared" si="100"/>
        <v>0</v>
      </c>
      <c r="AU86">
        <f t="shared" si="100"/>
        <v>0</v>
      </c>
      <c r="AV86">
        <f t="shared" si="100"/>
        <v>0</v>
      </c>
      <c r="AW86">
        <f t="shared" si="100"/>
        <v>0</v>
      </c>
      <c r="AX86">
        <f t="shared" si="100"/>
        <v>0</v>
      </c>
      <c r="AY86">
        <f t="shared" si="100"/>
        <v>0</v>
      </c>
      <c r="AZ86">
        <f t="shared" si="100"/>
        <v>0</v>
      </c>
      <c r="BA86">
        <f t="shared" si="100"/>
        <v>0</v>
      </c>
      <c r="BB86">
        <f t="shared" si="100"/>
        <v>0</v>
      </c>
      <c r="BC86">
        <f t="shared" si="100"/>
        <v>0</v>
      </c>
      <c r="BD86">
        <f t="shared" si="100"/>
        <v>0</v>
      </c>
      <c r="BE86">
        <f t="shared" si="100"/>
        <v>0</v>
      </c>
      <c r="BF86">
        <f t="shared" si="100"/>
        <v>0</v>
      </c>
      <c r="BG86">
        <f t="shared" si="100"/>
        <v>0</v>
      </c>
      <c r="BH86">
        <f t="shared" si="100"/>
        <v>0</v>
      </c>
      <c r="BI86">
        <f t="shared" si="100"/>
        <v>0</v>
      </c>
      <c r="BJ86">
        <f t="shared" si="100"/>
        <v>0</v>
      </c>
      <c r="BK86">
        <f t="shared" si="100"/>
        <v>0</v>
      </c>
      <c r="BL86">
        <f t="shared" si="100"/>
        <v>0</v>
      </c>
      <c r="BM86">
        <f t="shared" si="100"/>
        <v>0</v>
      </c>
      <c r="BN86">
        <f t="shared" si="100"/>
        <v>0</v>
      </c>
      <c r="BO86">
        <f t="shared" si="100"/>
        <v>0</v>
      </c>
      <c r="BP86">
        <f t="shared" si="100"/>
        <v>0</v>
      </c>
      <c r="BQ86">
        <f t="shared" si="100"/>
        <v>0</v>
      </c>
      <c r="BR86">
        <f t="shared" si="100"/>
        <v>0</v>
      </c>
      <c r="BS86">
        <f t="shared" si="100"/>
        <v>0</v>
      </c>
      <c r="BT86">
        <f t="shared" si="100"/>
        <v>0</v>
      </c>
      <c r="BU86">
        <f t="shared" si="100"/>
        <v>0</v>
      </c>
      <c r="BV86">
        <f t="shared" si="100"/>
        <v>0</v>
      </c>
      <c r="BW86">
        <f t="shared" si="100"/>
        <v>0</v>
      </c>
      <c r="BX86">
        <f t="shared" si="100"/>
        <v>0</v>
      </c>
      <c r="BY86">
        <f t="shared" si="100"/>
        <v>0</v>
      </c>
      <c r="BZ86">
        <f t="shared" si="100"/>
        <v>0</v>
      </c>
    </row>
    <row r="87" spans="1:78" x14ac:dyDescent="0.25">
      <c r="A87">
        <v>5</v>
      </c>
      <c r="B87" t="s">
        <v>128</v>
      </c>
      <c r="C87">
        <f t="shared" ref="C87:M87" si="101">C37-ROUNDUP(C37*0.1,2)-ROUNDUP(C37*0.05,2)</f>
        <v>2.9699999999999998</v>
      </c>
      <c r="D87">
        <f t="shared" si="101"/>
        <v>3.14</v>
      </c>
      <c r="E87">
        <f t="shared" si="101"/>
        <v>3.3099999999999996</v>
      </c>
      <c r="F87">
        <f t="shared" si="101"/>
        <v>3.5700000000000003</v>
      </c>
      <c r="G87">
        <f t="shared" si="101"/>
        <v>3.82</v>
      </c>
      <c r="H87">
        <f t="shared" si="101"/>
        <v>5.6099999999999994</v>
      </c>
      <c r="I87">
        <f t="shared" si="101"/>
        <v>5.43</v>
      </c>
      <c r="J87">
        <f t="shared" si="101"/>
        <v>5.43</v>
      </c>
      <c r="K87">
        <f t="shared" si="101"/>
        <v>5.5699999999999994</v>
      </c>
      <c r="L87">
        <f t="shared" si="101"/>
        <v>7.49</v>
      </c>
      <c r="M87">
        <f t="shared" si="101"/>
        <v>8.1499999999999986</v>
      </c>
      <c r="N87">
        <f t="shared" ref="N87" si="102">N37-ROUNDUP(N37*0.1,2)-ROUNDUP(N37*0.05,2)</f>
        <v>7.6499999999999995</v>
      </c>
      <c r="O87">
        <f t="shared" ref="O87:AA87" si="103">O37-ROUNDUP(O37*0.1,2)-ROUNDUP(O37*0.05,2)</f>
        <v>7.379999999999999</v>
      </c>
      <c r="P87">
        <f t="shared" si="103"/>
        <v>6.9599999999999991</v>
      </c>
      <c r="Q87">
        <f t="shared" si="103"/>
        <v>6.26</v>
      </c>
      <c r="R87">
        <f t="shared" si="103"/>
        <v>6.47</v>
      </c>
      <c r="S87">
        <f t="shared" si="103"/>
        <v>6.98</v>
      </c>
      <c r="T87">
        <f t="shared" si="103"/>
        <v>7.78</v>
      </c>
      <c r="U87">
        <f t="shared" si="103"/>
        <v>8.4</v>
      </c>
      <c r="V87">
        <f t="shared" si="103"/>
        <v>9.4799999999999986</v>
      </c>
      <c r="W87">
        <f t="shared" si="103"/>
        <v>9.4799999999999986</v>
      </c>
      <c r="X87">
        <f t="shared" si="103"/>
        <v>8.51</v>
      </c>
      <c r="Y87">
        <f t="shared" si="103"/>
        <v>8.32</v>
      </c>
      <c r="Z87">
        <f t="shared" si="103"/>
        <v>8.0799999999999983</v>
      </c>
      <c r="AA87">
        <f t="shared" si="103"/>
        <v>8.2099999999999991</v>
      </c>
      <c r="AB87">
        <f t="shared" ref="AB87:BZ87" si="104">AB37-ROUNDUP(AB37*0.1,2)-ROUNDUP(AB37*0.05,2)</f>
        <v>8.1499999999999986</v>
      </c>
      <c r="AC87">
        <f t="shared" si="104"/>
        <v>0</v>
      </c>
      <c r="AD87">
        <f t="shared" si="104"/>
        <v>0</v>
      </c>
      <c r="AE87">
        <f t="shared" si="104"/>
        <v>0</v>
      </c>
      <c r="AF87">
        <f t="shared" si="104"/>
        <v>0</v>
      </c>
      <c r="AG87">
        <f t="shared" si="104"/>
        <v>0</v>
      </c>
      <c r="AH87">
        <f t="shared" si="104"/>
        <v>0</v>
      </c>
      <c r="AI87">
        <f t="shared" si="104"/>
        <v>0</v>
      </c>
      <c r="AJ87">
        <f t="shared" si="104"/>
        <v>0</v>
      </c>
      <c r="AK87">
        <f t="shared" si="104"/>
        <v>0</v>
      </c>
      <c r="AL87">
        <f t="shared" si="104"/>
        <v>0</v>
      </c>
      <c r="AM87">
        <f t="shared" si="104"/>
        <v>0</v>
      </c>
      <c r="AN87">
        <f t="shared" si="104"/>
        <v>0</v>
      </c>
      <c r="AO87">
        <f t="shared" si="104"/>
        <v>0</v>
      </c>
      <c r="AP87">
        <f t="shared" si="104"/>
        <v>0</v>
      </c>
      <c r="AQ87">
        <f t="shared" si="104"/>
        <v>0</v>
      </c>
      <c r="AR87">
        <f t="shared" si="104"/>
        <v>0</v>
      </c>
      <c r="AS87">
        <f t="shared" si="104"/>
        <v>0</v>
      </c>
      <c r="AT87">
        <f t="shared" si="104"/>
        <v>0</v>
      </c>
      <c r="AU87">
        <f t="shared" si="104"/>
        <v>0</v>
      </c>
      <c r="AV87">
        <f t="shared" si="104"/>
        <v>0</v>
      </c>
      <c r="AW87">
        <f t="shared" si="104"/>
        <v>0</v>
      </c>
      <c r="AX87">
        <f t="shared" si="104"/>
        <v>0</v>
      </c>
      <c r="AY87">
        <f t="shared" si="104"/>
        <v>0</v>
      </c>
      <c r="AZ87">
        <f t="shared" si="104"/>
        <v>0</v>
      </c>
      <c r="BA87">
        <f t="shared" si="104"/>
        <v>0</v>
      </c>
      <c r="BB87">
        <f t="shared" si="104"/>
        <v>0</v>
      </c>
      <c r="BC87">
        <f t="shared" si="104"/>
        <v>0</v>
      </c>
      <c r="BD87">
        <f t="shared" si="104"/>
        <v>0</v>
      </c>
      <c r="BE87">
        <f t="shared" si="104"/>
        <v>0</v>
      </c>
      <c r="BF87">
        <f t="shared" si="104"/>
        <v>0</v>
      </c>
      <c r="BG87">
        <f t="shared" si="104"/>
        <v>0</v>
      </c>
      <c r="BH87">
        <f t="shared" si="104"/>
        <v>0</v>
      </c>
      <c r="BI87">
        <f t="shared" si="104"/>
        <v>0</v>
      </c>
      <c r="BJ87">
        <f t="shared" si="104"/>
        <v>0</v>
      </c>
      <c r="BK87">
        <f t="shared" si="104"/>
        <v>0</v>
      </c>
      <c r="BL87">
        <f t="shared" si="104"/>
        <v>0</v>
      </c>
      <c r="BM87">
        <f t="shared" si="104"/>
        <v>0</v>
      </c>
      <c r="BN87">
        <f t="shared" si="104"/>
        <v>0</v>
      </c>
      <c r="BO87">
        <f t="shared" si="104"/>
        <v>0</v>
      </c>
      <c r="BP87">
        <f t="shared" si="104"/>
        <v>0</v>
      </c>
      <c r="BQ87">
        <f t="shared" si="104"/>
        <v>0</v>
      </c>
      <c r="BR87">
        <f t="shared" si="104"/>
        <v>0</v>
      </c>
      <c r="BS87">
        <f t="shared" si="104"/>
        <v>0</v>
      </c>
      <c r="BT87">
        <f t="shared" si="104"/>
        <v>0</v>
      </c>
      <c r="BU87">
        <f t="shared" si="104"/>
        <v>0</v>
      </c>
      <c r="BV87">
        <f t="shared" si="104"/>
        <v>0</v>
      </c>
      <c r="BW87">
        <f t="shared" si="104"/>
        <v>0</v>
      </c>
      <c r="BX87">
        <f t="shared" si="104"/>
        <v>0</v>
      </c>
      <c r="BY87">
        <f t="shared" si="104"/>
        <v>0</v>
      </c>
      <c r="BZ87">
        <f t="shared" si="104"/>
        <v>0</v>
      </c>
    </row>
    <row r="91" spans="1:78" ht="31.5" x14ac:dyDescent="0.5">
      <c r="A91" s="4" t="s">
        <v>31</v>
      </c>
    </row>
    <row r="94" spans="1:78" ht="23.25" x14ac:dyDescent="0.35">
      <c r="A94" s="3" t="s">
        <v>1</v>
      </c>
    </row>
    <row r="95" spans="1:78" x14ac:dyDescent="0.25">
      <c r="A95" s="2" t="s">
        <v>11</v>
      </c>
      <c r="B95" s="2" t="s">
        <v>12</v>
      </c>
    </row>
    <row r="96" spans="1:78" x14ac:dyDescent="0.25">
      <c r="C96" s="1">
        <f t="shared" ref="C96:M96" si="105">C80</f>
        <v>44331</v>
      </c>
      <c r="D96" s="1">
        <f t="shared" si="105"/>
        <v>44332</v>
      </c>
      <c r="E96" s="1">
        <f t="shared" si="105"/>
        <v>44334</v>
      </c>
      <c r="F96" s="1">
        <f t="shared" si="105"/>
        <v>44336</v>
      </c>
      <c r="G96" s="1">
        <f t="shared" si="105"/>
        <v>44337</v>
      </c>
      <c r="H96" s="1">
        <f t="shared" si="105"/>
        <v>44338</v>
      </c>
      <c r="I96" s="1">
        <f t="shared" si="105"/>
        <v>44339</v>
      </c>
      <c r="J96" s="1">
        <f t="shared" si="105"/>
        <v>44340</v>
      </c>
      <c r="K96" s="1">
        <f t="shared" si="105"/>
        <v>44341</v>
      </c>
      <c r="L96" s="1">
        <f t="shared" si="105"/>
        <v>44342</v>
      </c>
      <c r="M96" s="1">
        <f t="shared" si="105"/>
        <v>44343</v>
      </c>
      <c r="N96" s="1">
        <f t="shared" ref="N96" si="106">N80</f>
        <v>44344</v>
      </c>
      <c r="O96" s="1">
        <f t="shared" ref="O96:AA96" si="107">O80</f>
        <v>44345</v>
      </c>
      <c r="P96" s="1">
        <f t="shared" si="107"/>
        <v>44346</v>
      </c>
      <c r="Q96" s="1">
        <f t="shared" si="107"/>
        <v>44347</v>
      </c>
      <c r="R96" s="1">
        <f t="shared" si="107"/>
        <v>44348</v>
      </c>
      <c r="S96" s="1">
        <f t="shared" si="107"/>
        <v>44349</v>
      </c>
      <c r="T96" s="1">
        <f t="shared" si="107"/>
        <v>44350</v>
      </c>
      <c r="U96" s="1">
        <f t="shared" si="107"/>
        <v>44351</v>
      </c>
      <c r="V96" s="1">
        <f t="shared" si="107"/>
        <v>44352</v>
      </c>
      <c r="W96" s="1">
        <f t="shared" si="107"/>
        <v>44353</v>
      </c>
      <c r="X96" s="1">
        <f t="shared" si="107"/>
        <v>44354</v>
      </c>
      <c r="Y96" s="1">
        <f t="shared" si="107"/>
        <v>44355</v>
      </c>
      <c r="Z96" s="1">
        <f t="shared" si="107"/>
        <v>44356</v>
      </c>
      <c r="AA96" s="1">
        <f t="shared" si="107"/>
        <v>44357</v>
      </c>
      <c r="AB96" s="1">
        <f t="shared" ref="AB96:BZ96" si="108">AB80</f>
        <v>44358</v>
      </c>
      <c r="AC96" s="1">
        <f t="shared" si="108"/>
        <v>44359</v>
      </c>
      <c r="AD96" s="1">
        <f t="shared" si="108"/>
        <v>44360</v>
      </c>
      <c r="AE96" s="1">
        <f t="shared" si="108"/>
        <v>44361</v>
      </c>
      <c r="AF96" s="1">
        <f t="shared" si="108"/>
        <v>44362</v>
      </c>
      <c r="AG96" s="1">
        <f t="shared" si="108"/>
        <v>44363</v>
      </c>
      <c r="AH96" s="1">
        <f t="shared" si="108"/>
        <v>44364</v>
      </c>
      <c r="AI96" s="1">
        <f t="shared" si="108"/>
        <v>44365</v>
      </c>
      <c r="AJ96" s="1">
        <f t="shared" si="108"/>
        <v>44366</v>
      </c>
      <c r="AK96" s="1">
        <f t="shared" si="108"/>
        <v>44367</v>
      </c>
      <c r="AL96" s="1">
        <f t="shared" si="108"/>
        <v>44368</v>
      </c>
      <c r="AM96" s="1">
        <f t="shared" si="108"/>
        <v>44369</v>
      </c>
      <c r="AN96" s="1">
        <f t="shared" si="108"/>
        <v>44370</v>
      </c>
      <c r="AO96" s="1">
        <f t="shared" si="108"/>
        <v>44371</v>
      </c>
      <c r="AP96" s="1">
        <f t="shared" si="108"/>
        <v>44372</v>
      </c>
      <c r="AQ96" s="1">
        <f t="shared" si="108"/>
        <v>44373</v>
      </c>
      <c r="AR96" s="1">
        <f t="shared" si="108"/>
        <v>44374</v>
      </c>
      <c r="AS96" s="1">
        <f t="shared" si="108"/>
        <v>44375</v>
      </c>
      <c r="AT96" s="1">
        <f t="shared" si="108"/>
        <v>44376</v>
      </c>
      <c r="AU96" s="1">
        <f t="shared" si="108"/>
        <v>44377</v>
      </c>
      <c r="AV96" s="1">
        <f t="shared" si="108"/>
        <v>44378</v>
      </c>
      <c r="AW96" s="1">
        <f t="shared" si="108"/>
        <v>44379</v>
      </c>
      <c r="AX96" s="1">
        <f t="shared" si="108"/>
        <v>44380</v>
      </c>
      <c r="AY96" s="1">
        <f t="shared" si="108"/>
        <v>44381</v>
      </c>
      <c r="AZ96" s="1">
        <f t="shared" si="108"/>
        <v>44382</v>
      </c>
      <c r="BA96" s="1">
        <f t="shared" si="108"/>
        <v>44383</v>
      </c>
      <c r="BB96" s="1">
        <f t="shared" si="108"/>
        <v>44384</v>
      </c>
      <c r="BC96" s="1">
        <f t="shared" si="108"/>
        <v>44385</v>
      </c>
      <c r="BD96" s="1">
        <f t="shared" si="108"/>
        <v>44386</v>
      </c>
      <c r="BE96" s="1">
        <f t="shared" si="108"/>
        <v>44387</v>
      </c>
      <c r="BF96" s="1">
        <f t="shared" si="108"/>
        <v>44388</v>
      </c>
      <c r="BG96" s="1">
        <f t="shared" si="108"/>
        <v>44389</v>
      </c>
      <c r="BH96" s="1">
        <f t="shared" si="108"/>
        <v>44390</v>
      </c>
      <c r="BI96" s="1">
        <f t="shared" si="108"/>
        <v>44391</v>
      </c>
      <c r="BJ96" s="1">
        <f t="shared" si="108"/>
        <v>44392</v>
      </c>
      <c r="BK96" s="1">
        <f t="shared" si="108"/>
        <v>44393</v>
      </c>
      <c r="BL96" s="1">
        <f t="shared" si="108"/>
        <v>44394</v>
      </c>
      <c r="BM96" s="1">
        <f t="shared" si="108"/>
        <v>44395</v>
      </c>
      <c r="BN96" s="1">
        <f t="shared" si="108"/>
        <v>44396</v>
      </c>
      <c r="BO96" s="1">
        <f t="shared" si="108"/>
        <v>44397</v>
      </c>
      <c r="BP96" s="1">
        <f t="shared" si="108"/>
        <v>44398</v>
      </c>
      <c r="BQ96" s="1">
        <f t="shared" si="108"/>
        <v>44399</v>
      </c>
      <c r="BR96" s="1">
        <f t="shared" si="108"/>
        <v>44400</v>
      </c>
      <c r="BS96" s="1">
        <f t="shared" si="108"/>
        <v>44401</v>
      </c>
      <c r="BT96" s="1">
        <f t="shared" si="108"/>
        <v>44402</v>
      </c>
      <c r="BU96" s="1">
        <f t="shared" si="108"/>
        <v>44403</v>
      </c>
      <c r="BV96" s="1">
        <f t="shared" si="108"/>
        <v>44404</v>
      </c>
      <c r="BW96" s="1">
        <f t="shared" si="108"/>
        <v>44405</v>
      </c>
      <c r="BX96" s="1">
        <f t="shared" si="108"/>
        <v>44406</v>
      </c>
      <c r="BY96" s="1">
        <f t="shared" si="108"/>
        <v>44407</v>
      </c>
      <c r="BZ96" s="1">
        <f t="shared" si="108"/>
        <v>44408</v>
      </c>
    </row>
    <row r="97" spans="1:78" x14ac:dyDescent="0.25">
      <c r="A97">
        <v>1000</v>
      </c>
      <c r="B97" t="s">
        <v>13</v>
      </c>
      <c r="C97">
        <f t="shared" ref="C97:M97" si="109">C4*$A97</f>
        <v>70</v>
      </c>
      <c r="D97">
        <f t="shared" si="109"/>
        <v>70</v>
      </c>
      <c r="E97">
        <f t="shared" si="109"/>
        <v>70</v>
      </c>
      <c r="F97">
        <f t="shared" si="109"/>
        <v>70</v>
      </c>
      <c r="G97">
        <f t="shared" si="109"/>
        <v>70</v>
      </c>
      <c r="H97">
        <f t="shared" si="109"/>
        <v>70</v>
      </c>
      <c r="I97">
        <f t="shared" si="109"/>
        <v>70</v>
      </c>
      <c r="J97">
        <f t="shared" si="109"/>
        <v>70</v>
      </c>
      <c r="K97">
        <f t="shared" si="109"/>
        <v>70</v>
      </c>
      <c r="L97">
        <f t="shared" si="109"/>
        <v>70</v>
      </c>
      <c r="M97">
        <f t="shared" si="109"/>
        <v>70</v>
      </c>
      <c r="N97">
        <f t="shared" ref="N97" si="110">N4*$A97</f>
        <v>60</v>
      </c>
      <c r="O97">
        <f t="shared" ref="O97:AA97" si="111">O4*$A97</f>
        <v>60</v>
      </c>
      <c r="P97">
        <f t="shared" si="111"/>
        <v>70</v>
      </c>
      <c r="Q97">
        <f t="shared" si="111"/>
        <v>70</v>
      </c>
      <c r="R97">
        <f t="shared" si="111"/>
        <v>70</v>
      </c>
      <c r="S97">
        <f t="shared" si="111"/>
        <v>70</v>
      </c>
      <c r="T97">
        <f t="shared" si="111"/>
        <v>70</v>
      </c>
      <c r="U97">
        <f t="shared" si="111"/>
        <v>80</v>
      </c>
      <c r="V97">
        <f t="shared" si="111"/>
        <v>90</v>
      </c>
      <c r="W97">
        <f t="shared" si="111"/>
        <v>80</v>
      </c>
      <c r="X97">
        <f t="shared" si="111"/>
        <v>90</v>
      </c>
      <c r="Y97">
        <f t="shared" si="111"/>
        <v>90</v>
      </c>
      <c r="Z97">
        <f t="shared" si="111"/>
        <v>80</v>
      </c>
      <c r="AA97">
        <f t="shared" si="111"/>
        <v>90</v>
      </c>
      <c r="AB97">
        <f t="shared" ref="AB97:BZ97" si="112">AB4*$A97</f>
        <v>90</v>
      </c>
      <c r="AC97">
        <f t="shared" si="112"/>
        <v>0</v>
      </c>
      <c r="AD97">
        <f t="shared" si="112"/>
        <v>0</v>
      </c>
      <c r="AE97">
        <f t="shared" si="112"/>
        <v>0</v>
      </c>
      <c r="AF97">
        <f t="shared" si="112"/>
        <v>0</v>
      </c>
      <c r="AG97">
        <f t="shared" si="112"/>
        <v>0</v>
      </c>
      <c r="AH97">
        <f t="shared" si="112"/>
        <v>0</v>
      </c>
      <c r="AI97">
        <f t="shared" si="112"/>
        <v>0</v>
      </c>
      <c r="AJ97">
        <f t="shared" si="112"/>
        <v>0</v>
      </c>
      <c r="AK97">
        <f t="shared" si="112"/>
        <v>0</v>
      </c>
      <c r="AL97">
        <f t="shared" si="112"/>
        <v>0</v>
      </c>
      <c r="AM97">
        <f t="shared" si="112"/>
        <v>0</v>
      </c>
      <c r="AN97">
        <f t="shared" si="112"/>
        <v>0</v>
      </c>
      <c r="AO97">
        <f t="shared" si="112"/>
        <v>0</v>
      </c>
      <c r="AP97">
        <f t="shared" si="112"/>
        <v>0</v>
      </c>
      <c r="AQ97">
        <f t="shared" si="112"/>
        <v>0</v>
      </c>
      <c r="AR97">
        <f t="shared" si="112"/>
        <v>0</v>
      </c>
      <c r="AS97">
        <f t="shared" si="112"/>
        <v>0</v>
      </c>
      <c r="AT97">
        <f t="shared" si="112"/>
        <v>0</v>
      </c>
      <c r="AU97">
        <f t="shared" si="112"/>
        <v>0</v>
      </c>
      <c r="AV97">
        <f t="shared" si="112"/>
        <v>0</v>
      </c>
      <c r="AW97">
        <f t="shared" si="112"/>
        <v>0</v>
      </c>
      <c r="AX97">
        <f t="shared" si="112"/>
        <v>0</v>
      </c>
      <c r="AY97">
        <f t="shared" si="112"/>
        <v>0</v>
      </c>
      <c r="AZ97">
        <f t="shared" si="112"/>
        <v>0</v>
      </c>
      <c r="BA97">
        <f t="shared" si="112"/>
        <v>0</v>
      </c>
      <c r="BB97">
        <f t="shared" si="112"/>
        <v>0</v>
      </c>
      <c r="BC97">
        <f t="shared" si="112"/>
        <v>0</v>
      </c>
      <c r="BD97">
        <f t="shared" si="112"/>
        <v>0</v>
      </c>
      <c r="BE97">
        <f t="shared" si="112"/>
        <v>0</v>
      </c>
      <c r="BF97">
        <f t="shared" si="112"/>
        <v>0</v>
      </c>
      <c r="BG97">
        <f t="shared" si="112"/>
        <v>0</v>
      </c>
      <c r="BH97">
        <f t="shared" si="112"/>
        <v>0</v>
      </c>
      <c r="BI97">
        <f t="shared" si="112"/>
        <v>0</v>
      </c>
      <c r="BJ97">
        <f t="shared" si="112"/>
        <v>0</v>
      </c>
      <c r="BK97">
        <f t="shared" si="112"/>
        <v>0</v>
      </c>
      <c r="BL97">
        <f t="shared" si="112"/>
        <v>0</v>
      </c>
      <c r="BM97">
        <f t="shared" si="112"/>
        <v>0</v>
      </c>
      <c r="BN97">
        <f t="shared" si="112"/>
        <v>0</v>
      </c>
      <c r="BO97">
        <f t="shared" si="112"/>
        <v>0</v>
      </c>
      <c r="BP97">
        <f t="shared" si="112"/>
        <v>0</v>
      </c>
      <c r="BQ97">
        <f t="shared" si="112"/>
        <v>0</v>
      </c>
      <c r="BR97">
        <f t="shared" si="112"/>
        <v>0</v>
      </c>
      <c r="BS97">
        <f t="shared" si="112"/>
        <v>0</v>
      </c>
      <c r="BT97">
        <f t="shared" si="112"/>
        <v>0</v>
      </c>
      <c r="BU97">
        <f t="shared" si="112"/>
        <v>0</v>
      </c>
      <c r="BV97">
        <f t="shared" si="112"/>
        <v>0</v>
      </c>
      <c r="BW97">
        <f t="shared" si="112"/>
        <v>0</v>
      </c>
      <c r="BX97">
        <f t="shared" si="112"/>
        <v>0</v>
      </c>
      <c r="BY97">
        <f t="shared" si="112"/>
        <v>0</v>
      </c>
      <c r="BZ97">
        <f t="shared" si="112"/>
        <v>0</v>
      </c>
    </row>
    <row r="98" spans="1:78" x14ac:dyDescent="0.25">
      <c r="A98">
        <v>2000</v>
      </c>
      <c r="B98" t="s">
        <v>14</v>
      </c>
      <c r="C98">
        <f t="shared" ref="C98:M98" si="113">C5*$A98</f>
        <v>140</v>
      </c>
      <c r="D98">
        <f t="shared" si="113"/>
        <v>140</v>
      </c>
      <c r="E98">
        <f t="shared" si="113"/>
        <v>140</v>
      </c>
      <c r="F98">
        <f t="shared" si="113"/>
        <v>140</v>
      </c>
      <c r="G98">
        <f t="shared" si="113"/>
        <v>140</v>
      </c>
      <c r="H98">
        <f t="shared" si="113"/>
        <v>140</v>
      </c>
      <c r="I98">
        <f t="shared" si="113"/>
        <v>140</v>
      </c>
      <c r="J98">
        <f t="shared" si="113"/>
        <v>140</v>
      </c>
      <c r="K98">
        <f t="shared" si="113"/>
        <v>140</v>
      </c>
      <c r="L98">
        <f t="shared" si="113"/>
        <v>140</v>
      </c>
      <c r="M98">
        <f t="shared" si="113"/>
        <v>140</v>
      </c>
      <c r="N98">
        <f t="shared" ref="N98" si="114">N5*$A98</f>
        <v>140</v>
      </c>
      <c r="O98">
        <f t="shared" ref="O98:AA98" si="115">O5*$A98</f>
        <v>140</v>
      </c>
      <c r="P98">
        <f t="shared" si="115"/>
        <v>140</v>
      </c>
      <c r="Q98">
        <f t="shared" si="115"/>
        <v>140</v>
      </c>
      <c r="R98">
        <f t="shared" si="115"/>
        <v>140</v>
      </c>
      <c r="S98">
        <f t="shared" si="115"/>
        <v>140</v>
      </c>
      <c r="T98">
        <f t="shared" si="115"/>
        <v>140</v>
      </c>
      <c r="U98">
        <f t="shared" si="115"/>
        <v>240</v>
      </c>
      <c r="V98">
        <f t="shared" si="115"/>
        <v>280</v>
      </c>
      <c r="W98">
        <f t="shared" si="115"/>
        <v>220</v>
      </c>
      <c r="X98">
        <f t="shared" si="115"/>
        <v>240</v>
      </c>
      <c r="Y98">
        <f t="shared" si="115"/>
        <v>240</v>
      </c>
      <c r="Z98">
        <f t="shared" si="115"/>
        <v>240</v>
      </c>
      <c r="AA98">
        <f t="shared" si="115"/>
        <v>240</v>
      </c>
      <c r="AB98">
        <f t="shared" ref="AB98:BZ98" si="116">AB5*$A98</f>
        <v>260</v>
      </c>
      <c r="AC98">
        <f t="shared" si="116"/>
        <v>0</v>
      </c>
      <c r="AD98">
        <f t="shared" si="116"/>
        <v>0</v>
      </c>
      <c r="AE98">
        <f t="shared" si="116"/>
        <v>0</v>
      </c>
      <c r="AF98">
        <f t="shared" si="116"/>
        <v>0</v>
      </c>
      <c r="AG98">
        <f t="shared" si="116"/>
        <v>0</v>
      </c>
      <c r="AH98">
        <f t="shared" si="116"/>
        <v>0</v>
      </c>
      <c r="AI98">
        <f t="shared" si="116"/>
        <v>0</v>
      </c>
      <c r="AJ98">
        <f t="shared" si="116"/>
        <v>0</v>
      </c>
      <c r="AK98">
        <f t="shared" si="116"/>
        <v>0</v>
      </c>
      <c r="AL98">
        <f t="shared" si="116"/>
        <v>0</v>
      </c>
      <c r="AM98">
        <f t="shared" si="116"/>
        <v>0</v>
      </c>
      <c r="AN98">
        <f t="shared" si="116"/>
        <v>0</v>
      </c>
      <c r="AO98">
        <f t="shared" si="116"/>
        <v>0</v>
      </c>
      <c r="AP98">
        <f t="shared" si="116"/>
        <v>0</v>
      </c>
      <c r="AQ98">
        <f t="shared" si="116"/>
        <v>0</v>
      </c>
      <c r="AR98">
        <f t="shared" si="116"/>
        <v>0</v>
      </c>
      <c r="AS98">
        <f t="shared" si="116"/>
        <v>0</v>
      </c>
      <c r="AT98">
        <f t="shared" si="116"/>
        <v>0</v>
      </c>
      <c r="AU98">
        <f t="shared" si="116"/>
        <v>0</v>
      </c>
      <c r="AV98">
        <f t="shared" si="116"/>
        <v>0</v>
      </c>
      <c r="AW98">
        <f t="shared" si="116"/>
        <v>0</v>
      </c>
      <c r="AX98">
        <f t="shared" si="116"/>
        <v>0</v>
      </c>
      <c r="AY98">
        <f t="shared" si="116"/>
        <v>0</v>
      </c>
      <c r="AZ98">
        <f t="shared" si="116"/>
        <v>0</v>
      </c>
      <c r="BA98">
        <f t="shared" si="116"/>
        <v>0</v>
      </c>
      <c r="BB98">
        <f t="shared" si="116"/>
        <v>0</v>
      </c>
      <c r="BC98">
        <f t="shared" si="116"/>
        <v>0</v>
      </c>
      <c r="BD98">
        <f t="shared" si="116"/>
        <v>0</v>
      </c>
      <c r="BE98">
        <f t="shared" si="116"/>
        <v>0</v>
      </c>
      <c r="BF98">
        <f t="shared" si="116"/>
        <v>0</v>
      </c>
      <c r="BG98">
        <f t="shared" si="116"/>
        <v>0</v>
      </c>
      <c r="BH98">
        <f t="shared" si="116"/>
        <v>0</v>
      </c>
      <c r="BI98">
        <f t="shared" si="116"/>
        <v>0</v>
      </c>
      <c r="BJ98">
        <f t="shared" si="116"/>
        <v>0</v>
      </c>
      <c r="BK98">
        <f t="shared" si="116"/>
        <v>0</v>
      </c>
      <c r="BL98">
        <f t="shared" si="116"/>
        <v>0</v>
      </c>
      <c r="BM98">
        <f t="shared" si="116"/>
        <v>0</v>
      </c>
      <c r="BN98">
        <f t="shared" si="116"/>
        <v>0</v>
      </c>
      <c r="BO98">
        <f t="shared" si="116"/>
        <v>0</v>
      </c>
      <c r="BP98">
        <f t="shared" si="116"/>
        <v>0</v>
      </c>
      <c r="BQ98">
        <f t="shared" si="116"/>
        <v>0</v>
      </c>
      <c r="BR98">
        <f t="shared" si="116"/>
        <v>0</v>
      </c>
      <c r="BS98">
        <f t="shared" si="116"/>
        <v>0</v>
      </c>
      <c r="BT98">
        <f t="shared" si="116"/>
        <v>0</v>
      </c>
      <c r="BU98">
        <f t="shared" si="116"/>
        <v>0</v>
      </c>
      <c r="BV98">
        <f t="shared" si="116"/>
        <v>0</v>
      </c>
      <c r="BW98">
        <f t="shared" si="116"/>
        <v>0</v>
      </c>
      <c r="BX98">
        <f t="shared" si="116"/>
        <v>0</v>
      </c>
      <c r="BY98">
        <f t="shared" si="116"/>
        <v>0</v>
      </c>
      <c r="BZ98">
        <f t="shared" si="116"/>
        <v>0</v>
      </c>
    </row>
    <row r="99" spans="1:78" x14ac:dyDescent="0.25">
      <c r="A99">
        <v>2000</v>
      </c>
      <c r="B99" t="s">
        <v>15</v>
      </c>
      <c r="C99">
        <f t="shared" ref="C99:M99" si="117">C6*$A99</f>
        <v>100</v>
      </c>
      <c r="D99">
        <f t="shared" si="117"/>
        <v>100</v>
      </c>
      <c r="E99">
        <f t="shared" si="117"/>
        <v>100</v>
      </c>
      <c r="F99">
        <f t="shared" si="117"/>
        <v>120</v>
      </c>
      <c r="G99">
        <f t="shared" si="117"/>
        <v>120</v>
      </c>
      <c r="H99">
        <f t="shared" si="117"/>
        <v>120</v>
      </c>
      <c r="I99">
        <f t="shared" si="117"/>
        <v>100</v>
      </c>
      <c r="J99">
        <f t="shared" si="117"/>
        <v>120</v>
      </c>
      <c r="K99">
        <f t="shared" si="117"/>
        <v>120</v>
      </c>
      <c r="L99">
        <f t="shared" si="117"/>
        <v>120</v>
      </c>
      <c r="M99">
        <f t="shared" si="117"/>
        <v>120</v>
      </c>
      <c r="N99">
        <f t="shared" ref="N99" si="118">N6*$A99</f>
        <v>120</v>
      </c>
      <c r="O99">
        <f t="shared" ref="O99:AA99" si="119">O6*$A99</f>
        <v>120</v>
      </c>
      <c r="P99">
        <f t="shared" si="119"/>
        <v>100</v>
      </c>
      <c r="Q99">
        <f t="shared" si="119"/>
        <v>120</v>
      </c>
      <c r="R99">
        <f t="shared" si="119"/>
        <v>120</v>
      </c>
      <c r="S99">
        <f t="shared" si="119"/>
        <v>120</v>
      </c>
      <c r="T99">
        <f t="shared" si="119"/>
        <v>120</v>
      </c>
      <c r="U99">
        <f t="shared" si="119"/>
        <v>140</v>
      </c>
      <c r="V99">
        <f t="shared" si="119"/>
        <v>160</v>
      </c>
      <c r="W99">
        <f t="shared" si="119"/>
        <v>140</v>
      </c>
      <c r="X99">
        <f t="shared" si="119"/>
        <v>160</v>
      </c>
      <c r="Y99">
        <f t="shared" si="119"/>
        <v>160</v>
      </c>
      <c r="Z99">
        <f t="shared" si="119"/>
        <v>160</v>
      </c>
      <c r="AA99">
        <f t="shared" si="119"/>
        <v>160</v>
      </c>
      <c r="AB99">
        <f t="shared" ref="AB99:BZ99" si="120">AB6*$A99</f>
        <v>160</v>
      </c>
      <c r="AC99">
        <f t="shared" si="120"/>
        <v>0</v>
      </c>
      <c r="AD99">
        <f t="shared" si="120"/>
        <v>0</v>
      </c>
      <c r="AE99">
        <f t="shared" si="120"/>
        <v>0</v>
      </c>
      <c r="AF99">
        <f t="shared" si="120"/>
        <v>0</v>
      </c>
      <c r="AG99">
        <f t="shared" si="120"/>
        <v>0</v>
      </c>
      <c r="AH99">
        <f t="shared" si="120"/>
        <v>0</v>
      </c>
      <c r="AI99">
        <f t="shared" si="120"/>
        <v>0</v>
      </c>
      <c r="AJ99">
        <f t="shared" si="120"/>
        <v>0</v>
      </c>
      <c r="AK99">
        <f t="shared" si="120"/>
        <v>0</v>
      </c>
      <c r="AL99">
        <f t="shared" si="120"/>
        <v>0</v>
      </c>
      <c r="AM99">
        <f t="shared" si="120"/>
        <v>0</v>
      </c>
      <c r="AN99">
        <f t="shared" si="120"/>
        <v>0</v>
      </c>
      <c r="AO99">
        <f t="shared" si="120"/>
        <v>0</v>
      </c>
      <c r="AP99">
        <f t="shared" si="120"/>
        <v>0</v>
      </c>
      <c r="AQ99">
        <f t="shared" si="120"/>
        <v>0</v>
      </c>
      <c r="AR99">
        <f t="shared" si="120"/>
        <v>0</v>
      </c>
      <c r="AS99">
        <f t="shared" si="120"/>
        <v>0</v>
      </c>
      <c r="AT99">
        <f t="shared" si="120"/>
        <v>0</v>
      </c>
      <c r="AU99">
        <f t="shared" si="120"/>
        <v>0</v>
      </c>
      <c r="AV99">
        <f t="shared" si="120"/>
        <v>0</v>
      </c>
      <c r="AW99">
        <f t="shared" si="120"/>
        <v>0</v>
      </c>
      <c r="AX99">
        <f t="shared" si="120"/>
        <v>0</v>
      </c>
      <c r="AY99">
        <f t="shared" si="120"/>
        <v>0</v>
      </c>
      <c r="AZ99">
        <f t="shared" si="120"/>
        <v>0</v>
      </c>
      <c r="BA99">
        <f t="shared" si="120"/>
        <v>0</v>
      </c>
      <c r="BB99">
        <f t="shared" si="120"/>
        <v>0</v>
      </c>
      <c r="BC99">
        <f t="shared" si="120"/>
        <v>0</v>
      </c>
      <c r="BD99">
        <f t="shared" si="120"/>
        <v>0</v>
      </c>
      <c r="BE99">
        <f t="shared" si="120"/>
        <v>0</v>
      </c>
      <c r="BF99">
        <f t="shared" si="120"/>
        <v>0</v>
      </c>
      <c r="BG99">
        <f t="shared" si="120"/>
        <v>0</v>
      </c>
      <c r="BH99">
        <f t="shared" si="120"/>
        <v>0</v>
      </c>
      <c r="BI99">
        <f t="shared" si="120"/>
        <v>0</v>
      </c>
      <c r="BJ99">
        <f t="shared" si="120"/>
        <v>0</v>
      </c>
      <c r="BK99">
        <f t="shared" si="120"/>
        <v>0</v>
      </c>
      <c r="BL99">
        <f t="shared" si="120"/>
        <v>0</v>
      </c>
      <c r="BM99">
        <f t="shared" si="120"/>
        <v>0</v>
      </c>
      <c r="BN99">
        <f t="shared" si="120"/>
        <v>0</v>
      </c>
      <c r="BO99">
        <f t="shared" si="120"/>
        <v>0</v>
      </c>
      <c r="BP99">
        <f t="shared" si="120"/>
        <v>0</v>
      </c>
      <c r="BQ99">
        <f t="shared" si="120"/>
        <v>0</v>
      </c>
      <c r="BR99">
        <f t="shared" si="120"/>
        <v>0</v>
      </c>
      <c r="BS99">
        <f t="shared" si="120"/>
        <v>0</v>
      </c>
      <c r="BT99">
        <f t="shared" si="120"/>
        <v>0</v>
      </c>
      <c r="BU99">
        <f t="shared" si="120"/>
        <v>0</v>
      </c>
      <c r="BV99">
        <f t="shared" si="120"/>
        <v>0</v>
      </c>
      <c r="BW99">
        <f t="shared" si="120"/>
        <v>0</v>
      </c>
      <c r="BX99">
        <f t="shared" si="120"/>
        <v>0</v>
      </c>
      <c r="BY99">
        <f t="shared" si="120"/>
        <v>0</v>
      </c>
      <c r="BZ99">
        <f t="shared" si="120"/>
        <v>0</v>
      </c>
    </row>
    <row r="100" spans="1:78" x14ac:dyDescent="0.25">
      <c r="A100">
        <v>215</v>
      </c>
      <c r="B100" t="s">
        <v>16</v>
      </c>
      <c r="C100">
        <f t="shared" ref="C100:M100" si="121">C7*$A100</f>
        <v>17.2</v>
      </c>
      <c r="D100">
        <f t="shared" si="121"/>
        <v>17.2</v>
      </c>
      <c r="E100">
        <f t="shared" si="121"/>
        <v>17.2</v>
      </c>
      <c r="F100">
        <f t="shared" si="121"/>
        <v>17.2</v>
      </c>
      <c r="G100">
        <f t="shared" si="121"/>
        <v>17.2</v>
      </c>
      <c r="H100">
        <f t="shared" si="121"/>
        <v>17.2</v>
      </c>
      <c r="I100">
        <f t="shared" si="121"/>
        <v>17.2</v>
      </c>
      <c r="J100">
        <f t="shared" si="121"/>
        <v>17.2</v>
      </c>
      <c r="K100">
        <f t="shared" si="121"/>
        <v>17.2</v>
      </c>
      <c r="L100">
        <f t="shared" si="121"/>
        <v>17.2</v>
      </c>
      <c r="M100">
        <f t="shared" si="121"/>
        <v>17.2</v>
      </c>
      <c r="N100">
        <f t="shared" ref="N100" si="122">N7*$A100</f>
        <v>17.2</v>
      </c>
      <c r="O100">
        <f t="shared" ref="O100:AA100" si="123">O7*$A100</f>
        <v>17.2</v>
      </c>
      <c r="P100">
        <f t="shared" si="123"/>
        <v>17.2</v>
      </c>
      <c r="Q100">
        <f t="shared" si="123"/>
        <v>17.2</v>
      </c>
      <c r="R100">
        <f t="shared" si="123"/>
        <v>17.2</v>
      </c>
      <c r="S100">
        <f t="shared" si="123"/>
        <v>17.2</v>
      </c>
      <c r="T100">
        <f t="shared" si="123"/>
        <v>17.2</v>
      </c>
      <c r="U100">
        <f t="shared" si="123"/>
        <v>34.4</v>
      </c>
      <c r="V100">
        <f t="shared" si="123"/>
        <v>45.15</v>
      </c>
      <c r="W100">
        <f t="shared" si="123"/>
        <v>36.550000000000004</v>
      </c>
      <c r="X100">
        <f t="shared" si="123"/>
        <v>38.699999999999996</v>
      </c>
      <c r="Y100">
        <f t="shared" si="123"/>
        <v>38.699999999999996</v>
      </c>
      <c r="Z100">
        <f t="shared" si="123"/>
        <v>43</v>
      </c>
      <c r="AA100">
        <f t="shared" si="123"/>
        <v>49.45</v>
      </c>
      <c r="AB100">
        <f t="shared" ref="AB100:BZ100" si="124">AB7*$A100</f>
        <v>51.6</v>
      </c>
      <c r="AC100">
        <f t="shared" si="124"/>
        <v>0</v>
      </c>
      <c r="AD100">
        <f t="shared" si="124"/>
        <v>0</v>
      </c>
      <c r="AE100">
        <f t="shared" si="124"/>
        <v>0</v>
      </c>
      <c r="AF100">
        <f t="shared" si="124"/>
        <v>0</v>
      </c>
      <c r="AG100">
        <f t="shared" si="124"/>
        <v>0</v>
      </c>
      <c r="AH100">
        <f t="shared" si="124"/>
        <v>0</v>
      </c>
      <c r="AI100">
        <f t="shared" si="124"/>
        <v>0</v>
      </c>
      <c r="AJ100">
        <f t="shared" si="124"/>
        <v>0</v>
      </c>
      <c r="AK100">
        <f t="shared" si="124"/>
        <v>0</v>
      </c>
      <c r="AL100">
        <f t="shared" si="124"/>
        <v>0</v>
      </c>
      <c r="AM100">
        <f t="shared" si="124"/>
        <v>0</v>
      </c>
      <c r="AN100">
        <f t="shared" si="124"/>
        <v>0</v>
      </c>
      <c r="AO100">
        <f t="shared" si="124"/>
        <v>0</v>
      </c>
      <c r="AP100">
        <f t="shared" si="124"/>
        <v>0</v>
      </c>
      <c r="AQ100">
        <f t="shared" si="124"/>
        <v>0</v>
      </c>
      <c r="AR100">
        <f t="shared" si="124"/>
        <v>0</v>
      </c>
      <c r="AS100">
        <f t="shared" si="124"/>
        <v>0</v>
      </c>
      <c r="AT100">
        <f t="shared" si="124"/>
        <v>0</v>
      </c>
      <c r="AU100">
        <f t="shared" si="124"/>
        <v>0</v>
      </c>
      <c r="AV100">
        <f t="shared" si="124"/>
        <v>0</v>
      </c>
      <c r="AW100">
        <f t="shared" si="124"/>
        <v>0</v>
      </c>
      <c r="AX100">
        <f t="shared" si="124"/>
        <v>0</v>
      </c>
      <c r="AY100">
        <f t="shared" si="124"/>
        <v>0</v>
      </c>
      <c r="AZ100">
        <f t="shared" si="124"/>
        <v>0</v>
      </c>
      <c r="BA100">
        <f t="shared" si="124"/>
        <v>0</v>
      </c>
      <c r="BB100">
        <f t="shared" si="124"/>
        <v>0</v>
      </c>
      <c r="BC100">
        <f t="shared" si="124"/>
        <v>0</v>
      </c>
      <c r="BD100">
        <f t="shared" si="124"/>
        <v>0</v>
      </c>
      <c r="BE100">
        <f t="shared" si="124"/>
        <v>0</v>
      </c>
      <c r="BF100">
        <f t="shared" si="124"/>
        <v>0</v>
      </c>
      <c r="BG100">
        <f t="shared" si="124"/>
        <v>0</v>
      </c>
      <c r="BH100">
        <f t="shared" si="124"/>
        <v>0</v>
      </c>
      <c r="BI100">
        <f t="shared" si="124"/>
        <v>0</v>
      </c>
      <c r="BJ100">
        <f t="shared" si="124"/>
        <v>0</v>
      </c>
      <c r="BK100">
        <f t="shared" si="124"/>
        <v>0</v>
      </c>
      <c r="BL100">
        <f t="shared" si="124"/>
        <v>0</v>
      </c>
      <c r="BM100">
        <f t="shared" si="124"/>
        <v>0</v>
      </c>
      <c r="BN100">
        <f t="shared" si="124"/>
        <v>0</v>
      </c>
      <c r="BO100">
        <f t="shared" si="124"/>
        <v>0</v>
      </c>
      <c r="BP100">
        <f t="shared" si="124"/>
        <v>0</v>
      </c>
      <c r="BQ100">
        <f t="shared" si="124"/>
        <v>0</v>
      </c>
      <c r="BR100">
        <f t="shared" si="124"/>
        <v>0</v>
      </c>
      <c r="BS100">
        <f t="shared" si="124"/>
        <v>0</v>
      </c>
      <c r="BT100">
        <f t="shared" si="124"/>
        <v>0</v>
      </c>
      <c r="BU100">
        <f t="shared" si="124"/>
        <v>0</v>
      </c>
      <c r="BV100">
        <f t="shared" si="124"/>
        <v>0</v>
      </c>
      <c r="BW100">
        <f t="shared" si="124"/>
        <v>0</v>
      </c>
      <c r="BX100">
        <f t="shared" si="124"/>
        <v>0</v>
      </c>
      <c r="BY100">
        <f t="shared" si="124"/>
        <v>0</v>
      </c>
      <c r="BZ100">
        <f t="shared" si="124"/>
        <v>0</v>
      </c>
    </row>
    <row r="101" spans="1:78" x14ac:dyDescent="0.25">
      <c r="A101">
        <v>150</v>
      </c>
      <c r="B101" t="s">
        <v>17</v>
      </c>
      <c r="C101">
        <f t="shared" ref="C101:M101" si="125">C8*$A101</f>
        <v>52.5</v>
      </c>
      <c r="D101">
        <f t="shared" si="125"/>
        <v>52.5</v>
      </c>
      <c r="E101">
        <f t="shared" si="125"/>
        <v>52.5</v>
      </c>
      <c r="F101">
        <f t="shared" si="125"/>
        <v>46.5</v>
      </c>
      <c r="G101">
        <f t="shared" si="125"/>
        <v>45</v>
      </c>
      <c r="H101">
        <f t="shared" si="125"/>
        <v>51.000000000000007</v>
      </c>
      <c r="I101">
        <f t="shared" si="125"/>
        <v>45</v>
      </c>
      <c r="J101">
        <f t="shared" si="125"/>
        <v>45</v>
      </c>
      <c r="K101">
        <f t="shared" si="125"/>
        <v>46.5</v>
      </c>
      <c r="L101">
        <f t="shared" si="125"/>
        <v>45</v>
      </c>
      <c r="M101">
        <f t="shared" si="125"/>
        <v>46.5</v>
      </c>
      <c r="N101">
        <f t="shared" ref="N101" si="126">N8*$A101</f>
        <v>45</v>
      </c>
      <c r="O101">
        <f t="shared" ref="O101:AA101" si="127">O8*$A101</f>
        <v>48</v>
      </c>
      <c r="P101">
        <f t="shared" si="127"/>
        <v>48</v>
      </c>
      <c r="Q101">
        <f t="shared" si="127"/>
        <v>51.000000000000007</v>
      </c>
      <c r="R101">
        <f t="shared" si="127"/>
        <v>45</v>
      </c>
      <c r="S101">
        <f t="shared" si="127"/>
        <v>48</v>
      </c>
      <c r="T101">
        <f t="shared" si="127"/>
        <v>45</v>
      </c>
      <c r="U101">
        <f t="shared" si="127"/>
        <v>52.5</v>
      </c>
      <c r="V101">
        <f t="shared" si="127"/>
        <v>52.5</v>
      </c>
      <c r="W101">
        <f t="shared" si="127"/>
        <v>48</v>
      </c>
      <c r="X101">
        <f t="shared" si="127"/>
        <v>48</v>
      </c>
      <c r="Y101">
        <f t="shared" si="127"/>
        <v>45</v>
      </c>
      <c r="Z101">
        <f t="shared" si="127"/>
        <v>46.5</v>
      </c>
      <c r="AA101">
        <f t="shared" si="127"/>
        <v>45</v>
      </c>
      <c r="AB101">
        <f t="shared" ref="AB101:BZ101" si="128">AB8*$A101</f>
        <v>45</v>
      </c>
      <c r="AC101">
        <f t="shared" si="128"/>
        <v>0</v>
      </c>
      <c r="AD101">
        <f t="shared" si="128"/>
        <v>0</v>
      </c>
      <c r="AE101">
        <f t="shared" si="128"/>
        <v>0</v>
      </c>
      <c r="AF101">
        <f t="shared" si="128"/>
        <v>0</v>
      </c>
      <c r="AG101">
        <f t="shared" si="128"/>
        <v>0</v>
      </c>
      <c r="AH101">
        <f t="shared" si="128"/>
        <v>0</v>
      </c>
      <c r="AI101">
        <f t="shared" si="128"/>
        <v>0</v>
      </c>
      <c r="AJ101">
        <f t="shared" si="128"/>
        <v>0</v>
      </c>
      <c r="AK101">
        <f t="shared" si="128"/>
        <v>0</v>
      </c>
      <c r="AL101">
        <f t="shared" si="128"/>
        <v>0</v>
      </c>
      <c r="AM101">
        <f t="shared" si="128"/>
        <v>0</v>
      </c>
      <c r="AN101">
        <f t="shared" si="128"/>
        <v>0</v>
      </c>
      <c r="AO101">
        <f t="shared" si="128"/>
        <v>0</v>
      </c>
      <c r="AP101">
        <f t="shared" si="128"/>
        <v>0</v>
      </c>
      <c r="AQ101">
        <f t="shared" si="128"/>
        <v>0</v>
      </c>
      <c r="AR101">
        <f t="shared" si="128"/>
        <v>0</v>
      </c>
      <c r="AS101">
        <f t="shared" si="128"/>
        <v>0</v>
      </c>
      <c r="AT101">
        <f t="shared" si="128"/>
        <v>0</v>
      </c>
      <c r="AU101">
        <f t="shared" si="128"/>
        <v>0</v>
      </c>
      <c r="AV101">
        <f t="shared" si="128"/>
        <v>0</v>
      </c>
      <c r="AW101">
        <f t="shared" si="128"/>
        <v>0</v>
      </c>
      <c r="AX101">
        <f t="shared" si="128"/>
        <v>0</v>
      </c>
      <c r="AY101">
        <f t="shared" si="128"/>
        <v>0</v>
      </c>
      <c r="AZ101">
        <f t="shared" si="128"/>
        <v>0</v>
      </c>
      <c r="BA101">
        <f t="shared" si="128"/>
        <v>0</v>
      </c>
      <c r="BB101">
        <f t="shared" si="128"/>
        <v>0</v>
      </c>
      <c r="BC101">
        <f t="shared" si="128"/>
        <v>0</v>
      </c>
      <c r="BD101">
        <f t="shared" si="128"/>
        <v>0</v>
      </c>
      <c r="BE101">
        <f t="shared" si="128"/>
        <v>0</v>
      </c>
      <c r="BF101">
        <f t="shared" si="128"/>
        <v>0</v>
      </c>
      <c r="BG101">
        <f t="shared" si="128"/>
        <v>0</v>
      </c>
      <c r="BH101">
        <f t="shared" si="128"/>
        <v>0</v>
      </c>
      <c r="BI101">
        <f t="shared" si="128"/>
        <v>0</v>
      </c>
      <c r="BJ101">
        <f t="shared" si="128"/>
        <v>0</v>
      </c>
      <c r="BK101">
        <f t="shared" si="128"/>
        <v>0</v>
      </c>
      <c r="BL101">
        <f t="shared" si="128"/>
        <v>0</v>
      </c>
      <c r="BM101">
        <f t="shared" si="128"/>
        <v>0</v>
      </c>
      <c r="BN101">
        <f t="shared" si="128"/>
        <v>0</v>
      </c>
      <c r="BO101">
        <f t="shared" si="128"/>
        <v>0</v>
      </c>
      <c r="BP101">
        <f t="shared" si="128"/>
        <v>0</v>
      </c>
      <c r="BQ101">
        <f t="shared" si="128"/>
        <v>0</v>
      </c>
      <c r="BR101">
        <f t="shared" si="128"/>
        <v>0</v>
      </c>
      <c r="BS101">
        <f t="shared" si="128"/>
        <v>0</v>
      </c>
      <c r="BT101">
        <f t="shared" si="128"/>
        <v>0</v>
      </c>
      <c r="BU101">
        <f t="shared" si="128"/>
        <v>0</v>
      </c>
      <c r="BV101">
        <f t="shared" si="128"/>
        <v>0</v>
      </c>
      <c r="BW101">
        <f t="shared" si="128"/>
        <v>0</v>
      </c>
      <c r="BX101">
        <f t="shared" si="128"/>
        <v>0</v>
      </c>
      <c r="BY101">
        <f t="shared" si="128"/>
        <v>0</v>
      </c>
      <c r="BZ101">
        <f t="shared" si="128"/>
        <v>0</v>
      </c>
    </row>
    <row r="102" spans="1:78" x14ac:dyDescent="0.25">
      <c r="C102" s="2">
        <f>SUM(C97:C101)</f>
        <v>379.7</v>
      </c>
      <c r="D102" s="2">
        <f t="shared" ref="D102:F102" si="129">SUM(D97:D101)</f>
        <v>379.7</v>
      </c>
      <c r="E102" s="2">
        <f t="shared" si="129"/>
        <v>379.7</v>
      </c>
      <c r="F102" s="2">
        <f t="shared" si="129"/>
        <v>393.7</v>
      </c>
      <c r="G102" s="2">
        <f t="shared" ref="G102" si="130">SUM(G97:G101)</f>
        <v>392.2</v>
      </c>
      <c r="H102" s="2">
        <f t="shared" ref="H102" si="131">SUM(H97:H101)</f>
        <v>398.2</v>
      </c>
      <c r="I102" s="2">
        <f t="shared" ref="I102" si="132">SUM(I97:I101)</f>
        <v>372.2</v>
      </c>
      <c r="J102" s="2">
        <f t="shared" ref="J102" si="133">SUM(J97:J101)</f>
        <v>392.2</v>
      </c>
      <c r="K102" s="2">
        <f t="shared" ref="K102" si="134">SUM(K97:K101)</f>
        <v>393.7</v>
      </c>
      <c r="L102" s="2">
        <f t="shared" ref="L102" si="135">SUM(L97:L101)</f>
        <v>392.2</v>
      </c>
      <c r="M102" s="2">
        <f t="shared" ref="M102" si="136">SUM(M97:M101)</f>
        <v>393.7</v>
      </c>
      <c r="N102" s="2">
        <f t="shared" ref="N102" si="137">SUM(N97:N101)</f>
        <v>382.2</v>
      </c>
      <c r="O102" s="2">
        <f t="shared" ref="O102:AA102" si="138">SUM(O97:O101)</f>
        <v>385.2</v>
      </c>
      <c r="P102" s="2">
        <f t="shared" si="138"/>
        <v>375.2</v>
      </c>
      <c r="Q102" s="2">
        <f t="shared" si="138"/>
        <v>398.2</v>
      </c>
      <c r="R102" s="2">
        <f t="shared" si="138"/>
        <v>392.2</v>
      </c>
      <c r="S102" s="2">
        <f t="shared" si="138"/>
        <v>395.2</v>
      </c>
      <c r="T102" s="2">
        <f t="shared" si="138"/>
        <v>392.2</v>
      </c>
      <c r="U102" s="2">
        <f t="shared" si="138"/>
        <v>546.9</v>
      </c>
      <c r="V102" s="2">
        <f t="shared" si="138"/>
        <v>627.65</v>
      </c>
      <c r="W102" s="2">
        <f t="shared" si="138"/>
        <v>524.54999999999995</v>
      </c>
      <c r="X102" s="2">
        <f t="shared" si="138"/>
        <v>576.70000000000005</v>
      </c>
      <c r="Y102" s="2">
        <f t="shared" si="138"/>
        <v>573.70000000000005</v>
      </c>
      <c r="Z102" s="2">
        <f t="shared" si="138"/>
        <v>569.5</v>
      </c>
      <c r="AA102" s="2">
        <f t="shared" si="138"/>
        <v>584.45000000000005</v>
      </c>
      <c r="AB102" s="2">
        <f t="shared" ref="AB102:BZ102" si="139">SUM(AB97:AB101)</f>
        <v>606.6</v>
      </c>
      <c r="AC102" s="2">
        <f t="shared" si="139"/>
        <v>0</v>
      </c>
      <c r="AD102" s="2">
        <f t="shared" si="139"/>
        <v>0</v>
      </c>
      <c r="AE102" s="2">
        <f t="shared" si="139"/>
        <v>0</v>
      </c>
      <c r="AF102" s="2">
        <f t="shared" si="139"/>
        <v>0</v>
      </c>
      <c r="AG102" s="2">
        <f t="shared" si="139"/>
        <v>0</v>
      </c>
      <c r="AH102" s="2">
        <f t="shared" si="139"/>
        <v>0</v>
      </c>
      <c r="AI102" s="2">
        <f t="shared" si="139"/>
        <v>0</v>
      </c>
      <c r="AJ102" s="2">
        <f t="shared" si="139"/>
        <v>0</v>
      </c>
      <c r="AK102" s="2">
        <f t="shared" si="139"/>
        <v>0</v>
      </c>
      <c r="AL102" s="2">
        <f t="shared" si="139"/>
        <v>0</v>
      </c>
      <c r="AM102" s="2">
        <f t="shared" si="139"/>
        <v>0</v>
      </c>
      <c r="AN102" s="2">
        <f t="shared" si="139"/>
        <v>0</v>
      </c>
      <c r="AO102" s="2">
        <f t="shared" si="139"/>
        <v>0</v>
      </c>
      <c r="AP102" s="2">
        <f t="shared" si="139"/>
        <v>0</v>
      </c>
      <c r="AQ102" s="2">
        <f t="shared" si="139"/>
        <v>0</v>
      </c>
      <c r="AR102" s="2">
        <f t="shared" si="139"/>
        <v>0</v>
      </c>
      <c r="AS102" s="2">
        <f t="shared" si="139"/>
        <v>0</v>
      </c>
      <c r="AT102" s="2">
        <f t="shared" si="139"/>
        <v>0</v>
      </c>
      <c r="AU102" s="2">
        <f t="shared" si="139"/>
        <v>0</v>
      </c>
      <c r="AV102" s="2">
        <f t="shared" si="139"/>
        <v>0</v>
      </c>
      <c r="AW102" s="2">
        <f t="shared" si="139"/>
        <v>0</v>
      </c>
      <c r="AX102" s="2">
        <f t="shared" si="139"/>
        <v>0</v>
      </c>
      <c r="AY102" s="2">
        <f t="shared" si="139"/>
        <v>0</v>
      </c>
      <c r="AZ102" s="2">
        <f t="shared" si="139"/>
        <v>0</v>
      </c>
      <c r="BA102" s="2">
        <f t="shared" si="139"/>
        <v>0</v>
      </c>
      <c r="BB102" s="2">
        <f t="shared" si="139"/>
        <v>0</v>
      </c>
      <c r="BC102" s="2">
        <f t="shared" si="139"/>
        <v>0</v>
      </c>
      <c r="BD102" s="2">
        <f t="shared" si="139"/>
        <v>0</v>
      </c>
      <c r="BE102" s="2">
        <f t="shared" si="139"/>
        <v>0</v>
      </c>
      <c r="BF102" s="2">
        <f t="shared" si="139"/>
        <v>0</v>
      </c>
      <c r="BG102" s="2">
        <f t="shared" si="139"/>
        <v>0</v>
      </c>
      <c r="BH102" s="2">
        <f t="shared" si="139"/>
        <v>0</v>
      </c>
      <c r="BI102" s="2">
        <f t="shared" si="139"/>
        <v>0</v>
      </c>
      <c r="BJ102" s="2">
        <f t="shared" si="139"/>
        <v>0</v>
      </c>
      <c r="BK102" s="2">
        <f t="shared" si="139"/>
        <v>0</v>
      </c>
      <c r="BL102" s="2">
        <f t="shared" si="139"/>
        <v>0</v>
      </c>
      <c r="BM102" s="2">
        <f t="shared" si="139"/>
        <v>0</v>
      </c>
      <c r="BN102" s="2">
        <f t="shared" si="139"/>
        <v>0</v>
      </c>
      <c r="BO102" s="2">
        <f t="shared" si="139"/>
        <v>0</v>
      </c>
      <c r="BP102" s="2">
        <f t="shared" si="139"/>
        <v>0</v>
      </c>
      <c r="BQ102" s="2">
        <f t="shared" si="139"/>
        <v>0</v>
      </c>
      <c r="BR102" s="2">
        <f t="shared" si="139"/>
        <v>0</v>
      </c>
      <c r="BS102" s="2">
        <f t="shared" si="139"/>
        <v>0</v>
      </c>
      <c r="BT102" s="2">
        <f t="shared" si="139"/>
        <v>0</v>
      </c>
      <c r="BU102" s="2">
        <f t="shared" si="139"/>
        <v>0</v>
      </c>
      <c r="BV102" s="2">
        <f t="shared" si="139"/>
        <v>0</v>
      </c>
      <c r="BW102" s="2">
        <f t="shared" si="139"/>
        <v>0</v>
      </c>
      <c r="BX102" s="2">
        <f t="shared" si="139"/>
        <v>0</v>
      </c>
      <c r="BY102" s="2">
        <f t="shared" si="139"/>
        <v>0</v>
      </c>
      <c r="BZ102" s="2">
        <f t="shared" si="139"/>
        <v>0</v>
      </c>
    </row>
    <row r="105" spans="1:78" ht="23.25" x14ac:dyDescent="0.35">
      <c r="A105" s="3" t="s">
        <v>18</v>
      </c>
    </row>
    <row r="106" spans="1:78" x14ac:dyDescent="0.25">
      <c r="A106" s="2" t="s">
        <v>11</v>
      </c>
      <c r="B106" s="2" t="s">
        <v>12</v>
      </c>
    </row>
    <row r="107" spans="1:78" x14ac:dyDescent="0.25">
      <c r="C107" s="1">
        <f>C96</f>
        <v>44331</v>
      </c>
      <c r="D107" s="1">
        <f t="shared" ref="D107:M107" si="140">D96</f>
        <v>44332</v>
      </c>
      <c r="E107" s="1">
        <f t="shared" si="140"/>
        <v>44334</v>
      </c>
      <c r="F107" s="1">
        <f t="shared" si="140"/>
        <v>44336</v>
      </c>
      <c r="G107" s="1">
        <f t="shared" si="140"/>
        <v>44337</v>
      </c>
      <c r="H107" s="1">
        <f t="shared" si="140"/>
        <v>44338</v>
      </c>
      <c r="I107" s="1">
        <f t="shared" si="140"/>
        <v>44339</v>
      </c>
      <c r="J107" s="1">
        <f t="shared" si="140"/>
        <v>44340</v>
      </c>
      <c r="K107" s="1">
        <f t="shared" si="140"/>
        <v>44341</v>
      </c>
      <c r="L107" s="1">
        <f t="shared" si="140"/>
        <v>44342</v>
      </c>
      <c r="M107" s="1">
        <f t="shared" si="140"/>
        <v>44343</v>
      </c>
      <c r="N107" s="1">
        <f t="shared" ref="N107" si="141">N96</f>
        <v>44344</v>
      </c>
      <c r="O107" s="1">
        <f t="shared" ref="O107:AA107" si="142">O96</f>
        <v>44345</v>
      </c>
      <c r="P107" s="1">
        <f t="shared" si="142"/>
        <v>44346</v>
      </c>
      <c r="Q107" s="1">
        <f t="shared" si="142"/>
        <v>44347</v>
      </c>
      <c r="R107" s="1">
        <f t="shared" si="142"/>
        <v>44348</v>
      </c>
      <c r="S107" s="1">
        <f t="shared" si="142"/>
        <v>44349</v>
      </c>
      <c r="T107" s="1">
        <f t="shared" si="142"/>
        <v>44350</v>
      </c>
      <c r="U107" s="1">
        <f t="shared" si="142"/>
        <v>44351</v>
      </c>
      <c r="V107" s="1">
        <f t="shared" si="142"/>
        <v>44352</v>
      </c>
      <c r="W107" s="1">
        <f t="shared" si="142"/>
        <v>44353</v>
      </c>
      <c r="X107" s="1">
        <f t="shared" si="142"/>
        <v>44354</v>
      </c>
      <c r="Y107" s="1">
        <f t="shared" si="142"/>
        <v>44355</v>
      </c>
      <c r="Z107" s="1">
        <f t="shared" si="142"/>
        <v>44356</v>
      </c>
      <c r="AA107" s="1">
        <f t="shared" si="142"/>
        <v>44357</v>
      </c>
      <c r="AB107" s="1">
        <f t="shared" ref="AB107:BZ107" si="143">AB96</f>
        <v>44358</v>
      </c>
      <c r="AC107" s="1">
        <f t="shared" si="143"/>
        <v>44359</v>
      </c>
      <c r="AD107" s="1">
        <f t="shared" si="143"/>
        <v>44360</v>
      </c>
      <c r="AE107" s="1">
        <f t="shared" si="143"/>
        <v>44361</v>
      </c>
      <c r="AF107" s="1">
        <f t="shared" si="143"/>
        <v>44362</v>
      </c>
      <c r="AG107" s="1">
        <f t="shared" si="143"/>
        <v>44363</v>
      </c>
      <c r="AH107" s="1">
        <f t="shared" si="143"/>
        <v>44364</v>
      </c>
      <c r="AI107" s="1">
        <f t="shared" si="143"/>
        <v>44365</v>
      </c>
      <c r="AJ107" s="1">
        <f t="shared" si="143"/>
        <v>44366</v>
      </c>
      <c r="AK107" s="1">
        <f t="shared" si="143"/>
        <v>44367</v>
      </c>
      <c r="AL107" s="1">
        <f t="shared" si="143"/>
        <v>44368</v>
      </c>
      <c r="AM107" s="1">
        <f t="shared" si="143"/>
        <v>44369</v>
      </c>
      <c r="AN107" s="1">
        <f t="shared" si="143"/>
        <v>44370</v>
      </c>
      <c r="AO107" s="1">
        <f t="shared" si="143"/>
        <v>44371</v>
      </c>
      <c r="AP107" s="1">
        <f t="shared" si="143"/>
        <v>44372</v>
      </c>
      <c r="AQ107" s="1">
        <f t="shared" si="143"/>
        <v>44373</v>
      </c>
      <c r="AR107" s="1">
        <f t="shared" si="143"/>
        <v>44374</v>
      </c>
      <c r="AS107" s="1">
        <f t="shared" si="143"/>
        <v>44375</v>
      </c>
      <c r="AT107" s="1">
        <f t="shared" si="143"/>
        <v>44376</v>
      </c>
      <c r="AU107" s="1">
        <f t="shared" si="143"/>
        <v>44377</v>
      </c>
      <c r="AV107" s="1">
        <f t="shared" si="143"/>
        <v>44378</v>
      </c>
      <c r="AW107" s="1">
        <f t="shared" si="143"/>
        <v>44379</v>
      </c>
      <c r="AX107" s="1">
        <f t="shared" si="143"/>
        <v>44380</v>
      </c>
      <c r="AY107" s="1">
        <f t="shared" si="143"/>
        <v>44381</v>
      </c>
      <c r="AZ107" s="1">
        <f t="shared" si="143"/>
        <v>44382</v>
      </c>
      <c r="BA107" s="1">
        <f t="shared" si="143"/>
        <v>44383</v>
      </c>
      <c r="BB107" s="1">
        <f t="shared" si="143"/>
        <v>44384</v>
      </c>
      <c r="BC107" s="1">
        <f t="shared" si="143"/>
        <v>44385</v>
      </c>
      <c r="BD107" s="1">
        <f t="shared" si="143"/>
        <v>44386</v>
      </c>
      <c r="BE107" s="1">
        <f t="shared" si="143"/>
        <v>44387</v>
      </c>
      <c r="BF107" s="1">
        <f t="shared" si="143"/>
        <v>44388</v>
      </c>
      <c r="BG107" s="1">
        <f t="shared" si="143"/>
        <v>44389</v>
      </c>
      <c r="BH107" s="1">
        <f t="shared" si="143"/>
        <v>44390</v>
      </c>
      <c r="BI107" s="1">
        <f t="shared" si="143"/>
        <v>44391</v>
      </c>
      <c r="BJ107" s="1">
        <f t="shared" si="143"/>
        <v>44392</v>
      </c>
      <c r="BK107" s="1">
        <f t="shared" si="143"/>
        <v>44393</v>
      </c>
      <c r="BL107" s="1">
        <f t="shared" si="143"/>
        <v>44394</v>
      </c>
      <c r="BM107" s="1">
        <f t="shared" si="143"/>
        <v>44395</v>
      </c>
      <c r="BN107" s="1">
        <f t="shared" si="143"/>
        <v>44396</v>
      </c>
      <c r="BO107" s="1">
        <f t="shared" si="143"/>
        <v>44397</v>
      </c>
      <c r="BP107" s="1">
        <f t="shared" si="143"/>
        <v>44398</v>
      </c>
      <c r="BQ107" s="1">
        <f t="shared" si="143"/>
        <v>44399</v>
      </c>
      <c r="BR107" s="1">
        <f t="shared" si="143"/>
        <v>44400</v>
      </c>
      <c r="BS107" s="1">
        <f t="shared" si="143"/>
        <v>44401</v>
      </c>
      <c r="BT107" s="1">
        <f t="shared" si="143"/>
        <v>44402</v>
      </c>
      <c r="BU107" s="1">
        <f t="shared" si="143"/>
        <v>44403</v>
      </c>
      <c r="BV107" s="1">
        <f t="shared" si="143"/>
        <v>44404</v>
      </c>
      <c r="BW107" s="1">
        <f t="shared" si="143"/>
        <v>44405</v>
      </c>
      <c r="BX107" s="1">
        <f t="shared" si="143"/>
        <v>44406</v>
      </c>
      <c r="BY107" s="1">
        <f t="shared" si="143"/>
        <v>44407</v>
      </c>
      <c r="BZ107" s="1">
        <f t="shared" si="143"/>
        <v>44408</v>
      </c>
    </row>
    <row r="108" spans="1:78" x14ac:dyDescent="0.25">
      <c r="A108">
        <v>5</v>
      </c>
      <c r="B108" t="s">
        <v>19</v>
      </c>
      <c r="C108">
        <f t="shared" ref="C108:M108" si="144">C15*$A108</f>
        <v>0.25</v>
      </c>
      <c r="D108">
        <f t="shared" si="144"/>
        <v>0.25</v>
      </c>
      <c r="E108">
        <f t="shared" si="144"/>
        <v>0.25</v>
      </c>
      <c r="F108">
        <f t="shared" si="144"/>
        <v>0.3</v>
      </c>
      <c r="G108">
        <f t="shared" si="144"/>
        <v>0.3</v>
      </c>
      <c r="H108">
        <f t="shared" si="144"/>
        <v>0.3</v>
      </c>
      <c r="I108">
        <f t="shared" si="144"/>
        <v>0.25</v>
      </c>
      <c r="J108">
        <f t="shared" si="144"/>
        <v>0.3</v>
      </c>
      <c r="K108">
        <f t="shared" si="144"/>
        <v>0.3</v>
      </c>
      <c r="L108">
        <f t="shared" si="144"/>
        <v>0.3</v>
      </c>
      <c r="M108">
        <f t="shared" si="144"/>
        <v>0.3</v>
      </c>
      <c r="N108">
        <f t="shared" ref="N108" si="145">N15*$A108</f>
        <v>0.3</v>
      </c>
      <c r="O108">
        <f t="shared" ref="O108:AA108" si="146">O15*$A108</f>
        <v>0.3</v>
      </c>
      <c r="P108">
        <f t="shared" si="146"/>
        <v>0.25</v>
      </c>
      <c r="Q108">
        <f t="shared" si="146"/>
        <v>0.3</v>
      </c>
      <c r="R108">
        <f t="shared" si="146"/>
        <v>0.3</v>
      </c>
      <c r="S108">
        <f t="shared" si="146"/>
        <v>0.3</v>
      </c>
      <c r="T108">
        <f t="shared" si="146"/>
        <v>0.3</v>
      </c>
      <c r="U108">
        <f t="shared" si="146"/>
        <v>0.35000000000000003</v>
      </c>
      <c r="V108">
        <f t="shared" si="146"/>
        <v>0.4</v>
      </c>
      <c r="W108">
        <f t="shared" si="146"/>
        <v>0.35000000000000003</v>
      </c>
      <c r="X108">
        <f t="shared" si="146"/>
        <v>0.4</v>
      </c>
      <c r="Y108">
        <f t="shared" si="146"/>
        <v>0.4</v>
      </c>
      <c r="Z108">
        <f t="shared" si="146"/>
        <v>0.4</v>
      </c>
      <c r="AA108">
        <f t="shared" si="146"/>
        <v>0.4</v>
      </c>
      <c r="AB108">
        <f t="shared" ref="AB108:BZ108" si="147">AB15*$A108</f>
        <v>0.4</v>
      </c>
      <c r="AC108">
        <f t="shared" si="147"/>
        <v>0</v>
      </c>
      <c r="AD108">
        <f t="shared" si="147"/>
        <v>0</v>
      </c>
      <c r="AE108">
        <f t="shared" si="147"/>
        <v>0</v>
      </c>
      <c r="AF108">
        <f t="shared" si="147"/>
        <v>0</v>
      </c>
      <c r="AG108">
        <f t="shared" si="147"/>
        <v>0</v>
      </c>
      <c r="AH108">
        <f t="shared" si="147"/>
        <v>0</v>
      </c>
      <c r="AI108">
        <f t="shared" si="147"/>
        <v>0</v>
      </c>
      <c r="AJ108">
        <f t="shared" si="147"/>
        <v>0</v>
      </c>
      <c r="AK108">
        <f t="shared" si="147"/>
        <v>0</v>
      </c>
      <c r="AL108">
        <f t="shared" si="147"/>
        <v>0</v>
      </c>
      <c r="AM108">
        <f t="shared" si="147"/>
        <v>0</v>
      </c>
      <c r="AN108">
        <f t="shared" si="147"/>
        <v>0</v>
      </c>
      <c r="AO108">
        <f t="shared" si="147"/>
        <v>0</v>
      </c>
      <c r="AP108">
        <f t="shared" si="147"/>
        <v>0</v>
      </c>
      <c r="AQ108">
        <f t="shared" si="147"/>
        <v>0</v>
      </c>
      <c r="AR108">
        <f t="shared" si="147"/>
        <v>0</v>
      </c>
      <c r="AS108">
        <f t="shared" si="147"/>
        <v>0</v>
      </c>
      <c r="AT108">
        <f t="shared" si="147"/>
        <v>0</v>
      </c>
      <c r="AU108">
        <f t="shared" si="147"/>
        <v>0</v>
      </c>
      <c r="AV108">
        <f t="shared" si="147"/>
        <v>0</v>
      </c>
      <c r="AW108">
        <f t="shared" si="147"/>
        <v>0</v>
      </c>
      <c r="AX108">
        <f t="shared" si="147"/>
        <v>0</v>
      </c>
      <c r="AY108">
        <f t="shared" si="147"/>
        <v>0</v>
      </c>
      <c r="AZ108">
        <f t="shared" si="147"/>
        <v>0</v>
      </c>
      <c r="BA108">
        <f t="shared" si="147"/>
        <v>0</v>
      </c>
      <c r="BB108">
        <f t="shared" si="147"/>
        <v>0</v>
      </c>
      <c r="BC108">
        <f t="shared" si="147"/>
        <v>0</v>
      </c>
      <c r="BD108">
        <f t="shared" si="147"/>
        <v>0</v>
      </c>
      <c r="BE108">
        <f t="shared" si="147"/>
        <v>0</v>
      </c>
      <c r="BF108">
        <f t="shared" si="147"/>
        <v>0</v>
      </c>
      <c r="BG108">
        <f t="shared" si="147"/>
        <v>0</v>
      </c>
      <c r="BH108">
        <f t="shared" si="147"/>
        <v>0</v>
      </c>
      <c r="BI108">
        <f t="shared" si="147"/>
        <v>0</v>
      </c>
      <c r="BJ108">
        <f t="shared" si="147"/>
        <v>0</v>
      </c>
      <c r="BK108">
        <f t="shared" si="147"/>
        <v>0</v>
      </c>
      <c r="BL108">
        <f t="shared" si="147"/>
        <v>0</v>
      </c>
      <c r="BM108">
        <f t="shared" si="147"/>
        <v>0</v>
      </c>
      <c r="BN108">
        <f t="shared" si="147"/>
        <v>0</v>
      </c>
      <c r="BO108">
        <f t="shared" si="147"/>
        <v>0</v>
      </c>
      <c r="BP108">
        <f t="shared" si="147"/>
        <v>0</v>
      </c>
      <c r="BQ108">
        <f t="shared" si="147"/>
        <v>0</v>
      </c>
      <c r="BR108">
        <f t="shared" si="147"/>
        <v>0</v>
      </c>
      <c r="BS108">
        <f t="shared" si="147"/>
        <v>0</v>
      </c>
      <c r="BT108">
        <f t="shared" si="147"/>
        <v>0</v>
      </c>
      <c r="BU108">
        <f t="shared" si="147"/>
        <v>0</v>
      </c>
      <c r="BV108">
        <f t="shared" si="147"/>
        <v>0</v>
      </c>
      <c r="BW108">
        <f t="shared" si="147"/>
        <v>0</v>
      </c>
      <c r="BX108">
        <f t="shared" si="147"/>
        <v>0</v>
      </c>
      <c r="BY108">
        <f t="shared" si="147"/>
        <v>0</v>
      </c>
      <c r="BZ108">
        <f t="shared" si="147"/>
        <v>0</v>
      </c>
    </row>
    <row r="109" spans="1:78" x14ac:dyDescent="0.25">
      <c r="A109">
        <v>16</v>
      </c>
      <c r="B109" t="s">
        <v>20</v>
      </c>
      <c r="C109">
        <f t="shared" ref="C109:M109" si="148">C16*$A109</f>
        <v>1.1200000000000001</v>
      </c>
      <c r="D109">
        <f t="shared" si="148"/>
        <v>1.1200000000000001</v>
      </c>
      <c r="E109">
        <f t="shared" si="148"/>
        <v>1.1200000000000001</v>
      </c>
      <c r="F109">
        <f t="shared" si="148"/>
        <v>1.1200000000000001</v>
      </c>
      <c r="G109">
        <f t="shared" si="148"/>
        <v>1.1200000000000001</v>
      </c>
      <c r="H109">
        <f t="shared" si="148"/>
        <v>1.1200000000000001</v>
      </c>
      <c r="I109">
        <f t="shared" si="148"/>
        <v>1.1200000000000001</v>
      </c>
      <c r="J109">
        <f t="shared" si="148"/>
        <v>1.1200000000000001</v>
      </c>
      <c r="K109">
        <f t="shared" si="148"/>
        <v>1.1200000000000001</v>
      </c>
      <c r="L109">
        <f t="shared" si="148"/>
        <v>1.1200000000000001</v>
      </c>
      <c r="M109">
        <f t="shared" si="148"/>
        <v>1.1200000000000001</v>
      </c>
      <c r="N109">
        <f t="shared" ref="N109" si="149">N16*$A109</f>
        <v>1.1200000000000001</v>
      </c>
      <c r="O109">
        <f t="shared" ref="O109:AA109" si="150">O16*$A109</f>
        <v>1.1200000000000001</v>
      </c>
      <c r="P109">
        <f t="shared" si="150"/>
        <v>1.1200000000000001</v>
      </c>
      <c r="Q109">
        <f t="shared" si="150"/>
        <v>1.1200000000000001</v>
      </c>
      <c r="R109">
        <f t="shared" si="150"/>
        <v>1.28</v>
      </c>
      <c r="S109">
        <f t="shared" si="150"/>
        <v>1.28</v>
      </c>
      <c r="T109">
        <f t="shared" si="150"/>
        <v>1.28</v>
      </c>
      <c r="U109">
        <f t="shared" si="150"/>
        <v>1.44</v>
      </c>
      <c r="V109">
        <f t="shared" si="150"/>
        <v>1.92</v>
      </c>
      <c r="W109">
        <f t="shared" si="150"/>
        <v>1.6</v>
      </c>
      <c r="X109">
        <f t="shared" si="150"/>
        <v>1.6</v>
      </c>
      <c r="Y109">
        <f t="shared" si="150"/>
        <v>1.44</v>
      </c>
      <c r="Z109">
        <f t="shared" si="150"/>
        <v>1.6</v>
      </c>
      <c r="AA109">
        <f t="shared" si="150"/>
        <v>1.44</v>
      </c>
      <c r="AB109">
        <f t="shared" ref="AB109:BZ109" si="151">AB16*$A109</f>
        <v>1.44</v>
      </c>
      <c r="AC109">
        <f t="shared" si="151"/>
        <v>0</v>
      </c>
      <c r="AD109">
        <f t="shared" si="151"/>
        <v>0</v>
      </c>
      <c r="AE109">
        <f t="shared" si="151"/>
        <v>0</v>
      </c>
      <c r="AF109">
        <f t="shared" si="151"/>
        <v>0</v>
      </c>
      <c r="AG109">
        <f t="shared" si="151"/>
        <v>0</v>
      </c>
      <c r="AH109">
        <f t="shared" si="151"/>
        <v>0</v>
      </c>
      <c r="AI109">
        <f t="shared" si="151"/>
        <v>0</v>
      </c>
      <c r="AJ109">
        <f t="shared" si="151"/>
        <v>0</v>
      </c>
      <c r="AK109">
        <f t="shared" si="151"/>
        <v>0</v>
      </c>
      <c r="AL109">
        <f t="shared" si="151"/>
        <v>0</v>
      </c>
      <c r="AM109">
        <f t="shared" si="151"/>
        <v>0</v>
      </c>
      <c r="AN109">
        <f t="shared" si="151"/>
        <v>0</v>
      </c>
      <c r="AO109">
        <f t="shared" si="151"/>
        <v>0</v>
      </c>
      <c r="AP109">
        <f t="shared" si="151"/>
        <v>0</v>
      </c>
      <c r="AQ109">
        <f t="shared" si="151"/>
        <v>0</v>
      </c>
      <c r="AR109">
        <f t="shared" si="151"/>
        <v>0</v>
      </c>
      <c r="AS109">
        <f t="shared" si="151"/>
        <v>0</v>
      </c>
      <c r="AT109">
        <f t="shared" si="151"/>
        <v>0</v>
      </c>
      <c r="AU109">
        <f t="shared" si="151"/>
        <v>0</v>
      </c>
      <c r="AV109">
        <f t="shared" si="151"/>
        <v>0</v>
      </c>
      <c r="AW109">
        <f t="shared" si="151"/>
        <v>0</v>
      </c>
      <c r="AX109">
        <f t="shared" si="151"/>
        <v>0</v>
      </c>
      <c r="AY109">
        <f t="shared" si="151"/>
        <v>0</v>
      </c>
      <c r="AZ109">
        <f t="shared" si="151"/>
        <v>0</v>
      </c>
      <c r="BA109">
        <f t="shared" si="151"/>
        <v>0</v>
      </c>
      <c r="BB109">
        <f t="shared" si="151"/>
        <v>0</v>
      </c>
      <c r="BC109">
        <f t="shared" si="151"/>
        <v>0</v>
      </c>
      <c r="BD109">
        <f t="shared" si="151"/>
        <v>0</v>
      </c>
      <c r="BE109">
        <f t="shared" si="151"/>
        <v>0</v>
      </c>
      <c r="BF109">
        <f t="shared" si="151"/>
        <v>0</v>
      </c>
      <c r="BG109">
        <f t="shared" si="151"/>
        <v>0</v>
      </c>
      <c r="BH109">
        <f t="shared" si="151"/>
        <v>0</v>
      </c>
      <c r="BI109">
        <f t="shared" si="151"/>
        <v>0</v>
      </c>
      <c r="BJ109">
        <f t="shared" si="151"/>
        <v>0</v>
      </c>
      <c r="BK109">
        <f t="shared" si="151"/>
        <v>0</v>
      </c>
      <c r="BL109">
        <f t="shared" si="151"/>
        <v>0</v>
      </c>
      <c r="BM109">
        <f t="shared" si="151"/>
        <v>0</v>
      </c>
      <c r="BN109">
        <f t="shared" si="151"/>
        <v>0</v>
      </c>
      <c r="BO109">
        <f t="shared" si="151"/>
        <v>0</v>
      </c>
      <c r="BP109">
        <f t="shared" si="151"/>
        <v>0</v>
      </c>
      <c r="BQ109">
        <f t="shared" si="151"/>
        <v>0</v>
      </c>
      <c r="BR109">
        <f t="shared" si="151"/>
        <v>0</v>
      </c>
      <c r="BS109">
        <f t="shared" si="151"/>
        <v>0</v>
      </c>
      <c r="BT109">
        <f t="shared" si="151"/>
        <v>0</v>
      </c>
      <c r="BU109">
        <f t="shared" si="151"/>
        <v>0</v>
      </c>
      <c r="BV109">
        <f t="shared" si="151"/>
        <v>0</v>
      </c>
      <c r="BW109">
        <f t="shared" si="151"/>
        <v>0</v>
      </c>
      <c r="BX109">
        <f t="shared" si="151"/>
        <v>0</v>
      </c>
      <c r="BY109">
        <f t="shared" si="151"/>
        <v>0</v>
      </c>
      <c r="BZ109">
        <f t="shared" si="151"/>
        <v>0</v>
      </c>
    </row>
    <row r="110" spans="1:78" x14ac:dyDescent="0.25">
      <c r="A110">
        <v>3</v>
      </c>
      <c r="B110" t="s">
        <v>21</v>
      </c>
      <c r="C110">
        <f t="shared" ref="C110:M110" si="152">C17*$A110</f>
        <v>1.0499999999999998</v>
      </c>
      <c r="D110">
        <f t="shared" si="152"/>
        <v>1.0499999999999998</v>
      </c>
      <c r="E110">
        <f t="shared" si="152"/>
        <v>1.0499999999999998</v>
      </c>
      <c r="F110">
        <f t="shared" si="152"/>
        <v>0.92999999999999994</v>
      </c>
      <c r="G110">
        <f t="shared" si="152"/>
        <v>0.89999999999999991</v>
      </c>
      <c r="H110">
        <f t="shared" si="152"/>
        <v>1.02</v>
      </c>
      <c r="I110">
        <f t="shared" si="152"/>
        <v>0.89999999999999991</v>
      </c>
      <c r="J110">
        <f t="shared" si="152"/>
        <v>0.89999999999999991</v>
      </c>
      <c r="K110">
        <f t="shared" si="152"/>
        <v>0.92999999999999994</v>
      </c>
      <c r="L110">
        <f t="shared" si="152"/>
        <v>0.89999999999999991</v>
      </c>
      <c r="M110">
        <f t="shared" si="152"/>
        <v>0.92999999999999994</v>
      </c>
      <c r="N110">
        <f t="shared" ref="N110" si="153">N17*$A110</f>
        <v>0.89999999999999991</v>
      </c>
      <c r="O110">
        <f t="shared" ref="O110:AA110" si="154">O17*$A110</f>
        <v>0.96</v>
      </c>
      <c r="P110">
        <f t="shared" si="154"/>
        <v>0.96</v>
      </c>
      <c r="Q110">
        <f t="shared" si="154"/>
        <v>1.02</v>
      </c>
      <c r="R110">
        <f t="shared" si="154"/>
        <v>0.89999999999999991</v>
      </c>
      <c r="S110">
        <f t="shared" si="154"/>
        <v>0.96</v>
      </c>
      <c r="T110">
        <f t="shared" si="154"/>
        <v>0.89999999999999991</v>
      </c>
      <c r="U110">
        <f t="shared" si="154"/>
        <v>1.0499999999999998</v>
      </c>
      <c r="V110">
        <f t="shared" si="154"/>
        <v>1.0499999999999998</v>
      </c>
      <c r="W110">
        <f t="shared" si="154"/>
        <v>0.96</v>
      </c>
      <c r="X110">
        <f t="shared" si="154"/>
        <v>0.96</v>
      </c>
      <c r="Y110">
        <f t="shared" si="154"/>
        <v>0.89999999999999991</v>
      </c>
      <c r="Z110">
        <f t="shared" si="154"/>
        <v>0.92999999999999994</v>
      </c>
      <c r="AA110">
        <f t="shared" si="154"/>
        <v>0.89999999999999991</v>
      </c>
      <c r="AB110">
        <f t="shared" ref="AB110:BZ110" si="155">AB17*$A110</f>
        <v>0.89999999999999991</v>
      </c>
      <c r="AC110">
        <f t="shared" si="155"/>
        <v>0</v>
      </c>
      <c r="AD110">
        <f t="shared" si="155"/>
        <v>0</v>
      </c>
      <c r="AE110">
        <f t="shared" si="155"/>
        <v>0</v>
      </c>
      <c r="AF110">
        <f t="shared" si="155"/>
        <v>0</v>
      </c>
      <c r="AG110">
        <f t="shared" si="155"/>
        <v>0</v>
      </c>
      <c r="AH110">
        <f t="shared" si="155"/>
        <v>0</v>
      </c>
      <c r="AI110">
        <f t="shared" si="155"/>
        <v>0</v>
      </c>
      <c r="AJ110">
        <f t="shared" si="155"/>
        <v>0</v>
      </c>
      <c r="AK110">
        <f t="shared" si="155"/>
        <v>0</v>
      </c>
      <c r="AL110">
        <f t="shared" si="155"/>
        <v>0</v>
      </c>
      <c r="AM110">
        <f t="shared" si="155"/>
        <v>0</v>
      </c>
      <c r="AN110">
        <f t="shared" si="155"/>
        <v>0</v>
      </c>
      <c r="AO110">
        <f t="shared" si="155"/>
        <v>0</v>
      </c>
      <c r="AP110">
        <f t="shared" si="155"/>
        <v>0</v>
      </c>
      <c r="AQ110">
        <f t="shared" si="155"/>
        <v>0</v>
      </c>
      <c r="AR110">
        <f t="shared" si="155"/>
        <v>0</v>
      </c>
      <c r="AS110">
        <f t="shared" si="155"/>
        <v>0</v>
      </c>
      <c r="AT110">
        <f t="shared" si="155"/>
        <v>0</v>
      </c>
      <c r="AU110">
        <f t="shared" si="155"/>
        <v>0</v>
      </c>
      <c r="AV110">
        <f t="shared" si="155"/>
        <v>0</v>
      </c>
      <c r="AW110">
        <f t="shared" si="155"/>
        <v>0</v>
      </c>
      <c r="AX110">
        <f t="shared" si="155"/>
        <v>0</v>
      </c>
      <c r="AY110">
        <f t="shared" si="155"/>
        <v>0</v>
      </c>
      <c r="AZ110">
        <f t="shared" si="155"/>
        <v>0</v>
      </c>
      <c r="BA110">
        <f t="shared" si="155"/>
        <v>0</v>
      </c>
      <c r="BB110">
        <f t="shared" si="155"/>
        <v>0</v>
      </c>
      <c r="BC110">
        <f t="shared" si="155"/>
        <v>0</v>
      </c>
      <c r="BD110">
        <f t="shared" si="155"/>
        <v>0</v>
      </c>
      <c r="BE110">
        <f t="shared" si="155"/>
        <v>0</v>
      </c>
      <c r="BF110">
        <f t="shared" si="155"/>
        <v>0</v>
      </c>
      <c r="BG110">
        <f t="shared" si="155"/>
        <v>0</v>
      </c>
      <c r="BH110">
        <f t="shared" si="155"/>
        <v>0</v>
      </c>
      <c r="BI110">
        <f t="shared" si="155"/>
        <v>0</v>
      </c>
      <c r="BJ110">
        <f t="shared" si="155"/>
        <v>0</v>
      </c>
      <c r="BK110">
        <f t="shared" si="155"/>
        <v>0</v>
      </c>
      <c r="BL110">
        <f t="shared" si="155"/>
        <v>0</v>
      </c>
      <c r="BM110">
        <f t="shared" si="155"/>
        <v>0</v>
      </c>
      <c r="BN110">
        <f t="shared" si="155"/>
        <v>0</v>
      </c>
      <c r="BO110">
        <f t="shared" si="155"/>
        <v>0</v>
      </c>
      <c r="BP110">
        <f t="shared" si="155"/>
        <v>0</v>
      </c>
      <c r="BQ110">
        <f t="shared" si="155"/>
        <v>0</v>
      </c>
      <c r="BR110">
        <f t="shared" si="155"/>
        <v>0</v>
      </c>
      <c r="BS110">
        <f t="shared" si="155"/>
        <v>0</v>
      </c>
      <c r="BT110">
        <f t="shared" si="155"/>
        <v>0</v>
      </c>
      <c r="BU110">
        <f t="shared" si="155"/>
        <v>0</v>
      </c>
      <c r="BV110">
        <f t="shared" si="155"/>
        <v>0</v>
      </c>
      <c r="BW110">
        <f t="shared" si="155"/>
        <v>0</v>
      </c>
      <c r="BX110">
        <f t="shared" si="155"/>
        <v>0</v>
      </c>
      <c r="BY110">
        <f t="shared" si="155"/>
        <v>0</v>
      </c>
      <c r="BZ110">
        <f t="shared" si="155"/>
        <v>0</v>
      </c>
    </row>
    <row r="111" spans="1:78" x14ac:dyDescent="0.25">
      <c r="A111">
        <v>16</v>
      </c>
      <c r="B111" t="s">
        <v>22</v>
      </c>
      <c r="C111">
        <f t="shared" ref="C111:M111" si="156">C18*$A111</f>
        <v>1.1200000000000001</v>
      </c>
      <c r="D111">
        <f t="shared" si="156"/>
        <v>1.1200000000000001</v>
      </c>
      <c r="E111">
        <f t="shared" si="156"/>
        <v>1.1200000000000001</v>
      </c>
      <c r="F111">
        <f t="shared" si="156"/>
        <v>1.1200000000000001</v>
      </c>
      <c r="G111">
        <f t="shared" si="156"/>
        <v>1.1200000000000001</v>
      </c>
      <c r="H111">
        <f t="shared" si="156"/>
        <v>1.1200000000000001</v>
      </c>
      <c r="I111">
        <f t="shared" si="156"/>
        <v>1.1200000000000001</v>
      </c>
      <c r="J111">
        <f t="shared" si="156"/>
        <v>1.1200000000000001</v>
      </c>
      <c r="K111">
        <f t="shared" si="156"/>
        <v>1.1200000000000001</v>
      </c>
      <c r="L111">
        <f t="shared" si="156"/>
        <v>1.1200000000000001</v>
      </c>
      <c r="M111">
        <f t="shared" si="156"/>
        <v>1.1200000000000001</v>
      </c>
      <c r="N111">
        <f t="shared" ref="N111" si="157">N18*$A111</f>
        <v>0.96</v>
      </c>
      <c r="O111">
        <f t="shared" ref="O111:AA111" si="158">O18*$A111</f>
        <v>0.96</v>
      </c>
      <c r="P111">
        <f t="shared" si="158"/>
        <v>1.1200000000000001</v>
      </c>
      <c r="Q111">
        <f t="shared" si="158"/>
        <v>1.1200000000000001</v>
      </c>
      <c r="R111">
        <f t="shared" si="158"/>
        <v>1.1200000000000001</v>
      </c>
      <c r="S111">
        <f t="shared" si="158"/>
        <v>1.1200000000000001</v>
      </c>
      <c r="T111">
        <f t="shared" si="158"/>
        <v>1.1200000000000001</v>
      </c>
      <c r="U111">
        <f t="shared" si="158"/>
        <v>1.28</v>
      </c>
      <c r="V111">
        <f t="shared" si="158"/>
        <v>1.44</v>
      </c>
      <c r="W111">
        <f t="shared" si="158"/>
        <v>1.28</v>
      </c>
      <c r="X111">
        <f t="shared" si="158"/>
        <v>1.44</v>
      </c>
      <c r="Y111">
        <f t="shared" si="158"/>
        <v>1.44</v>
      </c>
      <c r="Z111">
        <f t="shared" si="158"/>
        <v>1.28</v>
      </c>
      <c r="AA111">
        <f t="shared" si="158"/>
        <v>1.44</v>
      </c>
      <c r="AB111">
        <f t="shared" ref="AB111:BZ111" si="159">AB18*$A111</f>
        <v>1.44</v>
      </c>
      <c r="AC111">
        <f t="shared" si="159"/>
        <v>0</v>
      </c>
      <c r="AD111">
        <f t="shared" si="159"/>
        <v>0</v>
      </c>
      <c r="AE111">
        <f t="shared" si="159"/>
        <v>0</v>
      </c>
      <c r="AF111">
        <f t="shared" si="159"/>
        <v>0</v>
      </c>
      <c r="AG111">
        <f t="shared" si="159"/>
        <v>0</v>
      </c>
      <c r="AH111">
        <f t="shared" si="159"/>
        <v>0</v>
      </c>
      <c r="AI111">
        <f t="shared" si="159"/>
        <v>0</v>
      </c>
      <c r="AJ111">
        <f t="shared" si="159"/>
        <v>0</v>
      </c>
      <c r="AK111">
        <f t="shared" si="159"/>
        <v>0</v>
      </c>
      <c r="AL111">
        <f t="shared" si="159"/>
        <v>0</v>
      </c>
      <c r="AM111">
        <f t="shared" si="159"/>
        <v>0</v>
      </c>
      <c r="AN111">
        <f t="shared" si="159"/>
        <v>0</v>
      </c>
      <c r="AO111">
        <f t="shared" si="159"/>
        <v>0</v>
      </c>
      <c r="AP111">
        <f t="shared" si="159"/>
        <v>0</v>
      </c>
      <c r="AQ111">
        <f t="shared" si="159"/>
        <v>0</v>
      </c>
      <c r="AR111">
        <f t="shared" si="159"/>
        <v>0</v>
      </c>
      <c r="AS111">
        <f t="shared" si="159"/>
        <v>0</v>
      </c>
      <c r="AT111">
        <f t="shared" si="159"/>
        <v>0</v>
      </c>
      <c r="AU111">
        <f t="shared" si="159"/>
        <v>0</v>
      </c>
      <c r="AV111">
        <f t="shared" si="159"/>
        <v>0</v>
      </c>
      <c r="AW111">
        <f t="shared" si="159"/>
        <v>0</v>
      </c>
      <c r="AX111">
        <f t="shared" si="159"/>
        <v>0</v>
      </c>
      <c r="AY111">
        <f t="shared" si="159"/>
        <v>0</v>
      </c>
      <c r="AZ111">
        <f t="shared" si="159"/>
        <v>0</v>
      </c>
      <c r="BA111">
        <f t="shared" si="159"/>
        <v>0</v>
      </c>
      <c r="BB111">
        <f t="shared" si="159"/>
        <v>0</v>
      </c>
      <c r="BC111">
        <f t="shared" si="159"/>
        <v>0</v>
      </c>
      <c r="BD111">
        <f t="shared" si="159"/>
        <v>0</v>
      </c>
      <c r="BE111">
        <f t="shared" si="159"/>
        <v>0</v>
      </c>
      <c r="BF111">
        <f t="shared" si="159"/>
        <v>0</v>
      </c>
      <c r="BG111">
        <f t="shared" si="159"/>
        <v>0</v>
      </c>
      <c r="BH111">
        <f t="shared" si="159"/>
        <v>0</v>
      </c>
      <c r="BI111">
        <f t="shared" si="159"/>
        <v>0</v>
      </c>
      <c r="BJ111">
        <f t="shared" si="159"/>
        <v>0</v>
      </c>
      <c r="BK111">
        <f t="shared" si="159"/>
        <v>0</v>
      </c>
      <c r="BL111">
        <f t="shared" si="159"/>
        <v>0</v>
      </c>
      <c r="BM111">
        <f t="shared" si="159"/>
        <v>0</v>
      </c>
      <c r="BN111">
        <f t="shared" si="159"/>
        <v>0</v>
      </c>
      <c r="BO111">
        <f t="shared" si="159"/>
        <v>0</v>
      </c>
      <c r="BP111">
        <f t="shared" si="159"/>
        <v>0</v>
      </c>
      <c r="BQ111">
        <f t="shared" si="159"/>
        <v>0</v>
      </c>
      <c r="BR111">
        <f t="shared" si="159"/>
        <v>0</v>
      </c>
      <c r="BS111">
        <f t="shared" si="159"/>
        <v>0</v>
      </c>
      <c r="BT111">
        <f t="shared" si="159"/>
        <v>0</v>
      </c>
      <c r="BU111">
        <f t="shared" si="159"/>
        <v>0</v>
      </c>
      <c r="BV111">
        <f t="shared" si="159"/>
        <v>0</v>
      </c>
      <c r="BW111">
        <f t="shared" si="159"/>
        <v>0</v>
      </c>
      <c r="BX111">
        <f t="shared" si="159"/>
        <v>0</v>
      </c>
      <c r="BY111">
        <f t="shared" si="159"/>
        <v>0</v>
      </c>
      <c r="BZ111">
        <f t="shared" si="159"/>
        <v>0</v>
      </c>
    </row>
    <row r="112" spans="1:78" x14ac:dyDescent="0.25">
      <c r="A112">
        <v>19</v>
      </c>
      <c r="B112" t="s">
        <v>23</v>
      </c>
      <c r="C112">
        <f t="shared" ref="C112:M112" si="160">C19*$A112</f>
        <v>3.9899999999999998</v>
      </c>
      <c r="D112">
        <f t="shared" si="160"/>
        <v>3.9899999999999998</v>
      </c>
      <c r="E112">
        <f t="shared" si="160"/>
        <v>3.9899999999999998</v>
      </c>
      <c r="F112">
        <f t="shared" si="160"/>
        <v>3.9899999999999998</v>
      </c>
      <c r="G112">
        <f t="shared" si="160"/>
        <v>3.9899999999999998</v>
      </c>
      <c r="H112">
        <f t="shared" si="160"/>
        <v>3.9899999999999998</v>
      </c>
      <c r="I112">
        <f t="shared" si="160"/>
        <v>3.9899999999999998</v>
      </c>
      <c r="J112">
        <f t="shared" si="160"/>
        <v>3.9899999999999998</v>
      </c>
      <c r="K112">
        <f t="shared" si="160"/>
        <v>3.9899999999999998</v>
      </c>
      <c r="L112">
        <f t="shared" si="160"/>
        <v>3.8000000000000003</v>
      </c>
      <c r="M112">
        <f t="shared" si="160"/>
        <v>3.8000000000000003</v>
      </c>
      <c r="N112">
        <f t="shared" ref="N112" si="161">N19*$A112</f>
        <v>3.9899999999999998</v>
      </c>
      <c r="O112">
        <f t="shared" ref="O112:AA112" si="162">O19*$A112</f>
        <v>3.9899999999999998</v>
      </c>
      <c r="P112">
        <f t="shared" si="162"/>
        <v>4.5599999999999996</v>
      </c>
      <c r="Q112">
        <f t="shared" si="162"/>
        <v>4.5599999999999996</v>
      </c>
      <c r="R112">
        <f t="shared" si="162"/>
        <v>4.5599999999999996</v>
      </c>
      <c r="S112">
        <f t="shared" si="162"/>
        <v>4.9400000000000004</v>
      </c>
      <c r="T112">
        <f t="shared" si="162"/>
        <v>5.1300000000000008</v>
      </c>
      <c r="U112">
        <f t="shared" si="162"/>
        <v>6.4600000000000009</v>
      </c>
      <c r="V112">
        <f t="shared" si="162"/>
        <v>8.17</v>
      </c>
      <c r="W112">
        <f t="shared" si="162"/>
        <v>5.7</v>
      </c>
      <c r="X112">
        <f t="shared" si="162"/>
        <v>5.89</v>
      </c>
      <c r="Y112">
        <f t="shared" si="162"/>
        <v>6.4600000000000009</v>
      </c>
      <c r="Z112">
        <f t="shared" si="162"/>
        <v>5.89</v>
      </c>
      <c r="AA112">
        <f t="shared" si="162"/>
        <v>6.84</v>
      </c>
      <c r="AB112">
        <f t="shared" ref="AB112:BZ112" si="163">AB19*$A112</f>
        <v>7.22</v>
      </c>
      <c r="AC112">
        <f t="shared" si="163"/>
        <v>0</v>
      </c>
      <c r="AD112">
        <f t="shared" si="163"/>
        <v>0</v>
      </c>
      <c r="AE112">
        <f t="shared" si="163"/>
        <v>0</v>
      </c>
      <c r="AF112">
        <f t="shared" si="163"/>
        <v>0</v>
      </c>
      <c r="AG112">
        <f t="shared" si="163"/>
        <v>0</v>
      </c>
      <c r="AH112">
        <f t="shared" si="163"/>
        <v>0</v>
      </c>
      <c r="AI112">
        <f t="shared" si="163"/>
        <v>0</v>
      </c>
      <c r="AJ112">
        <f t="shared" si="163"/>
        <v>0</v>
      </c>
      <c r="AK112">
        <f t="shared" si="163"/>
        <v>0</v>
      </c>
      <c r="AL112">
        <f t="shared" si="163"/>
        <v>0</v>
      </c>
      <c r="AM112">
        <f t="shared" si="163"/>
        <v>0</v>
      </c>
      <c r="AN112">
        <f t="shared" si="163"/>
        <v>0</v>
      </c>
      <c r="AO112">
        <f t="shared" si="163"/>
        <v>0</v>
      </c>
      <c r="AP112">
        <f t="shared" si="163"/>
        <v>0</v>
      </c>
      <c r="AQ112">
        <f t="shared" si="163"/>
        <v>0</v>
      </c>
      <c r="AR112">
        <f t="shared" si="163"/>
        <v>0</v>
      </c>
      <c r="AS112">
        <f t="shared" si="163"/>
        <v>0</v>
      </c>
      <c r="AT112">
        <f t="shared" si="163"/>
        <v>0</v>
      </c>
      <c r="AU112">
        <f t="shared" si="163"/>
        <v>0</v>
      </c>
      <c r="AV112">
        <f t="shared" si="163"/>
        <v>0</v>
      </c>
      <c r="AW112">
        <f t="shared" si="163"/>
        <v>0</v>
      </c>
      <c r="AX112">
        <f t="shared" si="163"/>
        <v>0</v>
      </c>
      <c r="AY112">
        <f t="shared" si="163"/>
        <v>0</v>
      </c>
      <c r="AZ112">
        <f t="shared" si="163"/>
        <v>0</v>
      </c>
      <c r="BA112">
        <f t="shared" si="163"/>
        <v>0</v>
      </c>
      <c r="BB112">
        <f t="shared" si="163"/>
        <v>0</v>
      </c>
      <c r="BC112">
        <f t="shared" si="163"/>
        <v>0</v>
      </c>
      <c r="BD112">
        <f t="shared" si="163"/>
        <v>0</v>
      </c>
      <c r="BE112">
        <f t="shared" si="163"/>
        <v>0</v>
      </c>
      <c r="BF112">
        <f t="shared" si="163"/>
        <v>0</v>
      </c>
      <c r="BG112">
        <f t="shared" si="163"/>
        <v>0</v>
      </c>
      <c r="BH112">
        <f t="shared" si="163"/>
        <v>0</v>
      </c>
      <c r="BI112">
        <f t="shared" si="163"/>
        <v>0</v>
      </c>
      <c r="BJ112">
        <f t="shared" si="163"/>
        <v>0</v>
      </c>
      <c r="BK112">
        <f t="shared" si="163"/>
        <v>0</v>
      </c>
      <c r="BL112">
        <f t="shared" si="163"/>
        <v>0</v>
      </c>
      <c r="BM112">
        <f t="shared" si="163"/>
        <v>0</v>
      </c>
      <c r="BN112">
        <f t="shared" si="163"/>
        <v>0</v>
      </c>
      <c r="BO112">
        <f t="shared" si="163"/>
        <v>0</v>
      </c>
      <c r="BP112">
        <f t="shared" si="163"/>
        <v>0</v>
      </c>
      <c r="BQ112">
        <f t="shared" si="163"/>
        <v>0</v>
      </c>
      <c r="BR112">
        <f t="shared" si="163"/>
        <v>0</v>
      </c>
      <c r="BS112">
        <f t="shared" si="163"/>
        <v>0</v>
      </c>
      <c r="BT112">
        <f t="shared" si="163"/>
        <v>0</v>
      </c>
      <c r="BU112">
        <f t="shared" si="163"/>
        <v>0</v>
      </c>
      <c r="BV112">
        <f t="shared" si="163"/>
        <v>0</v>
      </c>
      <c r="BW112">
        <f t="shared" si="163"/>
        <v>0</v>
      </c>
      <c r="BX112">
        <f t="shared" si="163"/>
        <v>0</v>
      </c>
      <c r="BY112">
        <f t="shared" si="163"/>
        <v>0</v>
      </c>
      <c r="BZ112">
        <f t="shared" si="163"/>
        <v>0</v>
      </c>
    </row>
    <row r="113" spans="1:78" x14ac:dyDescent="0.25">
      <c r="A113">
        <v>6</v>
      </c>
      <c r="B113" t="s">
        <v>24</v>
      </c>
      <c r="C113">
        <f t="shared" ref="C113:M113" si="164">C20*$A113</f>
        <v>0.48</v>
      </c>
      <c r="D113">
        <f t="shared" si="164"/>
        <v>0.48</v>
      </c>
      <c r="E113">
        <f t="shared" si="164"/>
        <v>0.48</v>
      </c>
      <c r="F113">
        <f t="shared" si="164"/>
        <v>0.48</v>
      </c>
      <c r="G113">
        <f t="shared" si="164"/>
        <v>0.48</v>
      </c>
      <c r="H113">
        <f t="shared" si="164"/>
        <v>0.48</v>
      </c>
      <c r="I113">
        <f t="shared" si="164"/>
        <v>0.48</v>
      </c>
      <c r="J113">
        <f t="shared" si="164"/>
        <v>0.48</v>
      </c>
      <c r="K113">
        <f t="shared" si="164"/>
        <v>0.48</v>
      </c>
      <c r="L113">
        <f t="shared" si="164"/>
        <v>0.48</v>
      </c>
      <c r="M113">
        <f t="shared" si="164"/>
        <v>0.48</v>
      </c>
      <c r="N113">
        <f t="shared" ref="N113" si="165">N20*$A113</f>
        <v>0.48</v>
      </c>
      <c r="O113">
        <f t="shared" ref="O113:AA113" si="166">O20*$A113</f>
        <v>0.48</v>
      </c>
      <c r="P113">
        <f t="shared" si="166"/>
        <v>0.48</v>
      </c>
      <c r="Q113">
        <f t="shared" si="166"/>
        <v>0.48</v>
      </c>
      <c r="R113">
        <f t="shared" si="166"/>
        <v>0.48</v>
      </c>
      <c r="S113">
        <f t="shared" si="166"/>
        <v>0.48</v>
      </c>
      <c r="T113">
        <f t="shared" si="166"/>
        <v>0.48</v>
      </c>
      <c r="U113">
        <f t="shared" si="166"/>
        <v>0.96</v>
      </c>
      <c r="V113">
        <f t="shared" si="166"/>
        <v>1.26</v>
      </c>
      <c r="W113">
        <f t="shared" si="166"/>
        <v>1.02</v>
      </c>
      <c r="X113">
        <f t="shared" si="166"/>
        <v>1.08</v>
      </c>
      <c r="Y113">
        <f t="shared" si="166"/>
        <v>1.08</v>
      </c>
      <c r="Z113">
        <f t="shared" si="166"/>
        <v>1.2000000000000002</v>
      </c>
      <c r="AA113">
        <f t="shared" si="166"/>
        <v>1.3800000000000001</v>
      </c>
      <c r="AB113">
        <f t="shared" ref="AB113:BZ113" si="167">AB20*$A113</f>
        <v>1.44</v>
      </c>
      <c r="AC113">
        <f t="shared" si="167"/>
        <v>0</v>
      </c>
      <c r="AD113">
        <f t="shared" si="167"/>
        <v>0</v>
      </c>
      <c r="AE113">
        <f t="shared" si="167"/>
        <v>0</v>
      </c>
      <c r="AF113">
        <f t="shared" si="167"/>
        <v>0</v>
      </c>
      <c r="AG113">
        <f t="shared" si="167"/>
        <v>0</v>
      </c>
      <c r="AH113">
        <f t="shared" si="167"/>
        <v>0</v>
      </c>
      <c r="AI113">
        <f t="shared" si="167"/>
        <v>0</v>
      </c>
      <c r="AJ113">
        <f t="shared" si="167"/>
        <v>0</v>
      </c>
      <c r="AK113">
        <f t="shared" si="167"/>
        <v>0</v>
      </c>
      <c r="AL113">
        <f t="shared" si="167"/>
        <v>0</v>
      </c>
      <c r="AM113">
        <f t="shared" si="167"/>
        <v>0</v>
      </c>
      <c r="AN113">
        <f t="shared" si="167"/>
        <v>0</v>
      </c>
      <c r="AO113">
        <f t="shared" si="167"/>
        <v>0</v>
      </c>
      <c r="AP113">
        <f t="shared" si="167"/>
        <v>0</v>
      </c>
      <c r="AQ113">
        <f t="shared" si="167"/>
        <v>0</v>
      </c>
      <c r="AR113">
        <f t="shared" si="167"/>
        <v>0</v>
      </c>
      <c r="AS113">
        <f t="shared" si="167"/>
        <v>0</v>
      </c>
      <c r="AT113">
        <f t="shared" si="167"/>
        <v>0</v>
      </c>
      <c r="AU113">
        <f t="shared" si="167"/>
        <v>0</v>
      </c>
      <c r="AV113">
        <f t="shared" si="167"/>
        <v>0</v>
      </c>
      <c r="AW113">
        <f t="shared" si="167"/>
        <v>0</v>
      </c>
      <c r="AX113">
        <f t="shared" si="167"/>
        <v>0</v>
      </c>
      <c r="AY113">
        <f t="shared" si="167"/>
        <v>0</v>
      </c>
      <c r="AZ113">
        <f t="shared" si="167"/>
        <v>0</v>
      </c>
      <c r="BA113">
        <f t="shared" si="167"/>
        <v>0</v>
      </c>
      <c r="BB113">
        <f t="shared" si="167"/>
        <v>0</v>
      </c>
      <c r="BC113">
        <f t="shared" si="167"/>
        <v>0</v>
      </c>
      <c r="BD113">
        <f t="shared" si="167"/>
        <v>0</v>
      </c>
      <c r="BE113">
        <f t="shared" si="167"/>
        <v>0</v>
      </c>
      <c r="BF113">
        <f t="shared" si="167"/>
        <v>0</v>
      </c>
      <c r="BG113">
        <f t="shared" si="167"/>
        <v>0</v>
      </c>
      <c r="BH113">
        <f t="shared" si="167"/>
        <v>0</v>
      </c>
      <c r="BI113">
        <f t="shared" si="167"/>
        <v>0</v>
      </c>
      <c r="BJ113">
        <f t="shared" si="167"/>
        <v>0</v>
      </c>
      <c r="BK113">
        <f t="shared" si="167"/>
        <v>0</v>
      </c>
      <c r="BL113">
        <f t="shared" si="167"/>
        <v>0</v>
      </c>
      <c r="BM113">
        <f t="shared" si="167"/>
        <v>0</v>
      </c>
      <c r="BN113">
        <f t="shared" si="167"/>
        <v>0</v>
      </c>
      <c r="BO113">
        <f t="shared" si="167"/>
        <v>0</v>
      </c>
      <c r="BP113">
        <f t="shared" si="167"/>
        <v>0</v>
      </c>
      <c r="BQ113">
        <f t="shared" si="167"/>
        <v>0</v>
      </c>
      <c r="BR113">
        <f t="shared" si="167"/>
        <v>0</v>
      </c>
      <c r="BS113">
        <f t="shared" si="167"/>
        <v>0</v>
      </c>
      <c r="BT113">
        <f t="shared" si="167"/>
        <v>0</v>
      </c>
      <c r="BU113">
        <f t="shared" si="167"/>
        <v>0</v>
      </c>
      <c r="BV113">
        <f t="shared" si="167"/>
        <v>0</v>
      </c>
      <c r="BW113">
        <f t="shared" si="167"/>
        <v>0</v>
      </c>
      <c r="BX113">
        <f t="shared" si="167"/>
        <v>0</v>
      </c>
      <c r="BY113">
        <f t="shared" si="167"/>
        <v>0</v>
      </c>
      <c r="BZ113">
        <f t="shared" si="167"/>
        <v>0</v>
      </c>
    </row>
    <row r="114" spans="1:78" x14ac:dyDescent="0.25">
      <c r="A114">
        <v>7</v>
      </c>
      <c r="B114" t="s">
        <v>25</v>
      </c>
      <c r="C114">
        <f t="shared" ref="C114:M114" si="168">C21*$A114</f>
        <v>7.8400000000000007</v>
      </c>
      <c r="D114">
        <f t="shared" si="168"/>
        <v>7.8400000000000007</v>
      </c>
      <c r="E114">
        <f t="shared" si="168"/>
        <v>8.4</v>
      </c>
      <c r="F114">
        <f t="shared" si="168"/>
        <v>8.68</v>
      </c>
      <c r="G114">
        <f t="shared" si="168"/>
        <v>8.4699999999999989</v>
      </c>
      <c r="H114">
        <f t="shared" si="168"/>
        <v>8.82</v>
      </c>
      <c r="I114">
        <f t="shared" si="168"/>
        <v>8.89</v>
      </c>
      <c r="J114">
        <f t="shared" si="168"/>
        <v>9.17</v>
      </c>
      <c r="K114">
        <f t="shared" si="168"/>
        <v>10.71</v>
      </c>
      <c r="L114">
        <f t="shared" si="168"/>
        <v>10.15</v>
      </c>
      <c r="M114">
        <f t="shared" si="168"/>
        <v>10.57</v>
      </c>
      <c r="N114">
        <f t="shared" ref="N114" si="169">N21*$A114</f>
        <v>10.43</v>
      </c>
      <c r="O114">
        <f t="shared" ref="O114:AA114" si="170">O21*$A114</f>
        <v>9.8699999999999992</v>
      </c>
      <c r="P114">
        <f t="shared" si="170"/>
        <v>9.7299999999999986</v>
      </c>
      <c r="Q114">
        <f t="shared" si="170"/>
        <v>9.17</v>
      </c>
      <c r="R114">
        <f t="shared" si="170"/>
        <v>9.3800000000000008</v>
      </c>
      <c r="S114">
        <f t="shared" si="170"/>
        <v>9.17</v>
      </c>
      <c r="T114">
        <f t="shared" si="170"/>
        <v>9.4500000000000011</v>
      </c>
      <c r="U114">
        <f t="shared" si="170"/>
        <v>9.4500000000000011</v>
      </c>
      <c r="V114">
        <f t="shared" si="170"/>
        <v>9.4500000000000011</v>
      </c>
      <c r="W114">
        <f t="shared" si="170"/>
        <v>10.219999999999999</v>
      </c>
      <c r="X114">
        <f t="shared" si="170"/>
        <v>10.219999999999999</v>
      </c>
      <c r="Y114">
        <f t="shared" si="170"/>
        <v>9.94</v>
      </c>
      <c r="Z114">
        <f t="shared" si="170"/>
        <v>10.43</v>
      </c>
      <c r="AA114">
        <f t="shared" si="170"/>
        <v>9.31</v>
      </c>
      <c r="AB114">
        <f t="shared" ref="AB114:BZ114" si="171">AB21*$A114</f>
        <v>9.8699999999999992</v>
      </c>
      <c r="AC114">
        <f t="shared" si="171"/>
        <v>0</v>
      </c>
      <c r="AD114">
        <f t="shared" si="171"/>
        <v>0</v>
      </c>
      <c r="AE114">
        <f t="shared" si="171"/>
        <v>0</v>
      </c>
      <c r="AF114">
        <f t="shared" si="171"/>
        <v>0</v>
      </c>
      <c r="AG114">
        <f t="shared" si="171"/>
        <v>0</v>
      </c>
      <c r="AH114">
        <f t="shared" si="171"/>
        <v>0</v>
      </c>
      <c r="AI114">
        <f t="shared" si="171"/>
        <v>0</v>
      </c>
      <c r="AJ114">
        <f t="shared" si="171"/>
        <v>0</v>
      </c>
      <c r="AK114">
        <f t="shared" si="171"/>
        <v>0</v>
      </c>
      <c r="AL114">
        <f t="shared" si="171"/>
        <v>0</v>
      </c>
      <c r="AM114">
        <f t="shared" si="171"/>
        <v>0</v>
      </c>
      <c r="AN114">
        <f t="shared" si="171"/>
        <v>0</v>
      </c>
      <c r="AO114">
        <f t="shared" si="171"/>
        <v>0</v>
      </c>
      <c r="AP114">
        <f t="shared" si="171"/>
        <v>0</v>
      </c>
      <c r="AQ114">
        <f t="shared" si="171"/>
        <v>0</v>
      </c>
      <c r="AR114">
        <f t="shared" si="171"/>
        <v>0</v>
      </c>
      <c r="AS114">
        <f t="shared" si="171"/>
        <v>0</v>
      </c>
      <c r="AT114">
        <f t="shared" si="171"/>
        <v>0</v>
      </c>
      <c r="AU114">
        <f t="shared" si="171"/>
        <v>0</v>
      </c>
      <c r="AV114">
        <f t="shared" si="171"/>
        <v>0</v>
      </c>
      <c r="AW114">
        <f t="shared" si="171"/>
        <v>0</v>
      </c>
      <c r="AX114">
        <f t="shared" si="171"/>
        <v>0</v>
      </c>
      <c r="AY114">
        <f t="shared" si="171"/>
        <v>0</v>
      </c>
      <c r="AZ114">
        <f t="shared" si="171"/>
        <v>0</v>
      </c>
      <c r="BA114">
        <f t="shared" si="171"/>
        <v>0</v>
      </c>
      <c r="BB114">
        <f t="shared" si="171"/>
        <v>0</v>
      </c>
      <c r="BC114">
        <f t="shared" si="171"/>
        <v>0</v>
      </c>
      <c r="BD114">
        <f t="shared" si="171"/>
        <v>0</v>
      </c>
      <c r="BE114">
        <f t="shared" si="171"/>
        <v>0</v>
      </c>
      <c r="BF114">
        <f t="shared" si="171"/>
        <v>0</v>
      </c>
      <c r="BG114">
        <f t="shared" si="171"/>
        <v>0</v>
      </c>
      <c r="BH114">
        <f t="shared" si="171"/>
        <v>0</v>
      </c>
      <c r="BI114">
        <f t="shared" si="171"/>
        <v>0</v>
      </c>
      <c r="BJ114">
        <f t="shared" si="171"/>
        <v>0</v>
      </c>
      <c r="BK114">
        <f t="shared" si="171"/>
        <v>0</v>
      </c>
      <c r="BL114">
        <f t="shared" si="171"/>
        <v>0</v>
      </c>
      <c r="BM114">
        <f t="shared" si="171"/>
        <v>0</v>
      </c>
      <c r="BN114">
        <f t="shared" si="171"/>
        <v>0</v>
      </c>
      <c r="BO114">
        <f t="shared" si="171"/>
        <v>0</v>
      </c>
      <c r="BP114">
        <f t="shared" si="171"/>
        <v>0</v>
      </c>
      <c r="BQ114">
        <f t="shared" si="171"/>
        <v>0</v>
      </c>
      <c r="BR114">
        <f t="shared" si="171"/>
        <v>0</v>
      </c>
      <c r="BS114">
        <f t="shared" si="171"/>
        <v>0</v>
      </c>
      <c r="BT114">
        <f t="shared" si="171"/>
        <v>0</v>
      </c>
      <c r="BU114">
        <f t="shared" si="171"/>
        <v>0</v>
      </c>
      <c r="BV114">
        <f t="shared" si="171"/>
        <v>0</v>
      </c>
      <c r="BW114">
        <f t="shared" si="171"/>
        <v>0</v>
      </c>
      <c r="BX114">
        <f t="shared" si="171"/>
        <v>0</v>
      </c>
      <c r="BY114">
        <f t="shared" si="171"/>
        <v>0</v>
      </c>
      <c r="BZ114">
        <f t="shared" si="171"/>
        <v>0</v>
      </c>
    </row>
    <row r="115" spans="1:78" x14ac:dyDescent="0.25">
      <c r="A115">
        <v>4</v>
      </c>
      <c r="B115" t="s">
        <v>26</v>
      </c>
      <c r="C115">
        <f t="shared" ref="C115:M115" si="172">C22*$A115</f>
        <v>0.68</v>
      </c>
      <c r="D115">
        <f t="shared" si="172"/>
        <v>0.68</v>
      </c>
      <c r="E115">
        <f t="shared" si="172"/>
        <v>0.76</v>
      </c>
      <c r="F115">
        <f t="shared" si="172"/>
        <v>0.76</v>
      </c>
      <c r="G115">
        <f t="shared" si="172"/>
        <v>0.68</v>
      </c>
      <c r="H115">
        <f t="shared" si="172"/>
        <v>0.72</v>
      </c>
      <c r="I115">
        <f t="shared" si="172"/>
        <v>0.72</v>
      </c>
      <c r="J115">
        <f t="shared" si="172"/>
        <v>0.68</v>
      </c>
      <c r="K115">
        <f t="shared" si="172"/>
        <v>0.68</v>
      </c>
      <c r="L115">
        <f t="shared" si="172"/>
        <v>0.72</v>
      </c>
      <c r="M115">
        <f t="shared" si="172"/>
        <v>0.72</v>
      </c>
      <c r="N115">
        <f t="shared" ref="N115" si="173">N22*$A115</f>
        <v>0.76</v>
      </c>
      <c r="O115">
        <f t="shared" ref="O115:AA115" si="174">O22*$A115</f>
        <v>0.8</v>
      </c>
      <c r="P115">
        <f t="shared" si="174"/>
        <v>0.84</v>
      </c>
      <c r="Q115">
        <f t="shared" si="174"/>
        <v>0.84</v>
      </c>
      <c r="R115">
        <f t="shared" si="174"/>
        <v>0.96</v>
      </c>
      <c r="S115">
        <f t="shared" si="174"/>
        <v>0.96</v>
      </c>
      <c r="T115">
        <f t="shared" si="174"/>
        <v>0.92</v>
      </c>
      <c r="U115">
        <f t="shared" si="174"/>
        <v>1.36</v>
      </c>
      <c r="V115">
        <f t="shared" si="174"/>
        <v>1.56</v>
      </c>
      <c r="W115">
        <f t="shared" si="174"/>
        <v>1.36</v>
      </c>
      <c r="X115">
        <f t="shared" si="174"/>
        <v>1.44</v>
      </c>
      <c r="Y115">
        <f t="shared" si="174"/>
        <v>1.44</v>
      </c>
      <c r="Z115">
        <f t="shared" si="174"/>
        <v>1.48</v>
      </c>
      <c r="AA115">
        <f t="shared" si="174"/>
        <v>1.44</v>
      </c>
      <c r="AB115">
        <f t="shared" ref="AB115:BZ115" si="175">AB22*$A115</f>
        <v>1.52</v>
      </c>
      <c r="AC115">
        <f t="shared" si="175"/>
        <v>0</v>
      </c>
      <c r="AD115">
        <f t="shared" si="175"/>
        <v>0</v>
      </c>
      <c r="AE115">
        <f t="shared" si="175"/>
        <v>0</v>
      </c>
      <c r="AF115">
        <f t="shared" si="175"/>
        <v>0</v>
      </c>
      <c r="AG115">
        <f t="shared" si="175"/>
        <v>0</v>
      </c>
      <c r="AH115">
        <f t="shared" si="175"/>
        <v>0</v>
      </c>
      <c r="AI115">
        <f t="shared" si="175"/>
        <v>0</v>
      </c>
      <c r="AJ115">
        <f t="shared" si="175"/>
        <v>0</v>
      </c>
      <c r="AK115">
        <f t="shared" si="175"/>
        <v>0</v>
      </c>
      <c r="AL115">
        <f t="shared" si="175"/>
        <v>0</v>
      </c>
      <c r="AM115">
        <f t="shared" si="175"/>
        <v>0</v>
      </c>
      <c r="AN115">
        <f t="shared" si="175"/>
        <v>0</v>
      </c>
      <c r="AO115">
        <f t="shared" si="175"/>
        <v>0</v>
      </c>
      <c r="AP115">
        <f t="shared" si="175"/>
        <v>0</v>
      </c>
      <c r="AQ115">
        <f t="shared" si="175"/>
        <v>0</v>
      </c>
      <c r="AR115">
        <f t="shared" si="175"/>
        <v>0</v>
      </c>
      <c r="AS115">
        <f t="shared" si="175"/>
        <v>0</v>
      </c>
      <c r="AT115">
        <f t="shared" si="175"/>
        <v>0</v>
      </c>
      <c r="AU115">
        <f t="shared" si="175"/>
        <v>0</v>
      </c>
      <c r="AV115">
        <f t="shared" si="175"/>
        <v>0</v>
      </c>
      <c r="AW115">
        <f t="shared" si="175"/>
        <v>0</v>
      </c>
      <c r="AX115">
        <f t="shared" si="175"/>
        <v>0</v>
      </c>
      <c r="AY115">
        <f t="shared" si="175"/>
        <v>0</v>
      </c>
      <c r="AZ115">
        <f t="shared" si="175"/>
        <v>0</v>
      </c>
      <c r="BA115">
        <f t="shared" si="175"/>
        <v>0</v>
      </c>
      <c r="BB115">
        <f t="shared" si="175"/>
        <v>0</v>
      </c>
      <c r="BC115">
        <f t="shared" si="175"/>
        <v>0</v>
      </c>
      <c r="BD115">
        <f t="shared" si="175"/>
        <v>0</v>
      </c>
      <c r="BE115">
        <f t="shared" si="175"/>
        <v>0</v>
      </c>
      <c r="BF115">
        <f t="shared" si="175"/>
        <v>0</v>
      </c>
      <c r="BG115">
        <f t="shared" si="175"/>
        <v>0</v>
      </c>
      <c r="BH115">
        <f t="shared" si="175"/>
        <v>0</v>
      </c>
      <c r="BI115">
        <f t="shared" si="175"/>
        <v>0</v>
      </c>
      <c r="BJ115">
        <f t="shared" si="175"/>
        <v>0</v>
      </c>
      <c r="BK115">
        <f t="shared" si="175"/>
        <v>0</v>
      </c>
      <c r="BL115">
        <f t="shared" si="175"/>
        <v>0</v>
      </c>
      <c r="BM115">
        <f t="shared" si="175"/>
        <v>0</v>
      </c>
      <c r="BN115">
        <f t="shared" si="175"/>
        <v>0</v>
      </c>
      <c r="BO115">
        <f t="shared" si="175"/>
        <v>0</v>
      </c>
      <c r="BP115">
        <f t="shared" si="175"/>
        <v>0</v>
      </c>
      <c r="BQ115">
        <f t="shared" si="175"/>
        <v>0</v>
      </c>
      <c r="BR115">
        <f t="shared" si="175"/>
        <v>0</v>
      </c>
      <c r="BS115">
        <f t="shared" si="175"/>
        <v>0</v>
      </c>
      <c r="BT115">
        <f t="shared" si="175"/>
        <v>0</v>
      </c>
      <c r="BU115">
        <f t="shared" si="175"/>
        <v>0</v>
      </c>
      <c r="BV115">
        <f t="shared" si="175"/>
        <v>0</v>
      </c>
      <c r="BW115">
        <f t="shared" si="175"/>
        <v>0</v>
      </c>
      <c r="BX115">
        <f t="shared" si="175"/>
        <v>0</v>
      </c>
      <c r="BY115">
        <f t="shared" si="175"/>
        <v>0</v>
      </c>
      <c r="BZ115">
        <f t="shared" si="175"/>
        <v>0</v>
      </c>
    </row>
    <row r="116" spans="1:78" x14ac:dyDescent="0.25">
      <c r="A116">
        <v>4</v>
      </c>
      <c r="B116" t="s">
        <v>27</v>
      </c>
      <c r="C116">
        <f t="shared" ref="C116:M116" si="176">C23*$A116</f>
        <v>0.28000000000000003</v>
      </c>
      <c r="D116">
        <f t="shared" si="176"/>
        <v>0.28000000000000003</v>
      </c>
      <c r="E116">
        <f t="shared" si="176"/>
        <v>0.28000000000000003</v>
      </c>
      <c r="F116">
        <f t="shared" si="176"/>
        <v>0.28000000000000003</v>
      </c>
      <c r="G116">
        <f t="shared" si="176"/>
        <v>0.28000000000000003</v>
      </c>
      <c r="H116">
        <f t="shared" si="176"/>
        <v>0.28000000000000003</v>
      </c>
      <c r="I116">
        <f t="shared" si="176"/>
        <v>0.28000000000000003</v>
      </c>
      <c r="J116">
        <f t="shared" si="176"/>
        <v>0.28000000000000003</v>
      </c>
      <c r="K116">
        <f t="shared" si="176"/>
        <v>0.28000000000000003</v>
      </c>
      <c r="L116">
        <f t="shared" si="176"/>
        <v>0.28000000000000003</v>
      </c>
      <c r="M116">
        <f t="shared" si="176"/>
        <v>0.28000000000000003</v>
      </c>
      <c r="N116">
        <f t="shared" ref="N116" si="177">N23*$A116</f>
        <v>0.28000000000000003</v>
      </c>
      <c r="O116">
        <f t="shared" ref="O116:AA116" si="178">O23*$A116</f>
        <v>0.28000000000000003</v>
      </c>
      <c r="P116">
        <f t="shared" si="178"/>
        <v>0.28000000000000003</v>
      </c>
      <c r="Q116">
        <f t="shared" si="178"/>
        <v>0.28000000000000003</v>
      </c>
      <c r="R116">
        <f t="shared" si="178"/>
        <v>0.28000000000000003</v>
      </c>
      <c r="S116">
        <f t="shared" si="178"/>
        <v>0.28000000000000003</v>
      </c>
      <c r="T116">
        <f t="shared" si="178"/>
        <v>0.28000000000000003</v>
      </c>
      <c r="U116">
        <f t="shared" si="178"/>
        <v>0.48</v>
      </c>
      <c r="V116">
        <f t="shared" si="178"/>
        <v>0.56000000000000005</v>
      </c>
      <c r="W116">
        <f t="shared" si="178"/>
        <v>0.44</v>
      </c>
      <c r="X116">
        <f t="shared" si="178"/>
        <v>0.48</v>
      </c>
      <c r="Y116">
        <f t="shared" si="178"/>
        <v>0.48</v>
      </c>
      <c r="Z116">
        <f t="shared" si="178"/>
        <v>0.48</v>
      </c>
      <c r="AA116">
        <f t="shared" si="178"/>
        <v>0.48</v>
      </c>
      <c r="AB116">
        <f t="shared" ref="AB116:BZ116" si="179">AB23*$A116</f>
        <v>0.52</v>
      </c>
      <c r="AC116">
        <f t="shared" si="179"/>
        <v>0</v>
      </c>
      <c r="AD116">
        <f t="shared" si="179"/>
        <v>0</v>
      </c>
      <c r="AE116">
        <f t="shared" si="179"/>
        <v>0</v>
      </c>
      <c r="AF116">
        <f t="shared" si="179"/>
        <v>0</v>
      </c>
      <c r="AG116">
        <f t="shared" si="179"/>
        <v>0</v>
      </c>
      <c r="AH116">
        <f t="shared" si="179"/>
        <v>0</v>
      </c>
      <c r="AI116">
        <f t="shared" si="179"/>
        <v>0</v>
      </c>
      <c r="AJ116">
        <f t="shared" si="179"/>
        <v>0</v>
      </c>
      <c r="AK116">
        <f t="shared" si="179"/>
        <v>0</v>
      </c>
      <c r="AL116">
        <f t="shared" si="179"/>
        <v>0</v>
      </c>
      <c r="AM116">
        <f t="shared" si="179"/>
        <v>0</v>
      </c>
      <c r="AN116">
        <f t="shared" si="179"/>
        <v>0</v>
      </c>
      <c r="AO116">
        <f t="shared" si="179"/>
        <v>0</v>
      </c>
      <c r="AP116">
        <f t="shared" si="179"/>
        <v>0</v>
      </c>
      <c r="AQ116">
        <f t="shared" si="179"/>
        <v>0</v>
      </c>
      <c r="AR116">
        <f t="shared" si="179"/>
        <v>0</v>
      </c>
      <c r="AS116">
        <f t="shared" si="179"/>
        <v>0</v>
      </c>
      <c r="AT116">
        <f t="shared" si="179"/>
        <v>0</v>
      </c>
      <c r="AU116">
        <f t="shared" si="179"/>
        <v>0</v>
      </c>
      <c r="AV116">
        <f t="shared" si="179"/>
        <v>0</v>
      </c>
      <c r="AW116">
        <f t="shared" si="179"/>
        <v>0</v>
      </c>
      <c r="AX116">
        <f t="shared" si="179"/>
        <v>0</v>
      </c>
      <c r="AY116">
        <f t="shared" si="179"/>
        <v>0</v>
      </c>
      <c r="AZ116">
        <f t="shared" si="179"/>
        <v>0</v>
      </c>
      <c r="BA116">
        <f t="shared" si="179"/>
        <v>0</v>
      </c>
      <c r="BB116">
        <f t="shared" si="179"/>
        <v>0</v>
      </c>
      <c r="BC116">
        <f t="shared" si="179"/>
        <v>0</v>
      </c>
      <c r="BD116">
        <f t="shared" si="179"/>
        <v>0</v>
      </c>
      <c r="BE116">
        <f t="shared" si="179"/>
        <v>0</v>
      </c>
      <c r="BF116">
        <f t="shared" si="179"/>
        <v>0</v>
      </c>
      <c r="BG116">
        <f t="shared" si="179"/>
        <v>0</v>
      </c>
      <c r="BH116">
        <f t="shared" si="179"/>
        <v>0</v>
      </c>
      <c r="BI116">
        <f t="shared" si="179"/>
        <v>0</v>
      </c>
      <c r="BJ116">
        <f t="shared" si="179"/>
        <v>0</v>
      </c>
      <c r="BK116">
        <f t="shared" si="179"/>
        <v>0</v>
      </c>
      <c r="BL116">
        <f t="shared" si="179"/>
        <v>0</v>
      </c>
      <c r="BM116">
        <f t="shared" si="179"/>
        <v>0</v>
      </c>
      <c r="BN116">
        <f t="shared" si="179"/>
        <v>0</v>
      </c>
      <c r="BO116">
        <f t="shared" si="179"/>
        <v>0</v>
      </c>
      <c r="BP116">
        <f t="shared" si="179"/>
        <v>0</v>
      </c>
      <c r="BQ116">
        <f t="shared" si="179"/>
        <v>0</v>
      </c>
      <c r="BR116">
        <f t="shared" si="179"/>
        <v>0</v>
      </c>
      <c r="BS116">
        <f t="shared" si="179"/>
        <v>0</v>
      </c>
      <c r="BT116">
        <f t="shared" si="179"/>
        <v>0</v>
      </c>
      <c r="BU116">
        <f t="shared" si="179"/>
        <v>0</v>
      </c>
      <c r="BV116">
        <f t="shared" si="179"/>
        <v>0</v>
      </c>
      <c r="BW116">
        <f t="shared" si="179"/>
        <v>0</v>
      </c>
      <c r="BX116">
        <f t="shared" si="179"/>
        <v>0</v>
      </c>
      <c r="BY116">
        <f t="shared" si="179"/>
        <v>0</v>
      </c>
      <c r="BZ116">
        <f t="shared" si="179"/>
        <v>0</v>
      </c>
    </row>
    <row r="117" spans="1:78" x14ac:dyDescent="0.25">
      <c r="A117">
        <v>1</v>
      </c>
      <c r="B117" t="s">
        <v>28</v>
      </c>
      <c r="C117">
        <f t="shared" ref="C117:M117" si="180">C24*$A117</f>
        <v>0.59</v>
      </c>
      <c r="D117">
        <f t="shared" si="180"/>
        <v>0.57999999999999996</v>
      </c>
      <c r="E117">
        <f t="shared" si="180"/>
        <v>0.55000000000000004</v>
      </c>
      <c r="F117">
        <f t="shared" si="180"/>
        <v>0.53</v>
      </c>
      <c r="G117">
        <f t="shared" si="180"/>
        <v>0.6</v>
      </c>
      <c r="H117">
        <f t="shared" si="180"/>
        <v>0.6</v>
      </c>
      <c r="I117">
        <f t="shared" si="180"/>
        <v>0.6</v>
      </c>
      <c r="J117">
        <f t="shared" si="180"/>
        <v>0.61</v>
      </c>
      <c r="K117">
        <f t="shared" si="180"/>
        <v>0.57999999999999996</v>
      </c>
      <c r="L117">
        <f t="shared" si="180"/>
        <v>0.61</v>
      </c>
      <c r="M117">
        <f t="shared" si="180"/>
        <v>0.57999999999999996</v>
      </c>
      <c r="N117">
        <f t="shared" ref="N117" si="181">N24*$A117</f>
        <v>0.62</v>
      </c>
      <c r="O117">
        <f t="shared" ref="O117:AA117" si="182">O24*$A117</f>
        <v>0.65</v>
      </c>
      <c r="P117">
        <f t="shared" si="182"/>
        <v>0.66</v>
      </c>
      <c r="Q117">
        <f t="shared" si="182"/>
        <v>0.65</v>
      </c>
      <c r="R117">
        <f t="shared" si="182"/>
        <v>0.66</v>
      </c>
      <c r="S117">
        <f t="shared" si="182"/>
        <v>0.64</v>
      </c>
      <c r="T117">
        <f t="shared" si="182"/>
        <v>0.64</v>
      </c>
      <c r="U117">
        <f t="shared" si="182"/>
        <v>0.72</v>
      </c>
      <c r="V117">
        <f t="shared" si="182"/>
        <v>0.86</v>
      </c>
      <c r="W117">
        <f t="shared" si="182"/>
        <v>0.73</v>
      </c>
      <c r="X117">
        <f t="shared" si="182"/>
        <v>0.64</v>
      </c>
      <c r="Y117">
        <f t="shared" si="182"/>
        <v>0.65</v>
      </c>
      <c r="Z117">
        <f t="shared" si="182"/>
        <v>0.74</v>
      </c>
      <c r="AA117">
        <f t="shared" si="182"/>
        <v>0.71</v>
      </c>
      <c r="AB117">
        <f t="shared" ref="AB117:BZ117" si="183">AB24*$A117</f>
        <v>0.72</v>
      </c>
      <c r="AC117">
        <f t="shared" si="183"/>
        <v>0</v>
      </c>
      <c r="AD117">
        <f t="shared" si="183"/>
        <v>0</v>
      </c>
      <c r="AE117">
        <f t="shared" si="183"/>
        <v>0</v>
      </c>
      <c r="AF117">
        <f t="shared" si="183"/>
        <v>0</v>
      </c>
      <c r="AG117">
        <f t="shared" si="183"/>
        <v>0</v>
      </c>
      <c r="AH117">
        <f t="shared" si="183"/>
        <v>0</v>
      </c>
      <c r="AI117">
        <f t="shared" si="183"/>
        <v>0</v>
      </c>
      <c r="AJ117">
        <f t="shared" si="183"/>
        <v>0</v>
      </c>
      <c r="AK117">
        <f t="shared" si="183"/>
        <v>0</v>
      </c>
      <c r="AL117">
        <f t="shared" si="183"/>
        <v>0</v>
      </c>
      <c r="AM117">
        <f t="shared" si="183"/>
        <v>0</v>
      </c>
      <c r="AN117">
        <f t="shared" si="183"/>
        <v>0</v>
      </c>
      <c r="AO117">
        <f t="shared" si="183"/>
        <v>0</v>
      </c>
      <c r="AP117">
        <f t="shared" si="183"/>
        <v>0</v>
      </c>
      <c r="AQ117">
        <f t="shared" si="183"/>
        <v>0</v>
      </c>
      <c r="AR117">
        <f t="shared" si="183"/>
        <v>0</v>
      </c>
      <c r="AS117">
        <f t="shared" si="183"/>
        <v>0</v>
      </c>
      <c r="AT117">
        <f t="shared" si="183"/>
        <v>0</v>
      </c>
      <c r="AU117">
        <f t="shared" si="183"/>
        <v>0</v>
      </c>
      <c r="AV117">
        <f t="shared" si="183"/>
        <v>0</v>
      </c>
      <c r="AW117">
        <f t="shared" si="183"/>
        <v>0</v>
      </c>
      <c r="AX117">
        <f t="shared" si="183"/>
        <v>0</v>
      </c>
      <c r="AY117">
        <f t="shared" si="183"/>
        <v>0</v>
      </c>
      <c r="AZ117">
        <f t="shared" si="183"/>
        <v>0</v>
      </c>
      <c r="BA117">
        <f t="shared" si="183"/>
        <v>0</v>
      </c>
      <c r="BB117">
        <f t="shared" si="183"/>
        <v>0</v>
      </c>
      <c r="BC117">
        <f t="shared" si="183"/>
        <v>0</v>
      </c>
      <c r="BD117">
        <f t="shared" si="183"/>
        <v>0</v>
      </c>
      <c r="BE117">
        <f t="shared" si="183"/>
        <v>0</v>
      </c>
      <c r="BF117">
        <f t="shared" si="183"/>
        <v>0</v>
      </c>
      <c r="BG117">
        <f t="shared" si="183"/>
        <v>0</v>
      </c>
      <c r="BH117">
        <f t="shared" si="183"/>
        <v>0</v>
      </c>
      <c r="BI117">
        <f t="shared" si="183"/>
        <v>0</v>
      </c>
      <c r="BJ117">
        <f t="shared" si="183"/>
        <v>0</v>
      </c>
      <c r="BK117">
        <f t="shared" si="183"/>
        <v>0</v>
      </c>
      <c r="BL117">
        <f t="shared" si="183"/>
        <v>0</v>
      </c>
      <c r="BM117">
        <f t="shared" si="183"/>
        <v>0</v>
      </c>
      <c r="BN117">
        <f t="shared" si="183"/>
        <v>0</v>
      </c>
      <c r="BO117">
        <f t="shared" si="183"/>
        <v>0</v>
      </c>
      <c r="BP117">
        <f t="shared" si="183"/>
        <v>0</v>
      </c>
      <c r="BQ117">
        <f t="shared" si="183"/>
        <v>0</v>
      </c>
      <c r="BR117">
        <f t="shared" si="183"/>
        <v>0</v>
      </c>
      <c r="BS117">
        <f t="shared" si="183"/>
        <v>0</v>
      </c>
      <c r="BT117">
        <f t="shared" si="183"/>
        <v>0</v>
      </c>
      <c r="BU117">
        <f t="shared" si="183"/>
        <v>0</v>
      </c>
      <c r="BV117">
        <f t="shared" si="183"/>
        <v>0</v>
      </c>
      <c r="BW117">
        <f t="shared" si="183"/>
        <v>0</v>
      </c>
      <c r="BX117">
        <f t="shared" si="183"/>
        <v>0</v>
      </c>
      <c r="BY117">
        <f t="shared" si="183"/>
        <v>0</v>
      </c>
      <c r="BZ117">
        <f t="shared" si="183"/>
        <v>0</v>
      </c>
    </row>
    <row r="118" spans="1:78" x14ac:dyDescent="0.25">
      <c r="C118" s="2">
        <f>SUM(C108:C117)</f>
        <v>17.400000000000002</v>
      </c>
      <c r="D118" s="2">
        <f t="shared" ref="D118:F118" si="184">SUM(D108:D117)</f>
        <v>17.39</v>
      </c>
      <c r="E118" s="2">
        <f t="shared" si="184"/>
        <v>18.000000000000004</v>
      </c>
      <c r="F118" s="2">
        <f t="shared" si="184"/>
        <v>18.190000000000001</v>
      </c>
      <c r="G118" s="2">
        <f t="shared" ref="G118" si="185">SUM(G108:G117)</f>
        <v>17.940000000000001</v>
      </c>
      <c r="H118" s="2">
        <f t="shared" ref="H118" si="186">SUM(H108:H117)</f>
        <v>18.450000000000003</v>
      </c>
      <c r="I118" s="2">
        <f t="shared" ref="I118" si="187">SUM(I108:I117)</f>
        <v>18.350000000000001</v>
      </c>
      <c r="J118" s="2">
        <f t="shared" ref="J118" si="188">SUM(J108:J117)</f>
        <v>18.649999999999999</v>
      </c>
      <c r="K118" s="2">
        <f t="shared" ref="K118" si="189">SUM(K108:K117)</f>
        <v>20.189999999999998</v>
      </c>
      <c r="L118" s="2">
        <f t="shared" ref="L118" si="190">SUM(L108:L117)</f>
        <v>19.48</v>
      </c>
      <c r="M118" s="2">
        <f t="shared" ref="M118" si="191">SUM(M108:M117)</f>
        <v>19.899999999999999</v>
      </c>
      <c r="N118" s="2">
        <f t="shared" ref="N118" si="192">SUM(N108:N117)</f>
        <v>19.840000000000003</v>
      </c>
      <c r="O118" s="2">
        <f t="shared" ref="O118:AA118" si="193">SUM(O108:O117)</f>
        <v>19.41</v>
      </c>
      <c r="P118" s="2">
        <f t="shared" si="193"/>
        <v>20</v>
      </c>
      <c r="Q118" s="2">
        <f t="shared" si="193"/>
        <v>19.540000000000003</v>
      </c>
      <c r="R118" s="2">
        <f t="shared" si="193"/>
        <v>19.920000000000005</v>
      </c>
      <c r="S118" s="2">
        <f t="shared" si="193"/>
        <v>20.130000000000003</v>
      </c>
      <c r="T118" s="2">
        <f t="shared" si="193"/>
        <v>20.500000000000007</v>
      </c>
      <c r="U118" s="2">
        <f t="shared" si="193"/>
        <v>23.55</v>
      </c>
      <c r="V118" s="2">
        <f t="shared" si="193"/>
        <v>26.669999999999998</v>
      </c>
      <c r="W118" s="2">
        <f t="shared" si="193"/>
        <v>23.66</v>
      </c>
      <c r="X118" s="2">
        <f t="shared" si="193"/>
        <v>24.15</v>
      </c>
      <c r="Y118" s="2">
        <f t="shared" si="193"/>
        <v>24.23</v>
      </c>
      <c r="Z118" s="2">
        <f t="shared" si="193"/>
        <v>24.43</v>
      </c>
      <c r="AA118" s="2">
        <f t="shared" si="193"/>
        <v>24.340000000000003</v>
      </c>
      <c r="AB118" s="2">
        <f t="shared" ref="AB118:BZ118" si="194">SUM(AB108:AB117)</f>
        <v>25.469999999999995</v>
      </c>
      <c r="AC118" s="2">
        <f t="shared" si="194"/>
        <v>0</v>
      </c>
      <c r="AD118" s="2">
        <f t="shared" si="194"/>
        <v>0</v>
      </c>
      <c r="AE118" s="2">
        <f t="shared" si="194"/>
        <v>0</v>
      </c>
      <c r="AF118" s="2">
        <f t="shared" si="194"/>
        <v>0</v>
      </c>
      <c r="AG118" s="2">
        <f t="shared" si="194"/>
        <v>0</v>
      </c>
      <c r="AH118" s="2">
        <f t="shared" si="194"/>
        <v>0</v>
      </c>
      <c r="AI118" s="2">
        <f t="shared" si="194"/>
        <v>0</v>
      </c>
      <c r="AJ118" s="2">
        <f t="shared" si="194"/>
        <v>0</v>
      </c>
      <c r="AK118" s="2">
        <f t="shared" si="194"/>
        <v>0</v>
      </c>
      <c r="AL118" s="2">
        <f t="shared" si="194"/>
        <v>0</v>
      </c>
      <c r="AM118" s="2">
        <f t="shared" si="194"/>
        <v>0</v>
      </c>
      <c r="AN118" s="2">
        <f t="shared" si="194"/>
        <v>0</v>
      </c>
      <c r="AO118" s="2">
        <f t="shared" si="194"/>
        <v>0</v>
      </c>
      <c r="AP118" s="2">
        <f t="shared" si="194"/>
        <v>0</v>
      </c>
      <c r="AQ118" s="2">
        <f t="shared" si="194"/>
        <v>0</v>
      </c>
      <c r="AR118" s="2">
        <f t="shared" si="194"/>
        <v>0</v>
      </c>
      <c r="AS118" s="2">
        <f t="shared" si="194"/>
        <v>0</v>
      </c>
      <c r="AT118" s="2">
        <f t="shared" si="194"/>
        <v>0</v>
      </c>
      <c r="AU118" s="2">
        <f t="shared" si="194"/>
        <v>0</v>
      </c>
      <c r="AV118" s="2">
        <f t="shared" si="194"/>
        <v>0</v>
      </c>
      <c r="AW118" s="2">
        <f t="shared" si="194"/>
        <v>0</v>
      </c>
      <c r="AX118" s="2">
        <f t="shared" si="194"/>
        <v>0</v>
      </c>
      <c r="AY118" s="2">
        <f t="shared" si="194"/>
        <v>0</v>
      </c>
      <c r="AZ118" s="2">
        <f t="shared" si="194"/>
        <v>0</v>
      </c>
      <c r="BA118" s="2">
        <f t="shared" si="194"/>
        <v>0</v>
      </c>
      <c r="BB118" s="2">
        <f t="shared" si="194"/>
        <v>0</v>
      </c>
      <c r="BC118" s="2">
        <f t="shared" si="194"/>
        <v>0</v>
      </c>
      <c r="BD118" s="2">
        <f t="shared" si="194"/>
        <v>0</v>
      </c>
      <c r="BE118" s="2">
        <f t="shared" si="194"/>
        <v>0</v>
      </c>
      <c r="BF118" s="2">
        <f t="shared" si="194"/>
        <v>0</v>
      </c>
      <c r="BG118" s="2">
        <f t="shared" si="194"/>
        <v>0</v>
      </c>
      <c r="BH118" s="2">
        <f t="shared" si="194"/>
        <v>0</v>
      </c>
      <c r="BI118" s="2">
        <f t="shared" si="194"/>
        <v>0</v>
      </c>
      <c r="BJ118" s="2">
        <f t="shared" si="194"/>
        <v>0</v>
      </c>
      <c r="BK118" s="2">
        <f t="shared" si="194"/>
        <v>0</v>
      </c>
      <c r="BL118" s="2">
        <f t="shared" si="194"/>
        <v>0</v>
      </c>
      <c r="BM118" s="2">
        <f t="shared" si="194"/>
        <v>0</v>
      </c>
      <c r="BN118" s="2">
        <f t="shared" si="194"/>
        <v>0</v>
      </c>
      <c r="BO118" s="2">
        <f t="shared" si="194"/>
        <v>0</v>
      </c>
      <c r="BP118" s="2">
        <f t="shared" si="194"/>
        <v>0</v>
      </c>
      <c r="BQ118" s="2">
        <f t="shared" si="194"/>
        <v>0</v>
      </c>
      <c r="BR118" s="2">
        <f t="shared" si="194"/>
        <v>0</v>
      </c>
      <c r="BS118" s="2">
        <f t="shared" si="194"/>
        <v>0</v>
      </c>
      <c r="BT118" s="2">
        <f t="shared" si="194"/>
        <v>0</v>
      </c>
      <c r="BU118" s="2">
        <f t="shared" si="194"/>
        <v>0</v>
      </c>
      <c r="BV118" s="2">
        <f t="shared" si="194"/>
        <v>0</v>
      </c>
      <c r="BW118" s="2">
        <f t="shared" si="194"/>
        <v>0</v>
      </c>
      <c r="BX118" s="2">
        <f t="shared" si="194"/>
        <v>0</v>
      </c>
      <c r="BY118" s="2">
        <f t="shared" si="194"/>
        <v>0</v>
      </c>
      <c r="BZ118" s="2">
        <f t="shared" si="194"/>
        <v>0</v>
      </c>
    </row>
    <row r="121" spans="1:78" ht="23.25" x14ac:dyDescent="0.35">
      <c r="A121" s="3" t="s">
        <v>29</v>
      </c>
    </row>
    <row r="122" spans="1:78" x14ac:dyDescent="0.25">
      <c r="A122" s="2" t="s">
        <v>11</v>
      </c>
      <c r="B122" s="2" t="s">
        <v>12</v>
      </c>
    </row>
    <row r="123" spans="1:78" x14ac:dyDescent="0.25">
      <c r="C123" s="1">
        <f>C107</f>
        <v>44331</v>
      </c>
      <c r="D123" s="1">
        <f t="shared" ref="D123:M123" si="195">D107</f>
        <v>44332</v>
      </c>
      <c r="E123" s="1">
        <f t="shared" si="195"/>
        <v>44334</v>
      </c>
      <c r="F123" s="1">
        <f t="shared" si="195"/>
        <v>44336</v>
      </c>
      <c r="G123" s="1">
        <f t="shared" si="195"/>
        <v>44337</v>
      </c>
      <c r="H123" s="1">
        <f t="shared" si="195"/>
        <v>44338</v>
      </c>
      <c r="I123" s="1">
        <f t="shared" si="195"/>
        <v>44339</v>
      </c>
      <c r="J123" s="1">
        <f t="shared" si="195"/>
        <v>44340</v>
      </c>
      <c r="K123" s="1">
        <f t="shared" si="195"/>
        <v>44341</v>
      </c>
      <c r="L123" s="1">
        <f t="shared" si="195"/>
        <v>44342</v>
      </c>
      <c r="M123" s="1">
        <f t="shared" si="195"/>
        <v>44343</v>
      </c>
      <c r="N123" s="1">
        <f t="shared" ref="N123" si="196">N107</f>
        <v>44344</v>
      </c>
      <c r="O123" s="1">
        <f t="shared" ref="O123:AA123" si="197">O107</f>
        <v>44345</v>
      </c>
      <c r="P123" s="1">
        <f t="shared" si="197"/>
        <v>44346</v>
      </c>
      <c r="Q123" s="1">
        <f t="shared" si="197"/>
        <v>44347</v>
      </c>
      <c r="R123" s="1">
        <f t="shared" si="197"/>
        <v>44348</v>
      </c>
      <c r="S123" s="1">
        <f t="shared" si="197"/>
        <v>44349</v>
      </c>
      <c r="T123" s="1">
        <f t="shared" si="197"/>
        <v>44350</v>
      </c>
      <c r="U123" s="1">
        <f t="shared" si="197"/>
        <v>44351</v>
      </c>
      <c r="V123" s="1">
        <f t="shared" si="197"/>
        <v>44352</v>
      </c>
      <c r="W123" s="1">
        <f t="shared" si="197"/>
        <v>44353</v>
      </c>
      <c r="X123" s="1">
        <f t="shared" si="197"/>
        <v>44354</v>
      </c>
      <c r="Y123" s="1">
        <f t="shared" si="197"/>
        <v>44355</v>
      </c>
      <c r="Z123" s="1">
        <f t="shared" si="197"/>
        <v>44356</v>
      </c>
      <c r="AA123" s="1">
        <f t="shared" si="197"/>
        <v>44357</v>
      </c>
      <c r="AB123" s="1">
        <f t="shared" ref="AB123:BZ123" si="198">AB107</f>
        <v>44358</v>
      </c>
      <c r="AC123" s="1">
        <f t="shared" si="198"/>
        <v>44359</v>
      </c>
      <c r="AD123" s="1">
        <f t="shared" si="198"/>
        <v>44360</v>
      </c>
      <c r="AE123" s="1">
        <f t="shared" si="198"/>
        <v>44361</v>
      </c>
      <c r="AF123" s="1">
        <f t="shared" si="198"/>
        <v>44362</v>
      </c>
      <c r="AG123" s="1">
        <f t="shared" si="198"/>
        <v>44363</v>
      </c>
      <c r="AH123" s="1">
        <f t="shared" si="198"/>
        <v>44364</v>
      </c>
      <c r="AI123" s="1">
        <f t="shared" si="198"/>
        <v>44365</v>
      </c>
      <c r="AJ123" s="1">
        <f t="shared" si="198"/>
        <v>44366</v>
      </c>
      <c r="AK123" s="1">
        <f t="shared" si="198"/>
        <v>44367</v>
      </c>
      <c r="AL123" s="1">
        <f t="shared" si="198"/>
        <v>44368</v>
      </c>
      <c r="AM123" s="1">
        <f t="shared" si="198"/>
        <v>44369</v>
      </c>
      <c r="AN123" s="1">
        <f t="shared" si="198"/>
        <v>44370</v>
      </c>
      <c r="AO123" s="1">
        <f t="shared" si="198"/>
        <v>44371</v>
      </c>
      <c r="AP123" s="1">
        <f t="shared" si="198"/>
        <v>44372</v>
      </c>
      <c r="AQ123" s="1">
        <f t="shared" si="198"/>
        <v>44373</v>
      </c>
      <c r="AR123" s="1">
        <f t="shared" si="198"/>
        <v>44374</v>
      </c>
      <c r="AS123" s="1">
        <f t="shared" si="198"/>
        <v>44375</v>
      </c>
      <c r="AT123" s="1">
        <f t="shared" si="198"/>
        <v>44376</v>
      </c>
      <c r="AU123" s="1">
        <f t="shared" si="198"/>
        <v>44377</v>
      </c>
      <c r="AV123" s="1">
        <f t="shared" si="198"/>
        <v>44378</v>
      </c>
      <c r="AW123" s="1">
        <f t="shared" si="198"/>
        <v>44379</v>
      </c>
      <c r="AX123" s="1">
        <f t="shared" si="198"/>
        <v>44380</v>
      </c>
      <c r="AY123" s="1">
        <f t="shared" si="198"/>
        <v>44381</v>
      </c>
      <c r="AZ123" s="1">
        <f t="shared" si="198"/>
        <v>44382</v>
      </c>
      <c r="BA123" s="1">
        <f t="shared" si="198"/>
        <v>44383</v>
      </c>
      <c r="BB123" s="1">
        <f t="shared" si="198"/>
        <v>44384</v>
      </c>
      <c r="BC123" s="1">
        <f t="shared" si="198"/>
        <v>44385</v>
      </c>
      <c r="BD123" s="1">
        <f t="shared" si="198"/>
        <v>44386</v>
      </c>
      <c r="BE123" s="1">
        <f t="shared" si="198"/>
        <v>44387</v>
      </c>
      <c r="BF123" s="1">
        <f t="shared" si="198"/>
        <v>44388</v>
      </c>
      <c r="BG123" s="1">
        <f t="shared" si="198"/>
        <v>44389</v>
      </c>
      <c r="BH123" s="1">
        <f t="shared" si="198"/>
        <v>44390</v>
      </c>
      <c r="BI123" s="1">
        <f t="shared" si="198"/>
        <v>44391</v>
      </c>
      <c r="BJ123" s="1">
        <f t="shared" si="198"/>
        <v>44392</v>
      </c>
      <c r="BK123" s="1">
        <f t="shared" si="198"/>
        <v>44393</v>
      </c>
      <c r="BL123" s="1">
        <f t="shared" si="198"/>
        <v>44394</v>
      </c>
      <c r="BM123" s="1">
        <f t="shared" si="198"/>
        <v>44395</v>
      </c>
      <c r="BN123" s="1">
        <f t="shared" si="198"/>
        <v>44396</v>
      </c>
      <c r="BO123" s="1">
        <f t="shared" si="198"/>
        <v>44397</v>
      </c>
      <c r="BP123" s="1">
        <f t="shared" si="198"/>
        <v>44398</v>
      </c>
      <c r="BQ123" s="1">
        <f t="shared" si="198"/>
        <v>44399</v>
      </c>
      <c r="BR123" s="1">
        <f t="shared" si="198"/>
        <v>44400</v>
      </c>
      <c r="BS123" s="1">
        <f t="shared" si="198"/>
        <v>44401</v>
      </c>
      <c r="BT123" s="1">
        <f t="shared" si="198"/>
        <v>44402</v>
      </c>
      <c r="BU123" s="1">
        <f t="shared" si="198"/>
        <v>44403</v>
      </c>
      <c r="BV123" s="1">
        <f t="shared" si="198"/>
        <v>44404</v>
      </c>
      <c r="BW123" s="1">
        <f t="shared" si="198"/>
        <v>44405</v>
      </c>
      <c r="BX123" s="1">
        <f t="shared" si="198"/>
        <v>44406</v>
      </c>
      <c r="BY123" s="1">
        <f t="shared" si="198"/>
        <v>44407</v>
      </c>
      <c r="BZ123" s="1">
        <f t="shared" si="198"/>
        <v>44408</v>
      </c>
    </row>
    <row r="124" spans="1:78" x14ac:dyDescent="0.25">
      <c r="A124">
        <v>48</v>
      </c>
      <c r="B124" t="s">
        <v>30</v>
      </c>
      <c r="C124">
        <f t="shared" ref="C124:M124" si="199">C31*$A124</f>
        <v>186.24</v>
      </c>
      <c r="D124">
        <f t="shared" si="199"/>
        <v>176.64000000000001</v>
      </c>
      <c r="E124">
        <f t="shared" si="199"/>
        <v>189.60000000000002</v>
      </c>
      <c r="F124">
        <f t="shared" si="199"/>
        <v>213.60000000000002</v>
      </c>
      <c r="G124">
        <f t="shared" si="199"/>
        <v>211.68</v>
      </c>
      <c r="H124">
        <f t="shared" si="199"/>
        <v>287.52</v>
      </c>
      <c r="I124">
        <f t="shared" si="199"/>
        <v>282.71999999999997</v>
      </c>
      <c r="J124">
        <f t="shared" si="199"/>
        <v>312.48</v>
      </c>
      <c r="K124">
        <f t="shared" si="199"/>
        <v>313.44</v>
      </c>
      <c r="L124">
        <f t="shared" si="199"/>
        <v>368.64</v>
      </c>
      <c r="M124">
        <f t="shared" si="199"/>
        <v>417.12</v>
      </c>
      <c r="N124">
        <f t="shared" ref="N124" si="200">N31*$A124</f>
        <v>412.32</v>
      </c>
      <c r="O124">
        <f t="shared" ref="O124:AA124" si="201">O31*$A124</f>
        <v>370.56</v>
      </c>
      <c r="P124">
        <f t="shared" si="201"/>
        <v>347.52</v>
      </c>
      <c r="Q124">
        <f t="shared" si="201"/>
        <v>329.28000000000003</v>
      </c>
      <c r="R124">
        <f t="shared" si="201"/>
        <v>371.04</v>
      </c>
      <c r="S124">
        <f t="shared" si="201"/>
        <v>411.84000000000003</v>
      </c>
      <c r="T124">
        <f t="shared" si="201"/>
        <v>434.40000000000003</v>
      </c>
      <c r="U124">
        <f t="shared" si="201"/>
        <v>447.84000000000003</v>
      </c>
      <c r="V124">
        <f t="shared" si="201"/>
        <v>525.59999999999991</v>
      </c>
      <c r="W124">
        <f t="shared" si="201"/>
        <v>458.88</v>
      </c>
      <c r="X124">
        <f t="shared" si="201"/>
        <v>455.04</v>
      </c>
      <c r="Y124">
        <f t="shared" si="201"/>
        <v>459.36</v>
      </c>
      <c r="Z124">
        <f t="shared" si="201"/>
        <v>456.96</v>
      </c>
      <c r="AA124">
        <f t="shared" si="201"/>
        <v>456.48</v>
      </c>
      <c r="AB124">
        <f t="shared" ref="AB124:BZ124" si="202">AB31*$A124</f>
        <v>444</v>
      </c>
      <c r="AC124">
        <f t="shared" si="202"/>
        <v>0</v>
      </c>
      <c r="AD124">
        <f t="shared" si="202"/>
        <v>0</v>
      </c>
      <c r="AE124">
        <f t="shared" si="202"/>
        <v>0</v>
      </c>
      <c r="AF124">
        <f t="shared" si="202"/>
        <v>0</v>
      </c>
      <c r="AG124">
        <f t="shared" si="202"/>
        <v>0</v>
      </c>
      <c r="AH124">
        <f t="shared" si="202"/>
        <v>0</v>
      </c>
      <c r="AI124">
        <f t="shared" si="202"/>
        <v>0</v>
      </c>
      <c r="AJ124">
        <f t="shared" si="202"/>
        <v>0</v>
      </c>
      <c r="AK124">
        <f t="shared" si="202"/>
        <v>0</v>
      </c>
      <c r="AL124">
        <f t="shared" si="202"/>
        <v>0</v>
      </c>
      <c r="AM124">
        <f t="shared" si="202"/>
        <v>0</v>
      </c>
      <c r="AN124">
        <f t="shared" si="202"/>
        <v>0</v>
      </c>
      <c r="AO124">
        <f t="shared" si="202"/>
        <v>0</v>
      </c>
      <c r="AP124">
        <f t="shared" si="202"/>
        <v>0</v>
      </c>
      <c r="AQ124">
        <f t="shared" si="202"/>
        <v>0</v>
      </c>
      <c r="AR124">
        <f t="shared" si="202"/>
        <v>0</v>
      </c>
      <c r="AS124">
        <f t="shared" si="202"/>
        <v>0</v>
      </c>
      <c r="AT124">
        <f t="shared" si="202"/>
        <v>0</v>
      </c>
      <c r="AU124">
        <f t="shared" si="202"/>
        <v>0</v>
      </c>
      <c r="AV124">
        <f t="shared" si="202"/>
        <v>0</v>
      </c>
      <c r="AW124">
        <f t="shared" si="202"/>
        <v>0</v>
      </c>
      <c r="AX124">
        <f t="shared" si="202"/>
        <v>0</v>
      </c>
      <c r="AY124">
        <f t="shared" si="202"/>
        <v>0</v>
      </c>
      <c r="AZ124">
        <f t="shared" si="202"/>
        <v>0</v>
      </c>
      <c r="BA124">
        <f t="shared" si="202"/>
        <v>0</v>
      </c>
      <c r="BB124">
        <f t="shared" si="202"/>
        <v>0</v>
      </c>
      <c r="BC124">
        <f t="shared" si="202"/>
        <v>0</v>
      </c>
      <c r="BD124">
        <f t="shared" si="202"/>
        <v>0</v>
      </c>
      <c r="BE124">
        <f t="shared" si="202"/>
        <v>0</v>
      </c>
      <c r="BF124">
        <f t="shared" si="202"/>
        <v>0</v>
      </c>
      <c r="BG124">
        <f t="shared" si="202"/>
        <v>0</v>
      </c>
      <c r="BH124">
        <f t="shared" si="202"/>
        <v>0</v>
      </c>
      <c r="BI124">
        <f t="shared" si="202"/>
        <v>0</v>
      </c>
      <c r="BJ124">
        <f t="shared" si="202"/>
        <v>0</v>
      </c>
      <c r="BK124">
        <f t="shared" si="202"/>
        <v>0</v>
      </c>
      <c r="BL124">
        <f t="shared" si="202"/>
        <v>0</v>
      </c>
      <c r="BM124">
        <f t="shared" si="202"/>
        <v>0</v>
      </c>
      <c r="BN124">
        <f t="shared" si="202"/>
        <v>0</v>
      </c>
      <c r="BO124">
        <f t="shared" si="202"/>
        <v>0</v>
      </c>
      <c r="BP124">
        <f t="shared" si="202"/>
        <v>0</v>
      </c>
      <c r="BQ124">
        <f t="shared" si="202"/>
        <v>0</v>
      </c>
      <c r="BR124">
        <f t="shared" si="202"/>
        <v>0</v>
      </c>
      <c r="BS124">
        <f t="shared" si="202"/>
        <v>0</v>
      </c>
      <c r="BT124">
        <f t="shared" si="202"/>
        <v>0</v>
      </c>
      <c r="BU124">
        <f t="shared" si="202"/>
        <v>0</v>
      </c>
      <c r="BV124">
        <f t="shared" si="202"/>
        <v>0</v>
      </c>
      <c r="BW124">
        <f t="shared" si="202"/>
        <v>0</v>
      </c>
      <c r="BX124">
        <f t="shared" si="202"/>
        <v>0</v>
      </c>
      <c r="BY124">
        <f t="shared" si="202"/>
        <v>0</v>
      </c>
      <c r="BZ124">
        <f t="shared" si="202"/>
        <v>0</v>
      </c>
    </row>
    <row r="125" spans="1:78" x14ac:dyDescent="0.25">
      <c r="A125">
        <v>10</v>
      </c>
      <c r="B125" t="s">
        <v>123</v>
      </c>
      <c r="C125">
        <f t="shared" ref="C125:M125" si="203">C32*$A125</f>
        <v>34.799999999999997</v>
      </c>
      <c r="D125">
        <f t="shared" si="203"/>
        <v>35.200000000000003</v>
      </c>
      <c r="E125">
        <f t="shared" si="203"/>
        <v>39.300000000000004</v>
      </c>
      <c r="F125">
        <f t="shared" si="203"/>
        <v>42.800000000000004</v>
      </c>
      <c r="G125">
        <f t="shared" si="203"/>
        <v>45</v>
      </c>
      <c r="H125">
        <f t="shared" si="203"/>
        <v>58</v>
      </c>
      <c r="I125">
        <f t="shared" si="203"/>
        <v>57</v>
      </c>
      <c r="J125">
        <f t="shared" si="203"/>
        <v>63</v>
      </c>
      <c r="K125">
        <f t="shared" si="203"/>
        <v>62.599999999999994</v>
      </c>
      <c r="L125">
        <f t="shared" si="203"/>
        <v>73.2</v>
      </c>
      <c r="M125">
        <f t="shared" si="203"/>
        <v>79.900000000000006</v>
      </c>
      <c r="N125">
        <f t="shared" ref="N125" si="204">N32*$A125</f>
        <v>84.399999999999991</v>
      </c>
      <c r="O125">
        <f t="shared" ref="O125:AA125" si="205">O32*$A125</f>
        <v>81.400000000000006</v>
      </c>
      <c r="P125">
        <f t="shared" si="205"/>
        <v>71.900000000000006</v>
      </c>
      <c r="Q125">
        <f t="shared" si="205"/>
        <v>63.7</v>
      </c>
      <c r="R125">
        <f t="shared" si="205"/>
        <v>68.600000000000009</v>
      </c>
      <c r="S125">
        <f t="shared" si="205"/>
        <v>80.5</v>
      </c>
      <c r="T125">
        <f t="shared" si="205"/>
        <v>88.5</v>
      </c>
      <c r="U125">
        <f t="shared" si="205"/>
        <v>90.199999999999989</v>
      </c>
      <c r="V125">
        <f t="shared" si="205"/>
        <v>97.5</v>
      </c>
      <c r="W125">
        <f t="shared" si="205"/>
        <v>98.3</v>
      </c>
      <c r="X125">
        <f t="shared" si="205"/>
        <v>88.100000000000009</v>
      </c>
      <c r="Y125">
        <f t="shared" si="205"/>
        <v>90.3</v>
      </c>
      <c r="Z125">
        <f t="shared" si="205"/>
        <v>92.8</v>
      </c>
      <c r="AA125">
        <f t="shared" si="205"/>
        <v>91.300000000000011</v>
      </c>
      <c r="AB125">
        <f t="shared" ref="AB125:BZ125" si="206">AB32*$A125</f>
        <v>92.300000000000011</v>
      </c>
      <c r="AC125">
        <f t="shared" si="206"/>
        <v>0</v>
      </c>
      <c r="AD125">
        <f t="shared" si="206"/>
        <v>0</v>
      </c>
      <c r="AE125">
        <f t="shared" si="206"/>
        <v>0</v>
      </c>
      <c r="AF125">
        <f t="shared" si="206"/>
        <v>0</v>
      </c>
      <c r="AG125">
        <f t="shared" si="206"/>
        <v>0</v>
      </c>
      <c r="AH125">
        <f t="shared" si="206"/>
        <v>0</v>
      </c>
      <c r="AI125">
        <f t="shared" si="206"/>
        <v>0</v>
      </c>
      <c r="AJ125">
        <f t="shared" si="206"/>
        <v>0</v>
      </c>
      <c r="AK125">
        <f t="shared" si="206"/>
        <v>0</v>
      </c>
      <c r="AL125">
        <f t="shared" si="206"/>
        <v>0</v>
      </c>
      <c r="AM125">
        <f t="shared" si="206"/>
        <v>0</v>
      </c>
      <c r="AN125">
        <f t="shared" si="206"/>
        <v>0</v>
      </c>
      <c r="AO125">
        <f t="shared" si="206"/>
        <v>0</v>
      </c>
      <c r="AP125">
        <f t="shared" si="206"/>
        <v>0</v>
      </c>
      <c r="AQ125">
        <f t="shared" si="206"/>
        <v>0</v>
      </c>
      <c r="AR125">
        <f t="shared" si="206"/>
        <v>0</v>
      </c>
      <c r="AS125">
        <f t="shared" si="206"/>
        <v>0</v>
      </c>
      <c r="AT125">
        <f t="shared" si="206"/>
        <v>0</v>
      </c>
      <c r="AU125">
        <f t="shared" si="206"/>
        <v>0</v>
      </c>
      <c r="AV125">
        <f t="shared" si="206"/>
        <v>0</v>
      </c>
      <c r="AW125">
        <f t="shared" si="206"/>
        <v>0</v>
      </c>
      <c r="AX125">
        <f t="shared" si="206"/>
        <v>0</v>
      </c>
      <c r="AY125">
        <f t="shared" si="206"/>
        <v>0</v>
      </c>
      <c r="AZ125">
        <f t="shared" si="206"/>
        <v>0</v>
      </c>
      <c r="BA125">
        <f t="shared" si="206"/>
        <v>0</v>
      </c>
      <c r="BB125">
        <f t="shared" si="206"/>
        <v>0</v>
      </c>
      <c r="BC125">
        <f t="shared" si="206"/>
        <v>0</v>
      </c>
      <c r="BD125">
        <f t="shared" si="206"/>
        <v>0</v>
      </c>
      <c r="BE125">
        <f t="shared" si="206"/>
        <v>0</v>
      </c>
      <c r="BF125">
        <f t="shared" si="206"/>
        <v>0</v>
      </c>
      <c r="BG125">
        <f t="shared" si="206"/>
        <v>0</v>
      </c>
      <c r="BH125">
        <f t="shared" si="206"/>
        <v>0</v>
      </c>
      <c r="BI125">
        <f t="shared" si="206"/>
        <v>0</v>
      </c>
      <c r="BJ125">
        <f t="shared" si="206"/>
        <v>0</v>
      </c>
      <c r="BK125">
        <f t="shared" si="206"/>
        <v>0</v>
      </c>
      <c r="BL125">
        <f t="shared" si="206"/>
        <v>0</v>
      </c>
      <c r="BM125">
        <f t="shared" si="206"/>
        <v>0</v>
      </c>
      <c r="BN125">
        <f t="shared" si="206"/>
        <v>0</v>
      </c>
      <c r="BO125">
        <f t="shared" si="206"/>
        <v>0</v>
      </c>
      <c r="BP125">
        <f t="shared" si="206"/>
        <v>0</v>
      </c>
      <c r="BQ125">
        <f t="shared" si="206"/>
        <v>0</v>
      </c>
      <c r="BR125">
        <f t="shared" si="206"/>
        <v>0</v>
      </c>
      <c r="BS125">
        <f t="shared" si="206"/>
        <v>0</v>
      </c>
      <c r="BT125">
        <f t="shared" si="206"/>
        <v>0</v>
      </c>
      <c r="BU125">
        <f t="shared" si="206"/>
        <v>0</v>
      </c>
      <c r="BV125">
        <f t="shared" si="206"/>
        <v>0</v>
      </c>
      <c r="BW125">
        <f t="shared" si="206"/>
        <v>0</v>
      </c>
      <c r="BX125">
        <f t="shared" si="206"/>
        <v>0</v>
      </c>
      <c r="BY125">
        <f t="shared" si="206"/>
        <v>0</v>
      </c>
      <c r="BZ125">
        <f t="shared" si="206"/>
        <v>0</v>
      </c>
    </row>
    <row r="126" spans="1:78" x14ac:dyDescent="0.25">
      <c r="A126">
        <v>6</v>
      </c>
      <c r="B126" t="s">
        <v>124</v>
      </c>
      <c r="C126">
        <f t="shared" ref="C126:M126" si="207">C33*$A126</f>
        <v>21.299999999999997</v>
      </c>
      <c r="D126">
        <f t="shared" si="207"/>
        <v>20.64</v>
      </c>
      <c r="E126">
        <f t="shared" si="207"/>
        <v>23.759999999999998</v>
      </c>
      <c r="F126">
        <f t="shared" si="207"/>
        <v>26.58</v>
      </c>
      <c r="G126">
        <f t="shared" si="207"/>
        <v>27.06</v>
      </c>
      <c r="H126">
        <f t="shared" si="207"/>
        <v>40.26</v>
      </c>
      <c r="I126">
        <f t="shared" si="207"/>
        <v>43.32</v>
      </c>
      <c r="J126">
        <f t="shared" si="207"/>
        <v>36.42</v>
      </c>
      <c r="K126">
        <f t="shared" si="207"/>
        <v>39.480000000000004</v>
      </c>
      <c r="L126">
        <f t="shared" si="207"/>
        <v>44.94</v>
      </c>
      <c r="M126">
        <f t="shared" si="207"/>
        <v>48.78</v>
      </c>
      <c r="N126">
        <f t="shared" ref="N126" si="208">N33*$A126</f>
        <v>51.06</v>
      </c>
      <c r="O126">
        <f t="shared" ref="O126:AA126" si="209">O33*$A126</f>
        <v>47.22</v>
      </c>
      <c r="P126">
        <f t="shared" si="209"/>
        <v>45.36</v>
      </c>
      <c r="Q126">
        <f t="shared" si="209"/>
        <v>41.64</v>
      </c>
      <c r="R126">
        <f t="shared" si="209"/>
        <v>42.24</v>
      </c>
      <c r="S126">
        <f t="shared" si="209"/>
        <v>47.400000000000006</v>
      </c>
      <c r="T126">
        <f t="shared" si="209"/>
        <v>58.14</v>
      </c>
      <c r="U126">
        <f t="shared" si="209"/>
        <v>58.320000000000007</v>
      </c>
      <c r="V126">
        <f t="shared" si="209"/>
        <v>66.599999999999994</v>
      </c>
      <c r="W126">
        <f t="shared" si="209"/>
        <v>57.239999999999995</v>
      </c>
      <c r="X126">
        <f t="shared" si="209"/>
        <v>55.679999999999993</v>
      </c>
      <c r="Y126">
        <f t="shared" si="209"/>
        <v>54.66</v>
      </c>
      <c r="Z126">
        <f t="shared" si="209"/>
        <v>56.64</v>
      </c>
      <c r="AA126">
        <f t="shared" si="209"/>
        <v>57.300000000000004</v>
      </c>
      <c r="AB126">
        <f t="shared" ref="AB126:BZ126" si="210">AB33*$A126</f>
        <v>57.42</v>
      </c>
      <c r="AC126">
        <f t="shared" si="210"/>
        <v>0</v>
      </c>
      <c r="AD126">
        <f t="shared" si="210"/>
        <v>0</v>
      </c>
      <c r="AE126">
        <f t="shared" si="210"/>
        <v>0</v>
      </c>
      <c r="AF126">
        <f t="shared" si="210"/>
        <v>0</v>
      </c>
      <c r="AG126">
        <f t="shared" si="210"/>
        <v>0</v>
      </c>
      <c r="AH126">
        <f t="shared" si="210"/>
        <v>0</v>
      </c>
      <c r="AI126">
        <f t="shared" si="210"/>
        <v>0</v>
      </c>
      <c r="AJ126">
        <f t="shared" si="210"/>
        <v>0</v>
      </c>
      <c r="AK126">
        <f t="shared" si="210"/>
        <v>0</v>
      </c>
      <c r="AL126">
        <f t="shared" si="210"/>
        <v>0</v>
      </c>
      <c r="AM126">
        <f t="shared" si="210"/>
        <v>0</v>
      </c>
      <c r="AN126">
        <f t="shared" si="210"/>
        <v>0</v>
      </c>
      <c r="AO126">
        <f t="shared" si="210"/>
        <v>0</v>
      </c>
      <c r="AP126">
        <f t="shared" si="210"/>
        <v>0</v>
      </c>
      <c r="AQ126">
        <f t="shared" si="210"/>
        <v>0</v>
      </c>
      <c r="AR126">
        <f t="shared" si="210"/>
        <v>0</v>
      </c>
      <c r="AS126">
        <f t="shared" si="210"/>
        <v>0</v>
      </c>
      <c r="AT126">
        <f t="shared" si="210"/>
        <v>0</v>
      </c>
      <c r="AU126">
        <f t="shared" si="210"/>
        <v>0</v>
      </c>
      <c r="AV126">
        <f t="shared" si="210"/>
        <v>0</v>
      </c>
      <c r="AW126">
        <f t="shared" si="210"/>
        <v>0</v>
      </c>
      <c r="AX126">
        <f t="shared" si="210"/>
        <v>0</v>
      </c>
      <c r="AY126">
        <f t="shared" si="210"/>
        <v>0</v>
      </c>
      <c r="AZ126">
        <f t="shared" si="210"/>
        <v>0</v>
      </c>
      <c r="BA126">
        <f t="shared" si="210"/>
        <v>0</v>
      </c>
      <c r="BB126">
        <f t="shared" si="210"/>
        <v>0</v>
      </c>
      <c r="BC126">
        <f t="shared" si="210"/>
        <v>0</v>
      </c>
      <c r="BD126">
        <f t="shared" si="210"/>
        <v>0</v>
      </c>
      <c r="BE126">
        <f t="shared" si="210"/>
        <v>0</v>
      </c>
      <c r="BF126">
        <f t="shared" si="210"/>
        <v>0</v>
      </c>
      <c r="BG126">
        <f t="shared" si="210"/>
        <v>0</v>
      </c>
      <c r="BH126">
        <f t="shared" si="210"/>
        <v>0</v>
      </c>
      <c r="BI126">
        <f t="shared" si="210"/>
        <v>0</v>
      </c>
      <c r="BJ126">
        <f t="shared" si="210"/>
        <v>0</v>
      </c>
      <c r="BK126">
        <f t="shared" si="210"/>
        <v>0</v>
      </c>
      <c r="BL126">
        <f t="shared" si="210"/>
        <v>0</v>
      </c>
      <c r="BM126">
        <f t="shared" si="210"/>
        <v>0</v>
      </c>
      <c r="BN126">
        <f t="shared" si="210"/>
        <v>0</v>
      </c>
      <c r="BO126">
        <f t="shared" si="210"/>
        <v>0</v>
      </c>
      <c r="BP126">
        <f t="shared" si="210"/>
        <v>0</v>
      </c>
      <c r="BQ126">
        <f t="shared" si="210"/>
        <v>0</v>
      </c>
      <c r="BR126">
        <f t="shared" si="210"/>
        <v>0</v>
      </c>
      <c r="BS126">
        <f t="shared" si="210"/>
        <v>0</v>
      </c>
      <c r="BT126">
        <f t="shared" si="210"/>
        <v>0</v>
      </c>
      <c r="BU126">
        <f t="shared" si="210"/>
        <v>0</v>
      </c>
      <c r="BV126">
        <f t="shared" si="210"/>
        <v>0</v>
      </c>
      <c r="BW126">
        <f t="shared" si="210"/>
        <v>0</v>
      </c>
      <c r="BX126">
        <f t="shared" si="210"/>
        <v>0</v>
      </c>
      <c r="BY126">
        <f t="shared" si="210"/>
        <v>0</v>
      </c>
      <c r="BZ126">
        <f t="shared" si="210"/>
        <v>0</v>
      </c>
    </row>
    <row r="127" spans="1:78" x14ac:dyDescent="0.25">
      <c r="A127">
        <v>10</v>
      </c>
      <c r="B127" t="s">
        <v>125</v>
      </c>
      <c r="C127">
        <f t="shared" ref="C127:M127" si="211">C34*$A127</f>
        <v>41.4</v>
      </c>
      <c r="D127">
        <f t="shared" si="211"/>
        <v>39</v>
      </c>
      <c r="E127">
        <f t="shared" si="211"/>
        <v>39</v>
      </c>
      <c r="F127">
        <f t="shared" si="211"/>
        <v>47.199999999999996</v>
      </c>
      <c r="G127">
        <f t="shared" si="211"/>
        <v>51</v>
      </c>
      <c r="H127">
        <f t="shared" si="211"/>
        <v>59</v>
      </c>
      <c r="I127">
        <f t="shared" si="211"/>
        <v>65.599999999999994</v>
      </c>
      <c r="J127">
        <f t="shared" si="211"/>
        <v>71.3</v>
      </c>
      <c r="K127">
        <f t="shared" si="211"/>
        <v>71.900000000000006</v>
      </c>
      <c r="L127">
        <f t="shared" si="211"/>
        <v>79.599999999999994</v>
      </c>
      <c r="M127">
        <f t="shared" si="211"/>
        <v>85.399999999999991</v>
      </c>
      <c r="N127">
        <f t="shared" ref="N127" si="212">N34*$A127</f>
        <v>83.2</v>
      </c>
      <c r="O127">
        <f t="shared" ref="O127:AA127" si="213">O34*$A127</f>
        <v>82</v>
      </c>
      <c r="P127">
        <f t="shared" si="213"/>
        <v>76</v>
      </c>
      <c r="Q127">
        <f t="shared" si="213"/>
        <v>75.5</v>
      </c>
      <c r="R127">
        <f t="shared" si="213"/>
        <v>78.5</v>
      </c>
      <c r="S127">
        <f t="shared" si="213"/>
        <v>87.8</v>
      </c>
      <c r="T127">
        <f t="shared" si="213"/>
        <v>90.600000000000009</v>
      </c>
      <c r="U127">
        <f t="shared" si="213"/>
        <v>100.8</v>
      </c>
      <c r="V127">
        <f t="shared" si="213"/>
        <v>108.4</v>
      </c>
      <c r="W127">
        <f t="shared" si="213"/>
        <v>104</v>
      </c>
      <c r="X127">
        <f t="shared" si="213"/>
        <v>96.199999999999989</v>
      </c>
      <c r="Y127">
        <f t="shared" si="213"/>
        <v>101.8</v>
      </c>
      <c r="Z127">
        <f t="shared" si="213"/>
        <v>100.39999999999999</v>
      </c>
      <c r="AA127">
        <f t="shared" si="213"/>
        <v>100.39999999999999</v>
      </c>
      <c r="AB127">
        <f t="shared" ref="AB127:BZ127" si="214">AB34*$A127</f>
        <v>98.2</v>
      </c>
      <c r="AC127">
        <f t="shared" si="214"/>
        <v>0</v>
      </c>
      <c r="AD127">
        <f t="shared" si="214"/>
        <v>0</v>
      </c>
      <c r="AE127">
        <f t="shared" si="214"/>
        <v>0</v>
      </c>
      <c r="AF127">
        <f t="shared" si="214"/>
        <v>0</v>
      </c>
      <c r="AG127">
        <f t="shared" si="214"/>
        <v>0</v>
      </c>
      <c r="AH127">
        <f t="shared" si="214"/>
        <v>0</v>
      </c>
      <c r="AI127">
        <f t="shared" si="214"/>
        <v>0</v>
      </c>
      <c r="AJ127">
        <f t="shared" si="214"/>
        <v>0</v>
      </c>
      <c r="AK127">
        <f t="shared" si="214"/>
        <v>0</v>
      </c>
      <c r="AL127">
        <f t="shared" si="214"/>
        <v>0</v>
      </c>
      <c r="AM127">
        <f t="shared" si="214"/>
        <v>0</v>
      </c>
      <c r="AN127">
        <f t="shared" si="214"/>
        <v>0</v>
      </c>
      <c r="AO127">
        <f t="shared" si="214"/>
        <v>0</v>
      </c>
      <c r="AP127">
        <f t="shared" si="214"/>
        <v>0</v>
      </c>
      <c r="AQ127">
        <f t="shared" si="214"/>
        <v>0</v>
      </c>
      <c r="AR127">
        <f t="shared" si="214"/>
        <v>0</v>
      </c>
      <c r="AS127">
        <f t="shared" si="214"/>
        <v>0</v>
      </c>
      <c r="AT127">
        <f t="shared" si="214"/>
        <v>0</v>
      </c>
      <c r="AU127">
        <f t="shared" si="214"/>
        <v>0</v>
      </c>
      <c r="AV127">
        <f t="shared" si="214"/>
        <v>0</v>
      </c>
      <c r="AW127">
        <f t="shared" si="214"/>
        <v>0</v>
      </c>
      <c r="AX127">
        <f t="shared" si="214"/>
        <v>0</v>
      </c>
      <c r="AY127">
        <f t="shared" si="214"/>
        <v>0</v>
      </c>
      <c r="AZ127">
        <f t="shared" si="214"/>
        <v>0</v>
      </c>
      <c r="BA127">
        <f t="shared" si="214"/>
        <v>0</v>
      </c>
      <c r="BB127">
        <f t="shared" si="214"/>
        <v>0</v>
      </c>
      <c r="BC127">
        <f t="shared" si="214"/>
        <v>0</v>
      </c>
      <c r="BD127">
        <f t="shared" si="214"/>
        <v>0</v>
      </c>
      <c r="BE127">
        <f t="shared" si="214"/>
        <v>0</v>
      </c>
      <c r="BF127">
        <f t="shared" si="214"/>
        <v>0</v>
      </c>
      <c r="BG127">
        <f t="shared" si="214"/>
        <v>0</v>
      </c>
      <c r="BH127">
        <f t="shared" si="214"/>
        <v>0</v>
      </c>
      <c r="BI127">
        <f t="shared" si="214"/>
        <v>0</v>
      </c>
      <c r="BJ127">
        <f t="shared" si="214"/>
        <v>0</v>
      </c>
      <c r="BK127">
        <f t="shared" si="214"/>
        <v>0</v>
      </c>
      <c r="BL127">
        <f t="shared" si="214"/>
        <v>0</v>
      </c>
      <c r="BM127">
        <f t="shared" si="214"/>
        <v>0</v>
      </c>
      <c r="BN127">
        <f t="shared" si="214"/>
        <v>0</v>
      </c>
      <c r="BO127">
        <f t="shared" si="214"/>
        <v>0</v>
      </c>
      <c r="BP127">
        <f t="shared" si="214"/>
        <v>0</v>
      </c>
      <c r="BQ127">
        <f t="shared" si="214"/>
        <v>0</v>
      </c>
      <c r="BR127">
        <f t="shared" si="214"/>
        <v>0</v>
      </c>
      <c r="BS127">
        <f t="shared" si="214"/>
        <v>0</v>
      </c>
      <c r="BT127">
        <f t="shared" si="214"/>
        <v>0</v>
      </c>
      <c r="BU127">
        <f t="shared" si="214"/>
        <v>0</v>
      </c>
      <c r="BV127">
        <f t="shared" si="214"/>
        <v>0</v>
      </c>
      <c r="BW127">
        <f t="shared" si="214"/>
        <v>0</v>
      </c>
      <c r="BX127">
        <f t="shared" si="214"/>
        <v>0</v>
      </c>
      <c r="BY127">
        <f t="shared" si="214"/>
        <v>0</v>
      </c>
      <c r="BZ127">
        <f t="shared" si="214"/>
        <v>0</v>
      </c>
    </row>
    <row r="128" spans="1:78" x14ac:dyDescent="0.25">
      <c r="A128">
        <v>10</v>
      </c>
      <c r="B128" t="s">
        <v>126</v>
      </c>
      <c r="C128">
        <f t="shared" ref="C128:M128" si="215">C35*$A128</f>
        <v>35.699999999999996</v>
      </c>
      <c r="D128">
        <f t="shared" si="215"/>
        <v>35.6</v>
      </c>
      <c r="E128">
        <f t="shared" si="215"/>
        <v>38.4</v>
      </c>
      <c r="F128">
        <f t="shared" si="215"/>
        <v>42.9</v>
      </c>
      <c r="G128">
        <f t="shared" si="215"/>
        <v>44</v>
      </c>
      <c r="H128">
        <f t="shared" si="215"/>
        <v>56.7</v>
      </c>
      <c r="I128">
        <f t="shared" si="215"/>
        <v>58.7</v>
      </c>
      <c r="J128">
        <f t="shared" si="215"/>
        <v>63</v>
      </c>
      <c r="K128">
        <f t="shared" si="215"/>
        <v>62.300000000000004</v>
      </c>
      <c r="L128">
        <f t="shared" si="215"/>
        <v>74.2</v>
      </c>
      <c r="M128">
        <f t="shared" si="215"/>
        <v>78.600000000000009</v>
      </c>
      <c r="N128">
        <f t="shared" ref="N128" si="216">N35*$A128</f>
        <v>82.100000000000009</v>
      </c>
      <c r="O128">
        <f t="shared" ref="O128:AA128" si="217">O35*$A128</f>
        <v>80.5</v>
      </c>
      <c r="P128">
        <f t="shared" si="217"/>
        <v>79.599999999999994</v>
      </c>
      <c r="Q128">
        <f t="shared" si="217"/>
        <v>72.400000000000006</v>
      </c>
      <c r="R128">
        <f t="shared" si="217"/>
        <v>69.3</v>
      </c>
      <c r="S128">
        <f t="shared" si="217"/>
        <v>79.7</v>
      </c>
      <c r="T128">
        <f t="shared" si="217"/>
        <v>88.9</v>
      </c>
      <c r="U128">
        <f t="shared" si="217"/>
        <v>96.899999999999991</v>
      </c>
      <c r="V128">
        <f t="shared" si="217"/>
        <v>114.60000000000001</v>
      </c>
      <c r="W128">
        <f t="shared" si="217"/>
        <v>96.899999999999991</v>
      </c>
      <c r="X128">
        <f t="shared" si="217"/>
        <v>93.3</v>
      </c>
      <c r="Y128">
        <f t="shared" si="217"/>
        <v>92.8</v>
      </c>
      <c r="Z128">
        <f t="shared" si="217"/>
        <v>93.4</v>
      </c>
      <c r="AA128">
        <f t="shared" si="217"/>
        <v>92.6</v>
      </c>
      <c r="AB128">
        <f t="shared" ref="AB128:BZ128" si="218">AB35*$A128</f>
        <v>91.5</v>
      </c>
      <c r="AC128">
        <f t="shared" si="218"/>
        <v>0</v>
      </c>
      <c r="AD128">
        <f t="shared" si="218"/>
        <v>0</v>
      </c>
      <c r="AE128">
        <f t="shared" si="218"/>
        <v>0</v>
      </c>
      <c r="AF128">
        <f t="shared" si="218"/>
        <v>0</v>
      </c>
      <c r="AG128">
        <f t="shared" si="218"/>
        <v>0</v>
      </c>
      <c r="AH128">
        <f t="shared" si="218"/>
        <v>0</v>
      </c>
      <c r="AI128">
        <f t="shared" si="218"/>
        <v>0</v>
      </c>
      <c r="AJ128">
        <f t="shared" si="218"/>
        <v>0</v>
      </c>
      <c r="AK128">
        <f t="shared" si="218"/>
        <v>0</v>
      </c>
      <c r="AL128">
        <f t="shared" si="218"/>
        <v>0</v>
      </c>
      <c r="AM128">
        <f t="shared" si="218"/>
        <v>0</v>
      </c>
      <c r="AN128">
        <f t="shared" si="218"/>
        <v>0</v>
      </c>
      <c r="AO128">
        <f t="shared" si="218"/>
        <v>0</v>
      </c>
      <c r="AP128">
        <f t="shared" si="218"/>
        <v>0</v>
      </c>
      <c r="AQ128">
        <f t="shared" si="218"/>
        <v>0</v>
      </c>
      <c r="AR128">
        <f t="shared" si="218"/>
        <v>0</v>
      </c>
      <c r="AS128">
        <f t="shared" si="218"/>
        <v>0</v>
      </c>
      <c r="AT128">
        <f t="shared" si="218"/>
        <v>0</v>
      </c>
      <c r="AU128">
        <f t="shared" si="218"/>
        <v>0</v>
      </c>
      <c r="AV128">
        <f t="shared" si="218"/>
        <v>0</v>
      </c>
      <c r="AW128">
        <f t="shared" si="218"/>
        <v>0</v>
      </c>
      <c r="AX128">
        <f t="shared" si="218"/>
        <v>0</v>
      </c>
      <c r="AY128">
        <f t="shared" si="218"/>
        <v>0</v>
      </c>
      <c r="AZ128">
        <f t="shared" si="218"/>
        <v>0</v>
      </c>
      <c r="BA128">
        <f t="shared" si="218"/>
        <v>0</v>
      </c>
      <c r="BB128">
        <f t="shared" si="218"/>
        <v>0</v>
      </c>
      <c r="BC128">
        <f t="shared" si="218"/>
        <v>0</v>
      </c>
      <c r="BD128">
        <f t="shared" si="218"/>
        <v>0</v>
      </c>
      <c r="BE128">
        <f t="shared" si="218"/>
        <v>0</v>
      </c>
      <c r="BF128">
        <f t="shared" si="218"/>
        <v>0</v>
      </c>
      <c r="BG128">
        <f t="shared" si="218"/>
        <v>0</v>
      </c>
      <c r="BH128">
        <f t="shared" si="218"/>
        <v>0</v>
      </c>
      <c r="BI128">
        <f t="shared" si="218"/>
        <v>0</v>
      </c>
      <c r="BJ128">
        <f t="shared" si="218"/>
        <v>0</v>
      </c>
      <c r="BK128">
        <f t="shared" si="218"/>
        <v>0</v>
      </c>
      <c r="BL128">
        <f t="shared" si="218"/>
        <v>0</v>
      </c>
      <c r="BM128">
        <f t="shared" si="218"/>
        <v>0</v>
      </c>
      <c r="BN128">
        <f t="shared" si="218"/>
        <v>0</v>
      </c>
      <c r="BO128">
        <f t="shared" si="218"/>
        <v>0</v>
      </c>
      <c r="BP128">
        <f t="shared" si="218"/>
        <v>0</v>
      </c>
      <c r="BQ128">
        <f t="shared" si="218"/>
        <v>0</v>
      </c>
      <c r="BR128">
        <f t="shared" si="218"/>
        <v>0</v>
      </c>
      <c r="BS128">
        <f t="shared" si="218"/>
        <v>0</v>
      </c>
      <c r="BT128">
        <f t="shared" si="218"/>
        <v>0</v>
      </c>
      <c r="BU128">
        <f t="shared" si="218"/>
        <v>0</v>
      </c>
      <c r="BV128">
        <f t="shared" si="218"/>
        <v>0</v>
      </c>
      <c r="BW128">
        <f t="shared" si="218"/>
        <v>0</v>
      </c>
      <c r="BX128">
        <f t="shared" si="218"/>
        <v>0</v>
      </c>
      <c r="BY128">
        <f t="shared" si="218"/>
        <v>0</v>
      </c>
      <c r="BZ128">
        <f t="shared" si="218"/>
        <v>0</v>
      </c>
    </row>
    <row r="129" spans="1:78" x14ac:dyDescent="0.25">
      <c r="A129">
        <v>7</v>
      </c>
      <c r="B129" t="s">
        <v>127</v>
      </c>
      <c r="C129">
        <f t="shared" ref="C129:M129" si="219">C36*$A129</f>
        <v>24.43</v>
      </c>
      <c r="D129">
        <f t="shared" si="219"/>
        <v>26.32</v>
      </c>
      <c r="E129">
        <f t="shared" si="219"/>
        <v>28.21</v>
      </c>
      <c r="F129">
        <f t="shared" si="219"/>
        <v>30.87</v>
      </c>
      <c r="G129">
        <f t="shared" si="219"/>
        <v>33.32</v>
      </c>
      <c r="H129">
        <f t="shared" si="219"/>
        <v>42.84</v>
      </c>
      <c r="I129">
        <f t="shared" si="219"/>
        <v>46.06</v>
      </c>
      <c r="J129">
        <f t="shared" si="219"/>
        <v>46.06</v>
      </c>
      <c r="K129">
        <f t="shared" si="219"/>
        <v>45.99</v>
      </c>
      <c r="L129">
        <f t="shared" si="219"/>
        <v>53.830000000000005</v>
      </c>
      <c r="M129">
        <f t="shared" si="219"/>
        <v>59.709999999999994</v>
      </c>
      <c r="N129">
        <f t="shared" ref="N129" si="220">N36*$A129</f>
        <v>59.220000000000006</v>
      </c>
      <c r="O129">
        <f t="shared" ref="O129:AA129" si="221">O36*$A129</f>
        <v>59.36</v>
      </c>
      <c r="P129">
        <f t="shared" si="221"/>
        <v>55.79</v>
      </c>
      <c r="Q129">
        <f t="shared" si="221"/>
        <v>55.300000000000004</v>
      </c>
      <c r="R129">
        <f t="shared" si="221"/>
        <v>55.23</v>
      </c>
      <c r="S129">
        <f t="shared" si="221"/>
        <v>60.129999999999995</v>
      </c>
      <c r="T129">
        <f t="shared" si="221"/>
        <v>65.589999999999989</v>
      </c>
      <c r="U129">
        <f t="shared" si="221"/>
        <v>77.56</v>
      </c>
      <c r="V129">
        <f t="shared" si="221"/>
        <v>76.58</v>
      </c>
      <c r="W129">
        <f t="shared" si="221"/>
        <v>69.37</v>
      </c>
      <c r="X129">
        <f t="shared" si="221"/>
        <v>65.73</v>
      </c>
      <c r="Y129">
        <f t="shared" si="221"/>
        <v>67.97</v>
      </c>
      <c r="Z129">
        <f t="shared" si="221"/>
        <v>65.660000000000011</v>
      </c>
      <c r="AA129">
        <f t="shared" si="221"/>
        <v>68.88</v>
      </c>
      <c r="AB129">
        <f t="shared" ref="AB129:BZ129" si="222">AB36*$A129</f>
        <v>68.740000000000009</v>
      </c>
      <c r="AC129">
        <f t="shared" si="222"/>
        <v>0</v>
      </c>
      <c r="AD129">
        <f t="shared" si="222"/>
        <v>0</v>
      </c>
      <c r="AE129">
        <f t="shared" si="222"/>
        <v>0</v>
      </c>
      <c r="AF129">
        <f t="shared" si="222"/>
        <v>0</v>
      </c>
      <c r="AG129">
        <f t="shared" si="222"/>
        <v>0</v>
      </c>
      <c r="AH129">
        <f t="shared" si="222"/>
        <v>0</v>
      </c>
      <c r="AI129">
        <f t="shared" si="222"/>
        <v>0</v>
      </c>
      <c r="AJ129">
        <f t="shared" si="222"/>
        <v>0</v>
      </c>
      <c r="AK129">
        <f t="shared" si="222"/>
        <v>0</v>
      </c>
      <c r="AL129">
        <f t="shared" si="222"/>
        <v>0</v>
      </c>
      <c r="AM129">
        <f t="shared" si="222"/>
        <v>0</v>
      </c>
      <c r="AN129">
        <f t="shared" si="222"/>
        <v>0</v>
      </c>
      <c r="AO129">
        <f t="shared" si="222"/>
        <v>0</v>
      </c>
      <c r="AP129">
        <f t="shared" si="222"/>
        <v>0</v>
      </c>
      <c r="AQ129">
        <f t="shared" si="222"/>
        <v>0</v>
      </c>
      <c r="AR129">
        <f t="shared" si="222"/>
        <v>0</v>
      </c>
      <c r="AS129">
        <f t="shared" si="222"/>
        <v>0</v>
      </c>
      <c r="AT129">
        <f t="shared" si="222"/>
        <v>0</v>
      </c>
      <c r="AU129">
        <f t="shared" si="222"/>
        <v>0</v>
      </c>
      <c r="AV129">
        <f t="shared" si="222"/>
        <v>0</v>
      </c>
      <c r="AW129">
        <f t="shared" si="222"/>
        <v>0</v>
      </c>
      <c r="AX129">
        <f t="shared" si="222"/>
        <v>0</v>
      </c>
      <c r="AY129">
        <f t="shared" si="222"/>
        <v>0</v>
      </c>
      <c r="AZ129">
        <f t="shared" si="222"/>
        <v>0</v>
      </c>
      <c r="BA129">
        <f t="shared" si="222"/>
        <v>0</v>
      </c>
      <c r="BB129">
        <f t="shared" si="222"/>
        <v>0</v>
      </c>
      <c r="BC129">
        <f t="shared" si="222"/>
        <v>0</v>
      </c>
      <c r="BD129">
        <f t="shared" si="222"/>
        <v>0</v>
      </c>
      <c r="BE129">
        <f t="shared" si="222"/>
        <v>0</v>
      </c>
      <c r="BF129">
        <f t="shared" si="222"/>
        <v>0</v>
      </c>
      <c r="BG129">
        <f t="shared" si="222"/>
        <v>0</v>
      </c>
      <c r="BH129">
        <f t="shared" si="222"/>
        <v>0</v>
      </c>
      <c r="BI129">
        <f t="shared" si="222"/>
        <v>0</v>
      </c>
      <c r="BJ129">
        <f t="shared" si="222"/>
        <v>0</v>
      </c>
      <c r="BK129">
        <f t="shared" si="222"/>
        <v>0</v>
      </c>
      <c r="BL129">
        <f t="shared" si="222"/>
        <v>0</v>
      </c>
      <c r="BM129">
        <f t="shared" si="222"/>
        <v>0</v>
      </c>
      <c r="BN129">
        <f t="shared" si="222"/>
        <v>0</v>
      </c>
      <c r="BO129">
        <f t="shared" si="222"/>
        <v>0</v>
      </c>
      <c r="BP129">
        <f t="shared" si="222"/>
        <v>0</v>
      </c>
      <c r="BQ129">
        <f t="shared" si="222"/>
        <v>0</v>
      </c>
      <c r="BR129">
        <f t="shared" si="222"/>
        <v>0</v>
      </c>
      <c r="BS129">
        <f t="shared" si="222"/>
        <v>0</v>
      </c>
      <c r="BT129">
        <f t="shared" si="222"/>
        <v>0</v>
      </c>
      <c r="BU129">
        <f t="shared" si="222"/>
        <v>0</v>
      </c>
      <c r="BV129">
        <f t="shared" si="222"/>
        <v>0</v>
      </c>
      <c r="BW129">
        <f t="shared" si="222"/>
        <v>0</v>
      </c>
      <c r="BX129">
        <f t="shared" si="222"/>
        <v>0</v>
      </c>
      <c r="BY129">
        <f t="shared" si="222"/>
        <v>0</v>
      </c>
      <c r="BZ129">
        <f t="shared" si="222"/>
        <v>0</v>
      </c>
    </row>
    <row r="130" spans="1:78" x14ac:dyDescent="0.25">
      <c r="A130">
        <v>5</v>
      </c>
      <c r="B130" t="s">
        <v>128</v>
      </c>
      <c r="C130">
        <f t="shared" ref="C130:M130" si="223">C37*$A130</f>
        <v>17.5</v>
      </c>
      <c r="D130">
        <f t="shared" si="223"/>
        <v>18.5</v>
      </c>
      <c r="E130">
        <f t="shared" si="223"/>
        <v>19.5</v>
      </c>
      <c r="F130">
        <f t="shared" si="223"/>
        <v>21</v>
      </c>
      <c r="G130">
        <f t="shared" si="223"/>
        <v>22.5</v>
      </c>
      <c r="H130">
        <f t="shared" si="223"/>
        <v>33</v>
      </c>
      <c r="I130">
        <f t="shared" si="223"/>
        <v>32.049999999999997</v>
      </c>
      <c r="J130">
        <f t="shared" si="223"/>
        <v>32.049999999999997</v>
      </c>
      <c r="K130">
        <f t="shared" si="223"/>
        <v>32.799999999999997</v>
      </c>
      <c r="L130">
        <f t="shared" si="223"/>
        <v>44.15</v>
      </c>
      <c r="M130">
        <f t="shared" si="223"/>
        <v>48.05</v>
      </c>
      <c r="N130">
        <f t="shared" ref="N130" si="224">N37*$A130</f>
        <v>45.099999999999994</v>
      </c>
      <c r="O130">
        <f t="shared" ref="O130:AA130" si="225">O37*$A130</f>
        <v>43.449999999999996</v>
      </c>
      <c r="P130">
        <f t="shared" si="225"/>
        <v>40.949999999999996</v>
      </c>
      <c r="Q130">
        <f t="shared" si="225"/>
        <v>36.85</v>
      </c>
      <c r="R130">
        <f t="shared" si="225"/>
        <v>38.15</v>
      </c>
      <c r="S130">
        <f t="shared" si="225"/>
        <v>41.150000000000006</v>
      </c>
      <c r="T130">
        <f t="shared" si="225"/>
        <v>45.8</v>
      </c>
      <c r="U130">
        <f t="shared" si="225"/>
        <v>49.45</v>
      </c>
      <c r="V130">
        <f t="shared" si="225"/>
        <v>55.8</v>
      </c>
      <c r="W130">
        <f t="shared" si="225"/>
        <v>55.8</v>
      </c>
      <c r="X130">
        <f t="shared" si="225"/>
        <v>50.15</v>
      </c>
      <c r="Y130">
        <f t="shared" si="225"/>
        <v>49.050000000000004</v>
      </c>
      <c r="Z130">
        <f t="shared" si="225"/>
        <v>47.599999999999994</v>
      </c>
      <c r="AA130">
        <f t="shared" si="225"/>
        <v>48.35</v>
      </c>
      <c r="AB130">
        <f t="shared" ref="AB130:BZ130" si="226">AB37*$A130</f>
        <v>48.05</v>
      </c>
      <c r="AC130">
        <f t="shared" si="226"/>
        <v>0</v>
      </c>
      <c r="AD130">
        <f t="shared" si="226"/>
        <v>0</v>
      </c>
      <c r="AE130">
        <f t="shared" si="226"/>
        <v>0</v>
      </c>
      <c r="AF130">
        <f t="shared" si="226"/>
        <v>0</v>
      </c>
      <c r="AG130">
        <f t="shared" si="226"/>
        <v>0</v>
      </c>
      <c r="AH130">
        <f t="shared" si="226"/>
        <v>0</v>
      </c>
      <c r="AI130">
        <f t="shared" si="226"/>
        <v>0</v>
      </c>
      <c r="AJ130">
        <f t="shared" si="226"/>
        <v>0</v>
      </c>
      <c r="AK130">
        <f t="shared" si="226"/>
        <v>0</v>
      </c>
      <c r="AL130">
        <f t="shared" si="226"/>
        <v>0</v>
      </c>
      <c r="AM130">
        <f t="shared" si="226"/>
        <v>0</v>
      </c>
      <c r="AN130">
        <f t="shared" si="226"/>
        <v>0</v>
      </c>
      <c r="AO130">
        <f t="shared" si="226"/>
        <v>0</v>
      </c>
      <c r="AP130">
        <f t="shared" si="226"/>
        <v>0</v>
      </c>
      <c r="AQ130">
        <f t="shared" si="226"/>
        <v>0</v>
      </c>
      <c r="AR130">
        <f t="shared" si="226"/>
        <v>0</v>
      </c>
      <c r="AS130">
        <f t="shared" si="226"/>
        <v>0</v>
      </c>
      <c r="AT130">
        <f t="shared" si="226"/>
        <v>0</v>
      </c>
      <c r="AU130">
        <f t="shared" si="226"/>
        <v>0</v>
      </c>
      <c r="AV130">
        <f t="shared" si="226"/>
        <v>0</v>
      </c>
      <c r="AW130">
        <f t="shared" si="226"/>
        <v>0</v>
      </c>
      <c r="AX130">
        <f t="shared" si="226"/>
        <v>0</v>
      </c>
      <c r="AY130">
        <f t="shared" si="226"/>
        <v>0</v>
      </c>
      <c r="AZ130">
        <f t="shared" si="226"/>
        <v>0</v>
      </c>
      <c r="BA130">
        <f t="shared" si="226"/>
        <v>0</v>
      </c>
      <c r="BB130">
        <f t="shared" si="226"/>
        <v>0</v>
      </c>
      <c r="BC130">
        <f t="shared" si="226"/>
        <v>0</v>
      </c>
      <c r="BD130">
        <f t="shared" si="226"/>
        <v>0</v>
      </c>
      <c r="BE130">
        <f t="shared" si="226"/>
        <v>0</v>
      </c>
      <c r="BF130">
        <f t="shared" si="226"/>
        <v>0</v>
      </c>
      <c r="BG130">
        <f t="shared" si="226"/>
        <v>0</v>
      </c>
      <c r="BH130">
        <f t="shared" si="226"/>
        <v>0</v>
      </c>
      <c r="BI130">
        <f t="shared" si="226"/>
        <v>0</v>
      </c>
      <c r="BJ130">
        <f t="shared" si="226"/>
        <v>0</v>
      </c>
      <c r="BK130">
        <f t="shared" si="226"/>
        <v>0</v>
      </c>
      <c r="BL130">
        <f t="shared" si="226"/>
        <v>0</v>
      </c>
      <c r="BM130">
        <f t="shared" si="226"/>
        <v>0</v>
      </c>
      <c r="BN130">
        <f t="shared" si="226"/>
        <v>0</v>
      </c>
      <c r="BO130">
        <f t="shared" si="226"/>
        <v>0</v>
      </c>
      <c r="BP130">
        <f t="shared" si="226"/>
        <v>0</v>
      </c>
      <c r="BQ130">
        <f t="shared" si="226"/>
        <v>0</v>
      </c>
      <c r="BR130">
        <f t="shared" si="226"/>
        <v>0</v>
      </c>
      <c r="BS130">
        <f t="shared" si="226"/>
        <v>0</v>
      </c>
      <c r="BT130">
        <f t="shared" si="226"/>
        <v>0</v>
      </c>
      <c r="BU130">
        <f t="shared" si="226"/>
        <v>0</v>
      </c>
      <c r="BV130">
        <f t="shared" si="226"/>
        <v>0</v>
      </c>
      <c r="BW130">
        <f t="shared" si="226"/>
        <v>0</v>
      </c>
      <c r="BX130">
        <f t="shared" si="226"/>
        <v>0</v>
      </c>
      <c r="BY130">
        <f t="shared" si="226"/>
        <v>0</v>
      </c>
      <c r="BZ130">
        <f t="shared" si="226"/>
        <v>0</v>
      </c>
    </row>
    <row r="131" spans="1:78" x14ac:dyDescent="0.25">
      <c r="C131" s="2">
        <f>SUM(C124:C130)</f>
        <v>361.37</v>
      </c>
      <c r="D131" s="2">
        <f t="shared" ref="D131:M131" si="227">SUM(D124:D130)</f>
        <v>351.90000000000003</v>
      </c>
      <c r="E131" s="2">
        <f t="shared" si="227"/>
        <v>377.77</v>
      </c>
      <c r="F131" s="2">
        <f t="shared" si="227"/>
        <v>424.95</v>
      </c>
      <c r="G131" s="2">
        <f t="shared" si="227"/>
        <v>434.56</v>
      </c>
      <c r="H131" s="2">
        <f t="shared" si="227"/>
        <v>577.31999999999994</v>
      </c>
      <c r="I131" s="2">
        <f t="shared" si="227"/>
        <v>585.44999999999993</v>
      </c>
      <c r="J131" s="2">
        <f t="shared" si="227"/>
        <v>624.30999999999995</v>
      </c>
      <c r="K131" s="2">
        <f t="shared" si="227"/>
        <v>628.50999999999988</v>
      </c>
      <c r="L131" s="2">
        <f t="shared" si="227"/>
        <v>738.56000000000006</v>
      </c>
      <c r="M131" s="2">
        <f t="shared" si="227"/>
        <v>817.56</v>
      </c>
      <c r="N131" s="2">
        <f t="shared" ref="N131" si="228">SUM(N124:N130)</f>
        <v>817.40000000000009</v>
      </c>
      <c r="O131" s="2">
        <f t="shared" ref="O131:AA131" si="229">SUM(O124:O130)</f>
        <v>764.49000000000012</v>
      </c>
      <c r="P131" s="2">
        <f t="shared" si="229"/>
        <v>717.12</v>
      </c>
      <c r="Q131" s="2">
        <f t="shared" si="229"/>
        <v>674.67</v>
      </c>
      <c r="R131" s="2">
        <f t="shared" si="229"/>
        <v>723.06000000000006</v>
      </c>
      <c r="S131" s="2">
        <f t="shared" si="229"/>
        <v>808.52</v>
      </c>
      <c r="T131" s="2">
        <f t="shared" si="229"/>
        <v>871.93000000000006</v>
      </c>
      <c r="U131" s="2">
        <f t="shared" si="229"/>
        <v>921.06999999999994</v>
      </c>
      <c r="V131" s="2">
        <f t="shared" si="229"/>
        <v>1045.08</v>
      </c>
      <c r="W131" s="2">
        <f t="shared" si="229"/>
        <v>940.4899999999999</v>
      </c>
      <c r="X131" s="2">
        <f t="shared" si="229"/>
        <v>904.19999999999993</v>
      </c>
      <c r="Y131" s="2">
        <f t="shared" si="229"/>
        <v>915.93999999999983</v>
      </c>
      <c r="Z131" s="2">
        <f t="shared" si="229"/>
        <v>913.45999999999992</v>
      </c>
      <c r="AA131" s="2">
        <f t="shared" si="229"/>
        <v>915.31</v>
      </c>
      <c r="AB131" s="2">
        <f t="shared" ref="AB131:BZ131" si="230">SUM(AB124:AB130)</f>
        <v>900.20999999999992</v>
      </c>
      <c r="AC131" s="2">
        <f t="shared" si="230"/>
        <v>0</v>
      </c>
      <c r="AD131" s="2">
        <f t="shared" si="230"/>
        <v>0</v>
      </c>
      <c r="AE131" s="2">
        <f t="shared" si="230"/>
        <v>0</v>
      </c>
      <c r="AF131" s="2">
        <f t="shared" si="230"/>
        <v>0</v>
      </c>
      <c r="AG131" s="2">
        <f t="shared" si="230"/>
        <v>0</v>
      </c>
      <c r="AH131" s="2">
        <f t="shared" si="230"/>
        <v>0</v>
      </c>
      <c r="AI131" s="2">
        <f t="shared" si="230"/>
        <v>0</v>
      </c>
      <c r="AJ131" s="2">
        <f t="shared" si="230"/>
        <v>0</v>
      </c>
      <c r="AK131" s="2">
        <f t="shared" si="230"/>
        <v>0</v>
      </c>
      <c r="AL131" s="2">
        <f t="shared" si="230"/>
        <v>0</v>
      </c>
      <c r="AM131" s="2">
        <f t="shared" si="230"/>
        <v>0</v>
      </c>
      <c r="AN131" s="2">
        <f t="shared" si="230"/>
        <v>0</v>
      </c>
      <c r="AO131" s="2">
        <f t="shared" si="230"/>
        <v>0</v>
      </c>
      <c r="AP131" s="2">
        <f t="shared" si="230"/>
        <v>0</v>
      </c>
      <c r="AQ131" s="2">
        <f t="shared" si="230"/>
        <v>0</v>
      </c>
      <c r="AR131" s="2">
        <f t="shared" si="230"/>
        <v>0</v>
      </c>
      <c r="AS131" s="2">
        <f t="shared" si="230"/>
        <v>0</v>
      </c>
      <c r="AT131" s="2">
        <f t="shared" si="230"/>
        <v>0</v>
      </c>
      <c r="AU131" s="2">
        <f t="shared" si="230"/>
        <v>0</v>
      </c>
      <c r="AV131" s="2">
        <f t="shared" si="230"/>
        <v>0</v>
      </c>
      <c r="AW131" s="2">
        <f t="shared" si="230"/>
        <v>0</v>
      </c>
      <c r="AX131" s="2">
        <f t="shared" si="230"/>
        <v>0</v>
      </c>
      <c r="AY131" s="2">
        <f t="shared" si="230"/>
        <v>0</v>
      </c>
      <c r="AZ131" s="2">
        <f t="shared" si="230"/>
        <v>0</v>
      </c>
      <c r="BA131" s="2">
        <f t="shared" si="230"/>
        <v>0</v>
      </c>
      <c r="BB131" s="2">
        <f t="shared" si="230"/>
        <v>0</v>
      </c>
      <c r="BC131" s="2">
        <f t="shared" si="230"/>
        <v>0</v>
      </c>
      <c r="BD131" s="2">
        <f t="shared" si="230"/>
        <v>0</v>
      </c>
      <c r="BE131" s="2">
        <f t="shared" si="230"/>
        <v>0</v>
      </c>
      <c r="BF131" s="2">
        <f t="shared" si="230"/>
        <v>0</v>
      </c>
      <c r="BG131" s="2">
        <f t="shared" si="230"/>
        <v>0</v>
      </c>
      <c r="BH131" s="2">
        <f t="shared" si="230"/>
        <v>0</v>
      </c>
      <c r="BI131" s="2">
        <f t="shared" si="230"/>
        <v>0</v>
      </c>
      <c r="BJ131" s="2">
        <f t="shared" si="230"/>
        <v>0</v>
      </c>
      <c r="BK131" s="2">
        <f t="shared" si="230"/>
        <v>0</v>
      </c>
      <c r="BL131" s="2">
        <f t="shared" si="230"/>
        <v>0</v>
      </c>
      <c r="BM131" s="2">
        <f t="shared" si="230"/>
        <v>0</v>
      </c>
      <c r="BN131" s="2">
        <f t="shared" si="230"/>
        <v>0</v>
      </c>
      <c r="BO131" s="2">
        <f t="shared" si="230"/>
        <v>0</v>
      </c>
      <c r="BP131" s="2">
        <f t="shared" si="230"/>
        <v>0</v>
      </c>
      <c r="BQ131" s="2">
        <f t="shared" si="230"/>
        <v>0</v>
      </c>
      <c r="BR131" s="2">
        <f t="shared" si="230"/>
        <v>0</v>
      </c>
      <c r="BS131" s="2">
        <f t="shared" si="230"/>
        <v>0</v>
      </c>
      <c r="BT131" s="2">
        <f t="shared" si="230"/>
        <v>0</v>
      </c>
      <c r="BU131" s="2">
        <f t="shared" si="230"/>
        <v>0</v>
      </c>
      <c r="BV131" s="2">
        <f t="shared" si="230"/>
        <v>0</v>
      </c>
      <c r="BW131" s="2">
        <f t="shared" si="230"/>
        <v>0</v>
      </c>
      <c r="BX131" s="2">
        <f t="shared" si="230"/>
        <v>0</v>
      </c>
      <c r="BY131" s="2">
        <f t="shared" si="230"/>
        <v>0</v>
      </c>
      <c r="BZ131" s="2">
        <f t="shared" si="230"/>
        <v>0</v>
      </c>
    </row>
    <row r="135" spans="1:78" ht="23.25" x14ac:dyDescent="0.35">
      <c r="B135" s="3" t="s">
        <v>35</v>
      </c>
      <c r="C135" s="3">
        <f t="shared" ref="C135:M135" si="231">SUM(C102+C118+C131)</f>
        <v>758.47</v>
      </c>
      <c r="D135" s="3">
        <f t="shared" si="231"/>
        <v>748.99</v>
      </c>
      <c r="E135" s="3">
        <f t="shared" si="231"/>
        <v>775.47</v>
      </c>
      <c r="F135" s="3">
        <f t="shared" si="231"/>
        <v>836.83999999999992</v>
      </c>
      <c r="G135" s="3">
        <f t="shared" si="231"/>
        <v>844.7</v>
      </c>
      <c r="H135" s="3">
        <f t="shared" si="231"/>
        <v>993.96999999999991</v>
      </c>
      <c r="I135" s="3">
        <f t="shared" si="231"/>
        <v>976</v>
      </c>
      <c r="J135" s="3">
        <f t="shared" si="231"/>
        <v>1035.1599999999999</v>
      </c>
      <c r="K135" s="3">
        <f t="shared" si="231"/>
        <v>1042.3999999999999</v>
      </c>
      <c r="L135" s="3">
        <f t="shared" si="231"/>
        <v>1150.24</v>
      </c>
      <c r="M135" s="3">
        <f t="shared" si="231"/>
        <v>1231.1599999999999</v>
      </c>
      <c r="N135" s="3">
        <f t="shared" ref="N135" si="232">SUM(N102+N118+N131)</f>
        <v>1219.44</v>
      </c>
      <c r="O135" s="3">
        <f t="shared" ref="O135:AA135" si="233">SUM(O102+O118+O131)</f>
        <v>1169.1000000000001</v>
      </c>
      <c r="P135" s="3">
        <f t="shared" si="233"/>
        <v>1112.32</v>
      </c>
      <c r="Q135" s="3">
        <f t="shared" si="233"/>
        <v>1092.4099999999999</v>
      </c>
      <c r="R135" s="3">
        <f t="shared" si="233"/>
        <v>1135.18</v>
      </c>
      <c r="S135" s="3">
        <f t="shared" si="233"/>
        <v>1223.8499999999999</v>
      </c>
      <c r="T135" s="3">
        <f t="shared" si="233"/>
        <v>1284.6300000000001</v>
      </c>
      <c r="U135" s="3">
        <f t="shared" si="233"/>
        <v>1491.52</v>
      </c>
      <c r="V135" s="3">
        <f t="shared" si="233"/>
        <v>1699.3999999999999</v>
      </c>
      <c r="W135" s="3">
        <f t="shared" si="233"/>
        <v>1488.6999999999998</v>
      </c>
      <c r="X135" s="3">
        <f t="shared" si="233"/>
        <v>1505.05</v>
      </c>
      <c r="Y135" s="3">
        <f t="shared" si="233"/>
        <v>1513.87</v>
      </c>
      <c r="Z135" s="3">
        <f t="shared" si="233"/>
        <v>1507.3899999999999</v>
      </c>
      <c r="AA135" s="3">
        <f t="shared" si="233"/>
        <v>1524.1</v>
      </c>
      <c r="AB135" s="3">
        <f t="shared" ref="AB135:BZ135" si="234">SUM(AB102+AB118+AB131)</f>
        <v>1532.28</v>
      </c>
      <c r="AC135" s="3">
        <f t="shared" si="234"/>
        <v>0</v>
      </c>
      <c r="AD135" s="3">
        <f t="shared" si="234"/>
        <v>0</v>
      </c>
      <c r="AE135" s="3">
        <f t="shared" si="234"/>
        <v>0</v>
      </c>
      <c r="AF135" s="3">
        <f t="shared" si="234"/>
        <v>0</v>
      </c>
      <c r="AG135" s="3">
        <f t="shared" si="234"/>
        <v>0</v>
      </c>
      <c r="AH135" s="3">
        <f t="shared" si="234"/>
        <v>0</v>
      </c>
      <c r="AI135" s="3">
        <f t="shared" si="234"/>
        <v>0</v>
      </c>
      <c r="AJ135" s="3">
        <f t="shared" si="234"/>
        <v>0</v>
      </c>
      <c r="AK135" s="3">
        <f t="shared" si="234"/>
        <v>0</v>
      </c>
      <c r="AL135" s="3">
        <f t="shared" si="234"/>
        <v>0</v>
      </c>
      <c r="AM135" s="3">
        <f t="shared" si="234"/>
        <v>0</v>
      </c>
      <c r="AN135" s="3">
        <f t="shared" si="234"/>
        <v>0</v>
      </c>
      <c r="AO135" s="3">
        <f t="shared" si="234"/>
        <v>0</v>
      </c>
      <c r="AP135" s="3">
        <f t="shared" si="234"/>
        <v>0</v>
      </c>
      <c r="AQ135" s="3">
        <f t="shared" si="234"/>
        <v>0</v>
      </c>
      <c r="AR135" s="3">
        <f t="shared" si="234"/>
        <v>0</v>
      </c>
      <c r="AS135" s="3">
        <f t="shared" si="234"/>
        <v>0</v>
      </c>
      <c r="AT135" s="3">
        <f t="shared" si="234"/>
        <v>0</v>
      </c>
      <c r="AU135" s="3">
        <f t="shared" si="234"/>
        <v>0</v>
      </c>
      <c r="AV135" s="3">
        <f t="shared" si="234"/>
        <v>0</v>
      </c>
      <c r="AW135" s="3">
        <f t="shared" si="234"/>
        <v>0</v>
      </c>
      <c r="AX135" s="3">
        <f t="shared" si="234"/>
        <v>0</v>
      </c>
      <c r="AY135" s="3">
        <f t="shared" si="234"/>
        <v>0</v>
      </c>
      <c r="AZ135" s="3">
        <f t="shared" si="234"/>
        <v>0</v>
      </c>
      <c r="BA135" s="3">
        <f t="shared" si="234"/>
        <v>0</v>
      </c>
      <c r="BB135" s="3">
        <f t="shared" si="234"/>
        <v>0</v>
      </c>
      <c r="BC135" s="3">
        <f t="shared" si="234"/>
        <v>0</v>
      </c>
      <c r="BD135" s="3">
        <f t="shared" si="234"/>
        <v>0</v>
      </c>
      <c r="BE135" s="3">
        <f t="shared" si="234"/>
        <v>0</v>
      </c>
      <c r="BF135" s="3">
        <f t="shared" si="234"/>
        <v>0</v>
      </c>
      <c r="BG135" s="3">
        <f t="shared" si="234"/>
        <v>0</v>
      </c>
      <c r="BH135" s="3">
        <f t="shared" si="234"/>
        <v>0</v>
      </c>
      <c r="BI135" s="3">
        <f t="shared" si="234"/>
        <v>0</v>
      </c>
      <c r="BJ135" s="3">
        <f t="shared" si="234"/>
        <v>0</v>
      </c>
      <c r="BK135" s="3">
        <f t="shared" si="234"/>
        <v>0</v>
      </c>
      <c r="BL135" s="3">
        <f t="shared" si="234"/>
        <v>0</v>
      </c>
      <c r="BM135" s="3">
        <f t="shared" si="234"/>
        <v>0</v>
      </c>
      <c r="BN135" s="3">
        <f t="shared" si="234"/>
        <v>0</v>
      </c>
      <c r="BO135" s="3">
        <f t="shared" si="234"/>
        <v>0</v>
      </c>
      <c r="BP135" s="3">
        <f t="shared" si="234"/>
        <v>0</v>
      </c>
      <c r="BQ135" s="3">
        <f t="shared" si="234"/>
        <v>0</v>
      </c>
      <c r="BR135" s="3">
        <f t="shared" si="234"/>
        <v>0</v>
      </c>
      <c r="BS135" s="3">
        <f t="shared" si="234"/>
        <v>0</v>
      </c>
      <c r="BT135" s="3">
        <f t="shared" si="234"/>
        <v>0</v>
      </c>
      <c r="BU135" s="3">
        <f t="shared" si="234"/>
        <v>0</v>
      </c>
      <c r="BV135" s="3">
        <f t="shared" si="234"/>
        <v>0</v>
      </c>
      <c r="BW135" s="3">
        <f t="shared" si="234"/>
        <v>0</v>
      </c>
      <c r="BX135" s="3">
        <f t="shared" si="234"/>
        <v>0</v>
      </c>
      <c r="BY135" s="3">
        <f t="shared" si="234"/>
        <v>0</v>
      </c>
      <c r="BZ135" s="3">
        <f t="shared" si="234"/>
        <v>0</v>
      </c>
    </row>
    <row r="140" spans="1:78" ht="31.5" x14ac:dyDescent="0.5">
      <c r="A140" s="4" t="s">
        <v>34</v>
      </c>
    </row>
    <row r="142" spans="1:78" ht="23.25" x14ac:dyDescent="0.35">
      <c r="A142" s="3" t="s">
        <v>1</v>
      </c>
    </row>
    <row r="143" spans="1:78" x14ac:dyDescent="0.25">
      <c r="A143" s="2" t="s">
        <v>11</v>
      </c>
      <c r="B143" s="2" t="s">
        <v>12</v>
      </c>
    </row>
    <row r="144" spans="1:78" x14ac:dyDescent="0.25">
      <c r="C144" s="1">
        <f t="shared" ref="C144:M144" si="235">C123</f>
        <v>44331</v>
      </c>
      <c r="D144" s="1">
        <f t="shared" si="235"/>
        <v>44332</v>
      </c>
      <c r="E144" s="1">
        <f t="shared" si="235"/>
        <v>44334</v>
      </c>
      <c r="F144" s="1">
        <f t="shared" si="235"/>
        <v>44336</v>
      </c>
      <c r="G144" s="1">
        <f t="shared" si="235"/>
        <v>44337</v>
      </c>
      <c r="H144" s="1">
        <f t="shared" si="235"/>
        <v>44338</v>
      </c>
      <c r="I144" s="1">
        <f t="shared" si="235"/>
        <v>44339</v>
      </c>
      <c r="J144" s="1">
        <f t="shared" si="235"/>
        <v>44340</v>
      </c>
      <c r="K144" s="1">
        <f t="shared" si="235"/>
        <v>44341</v>
      </c>
      <c r="L144" s="1">
        <f t="shared" si="235"/>
        <v>44342</v>
      </c>
      <c r="M144" s="1">
        <f t="shared" si="235"/>
        <v>44343</v>
      </c>
      <c r="N144" s="1">
        <f t="shared" ref="N144" si="236">N123</f>
        <v>44344</v>
      </c>
      <c r="O144" s="1">
        <f t="shared" ref="O144:AA144" si="237">O123</f>
        <v>44345</v>
      </c>
      <c r="P144" s="1">
        <f t="shared" si="237"/>
        <v>44346</v>
      </c>
      <c r="Q144" s="1">
        <f t="shared" si="237"/>
        <v>44347</v>
      </c>
      <c r="R144" s="1">
        <f t="shared" si="237"/>
        <v>44348</v>
      </c>
      <c r="S144" s="1">
        <f t="shared" si="237"/>
        <v>44349</v>
      </c>
      <c r="T144" s="1">
        <f t="shared" si="237"/>
        <v>44350</v>
      </c>
      <c r="U144" s="1">
        <f t="shared" si="237"/>
        <v>44351</v>
      </c>
      <c r="V144" s="1">
        <f t="shared" si="237"/>
        <v>44352</v>
      </c>
      <c r="W144" s="1">
        <f t="shared" si="237"/>
        <v>44353</v>
      </c>
      <c r="X144" s="1">
        <f t="shared" si="237"/>
        <v>44354</v>
      </c>
      <c r="Y144" s="1">
        <f t="shared" si="237"/>
        <v>44355</v>
      </c>
      <c r="Z144" s="1">
        <f t="shared" si="237"/>
        <v>44356</v>
      </c>
      <c r="AA144" s="1">
        <f t="shared" si="237"/>
        <v>44357</v>
      </c>
      <c r="AB144" s="1">
        <f t="shared" ref="AB144:BZ144" si="238">AB123</f>
        <v>44358</v>
      </c>
      <c r="AC144" s="1">
        <f t="shared" si="238"/>
        <v>44359</v>
      </c>
      <c r="AD144" s="1">
        <f t="shared" si="238"/>
        <v>44360</v>
      </c>
      <c r="AE144" s="1">
        <f t="shared" si="238"/>
        <v>44361</v>
      </c>
      <c r="AF144" s="1">
        <f t="shared" si="238"/>
        <v>44362</v>
      </c>
      <c r="AG144" s="1">
        <f t="shared" si="238"/>
        <v>44363</v>
      </c>
      <c r="AH144" s="1">
        <f t="shared" si="238"/>
        <v>44364</v>
      </c>
      <c r="AI144" s="1">
        <f t="shared" si="238"/>
        <v>44365</v>
      </c>
      <c r="AJ144" s="1">
        <f t="shared" si="238"/>
        <v>44366</v>
      </c>
      <c r="AK144" s="1">
        <f t="shared" si="238"/>
        <v>44367</v>
      </c>
      <c r="AL144" s="1">
        <f t="shared" si="238"/>
        <v>44368</v>
      </c>
      <c r="AM144" s="1">
        <f t="shared" si="238"/>
        <v>44369</v>
      </c>
      <c r="AN144" s="1">
        <f t="shared" si="238"/>
        <v>44370</v>
      </c>
      <c r="AO144" s="1">
        <f t="shared" si="238"/>
        <v>44371</v>
      </c>
      <c r="AP144" s="1">
        <f t="shared" si="238"/>
        <v>44372</v>
      </c>
      <c r="AQ144" s="1">
        <f t="shared" si="238"/>
        <v>44373</v>
      </c>
      <c r="AR144" s="1">
        <f t="shared" si="238"/>
        <v>44374</v>
      </c>
      <c r="AS144" s="1">
        <f t="shared" si="238"/>
        <v>44375</v>
      </c>
      <c r="AT144" s="1">
        <f t="shared" si="238"/>
        <v>44376</v>
      </c>
      <c r="AU144" s="1">
        <f t="shared" si="238"/>
        <v>44377</v>
      </c>
      <c r="AV144" s="1">
        <f t="shared" si="238"/>
        <v>44378</v>
      </c>
      <c r="AW144" s="1">
        <f t="shared" si="238"/>
        <v>44379</v>
      </c>
      <c r="AX144" s="1">
        <f t="shared" si="238"/>
        <v>44380</v>
      </c>
      <c r="AY144" s="1">
        <f t="shared" si="238"/>
        <v>44381</v>
      </c>
      <c r="AZ144" s="1">
        <f t="shared" si="238"/>
        <v>44382</v>
      </c>
      <c r="BA144" s="1">
        <f t="shared" si="238"/>
        <v>44383</v>
      </c>
      <c r="BB144" s="1">
        <f t="shared" si="238"/>
        <v>44384</v>
      </c>
      <c r="BC144" s="1">
        <f t="shared" si="238"/>
        <v>44385</v>
      </c>
      <c r="BD144" s="1">
        <f t="shared" si="238"/>
        <v>44386</v>
      </c>
      <c r="BE144" s="1">
        <f t="shared" si="238"/>
        <v>44387</v>
      </c>
      <c r="BF144" s="1">
        <f t="shared" si="238"/>
        <v>44388</v>
      </c>
      <c r="BG144" s="1">
        <f t="shared" si="238"/>
        <v>44389</v>
      </c>
      <c r="BH144" s="1">
        <f t="shared" si="238"/>
        <v>44390</v>
      </c>
      <c r="BI144" s="1">
        <f t="shared" si="238"/>
        <v>44391</v>
      </c>
      <c r="BJ144" s="1">
        <f t="shared" si="238"/>
        <v>44392</v>
      </c>
      <c r="BK144" s="1">
        <f t="shared" si="238"/>
        <v>44393</v>
      </c>
      <c r="BL144" s="1">
        <f t="shared" si="238"/>
        <v>44394</v>
      </c>
      <c r="BM144" s="1">
        <f t="shared" si="238"/>
        <v>44395</v>
      </c>
      <c r="BN144" s="1">
        <f t="shared" si="238"/>
        <v>44396</v>
      </c>
      <c r="BO144" s="1">
        <f t="shared" si="238"/>
        <v>44397</v>
      </c>
      <c r="BP144" s="1">
        <f t="shared" si="238"/>
        <v>44398</v>
      </c>
      <c r="BQ144" s="1">
        <f t="shared" si="238"/>
        <v>44399</v>
      </c>
      <c r="BR144" s="1">
        <f t="shared" si="238"/>
        <v>44400</v>
      </c>
      <c r="BS144" s="1">
        <f t="shared" si="238"/>
        <v>44401</v>
      </c>
      <c r="BT144" s="1">
        <f t="shared" si="238"/>
        <v>44402</v>
      </c>
      <c r="BU144" s="1">
        <f t="shared" si="238"/>
        <v>44403</v>
      </c>
      <c r="BV144" s="1">
        <f t="shared" si="238"/>
        <v>44404</v>
      </c>
      <c r="BW144" s="1">
        <f t="shared" si="238"/>
        <v>44405</v>
      </c>
      <c r="BX144" s="1">
        <f t="shared" si="238"/>
        <v>44406</v>
      </c>
      <c r="BY144" s="1">
        <f t="shared" si="238"/>
        <v>44407</v>
      </c>
      <c r="BZ144" s="1">
        <f t="shared" si="238"/>
        <v>44408</v>
      </c>
    </row>
    <row r="145" spans="1:78" x14ac:dyDescent="0.25">
      <c r="A145">
        <v>1000</v>
      </c>
      <c r="B145" t="s">
        <v>13</v>
      </c>
      <c r="C145">
        <f t="shared" ref="C145:M145" si="239">C54*$A145</f>
        <v>50</v>
      </c>
      <c r="D145">
        <f t="shared" si="239"/>
        <v>50</v>
      </c>
      <c r="E145">
        <f t="shared" si="239"/>
        <v>50</v>
      </c>
      <c r="F145">
        <f t="shared" si="239"/>
        <v>50</v>
      </c>
      <c r="G145">
        <f t="shared" si="239"/>
        <v>50</v>
      </c>
      <c r="H145">
        <f t="shared" si="239"/>
        <v>50</v>
      </c>
      <c r="I145">
        <f t="shared" si="239"/>
        <v>50</v>
      </c>
      <c r="J145">
        <f t="shared" si="239"/>
        <v>50</v>
      </c>
      <c r="K145">
        <f t="shared" si="239"/>
        <v>50</v>
      </c>
      <c r="L145">
        <f t="shared" si="239"/>
        <v>50</v>
      </c>
      <c r="M145">
        <f t="shared" si="239"/>
        <v>50</v>
      </c>
      <c r="N145">
        <f t="shared" ref="N145" si="240">N54*$A145</f>
        <v>39.999999999999993</v>
      </c>
      <c r="O145">
        <f t="shared" ref="O145:AA145" si="241">O54*$A145</f>
        <v>39.999999999999993</v>
      </c>
      <c r="P145">
        <f t="shared" si="241"/>
        <v>50</v>
      </c>
      <c r="Q145">
        <f t="shared" si="241"/>
        <v>50</v>
      </c>
      <c r="R145">
        <f t="shared" si="241"/>
        <v>50</v>
      </c>
      <c r="S145">
        <f t="shared" si="241"/>
        <v>50</v>
      </c>
      <c r="T145">
        <f t="shared" si="241"/>
        <v>50</v>
      </c>
      <c r="U145">
        <f t="shared" si="241"/>
        <v>60.000000000000007</v>
      </c>
      <c r="V145">
        <f t="shared" si="241"/>
        <v>70</v>
      </c>
      <c r="W145">
        <f t="shared" si="241"/>
        <v>60.000000000000007</v>
      </c>
      <c r="X145">
        <f t="shared" si="241"/>
        <v>70</v>
      </c>
      <c r="Y145">
        <f t="shared" si="241"/>
        <v>70</v>
      </c>
      <c r="Z145">
        <f t="shared" si="241"/>
        <v>60.000000000000007</v>
      </c>
      <c r="AA145">
        <f t="shared" si="241"/>
        <v>70</v>
      </c>
      <c r="AB145">
        <f t="shared" ref="AB145:BZ145" si="242">AB54*$A145</f>
        <v>70</v>
      </c>
      <c r="AC145">
        <f t="shared" si="242"/>
        <v>0</v>
      </c>
      <c r="AD145">
        <f t="shared" si="242"/>
        <v>0</v>
      </c>
      <c r="AE145">
        <f t="shared" si="242"/>
        <v>0</v>
      </c>
      <c r="AF145">
        <f t="shared" si="242"/>
        <v>0</v>
      </c>
      <c r="AG145">
        <f t="shared" si="242"/>
        <v>0</v>
      </c>
      <c r="AH145">
        <f t="shared" si="242"/>
        <v>0</v>
      </c>
      <c r="AI145">
        <f t="shared" si="242"/>
        <v>0</v>
      </c>
      <c r="AJ145">
        <f t="shared" si="242"/>
        <v>0</v>
      </c>
      <c r="AK145">
        <f t="shared" si="242"/>
        <v>0</v>
      </c>
      <c r="AL145">
        <f t="shared" si="242"/>
        <v>0</v>
      </c>
      <c r="AM145">
        <f t="shared" si="242"/>
        <v>0</v>
      </c>
      <c r="AN145">
        <f t="shared" si="242"/>
        <v>0</v>
      </c>
      <c r="AO145">
        <f t="shared" si="242"/>
        <v>0</v>
      </c>
      <c r="AP145">
        <f t="shared" si="242"/>
        <v>0</v>
      </c>
      <c r="AQ145">
        <f t="shared" si="242"/>
        <v>0</v>
      </c>
      <c r="AR145">
        <f t="shared" si="242"/>
        <v>0</v>
      </c>
      <c r="AS145">
        <f t="shared" si="242"/>
        <v>0</v>
      </c>
      <c r="AT145">
        <f t="shared" si="242"/>
        <v>0</v>
      </c>
      <c r="AU145">
        <f t="shared" si="242"/>
        <v>0</v>
      </c>
      <c r="AV145">
        <f t="shared" si="242"/>
        <v>0</v>
      </c>
      <c r="AW145">
        <f t="shared" si="242"/>
        <v>0</v>
      </c>
      <c r="AX145">
        <f t="shared" si="242"/>
        <v>0</v>
      </c>
      <c r="AY145">
        <f t="shared" si="242"/>
        <v>0</v>
      </c>
      <c r="AZ145">
        <f t="shared" si="242"/>
        <v>0</v>
      </c>
      <c r="BA145">
        <f t="shared" si="242"/>
        <v>0</v>
      </c>
      <c r="BB145">
        <f t="shared" si="242"/>
        <v>0</v>
      </c>
      <c r="BC145">
        <f t="shared" si="242"/>
        <v>0</v>
      </c>
      <c r="BD145">
        <f t="shared" si="242"/>
        <v>0</v>
      </c>
      <c r="BE145">
        <f t="shared" si="242"/>
        <v>0</v>
      </c>
      <c r="BF145">
        <f t="shared" si="242"/>
        <v>0</v>
      </c>
      <c r="BG145">
        <f t="shared" si="242"/>
        <v>0</v>
      </c>
      <c r="BH145">
        <f t="shared" si="242"/>
        <v>0</v>
      </c>
      <c r="BI145">
        <f t="shared" si="242"/>
        <v>0</v>
      </c>
      <c r="BJ145">
        <f t="shared" si="242"/>
        <v>0</v>
      </c>
      <c r="BK145">
        <f t="shared" si="242"/>
        <v>0</v>
      </c>
      <c r="BL145">
        <f t="shared" si="242"/>
        <v>0</v>
      </c>
      <c r="BM145">
        <f t="shared" si="242"/>
        <v>0</v>
      </c>
      <c r="BN145">
        <f t="shared" si="242"/>
        <v>0</v>
      </c>
      <c r="BO145">
        <f t="shared" si="242"/>
        <v>0</v>
      </c>
      <c r="BP145">
        <f t="shared" si="242"/>
        <v>0</v>
      </c>
      <c r="BQ145">
        <f t="shared" si="242"/>
        <v>0</v>
      </c>
      <c r="BR145">
        <f t="shared" si="242"/>
        <v>0</v>
      </c>
      <c r="BS145">
        <f t="shared" si="242"/>
        <v>0</v>
      </c>
      <c r="BT145">
        <f t="shared" si="242"/>
        <v>0</v>
      </c>
      <c r="BU145">
        <f t="shared" si="242"/>
        <v>0</v>
      </c>
      <c r="BV145">
        <f t="shared" si="242"/>
        <v>0</v>
      </c>
      <c r="BW145">
        <f t="shared" si="242"/>
        <v>0</v>
      </c>
      <c r="BX145">
        <f t="shared" si="242"/>
        <v>0</v>
      </c>
      <c r="BY145">
        <f t="shared" si="242"/>
        <v>0</v>
      </c>
      <c r="BZ145">
        <f t="shared" si="242"/>
        <v>0</v>
      </c>
    </row>
    <row r="146" spans="1:78" x14ac:dyDescent="0.25">
      <c r="A146">
        <v>2000</v>
      </c>
      <c r="B146" t="s">
        <v>14</v>
      </c>
      <c r="C146">
        <f t="shared" ref="C146:M146" si="243">C55*$A146</f>
        <v>100</v>
      </c>
      <c r="D146">
        <f t="shared" si="243"/>
        <v>100</v>
      </c>
      <c r="E146">
        <f t="shared" si="243"/>
        <v>100</v>
      </c>
      <c r="F146">
        <f t="shared" si="243"/>
        <v>100</v>
      </c>
      <c r="G146">
        <f t="shared" si="243"/>
        <v>100</v>
      </c>
      <c r="H146">
        <f t="shared" si="243"/>
        <v>100</v>
      </c>
      <c r="I146">
        <f t="shared" si="243"/>
        <v>100</v>
      </c>
      <c r="J146">
        <f t="shared" si="243"/>
        <v>100</v>
      </c>
      <c r="K146">
        <f t="shared" si="243"/>
        <v>100</v>
      </c>
      <c r="L146">
        <f t="shared" si="243"/>
        <v>100</v>
      </c>
      <c r="M146">
        <f t="shared" si="243"/>
        <v>100</v>
      </c>
      <c r="N146">
        <f t="shared" ref="N146" si="244">N55*$A146</f>
        <v>100</v>
      </c>
      <c r="O146">
        <f t="shared" ref="O146:AA146" si="245">O55*$A146</f>
        <v>100</v>
      </c>
      <c r="P146">
        <f t="shared" si="245"/>
        <v>100</v>
      </c>
      <c r="Q146">
        <f t="shared" si="245"/>
        <v>100</v>
      </c>
      <c r="R146">
        <f t="shared" si="245"/>
        <v>100</v>
      </c>
      <c r="S146">
        <f t="shared" si="245"/>
        <v>100</v>
      </c>
      <c r="T146">
        <f t="shared" si="245"/>
        <v>100</v>
      </c>
      <c r="U146">
        <f t="shared" si="245"/>
        <v>180</v>
      </c>
      <c r="V146">
        <f t="shared" si="245"/>
        <v>220.00000000000003</v>
      </c>
      <c r="W146">
        <f t="shared" si="245"/>
        <v>160</v>
      </c>
      <c r="X146">
        <f t="shared" si="245"/>
        <v>180</v>
      </c>
      <c r="Y146">
        <f t="shared" si="245"/>
        <v>180</v>
      </c>
      <c r="Z146">
        <f t="shared" si="245"/>
        <v>180</v>
      </c>
      <c r="AA146">
        <f t="shared" si="245"/>
        <v>180</v>
      </c>
      <c r="AB146">
        <f t="shared" ref="AB146:BZ146" si="246">AB55*$A146</f>
        <v>200</v>
      </c>
      <c r="AC146">
        <f t="shared" si="246"/>
        <v>0</v>
      </c>
      <c r="AD146">
        <f t="shared" si="246"/>
        <v>0</v>
      </c>
      <c r="AE146">
        <f t="shared" si="246"/>
        <v>0</v>
      </c>
      <c r="AF146">
        <f t="shared" si="246"/>
        <v>0</v>
      </c>
      <c r="AG146">
        <f t="shared" si="246"/>
        <v>0</v>
      </c>
      <c r="AH146">
        <f t="shared" si="246"/>
        <v>0</v>
      </c>
      <c r="AI146">
        <f t="shared" si="246"/>
        <v>0</v>
      </c>
      <c r="AJ146">
        <f t="shared" si="246"/>
        <v>0</v>
      </c>
      <c r="AK146">
        <f t="shared" si="246"/>
        <v>0</v>
      </c>
      <c r="AL146">
        <f t="shared" si="246"/>
        <v>0</v>
      </c>
      <c r="AM146">
        <f t="shared" si="246"/>
        <v>0</v>
      </c>
      <c r="AN146">
        <f t="shared" si="246"/>
        <v>0</v>
      </c>
      <c r="AO146">
        <f t="shared" si="246"/>
        <v>0</v>
      </c>
      <c r="AP146">
        <f t="shared" si="246"/>
        <v>0</v>
      </c>
      <c r="AQ146">
        <f t="shared" si="246"/>
        <v>0</v>
      </c>
      <c r="AR146">
        <f t="shared" si="246"/>
        <v>0</v>
      </c>
      <c r="AS146">
        <f t="shared" si="246"/>
        <v>0</v>
      </c>
      <c r="AT146">
        <f t="shared" si="246"/>
        <v>0</v>
      </c>
      <c r="AU146">
        <f t="shared" si="246"/>
        <v>0</v>
      </c>
      <c r="AV146">
        <f t="shared" si="246"/>
        <v>0</v>
      </c>
      <c r="AW146">
        <f t="shared" si="246"/>
        <v>0</v>
      </c>
      <c r="AX146">
        <f t="shared" si="246"/>
        <v>0</v>
      </c>
      <c r="AY146">
        <f t="shared" si="246"/>
        <v>0</v>
      </c>
      <c r="AZ146">
        <f t="shared" si="246"/>
        <v>0</v>
      </c>
      <c r="BA146">
        <f t="shared" si="246"/>
        <v>0</v>
      </c>
      <c r="BB146">
        <f t="shared" si="246"/>
        <v>0</v>
      </c>
      <c r="BC146">
        <f t="shared" si="246"/>
        <v>0</v>
      </c>
      <c r="BD146">
        <f t="shared" si="246"/>
        <v>0</v>
      </c>
      <c r="BE146">
        <f t="shared" si="246"/>
        <v>0</v>
      </c>
      <c r="BF146">
        <f t="shared" si="246"/>
        <v>0</v>
      </c>
      <c r="BG146">
        <f t="shared" si="246"/>
        <v>0</v>
      </c>
      <c r="BH146">
        <f t="shared" si="246"/>
        <v>0</v>
      </c>
      <c r="BI146">
        <f t="shared" si="246"/>
        <v>0</v>
      </c>
      <c r="BJ146">
        <f t="shared" si="246"/>
        <v>0</v>
      </c>
      <c r="BK146">
        <f t="shared" si="246"/>
        <v>0</v>
      </c>
      <c r="BL146">
        <f t="shared" si="246"/>
        <v>0</v>
      </c>
      <c r="BM146">
        <f t="shared" si="246"/>
        <v>0</v>
      </c>
      <c r="BN146">
        <f t="shared" si="246"/>
        <v>0</v>
      </c>
      <c r="BO146">
        <f t="shared" si="246"/>
        <v>0</v>
      </c>
      <c r="BP146">
        <f t="shared" si="246"/>
        <v>0</v>
      </c>
      <c r="BQ146">
        <f t="shared" si="246"/>
        <v>0</v>
      </c>
      <c r="BR146">
        <f t="shared" si="246"/>
        <v>0</v>
      </c>
      <c r="BS146">
        <f t="shared" si="246"/>
        <v>0</v>
      </c>
      <c r="BT146">
        <f t="shared" si="246"/>
        <v>0</v>
      </c>
      <c r="BU146">
        <f t="shared" si="246"/>
        <v>0</v>
      </c>
      <c r="BV146">
        <f t="shared" si="246"/>
        <v>0</v>
      </c>
      <c r="BW146">
        <f t="shared" si="246"/>
        <v>0</v>
      </c>
      <c r="BX146">
        <f t="shared" si="246"/>
        <v>0</v>
      </c>
      <c r="BY146">
        <f t="shared" si="246"/>
        <v>0</v>
      </c>
      <c r="BZ146">
        <f t="shared" si="246"/>
        <v>0</v>
      </c>
    </row>
    <row r="147" spans="1:78" x14ac:dyDescent="0.25">
      <c r="A147">
        <v>2000</v>
      </c>
      <c r="B147" t="s">
        <v>15</v>
      </c>
      <c r="C147">
        <f t="shared" ref="C147:M147" si="247">C56*$A147</f>
        <v>60</v>
      </c>
      <c r="D147">
        <f t="shared" si="247"/>
        <v>60</v>
      </c>
      <c r="E147">
        <f t="shared" si="247"/>
        <v>60</v>
      </c>
      <c r="F147">
        <f t="shared" si="247"/>
        <v>79.999999999999986</v>
      </c>
      <c r="G147">
        <f t="shared" si="247"/>
        <v>79.999999999999986</v>
      </c>
      <c r="H147">
        <f t="shared" si="247"/>
        <v>79.999999999999986</v>
      </c>
      <c r="I147">
        <f t="shared" si="247"/>
        <v>60</v>
      </c>
      <c r="J147">
        <f t="shared" si="247"/>
        <v>79.999999999999986</v>
      </c>
      <c r="K147">
        <f t="shared" si="247"/>
        <v>79.999999999999986</v>
      </c>
      <c r="L147">
        <f t="shared" si="247"/>
        <v>79.999999999999986</v>
      </c>
      <c r="M147">
        <f t="shared" si="247"/>
        <v>79.999999999999986</v>
      </c>
      <c r="N147">
        <f t="shared" ref="N147" si="248">N56*$A147</f>
        <v>79.999999999999986</v>
      </c>
      <c r="O147">
        <f t="shared" ref="O147:AA147" si="249">O56*$A147</f>
        <v>79.999999999999986</v>
      </c>
      <c r="P147">
        <f t="shared" si="249"/>
        <v>60</v>
      </c>
      <c r="Q147">
        <f t="shared" si="249"/>
        <v>79.999999999999986</v>
      </c>
      <c r="R147">
        <f t="shared" si="249"/>
        <v>79.999999999999986</v>
      </c>
      <c r="S147">
        <f t="shared" si="249"/>
        <v>79.999999999999986</v>
      </c>
      <c r="T147">
        <f t="shared" si="249"/>
        <v>79.999999999999986</v>
      </c>
      <c r="U147">
        <f t="shared" si="249"/>
        <v>100</v>
      </c>
      <c r="V147">
        <f t="shared" si="249"/>
        <v>120.00000000000001</v>
      </c>
      <c r="W147">
        <f t="shared" si="249"/>
        <v>100</v>
      </c>
      <c r="X147">
        <f t="shared" si="249"/>
        <v>120.00000000000001</v>
      </c>
      <c r="Y147">
        <f t="shared" si="249"/>
        <v>120.00000000000001</v>
      </c>
      <c r="Z147">
        <f t="shared" si="249"/>
        <v>120.00000000000001</v>
      </c>
      <c r="AA147">
        <f t="shared" si="249"/>
        <v>120.00000000000001</v>
      </c>
      <c r="AB147">
        <f t="shared" ref="AB147:BZ147" si="250">AB56*$A147</f>
        <v>120.00000000000001</v>
      </c>
      <c r="AC147">
        <f t="shared" si="250"/>
        <v>0</v>
      </c>
      <c r="AD147">
        <f t="shared" si="250"/>
        <v>0</v>
      </c>
      <c r="AE147">
        <f t="shared" si="250"/>
        <v>0</v>
      </c>
      <c r="AF147">
        <f t="shared" si="250"/>
        <v>0</v>
      </c>
      <c r="AG147">
        <f t="shared" si="250"/>
        <v>0</v>
      </c>
      <c r="AH147">
        <f t="shared" si="250"/>
        <v>0</v>
      </c>
      <c r="AI147">
        <f t="shared" si="250"/>
        <v>0</v>
      </c>
      <c r="AJ147">
        <f t="shared" si="250"/>
        <v>0</v>
      </c>
      <c r="AK147">
        <f t="shared" si="250"/>
        <v>0</v>
      </c>
      <c r="AL147">
        <f t="shared" si="250"/>
        <v>0</v>
      </c>
      <c r="AM147">
        <f t="shared" si="250"/>
        <v>0</v>
      </c>
      <c r="AN147">
        <f t="shared" si="250"/>
        <v>0</v>
      </c>
      <c r="AO147">
        <f t="shared" si="250"/>
        <v>0</v>
      </c>
      <c r="AP147">
        <f t="shared" si="250"/>
        <v>0</v>
      </c>
      <c r="AQ147">
        <f t="shared" si="250"/>
        <v>0</v>
      </c>
      <c r="AR147">
        <f t="shared" si="250"/>
        <v>0</v>
      </c>
      <c r="AS147">
        <f t="shared" si="250"/>
        <v>0</v>
      </c>
      <c r="AT147">
        <f t="shared" si="250"/>
        <v>0</v>
      </c>
      <c r="AU147">
        <f t="shared" si="250"/>
        <v>0</v>
      </c>
      <c r="AV147">
        <f t="shared" si="250"/>
        <v>0</v>
      </c>
      <c r="AW147">
        <f t="shared" si="250"/>
        <v>0</v>
      </c>
      <c r="AX147">
        <f t="shared" si="250"/>
        <v>0</v>
      </c>
      <c r="AY147">
        <f t="shared" si="250"/>
        <v>0</v>
      </c>
      <c r="AZ147">
        <f t="shared" si="250"/>
        <v>0</v>
      </c>
      <c r="BA147">
        <f t="shared" si="250"/>
        <v>0</v>
      </c>
      <c r="BB147">
        <f t="shared" si="250"/>
        <v>0</v>
      </c>
      <c r="BC147">
        <f t="shared" si="250"/>
        <v>0</v>
      </c>
      <c r="BD147">
        <f t="shared" si="250"/>
        <v>0</v>
      </c>
      <c r="BE147">
        <f t="shared" si="250"/>
        <v>0</v>
      </c>
      <c r="BF147">
        <f t="shared" si="250"/>
        <v>0</v>
      </c>
      <c r="BG147">
        <f t="shared" si="250"/>
        <v>0</v>
      </c>
      <c r="BH147">
        <f t="shared" si="250"/>
        <v>0</v>
      </c>
      <c r="BI147">
        <f t="shared" si="250"/>
        <v>0</v>
      </c>
      <c r="BJ147">
        <f t="shared" si="250"/>
        <v>0</v>
      </c>
      <c r="BK147">
        <f t="shared" si="250"/>
        <v>0</v>
      </c>
      <c r="BL147">
        <f t="shared" si="250"/>
        <v>0</v>
      </c>
      <c r="BM147">
        <f t="shared" si="250"/>
        <v>0</v>
      </c>
      <c r="BN147">
        <f t="shared" si="250"/>
        <v>0</v>
      </c>
      <c r="BO147">
        <f t="shared" si="250"/>
        <v>0</v>
      </c>
      <c r="BP147">
        <f t="shared" si="250"/>
        <v>0</v>
      </c>
      <c r="BQ147">
        <f t="shared" si="250"/>
        <v>0</v>
      </c>
      <c r="BR147">
        <f t="shared" si="250"/>
        <v>0</v>
      </c>
      <c r="BS147">
        <f t="shared" si="250"/>
        <v>0</v>
      </c>
      <c r="BT147">
        <f t="shared" si="250"/>
        <v>0</v>
      </c>
      <c r="BU147">
        <f t="shared" si="250"/>
        <v>0</v>
      </c>
      <c r="BV147">
        <f t="shared" si="250"/>
        <v>0</v>
      </c>
      <c r="BW147">
        <f t="shared" si="250"/>
        <v>0</v>
      </c>
      <c r="BX147">
        <f t="shared" si="250"/>
        <v>0</v>
      </c>
      <c r="BY147">
        <f t="shared" si="250"/>
        <v>0</v>
      </c>
      <c r="BZ147">
        <f t="shared" si="250"/>
        <v>0</v>
      </c>
    </row>
    <row r="148" spans="1:78" x14ac:dyDescent="0.25">
      <c r="A148">
        <v>215</v>
      </c>
      <c r="B148" t="s">
        <v>16</v>
      </c>
      <c r="C148">
        <f t="shared" ref="C148:M148" si="251">C57*$A148</f>
        <v>12.9</v>
      </c>
      <c r="D148">
        <f t="shared" si="251"/>
        <v>12.9</v>
      </c>
      <c r="E148">
        <f t="shared" si="251"/>
        <v>12.9</v>
      </c>
      <c r="F148">
        <f t="shared" si="251"/>
        <v>12.9</v>
      </c>
      <c r="G148">
        <f t="shared" si="251"/>
        <v>12.9</v>
      </c>
      <c r="H148">
        <f t="shared" si="251"/>
        <v>12.9</v>
      </c>
      <c r="I148">
        <f t="shared" si="251"/>
        <v>12.9</v>
      </c>
      <c r="J148">
        <f t="shared" si="251"/>
        <v>12.9</v>
      </c>
      <c r="K148">
        <f t="shared" si="251"/>
        <v>12.9</v>
      </c>
      <c r="L148">
        <f t="shared" si="251"/>
        <v>12.9</v>
      </c>
      <c r="M148">
        <f t="shared" si="251"/>
        <v>12.9</v>
      </c>
      <c r="N148">
        <f t="shared" ref="N148" si="252">N57*$A148</f>
        <v>12.9</v>
      </c>
      <c r="O148">
        <f t="shared" ref="O148:AA148" si="253">O57*$A148</f>
        <v>12.9</v>
      </c>
      <c r="P148">
        <f t="shared" si="253"/>
        <v>12.9</v>
      </c>
      <c r="Q148">
        <f t="shared" si="253"/>
        <v>12.9</v>
      </c>
      <c r="R148">
        <f t="shared" si="253"/>
        <v>12.9</v>
      </c>
      <c r="S148">
        <f t="shared" si="253"/>
        <v>12.9</v>
      </c>
      <c r="T148">
        <f t="shared" si="253"/>
        <v>12.9</v>
      </c>
      <c r="U148">
        <f t="shared" si="253"/>
        <v>27.95</v>
      </c>
      <c r="V148">
        <f t="shared" si="253"/>
        <v>34.4</v>
      </c>
      <c r="W148">
        <f t="shared" si="253"/>
        <v>30.1</v>
      </c>
      <c r="X148">
        <f t="shared" si="253"/>
        <v>32.25</v>
      </c>
      <c r="Y148">
        <f t="shared" si="253"/>
        <v>32.25</v>
      </c>
      <c r="Z148">
        <f t="shared" si="253"/>
        <v>36.550000000000004</v>
      </c>
      <c r="AA148">
        <f t="shared" si="253"/>
        <v>38.700000000000003</v>
      </c>
      <c r="AB148">
        <f t="shared" ref="AB148:BZ148" si="254">AB57*$A148</f>
        <v>40.85</v>
      </c>
      <c r="AC148">
        <f t="shared" si="254"/>
        <v>0</v>
      </c>
      <c r="AD148">
        <f t="shared" si="254"/>
        <v>0</v>
      </c>
      <c r="AE148">
        <f t="shared" si="254"/>
        <v>0</v>
      </c>
      <c r="AF148">
        <f t="shared" si="254"/>
        <v>0</v>
      </c>
      <c r="AG148">
        <f t="shared" si="254"/>
        <v>0</v>
      </c>
      <c r="AH148">
        <f t="shared" si="254"/>
        <v>0</v>
      </c>
      <c r="AI148">
        <f t="shared" si="254"/>
        <v>0</v>
      </c>
      <c r="AJ148">
        <f t="shared" si="254"/>
        <v>0</v>
      </c>
      <c r="AK148">
        <f t="shared" si="254"/>
        <v>0</v>
      </c>
      <c r="AL148">
        <f t="shared" si="254"/>
        <v>0</v>
      </c>
      <c r="AM148">
        <f t="shared" si="254"/>
        <v>0</v>
      </c>
      <c r="AN148">
        <f t="shared" si="254"/>
        <v>0</v>
      </c>
      <c r="AO148">
        <f t="shared" si="254"/>
        <v>0</v>
      </c>
      <c r="AP148">
        <f t="shared" si="254"/>
        <v>0</v>
      </c>
      <c r="AQ148">
        <f t="shared" si="254"/>
        <v>0</v>
      </c>
      <c r="AR148">
        <f t="shared" si="254"/>
        <v>0</v>
      </c>
      <c r="AS148">
        <f t="shared" si="254"/>
        <v>0</v>
      </c>
      <c r="AT148">
        <f t="shared" si="254"/>
        <v>0</v>
      </c>
      <c r="AU148">
        <f t="shared" si="254"/>
        <v>0</v>
      </c>
      <c r="AV148">
        <f t="shared" si="254"/>
        <v>0</v>
      </c>
      <c r="AW148">
        <f t="shared" si="254"/>
        <v>0</v>
      </c>
      <c r="AX148">
        <f t="shared" si="254"/>
        <v>0</v>
      </c>
      <c r="AY148">
        <f t="shared" si="254"/>
        <v>0</v>
      </c>
      <c r="AZ148">
        <f t="shared" si="254"/>
        <v>0</v>
      </c>
      <c r="BA148">
        <f t="shared" si="254"/>
        <v>0</v>
      </c>
      <c r="BB148">
        <f t="shared" si="254"/>
        <v>0</v>
      </c>
      <c r="BC148">
        <f t="shared" si="254"/>
        <v>0</v>
      </c>
      <c r="BD148">
        <f t="shared" si="254"/>
        <v>0</v>
      </c>
      <c r="BE148">
        <f t="shared" si="254"/>
        <v>0</v>
      </c>
      <c r="BF148">
        <f t="shared" si="254"/>
        <v>0</v>
      </c>
      <c r="BG148">
        <f t="shared" si="254"/>
        <v>0</v>
      </c>
      <c r="BH148">
        <f t="shared" si="254"/>
        <v>0</v>
      </c>
      <c r="BI148">
        <f t="shared" si="254"/>
        <v>0</v>
      </c>
      <c r="BJ148">
        <f t="shared" si="254"/>
        <v>0</v>
      </c>
      <c r="BK148">
        <f t="shared" si="254"/>
        <v>0</v>
      </c>
      <c r="BL148">
        <f t="shared" si="254"/>
        <v>0</v>
      </c>
      <c r="BM148">
        <f t="shared" si="254"/>
        <v>0</v>
      </c>
      <c r="BN148">
        <f t="shared" si="254"/>
        <v>0</v>
      </c>
      <c r="BO148">
        <f t="shared" si="254"/>
        <v>0</v>
      </c>
      <c r="BP148">
        <f t="shared" si="254"/>
        <v>0</v>
      </c>
      <c r="BQ148">
        <f t="shared" si="254"/>
        <v>0</v>
      </c>
      <c r="BR148">
        <f t="shared" si="254"/>
        <v>0</v>
      </c>
      <c r="BS148">
        <f t="shared" si="254"/>
        <v>0</v>
      </c>
      <c r="BT148">
        <f t="shared" si="254"/>
        <v>0</v>
      </c>
      <c r="BU148">
        <f t="shared" si="254"/>
        <v>0</v>
      </c>
      <c r="BV148">
        <f t="shared" si="254"/>
        <v>0</v>
      </c>
      <c r="BW148">
        <f t="shared" si="254"/>
        <v>0</v>
      </c>
      <c r="BX148">
        <f t="shared" si="254"/>
        <v>0</v>
      </c>
      <c r="BY148">
        <f t="shared" si="254"/>
        <v>0</v>
      </c>
      <c r="BZ148">
        <f t="shared" si="254"/>
        <v>0</v>
      </c>
    </row>
    <row r="149" spans="1:78" x14ac:dyDescent="0.25">
      <c r="A149">
        <v>150</v>
      </c>
      <c r="B149" t="s">
        <v>17</v>
      </c>
      <c r="C149">
        <f t="shared" ref="C149:M149" si="255">C58*$A149</f>
        <v>43.5</v>
      </c>
      <c r="D149">
        <f t="shared" si="255"/>
        <v>43.5</v>
      </c>
      <c r="E149">
        <f t="shared" si="255"/>
        <v>43.5</v>
      </c>
      <c r="F149">
        <f t="shared" si="255"/>
        <v>37.5</v>
      </c>
      <c r="G149">
        <f t="shared" si="255"/>
        <v>37.5</v>
      </c>
      <c r="H149">
        <f t="shared" si="255"/>
        <v>42.000000000000007</v>
      </c>
      <c r="I149">
        <f t="shared" si="255"/>
        <v>37.5</v>
      </c>
      <c r="J149">
        <f t="shared" si="255"/>
        <v>37.5</v>
      </c>
      <c r="K149">
        <f t="shared" si="255"/>
        <v>37.5</v>
      </c>
      <c r="L149">
        <f t="shared" si="255"/>
        <v>37.5</v>
      </c>
      <c r="M149">
        <f t="shared" si="255"/>
        <v>37.5</v>
      </c>
      <c r="N149">
        <f t="shared" ref="N149" si="256">N58*$A149</f>
        <v>37.5</v>
      </c>
      <c r="O149">
        <f t="shared" ref="O149:AA149" si="257">O58*$A149</f>
        <v>39</v>
      </c>
      <c r="P149">
        <f t="shared" si="257"/>
        <v>39</v>
      </c>
      <c r="Q149">
        <f t="shared" si="257"/>
        <v>42.000000000000007</v>
      </c>
      <c r="R149">
        <f t="shared" si="257"/>
        <v>37.5</v>
      </c>
      <c r="S149">
        <f t="shared" si="257"/>
        <v>39</v>
      </c>
      <c r="T149">
        <f t="shared" si="257"/>
        <v>37.5</v>
      </c>
      <c r="U149">
        <f t="shared" si="257"/>
        <v>43.5</v>
      </c>
      <c r="V149">
        <f t="shared" si="257"/>
        <v>43.5</v>
      </c>
      <c r="W149">
        <f t="shared" si="257"/>
        <v>39</v>
      </c>
      <c r="X149">
        <f t="shared" si="257"/>
        <v>39</v>
      </c>
      <c r="Y149">
        <f t="shared" si="257"/>
        <v>37.5</v>
      </c>
      <c r="Z149">
        <f t="shared" si="257"/>
        <v>37.5</v>
      </c>
      <c r="AA149">
        <f t="shared" si="257"/>
        <v>37.5</v>
      </c>
      <c r="AB149">
        <f t="shared" ref="AB149:BZ149" si="258">AB58*$A149</f>
        <v>37.5</v>
      </c>
      <c r="AC149">
        <f t="shared" si="258"/>
        <v>0</v>
      </c>
      <c r="AD149">
        <f t="shared" si="258"/>
        <v>0</v>
      </c>
      <c r="AE149">
        <f t="shared" si="258"/>
        <v>0</v>
      </c>
      <c r="AF149">
        <f t="shared" si="258"/>
        <v>0</v>
      </c>
      <c r="AG149">
        <f t="shared" si="258"/>
        <v>0</v>
      </c>
      <c r="AH149">
        <f t="shared" si="258"/>
        <v>0</v>
      </c>
      <c r="AI149">
        <f t="shared" si="258"/>
        <v>0</v>
      </c>
      <c r="AJ149">
        <f t="shared" si="258"/>
        <v>0</v>
      </c>
      <c r="AK149">
        <f t="shared" si="258"/>
        <v>0</v>
      </c>
      <c r="AL149">
        <f t="shared" si="258"/>
        <v>0</v>
      </c>
      <c r="AM149">
        <f t="shared" si="258"/>
        <v>0</v>
      </c>
      <c r="AN149">
        <f t="shared" si="258"/>
        <v>0</v>
      </c>
      <c r="AO149">
        <f t="shared" si="258"/>
        <v>0</v>
      </c>
      <c r="AP149">
        <f t="shared" si="258"/>
        <v>0</v>
      </c>
      <c r="AQ149">
        <f t="shared" si="258"/>
        <v>0</v>
      </c>
      <c r="AR149">
        <f t="shared" si="258"/>
        <v>0</v>
      </c>
      <c r="AS149">
        <f t="shared" si="258"/>
        <v>0</v>
      </c>
      <c r="AT149">
        <f t="shared" si="258"/>
        <v>0</v>
      </c>
      <c r="AU149">
        <f t="shared" si="258"/>
        <v>0</v>
      </c>
      <c r="AV149">
        <f t="shared" si="258"/>
        <v>0</v>
      </c>
      <c r="AW149">
        <f t="shared" si="258"/>
        <v>0</v>
      </c>
      <c r="AX149">
        <f t="shared" si="258"/>
        <v>0</v>
      </c>
      <c r="AY149">
        <f t="shared" si="258"/>
        <v>0</v>
      </c>
      <c r="AZ149">
        <f t="shared" si="258"/>
        <v>0</v>
      </c>
      <c r="BA149">
        <f t="shared" si="258"/>
        <v>0</v>
      </c>
      <c r="BB149">
        <f t="shared" si="258"/>
        <v>0</v>
      </c>
      <c r="BC149">
        <f t="shared" si="258"/>
        <v>0</v>
      </c>
      <c r="BD149">
        <f t="shared" si="258"/>
        <v>0</v>
      </c>
      <c r="BE149">
        <f t="shared" si="258"/>
        <v>0</v>
      </c>
      <c r="BF149">
        <f t="shared" si="258"/>
        <v>0</v>
      </c>
      <c r="BG149">
        <f t="shared" si="258"/>
        <v>0</v>
      </c>
      <c r="BH149">
        <f t="shared" si="258"/>
        <v>0</v>
      </c>
      <c r="BI149">
        <f t="shared" si="258"/>
        <v>0</v>
      </c>
      <c r="BJ149">
        <f t="shared" si="258"/>
        <v>0</v>
      </c>
      <c r="BK149">
        <f t="shared" si="258"/>
        <v>0</v>
      </c>
      <c r="BL149">
        <f t="shared" si="258"/>
        <v>0</v>
      </c>
      <c r="BM149">
        <f t="shared" si="258"/>
        <v>0</v>
      </c>
      <c r="BN149">
        <f t="shared" si="258"/>
        <v>0</v>
      </c>
      <c r="BO149">
        <f t="shared" si="258"/>
        <v>0</v>
      </c>
      <c r="BP149">
        <f t="shared" si="258"/>
        <v>0</v>
      </c>
      <c r="BQ149">
        <f t="shared" si="258"/>
        <v>0</v>
      </c>
      <c r="BR149">
        <f t="shared" si="258"/>
        <v>0</v>
      </c>
      <c r="BS149">
        <f t="shared" si="258"/>
        <v>0</v>
      </c>
      <c r="BT149">
        <f t="shared" si="258"/>
        <v>0</v>
      </c>
      <c r="BU149">
        <f t="shared" si="258"/>
        <v>0</v>
      </c>
      <c r="BV149">
        <f t="shared" si="258"/>
        <v>0</v>
      </c>
      <c r="BW149">
        <f t="shared" si="258"/>
        <v>0</v>
      </c>
      <c r="BX149">
        <f t="shared" si="258"/>
        <v>0</v>
      </c>
      <c r="BY149">
        <f t="shared" si="258"/>
        <v>0</v>
      </c>
      <c r="BZ149">
        <f t="shared" si="258"/>
        <v>0</v>
      </c>
    </row>
    <row r="150" spans="1:78" x14ac:dyDescent="0.25">
      <c r="C150" s="2">
        <f>SUM(C145:C149)</f>
        <v>266.39999999999998</v>
      </c>
      <c r="D150" s="2">
        <f t="shared" ref="D150" si="259">SUM(D145:D149)</f>
        <v>266.39999999999998</v>
      </c>
      <c r="E150" s="2">
        <f t="shared" ref="E150" si="260">SUM(E145:E149)</f>
        <v>266.39999999999998</v>
      </c>
      <c r="F150" s="2">
        <f t="shared" ref="F150" si="261">SUM(F145:F149)</f>
        <v>280.39999999999998</v>
      </c>
      <c r="G150" s="2">
        <f t="shared" ref="G150" si="262">SUM(G145:G149)</f>
        <v>280.39999999999998</v>
      </c>
      <c r="H150" s="2">
        <f t="shared" ref="H150" si="263">SUM(H145:H149)</f>
        <v>284.90000000000003</v>
      </c>
      <c r="I150" s="2">
        <f t="shared" ref="I150" si="264">SUM(I145:I149)</f>
        <v>260.39999999999998</v>
      </c>
      <c r="J150" s="2">
        <f t="shared" ref="J150" si="265">SUM(J145:J149)</f>
        <v>280.39999999999998</v>
      </c>
      <c r="K150" s="2">
        <f t="shared" ref="K150" si="266">SUM(K145:K149)</f>
        <v>280.39999999999998</v>
      </c>
      <c r="L150" s="2">
        <f t="shared" ref="L150" si="267">SUM(L145:L149)</f>
        <v>280.39999999999998</v>
      </c>
      <c r="M150" s="2">
        <f t="shared" ref="M150" si="268">SUM(M145:M149)</f>
        <v>280.39999999999998</v>
      </c>
      <c r="N150" s="2">
        <f t="shared" ref="N150" si="269">SUM(N145:N149)</f>
        <v>270.39999999999998</v>
      </c>
      <c r="O150" s="2">
        <f t="shared" ref="O150:AA150" si="270">SUM(O145:O149)</f>
        <v>271.89999999999998</v>
      </c>
      <c r="P150" s="2">
        <f t="shared" si="270"/>
        <v>261.89999999999998</v>
      </c>
      <c r="Q150" s="2">
        <f t="shared" si="270"/>
        <v>284.90000000000003</v>
      </c>
      <c r="R150" s="2">
        <f t="shared" si="270"/>
        <v>280.39999999999998</v>
      </c>
      <c r="S150" s="2">
        <f t="shared" si="270"/>
        <v>281.89999999999998</v>
      </c>
      <c r="T150" s="2">
        <f t="shared" si="270"/>
        <v>280.39999999999998</v>
      </c>
      <c r="U150" s="2">
        <f t="shared" si="270"/>
        <v>411.45</v>
      </c>
      <c r="V150" s="2">
        <f t="shared" si="270"/>
        <v>487.9</v>
      </c>
      <c r="W150" s="2">
        <f t="shared" si="270"/>
        <v>389.1</v>
      </c>
      <c r="X150" s="2">
        <f t="shared" si="270"/>
        <v>441.25</v>
      </c>
      <c r="Y150" s="2">
        <f t="shared" si="270"/>
        <v>439.75</v>
      </c>
      <c r="Z150" s="2">
        <f t="shared" si="270"/>
        <v>434.05</v>
      </c>
      <c r="AA150" s="2">
        <f t="shared" si="270"/>
        <v>446.2</v>
      </c>
      <c r="AB150" s="2">
        <f t="shared" ref="AB150:BZ150" si="271">SUM(AB145:AB149)</f>
        <v>468.35</v>
      </c>
      <c r="AC150" s="2">
        <f t="shared" si="271"/>
        <v>0</v>
      </c>
      <c r="AD150" s="2">
        <f t="shared" si="271"/>
        <v>0</v>
      </c>
      <c r="AE150" s="2">
        <f t="shared" si="271"/>
        <v>0</v>
      </c>
      <c r="AF150" s="2">
        <f t="shared" si="271"/>
        <v>0</v>
      </c>
      <c r="AG150" s="2">
        <f t="shared" si="271"/>
        <v>0</v>
      </c>
      <c r="AH150" s="2">
        <f t="shared" si="271"/>
        <v>0</v>
      </c>
      <c r="AI150" s="2">
        <f t="shared" si="271"/>
        <v>0</v>
      </c>
      <c r="AJ150" s="2">
        <f t="shared" si="271"/>
        <v>0</v>
      </c>
      <c r="AK150" s="2">
        <f t="shared" si="271"/>
        <v>0</v>
      </c>
      <c r="AL150" s="2">
        <f t="shared" si="271"/>
        <v>0</v>
      </c>
      <c r="AM150" s="2">
        <f t="shared" si="271"/>
        <v>0</v>
      </c>
      <c r="AN150" s="2">
        <f t="shared" si="271"/>
        <v>0</v>
      </c>
      <c r="AO150" s="2">
        <f t="shared" si="271"/>
        <v>0</v>
      </c>
      <c r="AP150" s="2">
        <f t="shared" si="271"/>
        <v>0</v>
      </c>
      <c r="AQ150" s="2">
        <f t="shared" si="271"/>
        <v>0</v>
      </c>
      <c r="AR150" s="2">
        <f t="shared" si="271"/>
        <v>0</v>
      </c>
      <c r="AS150" s="2">
        <f t="shared" si="271"/>
        <v>0</v>
      </c>
      <c r="AT150" s="2">
        <f t="shared" si="271"/>
        <v>0</v>
      </c>
      <c r="AU150" s="2">
        <f t="shared" si="271"/>
        <v>0</v>
      </c>
      <c r="AV150" s="2">
        <f t="shared" si="271"/>
        <v>0</v>
      </c>
      <c r="AW150" s="2">
        <f t="shared" si="271"/>
        <v>0</v>
      </c>
      <c r="AX150" s="2">
        <f t="shared" si="271"/>
        <v>0</v>
      </c>
      <c r="AY150" s="2">
        <f t="shared" si="271"/>
        <v>0</v>
      </c>
      <c r="AZ150" s="2">
        <f t="shared" si="271"/>
        <v>0</v>
      </c>
      <c r="BA150" s="2">
        <f t="shared" si="271"/>
        <v>0</v>
      </c>
      <c r="BB150" s="2">
        <f t="shared" si="271"/>
        <v>0</v>
      </c>
      <c r="BC150" s="2">
        <f t="shared" si="271"/>
        <v>0</v>
      </c>
      <c r="BD150" s="2">
        <f t="shared" si="271"/>
        <v>0</v>
      </c>
      <c r="BE150" s="2">
        <f t="shared" si="271"/>
        <v>0</v>
      </c>
      <c r="BF150" s="2">
        <f t="shared" si="271"/>
        <v>0</v>
      </c>
      <c r="BG150" s="2">
        <f t="shared" si="271"/>
        <v>0</v>
      </c>
      <c r="BH150" s="2">
        <f t="shared" si="271"/>
        <v>0</v>
      </c>
      <c r="BI150" s="2">
        <f t="shared" si="271"/>
        <v>0</v>
      </c>
      <c r="BJ150" s="2">
        <f t="shared" si="271"/>
        <v>0</v>
      </c>
      <c r="BK150" s="2">
        <f t="shared" si="271"/>
        <v>0</v>
      </c>
      <c r="BL150" s="2">
        <f t="shared" si="271"/>
        <v>0</v>
      </c>
      <c r="BM150" s="2">
        <f t="shared" si="271"/>
        <v>0</v>
      </c>
      <c r="BN150" s="2">
        <f t="shared" si="271"/>
        <v>0</v>
      </c>
      <c r="BO150" s="2">
        <f t="shared" si="271"/>
        <v>0</v>
      </c>
      <c r="BP150" s="2">
        <f t="shared" si="271"/>
        <v>0</v>
      </c>
      <c r="BQ150" s="2">
        <f t="shared" si="271"/>
        <v>0</v>
      </c>
      <c r="BR150" s="2">
        <f t="shared" si="271"/>
        <v>0</v>
      </c>
      <c r="BS150" s="2">
        <f t="shared" si="271"/>
        <v>0</v>
      </c>
      <c r="BT150" s="2">
        <f t="shared" si="271"/>
        <v>0</v>
      </c>
      <c r="BU150" s="2">
        <f t="shared" si="271"/>
        <v>0</v>
      </c>
      <c r="BV150" s="2">
        <f t="shared" si="271"/>
        <v>0</v>
      </c>
      <c r="BW150" s="2">
        <f t="shared" si="271"/>
        <v>0</v>
      </c>
      <c r="BX150" s="2">
        <f t="shared" si="271"/>
        <v>0</v>
      </c>
      <c r="BY150" s="2">
        <f t="shared" si="271"/>
        <v>0</v>
      </c>
      <c r="BZ150" s="2">
        <f t="shared" si="271"/>
        <v>0</v>
      </c>
    </row>
    <row r="153" spans="1:78" ht="23.25" x14ac:dyDescent="0.35">
      <c r="A153" s="3" t="s">
        <v>18</v>
      </c>
    </row>
    <row r="154" spans="1:78" x14ac:dyDescent="0.25">
      <c r="A154" s="2" t="s">
        <v>11</v>
      </c>
      <c r="B154" s="2" t="s">
        <v>12</v>
      </c>
    </row>
    <row r="155" spans="1:78" x14ac:dyDescent="0.25">
      <c r="C155" s="1">
        <f>C144</f>
        <v>44331</v>
      </c>
      <c r="D155" s="1">
        <f t="shared" ref="D155:M155" si="272">D144</f>
        <v>44332</v>
      </c>
      <c r="E155" s="1">
        <f t="shared" si="272"/>
        <v>44334</v>
      </c>
      <c r="F155" s="1">
        <f t="shared" si="272"/>
        <v>44336</v>
      </c>
      <c r="G155" s="1">
        <f t="shared" si="272"/>
        <v>44337</v>
      </c>
      <c r="H155" s="1">
        <f t="shared" si="272"/>
        <v>44338</v>
      </c>
      <c r="I155" s="1">
        <f t="shared" si="272"/>
        <v>44339</v>
      </c>
      <c r="J155" s="1">
        <f t="shared" si="272"/>
        <v>44340</v>
      </c>
      <c r="K155" s="1">
        <f t="shared" si="272"/>
        <v>44341</v>
      </c>
      <c r="L155" s="1">
        <f t="shared" si="272"/>
        <v>44342</v>
      </c>
      <c r="M155" s="1">
        <f t="shared" si="272"/>
        <v>44343</v>
      </c>
      <c r="N155" s="1">
        <f t="shared" ref="N155" si="273">N144</f>
        <v>44344</v>
      </c>
      <c r="O155" s="1">
        <f t="shared" ref="O155:AA155" si="274">O144</f>
        <v>44345</v>
      </c>
      <c r="P155" s="1">
        <f t="shared" si="274"/>
        <v>44346</v>
      </c>
      <c r="Q155" s="1">
        <f t="shared" si="274"/>
        <v>44347</v>
      </c>
      <c r="R155" s="1">
        <f t="shared" si="274"/>
        <v>44348</v>
      </c>
      <c r="S155" s="1">
        <f t="shared" si="274"/>
        <v>44349</v>
      </c>
      <c r="T155" s="1">
        <f t="shared" si="274"/>
        <v>44350</v>
      </c>
      <c r="U155" s="1">
        <f t="shared" si="274"/>
        <v>44351</v>
      </c>
      <c r="V155" s="1">
        <f t="shared" si="274"/>
        <v>44352</v>
      </c>
      <c r="W155" s="1">
        <f t="shared" si="274"/>
        <v>44353</v>
      </c>
      <c r="X155" s="1">
        <f t="shared" si="274"/>
        <v>44354</v>
      </c>
      <c r="Y155" s="1">
        <f t="shared" si="274"/>
        <v>44355</v>
      </c>
      <c r="Z155" s="1">
        <f t="shared" si="274"/>
        <v>44356</v>
      </c>
      <c r="AA155" s="1">
        <f t="shared" si="274"/>
        <v>44357</v>
      </c>
      <c r="AB155" s="1">
        <f t="shared" ref="AB155:BZ155" si="275">AB144</f>
        <v>44358</v>
      </c>
      <c r="AC155" s="1">
        <f t="shared" si="275"/>
        <v>44359</v>
      </c>
      <c r="AD155" s="1">
        <f t="shared" si="275"/>
        <v>44360</v>
      </c>
      <c r="AE155" s="1">
        <f t="shared" si="275"/>
        <v>44361</v>
      </c>
      <c r="AF155" s="1">
        <f t="shared" si="275"/>
        <v>44362</v>
      </c>
      <c r="AG155" s="1">
        <f t="shared" si="275"/>
        <v>44363</v>
      </c>
      <c r="AH155" s="1">
        <f t="shared" si="275"/>
        <v>44364</v>
      </c>
      <c r="AI155" s="1">
        <f t="shared" si="275"/>
        <v>44365</v>
      </c>
      <c r="AJ155" s="1">
        <f t="shared" si="275"/>
        <v>44366</v>
      </c>
      <c r="AK155" s="1">
        <f t="shared" si="275"/>
        <v>44367</v>
      </c>
      <c r="AL155" s="1">
        <f t="shared" si="275"/>
        <v>44368</v>
      </c>
      <c r="AM155" s="1">
        <f t="shared" si="275"/>
        <v>44369</v>
      </c>
      <c r="AN155" s="1">
        <f t="shared" si="275"/>
        <v>44370</v>
      </c>
      <c r="AO155" s="1">
        <f t="shared" si="275"/>
        <v>44371</v>
      </c>
      <c r="AP155" s="1">
        <f t="shared" si="275"/>
        <v>44372</v>
      </c>
      <c r="AQ155" s="1">
        <f t="shared" si="275"/>
        <v>44373</v>
      </c>
      <c r="AR155" s="1">
        <f t="shared" si="275"/>
        <v>44374</v>
      </c>
      <c r="AS155" s="1">
        <f t="shared" si="275"/>
        <v>44375</v>
      </c>
      <c r="AT155" s="1">
        <f t="shared" si="275"/>
        <v>44376</v>
      </c>
      <c r="AU155" s="1">
        <f t="shared" si="275"/>
        <v>44377</v>
      </c>
      <c r="AV155" s="1">
        <f t="shared" si="275"/>
        <v>44378</v>
      </c>
      <c r="AW155" s="1">
        <f t="shared" si="275"/>
        <v>44379</v>
      </c>
      <c r="AX155" s="1">
        <f t="shared" si="275"/>
        <v>44380</v>
      </c>
      <c r="AY155" s="1">
        <f t="shared" si="275"/>
        <v>44381</v>
      </c>
      <c r="AZ155" s="1">
        <f t="shared" si="275"/>
        <v>44382</v>
      </c>
      <c r="BA155" s="1">
        <f t="shared" si="275"/>
        <v>44383</v>
      </c>
      <c r="BB155" s="1">
        <f t="shared" si="275"/>
        <v>44384</v>
      </c>
      <c r="BC155" s="1">
        <f t="shared" si="275"/>
        <v>44385</v>
      </c>
      <c r="BD155" s="1">
        <f t="shared" si="275"/>
        <v>44386</v>
      </c>
      <c r="BE155" s="1">
        <f t="shared" si="275"/>
        <v>44387</v>
      </c>
      <c r="BF155" s="1">
        <f t="shared" si="275"/>
        <v>44388</v>
      </c>
      <c r="BG155" s="1">
        <f t="shared" si="275"/>
        <v>44389</v>
      </c>
      <c r="BH155" s="1">
        <f t="shared" si="275"/>
        <v>44390</v>
      </c>
      <c r="BI155" s="1">
        <f t="shared" si="275"/>
        <v>44391</v>
      </c>
      <c r="BJ155" s="1">
        <f t="shared" si="275"/>
        <v>44392</v>
      </c>
      <c r="BK155" s="1">
        <f t="shared" si="275"/>
        <v>44393</v>
      </c>
      <c r="BL155" s="1">
        <f t="shared" si="275"/>
        <v>44394</v>
      </c>
      <c r="BM155" s="1">
        <f t="shared" si="275"/>
        <v>44395</v>
      </c>
      <c r="BN155" s="1">
        <f t="shared" si="275"/>
        <v>44396</v>
      </c>
      <c r="BO155" s="1">
        <f t="shared" si="275"/>
        <v>44397</v>
      </c>
      <c r="BP155" s="1">
        <f t="shared" si="275"/>
        <v>44398</v>
      </c>
      <c r="BQ155" s="1">
        <f t="shared" si="275"/>
        <v>44399</v>
      </c>
      <c r="BR155" s="1">
        <f t="shared" si="275"/>
        <v>44400</v>
      </c>
      <c r="BS155" s="1">
        <f t="shared" si="275"/>
        <v>44401</v>
      </c>
      <c r="BT155" s="1">
        <f t="shared" si="275"/>
        <v>44402</v>
      </c>
      <c r="BU155" s="1">
        <f t="shared" si="275"/>
        <v>44403</v>
      </c>
      <c r="BV155" s="1">
        <f t="shared" si="275"/>
        <v>44404</v>
      </c>
      <c r="BW155" s="1">
        <f t="shared" si="275"/>
        <v>44405</v>
      </c>
      <c r="BX155" s="1">
        <f t="shared" si="275"/>
        <v>44406</v>
      </c>
      <c r="BY155" s="1">
        <f t="shared" si="275"/>
        <v>44407</v>
      </c>
      <c r="BZ155" s="1">
        <f t="shared" si="275"/>
        <v>44408</v>
      </c>
    </row>
    <row r="156" spans="1:78" x14ac:dyDescent="0.25">
      <c r="A156">
        <v>5</v>
      </c>
      <c r="B156" t="s">
        <v>19</v>
      </c>
      <c r="C156">
        <f t="shared" ref="C156:M156" si="276">C65*$A156</f>
        <v>0.15</v>
      </c>
      <c r="D156">
        <f t="shared" si="276"/>
        <v>0.15</v>
      </c>
      <c r="E156">
        <f t="shared" si="276"/>
        <v>0.15</v>
      </c>
      <c r="F156">
        <f t="shared" si="276"/>
        <v>0.19999999999999996</v>
      </c>
      <c r="G156">
        <f t="shared" si="276"/>
        <v>0.19999999999999996</v>
      </c>
      <c r="H156">
        <f t="shared" si="276"/>
        <v>0.19999999999999996</v>
      </c>
      <c r="I156">
        <f t="shared" si="276"/>
        <v>0.15</v>
      </c>
      <c r="J156">
        <f t="shared" si="276"/>
        <v>0.19999999999999996</v>
      </c>
      <c r="K156">
        <f t="shared" si="276"/>
        <v>0.19999999999999996</v>
      </c>
      <c r="L156">
        <f t="shared" si="276"/>
        <v>0.19999999999999996</v>
      </c>
      <c r="M156">
        <f t="shared" si="276"/>
        <v>0.19999999999999996</v>
      </c>
      <c r="N156">
        <f t="shared" ref="N156" si="277">N65*$A156</f>
        <v>0.19999999999999996</v>
      </c>
      <c r="O156">
        <f t="shared" ref="O156:AA156" si="278">O65*$A156</f>
        <v>0.19999999999999996</v>
      </c>
      <c r="P156">
        <f t="shared" si="278"/>
        <v>0.15</v>
      </c>
      <c r="Q156">
        <f t="shared" si="278"/>
        <v>0.19999999999999996</v>
      </c>
      <c r="R156">
        <f t="shared" si="278"/>
        <v>0.19999999999999996</v>
      </c>
      <c r="S156">
        <f t="shared" si="278"/>
        <v>0.19999999999999996</v>
      </c>
      <c r="T156">
        <f t="shared" si="278"/>
        <v>0.19999999999999996</v>
      </c>
      <c r="U156">
        <f t="shared" si="278"/>
        <v>0.25</v>
      </c>
      <c r="V156">
        <f t="shared" si="278"/>
        <v>0.30000000000000004</v>
      </c>
      <c r="W156">
        <f t="shared" si="278"/>
        <v>0.25</v>
      </c>
      <c r="X156">
        <f t="shared" si="278"/>
        <v>0.30000000000000004</v>
      </c>
      <c r="Y156">
        <f t="shared" si="278"/>
        <v>0.30000000000000004</v>
      </c>
      <c r="Z156">
        <f t="shared" si="278"/>
        <v>0.30000000000000004</v>
      </c>
      <c r="AA156">
        <f t="shared" si="278"/>
        <v>0.30000000000000004</v>
      </c>
      <c r="AB156">
        <f t="shared" ref="AB156:BZ156" si="279">AB65*$A156</f>
        <v>0.30000000000000004</v>
      </c>
      <c r="AC156">
        <f t="shared" si="279"/>
        <v>0</v>
      </c>
      <c r="AD156">
        <f t="shared" si="279"/>
        <v>0</v>
      </c>
      <c r="AE156">
        <f t="shared" si="279"/>
        <v>0</v>
      </c>
      <c r="AF156">
        <f t="shared" si="279"/>
        <v>0</v>
      </c>
      <c r="AG156">
        <f t="shared" si="279"/>
        <v>0</v>
      </c>
      <c r="AH156">
        <f t="shared" si="279"/>
        <v>0</v>
      </c>
      <c r="AI156">
        <f t="shared" si="279"/>
        <v>0</v>
      </c>
      <c r="AJ156">
        <f t="shared" si="279"/>
        <v>0</v>
      </c>
      <c r="AK156">
        <f t="shared" si="279"/>
        <v>0</v>
      </c>
      <c r="AL156">
        <f t="shared" si="279"/>
        <v>0</v>
      </c>
      <c r="AM156">
        <f t="shared" si="279"/>
        <v>0</v>
      </c>
      <c r="AN156">
        <f t="shared" si="279"/>
        <v>0</v>
      </c>
      <c r="AO156">
        <f t="shared" si="279"/>
        <v>0</v>
      </c>
      <c r="AP156">
        <f t="shared" si="279"/>
        <v>0</v>
      </c>
      <c r="AQ156">
        <f t="shared" si="279"/>
        <v>0</v>
      </c>
      <c r="AR156">
        <f t="shared" si="279"/>
        <v>0</v>
      </c>
      <c r="AS156">
        <f t="shared" si="279"/>
        <v>0</v>
      </c>
      <c r="AT156">
        <f t="shared" si="279"/>
        <v>0</v>
      </c>
      <c r="AU156">
        <f t="shared" si="279"/>
        <v>0</v>
      </c>
      <c r="AV156">
        <f t="shared" si="279"/>
        <v>0</v>
      </c>
      <c r="AW156">
        <f t="shared" si="279"/>
        <v>0</v>
      </c>
      <c r="AX156">
        <f t="shared" si="279"/>
        <v>0</v>
      </c>
      <c r="AY156">
        <f t="shared" si="279"/>
        <v>0</v>
      </c>
      <c r="AZ156">
        <f t="shared" si="279"/>
        <v>0</v>
      </c>
      <c r="BA156">
        <f t="shared" si="279"/>
        <v>0</v>
      </c>
      <c r="BB156">
        <f t="shared" si="279"/>
        <v>0</v>
      </c>
      <c r="BC156">
        <f t="shared" si="279"/>
        <v>0</v>
      </c>
      <c r="BD156">
        <f t="shared" si="279"/>
        <v>0</v>
      </c>
      <c r="BE156">
        <f t="shared" si="279"/>
        <v>0</v>
      </c>
      <c r="BF156">
        <f t="shared" si="279"/>
        <v>0</v>
      </c>
      <c r="BG156">
        <f t="shared" si="279"/>
        <v>0</v>
      </c>
      <c r="BH156">
        <f t="shared" si="279"/>
        <v>0</v>
      </c>
      <c r="BI156">
        <f t="shared" si="279"/>
        <v>0</v>
      </c>
      <c r="BJ156">
        <f t="shared" si="279"/>
        <v>0</v>
      </c>
      <c r="BK156">
        <f t="shared" si="279"/>
        <v>0</v>
      </c>
      <c r="BL156">
        <f t="shared" si="279"/>
        <v>0</v>
      </c>
      <c r="BM156">
        <f t="shared" si="279"/>
        <v>0</v>
      </c>
      <c r="BN156">
        <f t="shared" si="279"/>
        <v>0</v>
      </c>
      <c r="BO156">
        <f t="shared" si="279"/>
        <v>0</v>
      </c>
      <c r="BP156">
        <f t="shared" si="279"/>
        <v>0</v>
      </c>
      <c r="BQ156">
        <f t="shared" si="279"/>
        <v>0</v>
      </c>
      <c r="BR156">
        <f t="shared" si="279"/>
        <v>0</v>
      </c>
      <c r="BS156">
        <f t="shared" si="279"/>
        <v>0</v>
      </c>
      <c r="BT156">
        <f t="shared" si="279"/>
        <v>0</v>
      </c>
      <c r="BU156">
        <f t="shared" si="279"/>
        <v>0</v>
      </c>
      <c r="BV156">
        <f t="shared" si="279"/>
        <v>0</v>
      </c>
      <c r="BW156">
        <f t="shared" si="279"/>
        <v>0</v>
      </c>
      <c r="BX156">
        <f t="shared" si="279"/>
        <v>0</v>
      </c>
      <c r="BY156">
        <f t="shared" si="279"/>
        <v>0</v>
      </c>
      <c r="BZ156">
        <f t="shared" si="279"/>
        <v>0</v>
      </c>
    </row>
    <row r="157" spans="1:78" x14ac:dyDescent="0.25">
      <c r="A157">
        <v>16</v>
      </c>
      <c r="B157" t="s">
        <v>20</v>
      </c>
      <c r="C157">
        <f t="shared" ref="C157:M157" si="280">C66*$A157</f>
        <v>0.8</v>
      </c>
      <c r="D157">
        <f t="shared" si="280"/>
        <v>0.8</v>
      </c>
      <c r="E157">
        <f t="shared" si="280"/>
        <v>0.8</v>
      </c>
      <c r="F157">
        <f t="shared" si="280"/>
        <v>0.8</v>
      </c>
      <c r="G157">
        <f t="shared" si="280"/>
        <v>0.8</v>
      </c>
      <c r="H157">
        <f t="shared" si="280"/>
        <v>0.8</v>
      </c>
      <c r="I157">
        <f t="shared" si="280"/>
        <v>0.8</v>
      </c>
      <c r="J157">
        <f t="shared" si="280"/>
        <v>0.8</v>
      </c>
      <c r="K157">
        <f t="shared" si="280"/>
        <v>0.8</v>
      </c>
      <c r="L157">
        <f t="shared" si="280"/>
        <v>0.8</v>
      </c>
      <c r="M157">
        <f t="shared" si="280"/>
        <v>0.8</v>
      </c>
      <c r="N157">
        <f t="shared" ref="N157" si="281">N66*$A157</f>
        <v>0.8</v>
      </c>
      <c r="O157">
        <f t="shared" ref="O157:AA157" si="282">O66*$A157</f>
        <v>0.8</v>
      </c>
      <c r="P157">
        <f t="shared" si="282"/>
        <v>0.8</v>
      </c>
      <c r="Q157">
        <f t="shared" si="282"/>
        <v>0.8</v>
      </c>
      <c r="R157">
        <f t="shared" si="282"/>
        <v>0.96000000000000008</v>
      </c>
      <c r="S157">
        <f t="shared" si="282"/>
        <v>0.96000000000000008</v>
      </c>
      <c r="T157">
        <f t="shared" si="282"/>
        <v>0.96000000000000008</v>
      </c>
      <c r="U157">
        <f t="shared" si="282"/>
        <v>1.1200000000000001</v>
      </c>
      <c r="V157">
        <f t="shared" si="282"/>
        <v>1.44</v>
      </c>
      <c r="W157">
        <f t="shared" si="282"/>
        <v>1.2800000000000002</v>
      </c>
      <c r="X157">
        <f t="shared" si="282"/>
        <v>1.2800000000000002</v>
      </c>
      <c r="Y157">
        <f t="shared" si="282"/>
        <v>1.1200000000000001</v>
      </c>
      <c r="Z157">
        <f t="shared" si="282"/>
        <v>1.2800000000000002</v>
      </c>
      <c r="AA157">
        <f t="shared" si="282"/>
        <v>1.1200000000000001</v>
      </c>
      <c r="AB157">
        <f t="shared" ref="AB157:BZ157" si="283">AB66*$A157</f>
        <v>1.1200000000000001</v>
      </c>
      <c r="AC157">
        <f t="shared" si="283"/>
        <v>0</v>
      </c>
      <c r="AD157">
        <f t="shared" si="283"/>
        <v>0</v>
      </c>
      <c r="AE157">
        <f t="shared" si="283"/>
        <v>0</v>
      </c>
      <c r="AF157">
        <f t="shared" si="283"/>
        <v>0</v>
      </c>
      <c r="AG157">
        <f t="shared" si="283"/>
        <v>0</v>
      </c>
      <c r="AH157">
        <f t="shared" si="283"/>
        <v>0</v>
      </c>
      <c r="AI157">
        <f t="shared" si="283"/>
        <v>0</v>
      </c>
      <c r="AJ157">
        <f t="shared" si="283"/>
        <v>0</v>
      </c>
      <c r="AK157">
        <f t="shared" si="283"/>
        <v>0</v>
      </c>
      <c r="AL157">
        <f t="shared" si="283"/>
        <v>0</v>
      </c>
      <c r="AM157">
        <f t="shared" si="283"/>
        <v>0</v>
      </c>
      <c r="AN157">
        <f t="shared" si="283"/>
        <v>0</v>
      </c>
      <c r="AO157">
        <f t="shared" si="283"/>
        <v>0</v>
      </c>
      <c r="AP157">
        <f t="shared" si="283"/>
        <v>0</v>
      </c>
      <c r="AQ157">
        <f t="shared" si="283"/>
        <v>0</v>
      </c>
      <c r="AR157">
        <f t="shared" si="283"/>
        <v>0</v>
      </c>
      <c r="AS157">
        <f t="shared" si="283"/>
        <v>0</v>
      </c>
      <c r="AT157">
        <f t="shared" si="283"/>
        <v>0</v>
      </c>
      <c r="AU157">
        <f t="shared" si="283"/>
        <v>0</v>
      </c>
      <c r="AV157">
        <f t="shared" si="283"/>
        <v>0</v>
      </c>
      <c r="AW157">
        <f t="shared" si="283"/>
        <v>0</v>
      </c>
      <c r="AX157">
        <f t="shared" si="283"/>
        <v>0</v>
      </c>
      <c r="AY157">
        <f t="shared" si="283"/>
        <v>0</v>
      </c>
      <c r="AZ157">
        <f t="shared" si="283"/>
        <v>0</v>
      </c>
      <c r="BA157">
        <f t="shared" si="283"/>
        <v>0</v>
      </c>
      <c r="BB157">
        <f t="shared" si="283"/>
        <v>0</v>
      </c>
      <c r="BC157">
        <f t="shared" si="283"/>
        <v>0</v>
      </c>
      <c r="BD157">
        <f t="shared" si="283"/>
        <v>0</v>
      </c>
      <c r="BE157">
        <f t="shared" si="283"/>
        <v>0</v>
      </c>
      <c r="BF157">
        <f t="shared" si="283"/>
        <v>0</v>
      </c>
      <c r="BG157">
        <f t="shared" si="283"/>
        <v>0</v>
      </c>
      <c r="BH157">
        <f t="shared" si="283"/>
        <v>0</v>
      </c>
      <c r="BI157">
        <f t="shared" si="283"/>
        <v>0</v>
      </c>
      <c r="BJ157">
        <f t="shared" si="283"/>
        <v>0</v>
      </c>
      <c r="BK157">
        <f t="shared" si="283"/>
        <v>0</v>
      </c>
      <c r="BL157">
        <f t="shared" si="283"/>
        <v>0</v>
      </c>
      <c r="BM157">
        <f t="shared" si="283"/>
        <v>0</v>
      </c>
      <c r="BN157">
        <f t="shared" si="283"/>
        <v>0</v>
      </c>
      <c r="BO157">
        <f t="shared" si="283"/>
        <v>0</v>
      </c>
      <c r="BP157">
        <f t="shared" si="283"/>
        <v>0</v>
      </c>
      <c r="BQ157">
        <f t="shared" si="283"/>
        <v>0</v>
      </c>
      <c r="BR157">
        <f t="shared" si="283"/>
        <v>0</v>
      </c>
      <c r="BS157">
        <f t="shared" si="283"/>
        <v>0</v>
      </c>
      <c r="BT157">
        <f t="shared" si="283"/>
        <v>0</v>
      </c>
      <c r="BU157">
        <f t="shared" si="283"/>
        <v>0</v>
      </c>
      <c r="BV157">
        <f t="shared" si="283"/>
        <v>0</v>
      </c>
      <c r="BW157">
        <f t="shared" si="283"/>
        <v>0</v>
      </c>
      <c r="BX157">
        <f t="shared" si="283"/>
        <v>0</v>
      </c>
      <c r="BY157">
        <f t="shared" si="283"/>
        <v>0</v>
      </c>
      <c r="BZ157">
        <f t="shared" si="283"/>
        <v>0</v>
      </c>
    </row>
    <row r="158" spans="1:78" x14ac:dyDescent="0.25">
      <c r="A158">
        <v>3</v>
      </c>
      <c r="B158" t="s">
        <v>21</v>
      </c>
      <c r="C158">
        <f t="shared" ref="C158:M158" si="284">C67*$A158</f>
        <v>0.86999999999999988</v>
      </c>
      <c r="D158">
        <f t="shared" si="284"/>
        <v>0.86999999999999988</v>
      </c>
      <c r="E158">
        <f t="shared" si="284"/>
        <v>0.86999999999999988</v>
      </c>
      <c r="F158">
        <f t="shared" si="284"/>
        <v>0.75</v>
      </c>
      <c r="G158">
        <f t="shared" si="284"/>
        <v>0.75</v>
      </c>
      <c r="H158">
        <f t="shared" si="284"/>
        <v>0.84000000000000008</v>
      </c>
      <c r="I158">
        <f t="shared" si="284"/>
        <v>0.75</v>
      </c>
      <c r="J158">
        <f t="shared" si="284"/>
        <v>0.75</v>
      </c>
      <c r="K158">
        <f t="shared" si="284"/>
        <v>0.75</v>
      </c>
      <c r="L158">
        <f t="shared" si="284"/>
        <v>0.75</v>
      </c>
      <c r="M158">
        <f t="shared" si="284"/>
        <v>0.75</v>
      </c>
      <c r="N158">
        <f t="shared" ref="N158" si="285">N67*$A158</f>
        <v>0.75</v>
      </c>
      <c r="O158">
        <f t="shared" ref="O158:AA158" si="286">O67*$A158</f>
        <v>0.78</v>
      </c>
      <c r="P158">
        <f t="shared" si="286"/>
        <v>0.78</v>
      </c>
      <c r="Q158">
        <f t="shared" si="286"/>
        <v>0.84000000000000008</v>
      </c>
      <c r="R158">
        <f t="shared" si="286"/>
        <v>0.75</v>
      </c>
      <c r="S158">
        <f t="shared" si="286"/>
        <v>0.78</v>
      </c>
      <c r="T158">
        <f t="shared" si="286"/>
        <v>0.75</v>
      </c>
      <c r="U158">
        <f t="shared" si="286"/>
        <v>0.86999999999999988</v>
      </c>
      <c r="V158">
        <f t="shared" si="286"/>
        <v>0.86999999999999988</v>
      </c>
      <c r="W158">
        <f t="shared" si="286"/>
        <v>0.78</v>
      </c>
      <c r="X158">
        <f t="shared" si="286"/>
        <v>0.78</v>
      </c>
      <c r="Y158">
        <f t="shared" si="286"/>
        <v>0.75</v>
      </c>
      <c r="Z158">
        <f t="shared" si="286"/>
        <v>0.75</v>
      </c>
      <c r="AA158">
        <f t="shared" si="286"/>
        <v>0.75</v>
      </c>
      <c r="AB158">
        <f t="shared" ref="AB158:BZ158" si="287">AB67*$A158</f>
        <v>0.75</v>
      </c>
      <c r="AC158">
        <f t="shared" si="287"/>
        <v>0</v>
      </c>
      <c r="AD158">
        <f t="shared" si="287"/>
        <v>0</v>
      </c>
      <c r="AE158">
        <f t="shared" si="287"/>
        <v>0</v>
      </c>
      <c r="AF158">
        <f t="shared" si="287"/>
        <v>0</v>
      </c>
      <c r="AG158">
        <f t="shared" si="287"/>
        <v>0</v>
      </c>
      <c r="AH158">
        <f t="shared" si="287"/>
        <v>0</v>
      </c>
      <c r="AI158">
        <f t="shared" si="287"/>
        <v>0</v>
      </c>
      <c r="AJ158">
        <f t="shared" si="287"/>
        <v>0</v>
      </c>
      <c r="AK158">
        <f t="shared" si="287"/>
        <v>0</v>
      </c>
      <c r="AL158">
        <f t="shared" si="287"/>
        <v>0</v>
      </c>
      <c r="AM158">
        <f t="shared" si="287"/>
        <v>0</v>
      </c>
      <c r="AN158">
        <f t="shared" si="287"/>
        <v>0</v>
      </c>
      <c r="AO158">
        <f t="shared" si="287"/>
        <v>0</v>
      </c>
      <c r="AP158">
        <f t="shared" si="287"/>
        <v>0</v>
      </c>
      <c r="AQ158">
        <f t="shared" si="287"/>
        <v>0</v>
      </c>
      <c r="AR158">
        <f t="shared" si="287"/>
        <v>0</v>
      </c>
      <c r="AS158">
        <f t="shared" si="287"/>
        <v>0</v>
      </c>
      <c r="AT158">
        <f t="shared" si="287"/>
        <v>0</v>
      </c>
      <c r="AU158">
        <f t="shared" si="287"/>
        <v>0</v>
      </c>
      <c r="AV158">
        <f t="shared" si="287"/>
        <v>0</v>
      </c>
      <c r="AW158">
        <f t="shared" si="287"/>
        <v>0</v>
      </c>
      <c r="AX158">
        <f t="shared" si="287"/>
        <v>0</v>
      </c>
      <c r="AY158">
        <f t="shared" si="287"/>
        <v>0</v>
      </c>
      <c r="AZ158">
        <f t="shared" si="287"/>
        <v>0</v>
      </c>
      <c r="BA158">
        <f t="shared" si="287"/>
        <v>0</v>
      </c>
      <c r="BB158">
        <f t="shared" si="287"/>
        <v>0</v>
      </c>
      <c r="BC158">
        <f t="shared" si="287"/>
        <v>0</v>
      </c>
      <c r="BD158">
        <f t="shared" si="287"/>
        <v>0</v>
      </c>
      <c r="BE158">
        <f t="shared" si="287"/>
        <v>0</v>
      </c>
      <c r="BF158">
        <f t="shared" si="287"/>
        <v>0</v>
      </c>
      <c r="BG158">
        <f t="shared" si="287"/>
        <v>0</v>
      </c>
      <c r="BH158">
        <f t="shared" si="287"/>
        <v>0</v>
      </c>
      <c r="BI158">
        <f t="shared" si="287"/>
        <v>0</v>
      </c>
      <c r="BJ158">
        <f t="shared" si="287"/>
        <v>0</v>
      </c>
      <c r="BK158">
        <f t="shared" si="287"/>
        <v>0</v>
      </c>
      <c r="BL158">
        <f t="shared" si="287"/>
        <v>0</v>
      </c>
      <c r="BM158">
        <f t="shared" si="287"/>
        <v>0</v>
      </c>
      <c r="BN158">
        <f t="shared" si="287"/>
        <v>0</v>
      </c>
      <c r="BO158">
        <f t="shared" si="287"/>
        <v>0</v>
      </c>
      <c r="BP158">
        <f t="shared" si="287"/>
        <v>0</v>
      </c>
      <c r="BQ158">
        <f t="shared" si="287"/>
        <v>0</v>
      </c>
      <c r="BR158">
        <f t="shared" si="287"/>
        <v>0</v>
      </c>
      <c r="BS158">
        <f t="shared" si="287"/>
        <v>0</v>
      </c>
      <c r="BT158">
        <f t="shared" si="287"/>
        <v>0</v>
      </c>
      <c r="BU158">
        <f t="shared" si="287"/>
        <v>0</v>
      </c>
      <c r="BV158">
        <f t="shared" si="287"/>
        <v>0</v>
      </c>
      <c r="BW158">
        <f t="shared" si="287"/>
        <v>0</v>
      </c>
      <c r="BX158">
        <f t="shared" si="287"/>
        <v>0</v>
      </c>
      <c r="BY158">
        <f t="shared" si="287"/>
        <v>0</v>
      </c>
      <c r="BZ158">
        <f t="shared" si="287"/>
        <v>0</v>
      </c>
    </row>
    <row r="159" spans="1:78" x14ac:dyDescent="0.25">
      <c r="A159">
        <v>16</v>
      </c>
      <c r="B159" t="s">
        <v>22</v>
      </c>
      <c r="C159">
        <f t="shared" ref="C159:M159" si="288">C68*$A159</f>
        <v>0.8</v>
      </c>
      <c r="D159">
        <f t="shared" si="288"/>
        <v>0.8</v>
      </c>
      <c r="E159">
        <f t="shared" si="288"/>
        <v>0.8</v>
      </c>
      <c r="F159">
        <f t="shared" si="288"/>
        <v>0.8</v>
      </c>
      <c r="G159">
        <f t="shared" si="288"/>
        <v>0.8</v>
      </c>
      <c r="H159">
        <f t="shared" si="288"/>
        <v>0.8</v>
      </c>
      <c r="I159">
        <f t="shared" si="288"/>
        <v>0.8</v>
      </c>
      <c r="J159">
        <f t="shared" si="288"/>
        <v>0.8</v>
      </c>
      <c r="K159">
        <f t="shared" si="288"/>
        <v>0.8</v>
      </c>
      <c r="L159">
        <f t="shared" si="288"/>
        <v>0.8</v>
      </c>
      <c r="M159">
        <f t="shared" si="288"/>
        <v>0.8</v>
      </c>
      <c r="N159">
        <f t="shared" ref="N159" si="289">N68*$A159</f>
        <v>0.6399999999999999</v>
      </c>
      <c r="O159">
        <f t="shared" ref="O159:AA159" si="290">O68*$A159</f>
        <v>0.6399999999999999</v>
      </c>
      <c r="P159">
        <f t="shared" si="290"/>
        <v>0.8</v>
      </c>
      <c r="Q159">
        <f t="shared" si="290"/>
        <v>0.8</v>
      </c>
      <c r="R159">
        <f t="shared" si="290"/>
        <v>0.8</v>
      </c>
      <c r="S159">
        <f t="shared" si="290"/>
        <v>0.8</v>
      </c>
      <c r="T159">
        <f t="shared" si="290"/>
        <v>0.8</v>
      </c>
      <c r="U159">
        <f t="shared" si="290"/>
        <v>0.96000000000000008</v>
      </c>
      <c r="V159">
        <f t="shared" si="290"/>
        <v>1.1200000000000001</v>
      </c>
      <c r="W159">
        <f t="shared" si="290"/>
        <v>0.96000000000000008</v>
      </c>
      <c r="X159">
        <f t="shared" si="290"/>
        <v>1.1200000000000001</v>
      </c>
      <c r="Y159">
        <f t="shared" si="290"/>
        <v>1.1200000000000001</v>
      </c>
      <c r="Z159">
        <f t="shared" si="290"/>
        <v>0.96000000000000008</v>
      </c>
      <c r="AA159">
        <f t="shared" si="290"/>
        <v>1.1200000000000001</v>
      </c>
      <c r="AB159">
        <f t="shared" ref="AB159:BZ159" si="291">AB68*$A159</f>
        <v>1.1200000000000001</v>
      </c>
      <c r="AC159">
        <f t="shared" si="291"/>
        <v>0</v>
      </c>
      <c r="AD159">
        <f t="shared" si="291"/>
        <v>0</v>
      </c>
      <c r="AE159">
        <f t="shared" si="291"/>
        <v>0</v>
      </c>
      <c r="AF159">
        <f t="shared" si="291"/>
        <v>0</v>
      </c>
      <c r="AG159">
        <f t="shared" si="291"/>
        <v>0</v>
      </c>
      <c r="AH159">
        <f t="shared" si="291"/>
        <v>0</v>
      </c>
      <c r="AI159">
        <f t="shared" si="291"/>
        <v>0</v>
      </c>
      <c r="AJ159">
        <f t="shared" si="291"/>
        <v>0</v>
      </c>
      <c r="AK159">
        <f t="shared" si="291"/>
        <v>0</v>
      </c>
      <c r="AL159">
        <f t="shared" si="291"/>
        <v>0</v>
      </c>
      <c r="AM159">
        <f t="shared" si="291"/>
        <v>0</v>
      </c>
      <c r="AN159">
        <f t="shared" si="291"/>
        <v>0</v>
      </c>
      <c r="AO159">
        <f t="shared" si="291"/>
        <v>0</v>
      </c>
      <c r="AP159">
        <f t="shared" si="291"/>
        <v>0</v>
      </c>
      <c r="AQ159">
        <f t="shared" si="291"/>
        <v>0</v>
      </c>
      <c r="AR159">
        <f t="shared" si="291"/>
        <v>0</v>
      </c>
      <c r="AS159">
        <f t="shared" si="291"/>
        <v>0</v>
      </c>
      <c r="AT159">
        <f t="shared" si="291"/>
        <v>0</v>
      </c>
      <c r="AU159">
        <f t="shared" si="291"/>
        <v>0</v>
      </c>
      <c r="AV159">
        <f t="shared" si="291"/>
        <v>0</v>
      </c>
      <c r="AW159">
        <f t="shared" si="291"/>
        <v>0</v>
      </c>
      <c r="AX159">
        <f t="shared" si="291"/>
        <v>0</v>
      </c>
      <c r="AY159">
        <f t="shared" si="291"/>
        <v>0</v>
      </c>
      <c r="AZ159">
        <f t="shared" si="291"/>
        <v>0</v>
      </c>
      <c r="BA159">
        <f t="shared" si="291"/>
        <v>0</v>
      </c>
      <c r="BB159">
        <f t="shared" si="291"/>
        <v>0</v>
      </c>
      <c r="BC159">
        <f t="shared" si="291"/>
        <v>0</v>
      </c>
      <c r="BD159">
        <f t="shared" si="291"/>
        <v>0</v>
      </c>
      <c r="BE159">
        <f t="shared" si="291"/>
        <v>0</v>
      </c>
      <c r="BF159">
        <f t="shared" si="291"/>
        <v>0</v>
      </c>
      <c r="BG159">
        <f t="shared" si="291"/>
        <v>0</v>
      </c>
      <c r="BH159">
        <f t="shared" si="291"/>
        <v>0</v>
      </c>
      <c r="BI159">
        <f t="shared" si="291"/>
        <v>0</v>
      </c>
      <c r="BJ159">
        <f t="shared" si="291"/>
        <v>0</v>
      </c>
      <c r="BK159">
        <f t="shared" si="291"/>
        <v>0</v>
      </c>
      <c r="BL159">
        <f t="shared" si="291"/>
        <v>0</v>
      </c>
      <c r="BM159">
        <f t="shared" si="291"/>
        <v>0</v>
      </c>
      <c r="BN159">
        <f t="shared" si="291"/>
        <v>0</v>
      </c>
      <c r="BO159">
        <f t="shared" si="291"/>
        <v>0</v>
      </c>
      <c r="BP159">
        <f t="shared" si="291"/>
        <v>0</v>
      </c>
      <c r="BQ159">
        <f t="shared" si="291"/>
        <v>0</v>
      </c>
      <c r="BR159">
        <f t="shared" si="291"/>
        <v>0</v>
      </c>
      <c r="BS159">
        <f t="shared" si="291"/>
        <v>0</v>
      </c>
      <c r="BT159">
        <f t="shared" si="291"/>
        <v>0</v>
      </c>
      <c r="BU159">
        <f t="shared" si="291"/>
        <v>0</v>
      </c>
      <c r="BV159">
        <f t="shared" si="291"/>
        <v>0</v>
      </c>
      <c r="BW159">
        <f t="shared" si="291"/>
        <v>0</v>
      </c>
      <c r="BX159">
        <f t="shared" si="291"/>
        <v>0</v>
      </c>
      <c r="BY159">
        <f t="shared" si="291"/>
        <v>0</v>
      </c>
      <c r="BZ159">
        <f t="shared" si="291"/>
        <v>0</v>
      </c>
    </row>
    <row r="160" spans="1:78" x14ac:dyDescent="0.25">
      <c r="A160">
        <v>19</v>
      </c>
      <c r="B160" t="s">
        <v>23</v>
      </c>
      <c r="C160">
        <f t="shared" ref="C160:M160" si="292">C69*$A160</f>
        <v>3.04</v>
      </c>
      <c r="D160">
        <f t="shared" si="292"/>
        <v>3.04</v>
      </c>
      <c r="E160">
        <f t="shared" si="292"/>
        <v>3.04</v>
      </c>
      <c r="F160">
        <f t="shared" si="292"/>
        <v>3.04</v>
      </c>
      <c r="G160">
        <f t="shared" si="292"/>
        <v>3.04</v>
      </c>
      <c r="H160">
        <f t="shared" si="292"/>
        <v>3.04</v>
      </c>
      <c r="I160">
        <f t="shared" si="292"/>
        <v>3.04</v>
      </c>
      <c r="J160">
        <f t="shared" si="292"/>
        <v>3.04</v>
      </c>
      <c r="K160">
        <f t="shared" si="292"/>
        <v>3.04</v>
      </c>
      <c r="L160">
        <f t="shared" si="292"/>
        <v>3.2300000000000004</v>
      </c>
      <c r="M160">
        <f t="shared" si="292"/>
        <v>3.2300000000000004</v>
      </c>
      <c r="N160">
        <f t="shared" ref="N160" si="293">N69*$A160</f>
        <v>3.04</v>
      </c>
      <c r="O160">
        <f t="shared" ref="O160:AA160" si="294">O69*$A160</f>
        <v>3.04</v>
      </c>
      <c r="P160">
        <f t="shared" si="294"/>
        <v>3.61</v>
      </c>
      <c r="Q160">
        <f t="shared" si="294"/>
        <v>3.61</v>
      </c>
      <c r="R160">
        <f t="shared" si="294"/>
        <v>3.61</v>
      </c>
      <c r="S160">
        <f t="shared" si="294"/>
        <v>3.99</v>
      </c>
      <c r="T160">
        <f t="shared" si="294"/>
        <v>4.1800000000000006</v>
      </c>
      <c r="U160">
        <f t="shared" si="294"/>
        <v>5.32</v>
      </c>
      <c r="V160">
        <f t="shared" si="294"/>
        <v>6.6499999999999995</v>
      </c>
      <c r="W160">
        <f t="shared" si="294"/>
        <v>4.75</v>
      </c>
      <c r="X160">
        <f t="shared" si="294"/>
        <v>4.75</v>
      </c>
      <c r="Y160">
        <f t="shared" si="294"/>
        <v>5.32</v>
      </c>
      <c r="Z160">
        <f t="shared" si="294"/>
        <v>4.75</v>
      </c>
      <c r="AA160">
        <f t="shared" si="294"/>
        <v>5.7</v>
      </c>
      <c r="AB160">
        <f t="shared" ref="AB160:BZ160" si="295">AB69*$A160</f>
        <v>6.08</v>
      </c>
      <c r="AC160">
        <f t="shared" si="295"/>
        <v>0</v>
      </c>
      <c r="AD160">
        <f t="shared" si="295"/>
        <v>0</v>
      </c>
      <c r="AE160">
        <f t="shared" si="295"/>
        <v>0</v>
      </c>
      <c r="AF160">
        <f t="shared" si="295"/>
        <v>0</v>
      </c>
      <c r="AG160">
        <f t="shared" si="295"/>
        <v>0</v>
      </c>
      <c r="AH160">
        <f t="shared" si="295"/>
        <v>0</v>
      </c>
      <c r="AI160">
        <f t="shared" si="295"/>
        <v>0</v>
      </c>
      <c r="AJ160">
        <f t="shared" si="295"/>
        <v>0</v>
      </c>
      <c r="AK160">
        <f t="shared" si="295"/>
        <v>0</v>
      </c>
      <c r="AL160">
        <f t="shared" si="295"/>
        <v>0</v>
      </c>
      <c r="AM160">
        <f t="shared" si="295"/>
        <v>0</v>
      </c>
      <c r="AN160">
        <f t="shared" si="295"/>
        <v>0</v>
      </c>
      <c r="AO160">
        <f t="shared" si="295"/>
        <v>0</v>
      </c>
      <c r="AP160">
        <f t="shared" si="295"/>
        <v>0</v>
      </c>
      <c r="AQ160">
        <f t="shared" si="295"/>
        <v>0</v>
      </c>
      <c r="AR160">
        <f t="shared" si="295"/>
        <v>0</v>
      </c>
      <c r="AS160">
        <f t="shared" si="295"/>
        <v>0</v>
      </c>
      <c r="AT160">
        <f t="shared" si="295"/>
        <v>0</v>
      </c>
      <c r="AU160">
        <f t="shared" si="295"/>
        <v>0</v>
      </c>
      <c r="AV160">
        <f t="shared" si="295"/>
        <v>0</v>
      </c>
      <c r="AW160">
        <f t="shared" si="295"/>
        <v>0</v>
      </c>
      <c r="AX160">
        <f t="shared" si="295"/>
        <v>0</v>
      </c>
      <c r="AY160">
        <f t="shared" si="295"/>
        <v>0</v>
      </c>
      <c r="AZ160">
        <f t="shared" si="295"/>
        <v>0</v>
      </c>
      <c r="BA160">
        <f t="shared" si="295"/>
        <v>0</v>
      </c>
      <c r="BB160">
        <f t="shared" si="295"/>
        <v>0</v>
      </c>
      <c r="BC160">
        <f t="shared" si="295"/>
        <v>0</v>
      </c>
      <c r="BD160">
        <f t="shared" si="295"/>
        <v>0</v>
      </c>
      <c r="BE160">
        <f t="shared" si="295"/>
        <v>0</v>
      </c>
      <c r="BF160">
        <f t="shared" si="295"/>
        <v>0</v>
      </c>
      <c r="BG160">
        <f t="shared" si="295"/>
        <v>0</v>
      </c>
      <c r="BH160">
        <f t="shared" si="295"/>
        <v>0</v>
      </c>
      <c r="BI160">
        <f t="shared" si="295"/>
        <v>0</v>
      </c>
      <c r="BJ160">
        <f t="shared" si="295"/>
        <v>0</v>
      </c>
      <c r="BK160">
        <f t="shared" si="295"/>
        <v>0</v>
      </c>
      <c r="BL160">
        <f t="shared" si="295"/>
        <v>0</v>
      </c>
      <c r="BM160">
        <f t="shared" si="295"/>
        <v>0</v>
      </c>
      <c r="BN160">
        <f t="shared" si="295"/>
        <v>0</v>
      </c>
      <c r="BO160">
        <f t="shared" si="295"/>
        <v>0</v>
      </c>
      <c r="BP160">
        <f t="shared" si="295"/>
        <v>0</v>
      </c>
      <c r="BQ160">
        <f t="shared" si="295"/>
        <v>0</v>
      </c>
      <c r="BR160">
        <f t="shared" si="295"/>
        <v>0</v>
      </c>
      <c r="BS160">
        <f t="shared" si="295"/>
        <v>0</v>
      </c>
      <c r="BT160">
        <f t="shared" si="295"/>
        <v>0</v>
      </c>
      <c r="BU160">
        <f t="shared" si="295"/>
        <v>0</v>
      </c>
      <c r="BV160">
        <f t="shared" si="295"/>
        <v>0</v>
      </c>
      <c r="BW160">
        <f t="shared" si="295"/>
        <v>0</v>
      </c>
      <c r="BX160">
        <f t="shared" si="295"/>
        <v>0</v>
      </c>
      <c r="BY160">
        <f t="shared" si="295"/>
        <v>0</v>
      </c>
      <c r="BZ160">
        <f t="shared" si="295"/>
        <v>0</v>
      </c>
    </row>
    <row r="161" spans="1:78" x14ac:dyDescent="0.25">
      <c r="A161">
        <v>6</v>
      </c>
      <c r="B161" t="s">
        <v>24</v>
      </c>
      <c r="C161">
        <f t="shared" ref="C161:M161" si="296">C70*$A161</f>
        <v>0.36000000000000004</v>
      </c>
      <c r="D161">
        <f t="shared" si="296"/>
        <v>0.36000000000000004</v>
      </c>
      <c r="E161">
        <f t="shared" si="296"/>
        <v>0.36000000000000004</v>
      </c>
      <c r="F161">
        <f t="shared" si="296"/>
        <v>0.36000000000000004</v>
      </c>
      <c r="G161">
        <f t="shared" si="296"/>
        <v>0.36000000000000004</v>
      </c>
      <c r="H161">
        <f t="shared" si="296"/>
        <v>0.36000000000000004</v>
      </c>
      <c r="I161">
        <f t="shared" si="296"/>
        <v>0.36000000000000004</v>
      </c>
      <c r="J161">
        <f t="shared" si="296"/>
        <v>0.36000000000000004</v>
      </c>
      <c r="K161">
        <f t="shared" si="296"/>
        <v>0.36000000000000004</v>
      </c>
      <c r="L161">
        <f t="shared" si="296"/>
        <v>0.36000000000000004</v>
      </c>
      <c r="M161">
        <f t="shared" si="296"/>
        <v>0.36000000000000004</v>
      </c>
      <c r="N161">
        <f t="shared" ref="N161" si="297">N70*$A161</f>
        <v>0.36000000000000004</v>
      </c>
      <c r="O161">
        <f t="shared" ref="O161:AA161" si="298">O70*$A161</f>
        <v>0.36000000000000004</v>
      </c>
      <c r="P161">
        <f t="shared" si="298"/>
        <v>0.36000000000000004</v>
      </c>
      <c r="Q161">
        <f t="shared" si="298"/>
        <v>0.36000000000000004</v>
      </c>
      <c r="R161">
        <f t="shared" si="298"/>
        <v>0.36000000000000004</v>
      </c>
      <c r="S161">
        <f t="shared" si="298"/>
        <v>0.36000000000000004</v>
      </c>
      <c r="T161">
        <f t="shared" si="298"/>
        <v>0.36000000000000004</v>
      </c>
      <c r="U161">
        <f t="shared" si="298"/>
        <v>0.78</v>
      </c>
      <c r="V161">
        <f t="shared" si="298"/>
        <v>0.96</v>
      </c>
      <c r="W161">
        <f t="shared" si="298"/>
        <v>0.84000000000000008</v>
      </c>
      <c r="X161">
        <f t="shared" si="298"/>
        <v>0.89999999999999991</v>
      </c>
      <c r="Y161">
        <f t="shared" si="298"/>
        <v>0.89999999999999991</v>
      </c>
      <c r="Z161">
        <f t="shared" si="298"/>
        <v>1.02</v>
      </c>
      <c r="AA161">
        <f t="shared" si="298"/>
        <v>1.08</v>
      </c>
      <c r="AB161">
        <f t="shared" ref="AB161:BZ161" si="299">AB70*$A161</f>
        <v>1.1400000000000001</v>
      </c>
      <c r="AC161">
        <f t="shared" si="299"/>
        <v>0</v>
      </c>
      <c r="AD161">
        <f t="shared" si="299"/>
        <v>0</v>
      </c>
      <c r="AE161">
        <f t="shared" si="299"/>
        <v>0</v>
      </c>
      <c r="AF161">
        <f t="shared" si="299"/>
        <v>0</v>
      </c>
      <c r="AG161">
        <f t="shared" si="299"/>
        <v>0</v>
      </c>
      <c r="AH161">
        <f t="shared" si="299"/>
        <v>0</v>
      </c>
      <c r="AI161">
        <f t="shared" si="299"/>
        <v>0</v>
      </c>
      <c r="AJ161">
        <f t="shared" si="299"/>
        <v>0</v>
      </c>
      <c r="AK161">
        <f t="shared" si="299"/>
        <v>0</v>
      </c>
      <c r="AL161">
        <f t="shared" si="299"/>
        <v>0</v>
      </c>
      <c r="AM161">
        <f t="shared" si="299"/>
        <v>0</v>
      </c>
      <c r="AN161">
        <f t="shared" si="299"/>
        <v>0</v>
      </c>
      <c r="AO161">
        <f t="shared" si="299"/>
        <v>0</v>
      </c>
      <c r="AP161">
        <f t="shared" si="299"/>
        <v>0</v>
      </c>
      <c r="AQ161">
        <f t="shared" si="299"/>
        <v>0</v>
      </c>
      <c r="AR161">
        <f t="shared" si="299"/>
        <v>0</v>
      </c>
      <c r="AS161">
        <f t="shared" si="299"/>
        <v>0</v>
      </c>
      <c r="AT161">
        <f t="shared" si="299"/>
        <v>0</v>
      </c>
      <c r="AU161">
        <f t="shared" si="299"/>
        <v>0</v>
      </c>
      <c r="AV161">
        <f t="shared" si="299"/>
        <v>0</v>
      </c>
      <c r="AW161">
        <f t="shared" si="299"/>
        <v>0</v>
      </c>
      <c r="AX161">
        <f t="shared" si="299"/>
        <v>0</v>
      </c>
      <c r="AY161">
        <f t="shared" si="299"/>
        <v>0</v>
      </c>
      <c r="AZ161">
        <f t="shared" si="299"/>
        <v>0</v>
      </c>
      <c r="BA161">
        <f t="shared" si="299"/>
        <v>0</v>
      </c>
      <c r="BB161">
        <f t="shared" si="299"/>
        <v>0</v>
      </c>
      <c r="BC161">
        <f t="shared" si="299"/>
        <v>0</v>
      </c>
      <c r="BD161">
        <f t="shared" si="299"/>
        <v>0</v>
      </c>
      <c r="BE161">
        <f t="shared" si="299"/>
        <v>0</v>
      </c>
      <c r="BF161">
        <f t="shared" si="299"/>
        <v>0</v>
      </c>
      <c r="BG161">
        <f t="shared" si="299"/>
        <v>0</v>
      </c>
      <c r="BH161">
        <f t="shared" si="299"/>
        <v>0</v>
      </c>
      <c r="BI161">
        <f t="shared" si="299"/>
        <v>0</v>
      </c>
      <c r="BJ161">
        <f t="shared" si="299"/>
        <v>0</v>
      </c>
      <c r="BK161">
        <f t="shared" si="299"/>
        <v>0</v>
      </c>
      <c r="BL161">
        <f t="shared" si="299"/>
        <v>0</v>
      </c>
      <c r="BM161">
        <f t="shared" si="299"/>
        <v>0</v>
      </c>
      <c r="BN161">
        <f t="shared" si="299"/>
        <v>0</v>
      </c>
      <c r="BO161">
        <f t="shared" si="299"/>
        <v>0</v>
      </c>
      <c r="BP161">
        <f t="shared" si="299"/>
        <v>0</v>
      </c>
      <c r="BQ161">
        <f t="shared" si="299"/>
        <v>0</v>
      </c>
      <c r="BR161">
        <f t="shared" si="299"/>
        <v>0</v>
      </c>
      <c r="BS161">
        <f t="shared" si="299"/>
        <v>0</v>
      </c>
      <c r="BT161">
        <f t="shared" si="299"/>
        <v>0</v>
      </c>
      <c r="BU161">
        <f t="shared" si="299"/>
        <v>0</v>
      </c>
      <c r="BV161">
        <f t="shared" si="299"/>
        <v>0</v>
      </c>
      <c r="BW161">
        <f t="shared" si="299"/>
        <v>0</v>
      </c>
      <c r="BX161">
        <f t="shared" si="299"/>
        <v>0</v>
      </c>
      <c r="BY161">
        <f t="shared" si="299"/>
        <v>0</v>
      </c>
      <c r="BZ161">
        <f t="shared" si="299"/>
        <v>0</v>
      </c>
    </row>
    <row r="162" spans="1:78" x14ac:dyDescent="0.25">
      <c r="A162">
        <v>7</v>
      </c>
      <c r="B162" t="s">
        <v>25</v>
      </c>
      <c r="C162">
        <f t="shared" ref="C162:M162" si="300">C71*$A162</f>
        <v>6.58</v>
      </c>
      <c r="D162">
        <f t="shared" si="300"/>
        <v>6.58</v>
      </c>
      <c r="E162">
        <f t="shared" si="300"/>
        <v>7.1400000000000006</v>
      </c>
      <c r="F162">
        <f t="shared" si="300"/>
        <v>7.2799999999999985</v>
      </c>
      <c r="G162">
        <f t="shared" si="300"/>
        <v>7.07</v>
      </c>
      <c r="H162">
        <f t="shared" si="300"/>
        <v>7.419999999999999</v>
      </c>
      <c r="I162">
        <f t="shared" si="300"/>
        <v>7.49</v>
      </c>
      <c r="J162">
        <f t="shared" si="300"/>
        <v>7.6999999999999993</v>
      </c>
      <c r="K162">
        <f t="shared" si="300"/>
        <v>9.0300000000000011</v>
      </c>
      <c r="L162">
        <f t="shared" si="300"/>
        <v>8.5399999999999991</v>
      </c>
      <c r="M162">
        <f t="shared" si="300"/>
        <v>8.89</v>
      </c>
      <c r="N162">
        <f t="shared" ref="N162" si="301">N71*$A162</f>
        <v>8.8199999999999985</v>
      </c>
      <c r="O162">
        <f t="shared" ref="O162:AA162" si="302">O71*$A162</f>
        <v>8.259999999999998</v>
      </c>
      <c r="P162">
        <f t="shared" si="302"/>
        <v>8.26</v>
      </c>
      <c r="Q162">
        <f t="shared" si="302"/>
        <v>7.6999999999999993</v>
      </c>
      <c r="R162">
        <f t="shared" si="302"/>
        <v>7.910000000000001</v>
      </c>
      <c r="S162">
        <f t="shared" si="302"/>
        <v>7.6999999999999993</v>
      </c>
      <c r="T162">
        <f t="shared" si="302"/>
        <v>7.9799999999999995</v>
      </c>
      <c r="U162">
        <f t="shared" si="302"/>
        <v>7.9799999999999995</v>
      </c>
      <c r="V162">
        <f t="shared" si="302"/>
        <v>7.9799999999999995</v>
      </c>
      <c r="W162">
        <f t="shared" si="302"/>
        <v>8.61</v>
      </c>
      <c r="X162">
        <f t="shared" si="302"/>
        <v>8.61</v>
      </c>
      <c r="Y162">
        <f t="shared" si="302"/>
        <v>8.33</v>
      </c>
      <c r="Z162">
        <f t="shared" si="302"/>
        <v>8.8199999999999985</v>
      </c>
      <c r="AA162">
        <f t="shared" si="302"/>
        <v>7.839999999999999</v>
      </c>
      <c r="AB162">
        <f t="shared" ref="AB162:BZ162" si="303">AB71*$A162</f>
        <v>8.259999999999998</v>
      </c>
      <c r="AC162">
        <f t="shared" si="303"/>
        <v>0</v>
      </c>
      <c r="AD162">
        <f t="shared" si="303"/>
        <v>0</v>
      </c>
      <c r="AE162">
        <f t="shared" si="303"/>
        <v>0</v>
      </c>
      <c r="AF162">
        <f t="shared" si="303"/>
        <v>0</v>
      </c>
      <c r="AG162">
        <f t="shared" si="303"/>
        <v>0</v>
      </c>
      <c r="AH162">
        <f t="shared" si="303"/>
        <v>0</v>
      </c>
      <c r="AI162">
        <f t="shared" si="303"/>
        <v>0</v>
      </c>
      <c r="AJ162">
        <f t="shared" si="303"/>
        <v>0</v>
      </c>
      <c r="AK162">
        <f t="shared" si="303"/>
        <v>0</v>
      </c>
      <c r="AL162">
        <f t="shared" si="303"/>
        <v>0</v>
      </c>
      <c r="AM162">
        <f t="shared" si="303"/>
        <v>0</v>
      </c>
      <c r="AN162">
        <f t="shared" si="303"/>
        <v>0</v>
      </c>
      <c r="AO162">
        <f t="shared" si="303"/>
        <v>0</v>
      </c>
      <c r="AP162">
        <f t="shared" si="303"/>
        <v>0</v>
      </c>
      <c r="AQ162">
        <f t="shared" si="303"/>
        <v>0</v>
      </c>
      <c r="AR162">
        <f t="shared" si="303"/>
        <v>0</v>
      </c>
      <c r="AS162">
        <f t="shared" si="303"/>
        <v>0</v>
      </c>
      <c r="AT162">
        <f t="shared" si="303"/>
        <v>0</v>
      </c>
      <c r="AU162">
        <f t="shared" si="303"/>
        <v>0</v>
      </c>
      <c r="AV162">
        <f t="shared" si="303"/>
        <v>0</v>
      </c>
      <c r="AW162">
        <f t="shared" si="303"/>
        <v>0</v>
      </c>
      <c r="AX162">
        <f t="shared" si="303"/>
        <v>0</v>
      </c>
      <c r="AY162">
        <f t="shared" si="303"/>
        <v>0</v>
      </c>
      <c r="AZ162">
        <f t="shared" si="303"/>
        <v>0</v>
      </c>
      <c r="BA162">
        <f t="shared" si="303"/>
        <v>0</v>
      </c>
      <c r="BB162">
        <f t="shared" si="303"/>
        <v>0</v>
      </c>
      <c r="BC162">
        <f t="shared" si="303"/>
        <v>0</v>
      </c>
      <c r="BD162">
        <f t="shared" si="303"/>
        <v>0</v>
      </c>
      <c r="BE162">
        <f t="shared" si="303"/>
        <v>0</v>
      </c>
      <c r="BF162">
        <f t="shared" si="303"/>
        <v>0</v>
      </c>
      <c r="BG162">
        <f t="shared" si="303"/>
        <v>0</v>
      </c>
      <c r="BH162">
        <f t="shared" si="303"/>
        <v>0</v>
      </c>
      <c r="BI162">
        <f t="shared" si="303"/>
        <v>0</v>
      </c>
      <c r="BJ162">
        <f t="shared" si="303"/>
        <v>0</v>
      </c>
      <c r="BK162">
        <f t="shared" si="303"/>
        <v>0</v>
      </c>
      <c r="BL162">
        <f t="shared" si="303"/>
        <v>0</v>
      </c>
      <c r="BM162">
        <f t="shared" si="303"/>
        <v>0</v>
      </c>
      <c r="BN162">
        <f t="shared" si="303"/>
        <v>0</v>
      </c>
      <c r="BO162">
        <f t="shared" si="303"/>
        <v>0</v>
      </c>
      <c r="BP162">
        <f t="shared" si="303"/>
        <v>0</v>
      </c>
      <c r="BQ162">
        <f t="shared" si="303"/>
        <v>0</v>
      </c>
      <c r="BR162">
        <f t="shared" si="303"/>
        <v>0</v>
      </c>
      <c r="BS162">
        <f t="shared" si="303"/>
        <v>0</v>
      </c>
      <c r="BT162">
        <f t="shared" si="303"/>
        <v>0</v>
      </c>
      <c r="BU162">
        <f t="shared" si="303"/>
        <v>0</v>
      </c>
      <c r="BV162">
        <f t="shared" si="303"/>
        <v>0</v>
      </c>
      <c r="BW162">
        <f t="shared" si="303"/>
        <v>0</v>
      </c>
      <c r="BX162">
        <f t="shared" si="303"/>
        <v>0</v>
      </c>
      <c r="BY162">
        <f t="shared" si="303"/>
        <v>0</v>
      </c>
      <c r="BZ162">
        <f t="shared" si="303"/>
        <v>0</v>
      </c>
    </row>
    <row r="163" spans="1:78" x14ac:dyDescent="0.25">
      <c r="A163">
        <v>4</v>
      </c>
      <c r="B163" t="s">
        <v>26</v>
      </c>
      <c r="C163">
        <f t="shared" ref="C163:M163" si="304">C72*$A163</f>
        <v>0.56000000000000005</v>
      </c>
      <c r="D163">
        <f t="shared" si="304"/>
        <v>0.56000000000000005</v>
      </c>
      <c r="E163">
        <f t="shared" si="304"/>
        <v>0.64</v>
      </c>
      <c r="F163">
        <f t="shared" si="304"/>
        <v>0.64</v>
      </c>
      <c r="G163">
        <f t="shared" si="304"/>
        <v>0.56000000000000005</v>
      </c>
      <c r="H163">
        <f t="shared" si="304"/>
        <v>0.6</v>
      </c>
      <c r="I163">
        <f t="shared" si="304"/>
        <v>0.6</v>
      </c>
      <c r="J163">
        <f t="shared" si="304"/>
        <v>0.56000000000000005</v>
      </c>
      <c r="K163">
        <f t="shared" si="304"/>
        <v>0.56000000000000005</v>
      </c>
      <c r="L163">
        <f t="shared" si="304"/>
        <v>0.6</v>
      </c>
      <c r="M163">
        <f t="shared" si="304"/>
        <v>0.6</v>
      </c>
      <c r="N163">
        <f t="shared" ref="N163" si="305">N72*$A163</f>
        <v>0.64</v>
      </c>
      <c r="O163">
        <f t="shared" ref="O163:AA163" si="306">O72*$A163</f>
        <v>0.68</v>
      </c>
      <c r="P163">
        <f t="shared" si="306"/>
        <v>0.64</v>
      </c>
      <c r="Q163">
        <f t="shared" si="306"/>
        <v>0.64</v>
      </c>
      <c r="R163">
        <f t="shared" si="306"/>
        <v>0.76</v>
      </c>
      <c r="S163">
        <f t="shared" si="306"/>
        <v>0.76</v>
      </c>
      <c r="T163">
        <f t="shared" si="306"/>
        <v>0.72000000000000008</v>
      </c>
      <c r="U163">
        <f t="shared" si="306"/>
        <v>1.1200000000000001</v>
      </c>
      <c r="V163">
        <f t="shared" si="306"/>
        <v>1.32</v>
      </c>
      <c r="W163">
        <f t="shared" si="306"/>
        <v>1.1200000000000001</v>
      </c>
      <c r="X163">
        <f t="shared" si="306"/>
        <v>1.2</v>
      </c>
      <c r="Y163">
        <f t="shared" si="306"/>
        <v>1.2</v>
      </c>
      <c r="Z163">
        <f t="shared" si="306"/>
        <v>1.24</v>
      </c>
      <c r="AA163">
        <f t="shared" si="306"/>
        <v>1.2</v>
      </c>
      <c r="AB163">
        <f t="shared" ref="AB163:BZ163" si="307">AB72*$A163</f>
        <v>1.28</v>
      </c>
      <c r="AC163">
        <f t="shared" si="307"/>
        <v>0</v>
      </c>
      <c r="AD163">
        <f t="shared" si="307"/>
        <v>0</v>
      </c>
      <c r="AE163">
        <f t="shared" si="307"/>
        <v>0</v>
      </c>
      <c r="AF163">
        <f t="shared" si="307"/>
        <v>0</v>
      </c>
      <c r="AG163">
        <f t="shared" si="307"/>
        <v>0</v>
      </c>
      <c r="AH163">
        <f t="shared" si="307"/>
        <v>0</v>
      </c>
      <c r="AI163">
        <f t="shared" si="307"/>
        <v>0</v>
      </c>
      <c r="AJ163">
        <f t="shared" si="307"/>
        <v>0</v>
      </c>
      <c r="AK163">
        <f t="shared" si="307"/>
        <v>0</v>
      </c>
      <c r="AL163">
        <f t="shared" si="307"/>
        <v>0</v>
      </c>
      <c r="AM163">
        <f t="shared" si="307"/>
        <v>0</v>
      </c>
      <c r="AN163">
        <f t="shared" si="307"/>
        <v>0</v>
      </c>
      <c r="AO163">
        <f t="shared" si="307"/>
        <v>0</v>
      </c>
      <c r="AP163">
        <f t="shared" si="307"/>
        <v>0</v>
      </c>
      <c r="AQ163">
        <f t="shared" si="307"/>
        <v>0</v>
      </c>
      <c r="AR163">
        <f t="shared" si="307"/>
        <v>0</v>
      </c>
      <c r="AS163">
        <f t="shared" si="307"/>
        <v>0</v>
      </c>
      <c r="AT163">
        <f t="shared" si="307"/>
        <v>0</v>
      </c>
      <c r="AU163">
        <f t="shared" si="307"/>
        <v>0</v>
      </c>
      <c r="AV163">
        <f t="shared" si="307"/>
        <v>0</v>
      </c>
      <c r="AW163">
        <f t="shared" si="307"/>
        <v>0</v>
      </c>
      <c r="AX163">
        <f t="shared" si="307"/>
        <v>0</v>
      </c>
      <c r="AY163">
        <f t="shared" si="307"/>
        <v>0</v>
      </c>
      <c r="AZ163">
        <f t="shared" si="307"/>
        <v>0</v>
      </c>
      <c r="BA163">
        <f t="shared" si="307"/>
        <v>0</v>
      </c>
      <c r="BB163">
        <f t="shared" si="307"/>
        <v>0</v>
      </c>
      <c r="BC163">
        <f t="shared" si="307"/>
        <v>0</v>
      </c>
      <c r="BD163">
        <f t="shared" si="307"/>
        <v>0</v>
      </c>
      <c r="BE163">
        <f t="shared" si="307"/>
        <v>0</v>
      </c>
      <c r="BF163">
        <f t="shared" si="307"/>
        <v>0</v>
      </c>
      <c r="BG163">
        <f t="shared" si="307"/>
        <v>0</v>
      </c>
      <c r="BH163">
        <f t="shared" si="307"/>
        <v>0</v>
      </c>
      <c r="BI163">
        <f t="shared" si="307"/>
        <v>0</v>
      </c>
      <c r="BJ163">
        <f t="shared" si="307"/>
        <v>0</v>
      </c>
      <c r="BK163">
        <f t="shared" si="307"/>
        <v>0</v>
      </c>
      <c r="BL163">
        <f t="shared" si="307"/>
        <v>0</v>
      </c>
      <c r="BM163">
        <f t="shared" si="307"/>
        <v>0</v>
      </c>
      <c r="BN163">
        <f t="shared" si="307"/>
        <v>0</v>
      </c>
      <c r="BO163">
        <f t="shared" si="307"/>
        <v>0</v>
      </c>
      <c r="BP163">
        <f t="shared" si="307"/>
        <v>0</v>
      </c>
      <c r="BQ163">
        <f t="shared" si="307"/>
        <v>0</v>
      </c>
      <c r="BR163">
        <f t="shared" si="307"/>
        <v>0</v>
      </c>
      <c r="BS163">
        <f t="shared" si="307"/>
        <v>0</v>
      </c>
      <c r="BT163">
        <f t="shared" si="307"/>
        <v>0</v>
      </c>
      <c r="BU163">
        <f t="shared" si="307"/>
        <v>0</v>
      </c>
      <c r="BV163">
        <f t="shared" si="307"/>
        <v>0</v>
      </c>
      <c r="BW163">
        <f t="shared" si="307"/>
        <v>0</v>
      </c>
      <c r="BX163">
        <f t="shared" si="307"/>
        <v>0</v>
      </c>
      <c r="BY163">
        <f t="shared" si="307"/>
        <v>0</v>
      </c>
      <c r="BZ163">
        <f t="shared" si="307"/>
        <v>0</v>
      </c>
    </row>
    <row r="164" spans="1:78" x14ac:dyDescent="0.25">
      <c r="A164">
        <v>4</v>
      </c>
      <c r="B164" t="s">
        <v>27</v>
      </c>
      <c r="C164">
        <f t="shared" ref="C164:M164" si="308">C73*$A164</f>
        <v>0.2</v>
      </c>
      <c r="D164">
        <f t="shared" si="308"/>
        <v>0.2</v>
      </c>
      <c r="E164">
        <f t="shared" si="308"/>
        <v>0.2</v>
      </c>
      <c r="F164">
        <f t="shared" si="308"/>
        <v>0.2</v>
      </c>
      <c r="G164">
        <f t="shared" si="308"/>
        <v>0.2</v>
      </c>
      <c r="H164">
        <f t="shared" si="308"/>
        <v>0.2</v>
      </c>
      <c r="I164">
        <f t="shared" si="308"/>
        <v>0.2</v>
      </c>
      <c r="J164">
        <f t="shared" si="308"/>
        <v>0.2</v>
      </c>
      <c r="K164">
        <f t="shared" si="308"/>
        <v>0.2</v>
      </c>
      <c r="L164">
        <f t="shared" si="308"/>
        <v>0.2</v>
      </c>
      <c r="M164">
        <f t="shared" si="308"/>
        <v>0.2</v>
      </c>
      <c r="N164">
        <f t="shared" ref="N164" si="309">N73*$A164</f>
        <v>0.2</v>
      </c>
      <c r="O164">
        <f t="shared" ref="O164:AA164" si="310">O73*$A164</f>
        <v>0.2</v>
      </c>
      <c r="P164">
        <f t="shared" si="310"/>
        <v>0.2</v>
      </c>
      <c r="Q164">
        <f t="shared" si="310"/>
        <v>0.2</v>
      </c>
      <c r="R164">
        <f t="shared" si="310"/>
        <v>0.2</v>
      </c>
      <c r="S164">
        <f t="shared" si="310"/>
        <v>0.2</v>
      </c>
      <c r="T164">
        <f t="shared" si="310"/>
        <v>0.2</v>
      </c>
      <c r="U164">
        <f t="shared" si="310"/>
        <v>0.36</v>
      </c>
      <c r="V164">
        <f t="shared" si="310"/>
        <v>0.44000000000000006</v>
      </c>
      <c r="W164">
        <f t="shared" si="310"/>
        <v>0.32</v>
      </c>
      <c r="X164">
        <f t="shared" si="310"/>
        <v>0.36</v>
      </c>
      <c r="Y164">
        <f t="shared" si="310"/>
        <v>0.36</v>
      </c>
      <c r="Z164">
        <f t="shared" si="310"/>
        <v>0.36</v>
      </c>
      <c r="AA164">
        <f t="shared" si="310"/>
        <v>0.36</v>
      </c>
      <c r="AB164">
        <f t="shared" ref="AB164:BZ164" si="311">AB73*$A164</f>
        <v>0.4</v>
      </c>
      <c r="AC164">
        <f t="shared" si="311"/>
        <v>0</v>
      </c>
      <c r="AD164">
        <f t="shared" si="311"/>
        <v>0</v>
      </c>
      <c r="AE164">
        <f t="shared" si="311"/>
        <v>0</v>
      </c>
      <c r="AF164">
        <f t="shared" si="311"/>
        <v>0</v>
      </c>
      <c r="AG164">
        <f t="shared" si="311"/>
        <v>0</v>
      </c>
      <c r="AH164">
        <f t="shared" si="311"/>
        <v>0</v>
      </c>
      <c r="AI164">
        <f t="shared" si="311"/>
        <v>0</v>
      </c>
      <c r="AJ164">
        <f t="shared" si="311"/>
        <v>0</v>
      </c>
      <c r="AK164">
        <f t="shared" si="311"/>
        <v>0</v>
      </c>
      <c r="AL164">
        <f t="shared" si="311"/>
        <v>0</v>
      </c>
      <c r="AM164">
        <f t="shared" si="311"/>
        <v>0</v>
      </c>
      <c r="AN164">
        <f t="shared" si="311"/>
        <v>0</v>
      </c>
      <c r="AO164">
        <f t="shared" si="311"/>
        <v>0</v>
      </c>
      <c r="AP164">
        <f t="shared" si="311"/>
        <v>0</v>
      </c>
      <c r="AQ164">
        <f t="shared" si="311"/>
        <v>0</v>
      </c>
      <c r="AR164">
        <f t="shared" si="311"/>
        <v>0</v>
      </c>
      <c r="AS164">
        <f t="shared" si="311"/>
        <v>0</v>
      </c>
      <c r="AT164">
        <f t="shared" si="311"/>
        <v>0</v>
      </c>
      <c r="AU164">
        <f t="shared" si="311"/>
        <v>0</v>
      </c>
      <c r="AV164">
        <f t="shared" si="311"/>
        <v>0</v>
      </c>
      <c r="AW164">
        <f t="shared" si="311"/>
        <v>0</v>
      </c>
      <c r="AX164">
        <f t="shared" si="311"/>
        <v>0</v>
      </c>
      <c r="AY164">
        <f t="shared" si="311"/>
        <v>0</v>
      </c>
      <c r="AZ164">
        <f t="shared" si="311"/>
        <v>0</v>
      </c>
      <c r="BA164">
        <f t="shared" si="311"/>
        <v>0</v>
      </c>
      <c r="BB164">
        <f t="shared" si="311"/>
        <v>0</v>
      </c>
      <c r="BC164">
        <f t="shared" si="311"/>
        <v>0</v>
      </c>
      <c r="BD164">
        <f t="shared" si="311"/>
        <v>0</v>
      </c>
      <c r="BE164">
        <f t="shared" si="311"/>
        <v>0</v>
      </c>
      <c r="BF164">
        <f t="shared" si="311"/>
        <v>0</v>
      </c>
      <c r="BG164">
        <f t="shared" si="311"/>
        <v>0</v>
      </c>
      <c r="BH164">
        <f t="shared" si="311"/>
        <v>0</v>
      </c>
      <c r="BI164">
        <f t="shared" si="311"/>
        <v>0</v>
      </c>
      <c r="BJ164">
        <f t="shared" si="311"/>
        <v>0</v>
      </c>
      <c r="BK164">
        <f t="shared" si="311"/>
        <v>0</v>
      </c>
      <c r="BL164">
        <f t="shared" si="311"/>
        <v>0</v>
      </c>
      <c r="BM164">
        <f t="shared" si="311"/>
        <v>0</v>
      </c>
      <c r="BN164">
        <f t="shared" si="311"/>
        <v>0</v>
      </c>
      <c r="BO164">
        <f t="shared" si="311"/>
        <v>0</v>
      </c>
      <c r="BP164">
        <f t="shared" si="311"/>
        <v>0</v>
      </c>
      <c r="BQ164">
        <f t="shared" si="311"/>
        <v>0</v>
      </c>
      <c r="BR164">
        <f t="shared" si="311"/>
        <v>0</v>
      </c>
      <c r="BS164">
        <f t="shared" si="311"/>
        <v>0</v>
      </c>
      <c r="BT164">
        <f t="shared" si="311"/>
        <v>0</v>
      </c>
      <c r="BU164">
        <f t="shared" si="311"/>
        <v>0</v>
      </c>
      <c r="BV164">
        <f t="shared" si="311"/>
        <v>0</v>
      </c>
      <c r="BW164">
        <f t="shared" si="311"/>
        <v>0</v>
      </c>
      <c r="BX164">
        <f t="shared" si="311"/>
        <v>0</v>
      </c>
      <c r="BY164">
        <f t="shared" si="311"/>
        <v>0</v>
      </c>
      <c r="BZ164">
        <f t="shared" si="311"/>
        <v>0</v>
      </c>
    </row>
    <row r="165" spans="1:78" x14ac:dyDescent="0.25">
      <c r="A165">
        <v>1</v>
      </c>
      <c r="B165" t="s">
        <v>28</v>
      </c>
      <c r="C165">
        <f t="shared" ref="C165:M165" si="312">C74*$A165</f>
        <v>0.49999999999999989</v>
      </c>
      <c r="D165">
        <f t="shared" si="312"/>
        <v>0.48999999999999988</v>
      </c>
      <c r="E165">
        <f t="shared" si="312"/>
        <v>0.46000000000000008</v>
      </c>
      <c r="F165">
        <f t="shared" si="312"/>
        <v>0.44000000000000006</v>
      </c>
      <c r="G165">
        <f t="shared" si="312"/>
        <v>0.51</v>
      </c>
      <c r="H165">
        <f t="shared" si="312"/>
        <v>0.51</v>
      </c>
      <c r="I165">
        <f t="shared" si="312"/>
        <v>0.51</v>
      </c>
      <c r="J165">
        <f t="shared" si="312"/>
        <v>0.5</v>
      </c>
      <c r="K165">
        <f t="shared" si="312"/>
        <v>0.48999999999999988</v>
      </c>
      <c r="L165">
        <f t="shared" si="312"/>
        <v>0.5</v>
      </c>
      <c r="M165">
        <f t="shared" si="312"/>
        <v>0.48999999999999988</v>
      </c>
      <c r="N165">
        <f t="shared" ref="N165" si="313">N74*$A165</f>
        <v>0.51</v>
      </c>
      <c r="O165">
        <f t="shared" ref="O165:AA165" si="314">O74*$A165</f>
        <v>0.54</v>
      </c>
      <c r="P165">
        <f t="shared" si="314"/>
        <v>0.55000000000000004</v>
      </c>
      <c r="Q165">
        <f t="shared" si="314"/>
        <v>0.54</v>
      </c>
      <c r="R165">
        <f t="shared" si="314"/>
        <v>0.55000000000000004</v>
      </c>
      <c r="S165">
        <f t="shared" si="314"/>
        <v>0.53</v>
      </c>
      <c r="T165">
        <f t="shared" si="314"/>
        <v>0.53</v>
      </c>
      <c r="U165">
        <f t="shared" si="314"/>
        <v>0.6</v>
      </c>
      <c r="V165">
        <f t="shared" si="314"/>
        <v>0.72</v>
      </c>
      <c r="W165">
        <f t="shared" si="314"/>
        <v>0.61</v>
      </c>
      <c r="X165">
        <f t="shared" si="314"/>
        <v>0.53</v>
      </c>
      <c r="Y165">
        <f t="shared" si="314"/>
        <v>0.54</v>
      </c>
      <c r="Z165">
        <f t="shared" si="314"/>
        <v>0.62</v>
      </c>
      <c r="AA165">
        <f t="shared" si="314"/>
        <v>0.59</v>
      </c>
      <c r="AB165">
        <f t="shared" ref="AB165:BZ165" si="315">AB74*$A165</f>
        <v>0.6</v>
      </c>
      <c r="AC165">
        <f t="shared" si="315"/>
        <v>0</v>
      </c>
      <c r="AD165">
        <f t="shared" si="315"/>
        <v>0</v>
      </c>
      <c r="AE165">
        <f t="shared" si="315"/>
        <v>0</v>
      </c>
      <c r="AF165">
        <f t="shared" si="315"/>
        <v>0</v>
      </c>
      <c r="AG165">
        <f t="shared" si="315"/>
        <v>0</v>
      </c>
      <c r="AH165">
        <f t="shared" si="315"/>
        <v>0</v>
      </c>
      <c r="AI165">
        <f t="shared" si="315"/>
        <v>0</v>
      </c>
      <c r="AJ165">
        <f t="shared" si="315"/>
        <v>0</v>
      </c>
      <c r="AK165">
        <f t="shared" si="315"/>
        <v>0</v>
      </c>
      <c r="AL165">
        <f t="shared" si="315"/>
        <v>0</v>
      </c>
      <c r="AM165">
        <f t="shared" si="315"/>
        <v>0</v>
      </c>
      <c r="AN165">
        <f t="shared" si="315"/>
        <v>0</v>
      </c>
      <c r="AO165">
        <f t="shared" si="315"/>
        <v>0</v>
      </c>
      <c r="AP165">
        <f t="shared" si="315"/>
        <v>0</v>
      </c>
      <c r="AQ165">
        <f t="shared" si="315"/>
        <v>0</v>
      </c>
      <c r="AR165">
        <f t="shared" si="315"/>
        <v>0</v>
      </c>
      <c r="AS165">
        <f t="shared" si="315"/>
        <v>0</v>
      </c>
      <c r="AT165">
        <f t="shared" si="315"/>
        <v>0</v>
      </c>
      <c r="AU165">
        <f t="shared" si="315"/>
        <v>0</v>
      </c>
      <c r="AV165">
        <f t="shared" si="315"/>
        <v>0</v>
      </c>
      <c r="AW165">
        <f t="shared" si="315"/>
        <v>0</v>
      </c>
      <c r="AX165">
        <f t="shared" si="315"/>
        <v>0</v>
      </c>
      <c r="AY165">
        <f t="shared" si="315"/>
        <v>0</v>
      </c>
      <c r="AZ165">
        <f t="shared" si="315"/>
        <v>0</v>
      </c>
      <c r="BA165">
        <f t="shared" si="315"/>
        <v>0</v>
      </c>
      <c r="BB165">
        <f t="shared" si="315"/>
        <v>0</v>
      </c>
      <c r="BC165">
        <f t="shared" si="315"/>
        <v>0</v>
      </c>
      <c r="BD165">
        <f t="shared" si="315"/>
        <v>0</v>
      </c>
      <c r="BE165">
        <f t="shared" si="315"/>
        <v>0</v>
      </c>
      <c r="BF165">
        <f t="shared" si="315"/>
        <v>0</v>
      </c>
      <c r="BG165">
        <f t="shared" si="315"/>
        <v>0</v>
      </c>
      <c r="BH165">
        <f t="shared" si="315"/>
        <v>0</v>
      </c>
      <c r="BI165">
        <f t="shared" si="315"/>
        <v>0</v>
      </c>
      <c r="BJ165">
        <f t="shared" si="315"/>
        <v>0</v>
      </c>
      <c r="BK165">
        <f t="shared" si="315"/>
        <v>0</v>
      </c>
      <c r="BL165">
        <f t="shared" si="315"/>
        <v>0</v>
      </c>
      <c r="BM165">
        <f t="shared" si="315"/>
        <v>0</v>
      </c>
      <c r="BN165">
        <f t="shared" si="315"/>
        <v>0</v>
      </c>
      <c r="BO165">
        <f t="shared" si="315"/>
        <v>0</v>
      </c>
      <c r="BP165">
        <f t="shared" si="315"/>
        <v>0</v>
      </c>
      <c r="BQ165">
        <f t="shared" si="315"/>
        <v>0</v>
      </c>
      <c r="BR165">
        <f t="shared" si="315"/>
        <v>0</v>
      </c>
      <c r="BS165">
        <f t="shared" si="315"/>
        <v>0</v>
      </c>
      <c r="BT165">
        <f t="shared" si="315"/>
        <v>0</v>
      </c>
      <c r="BU165">
        <f t="shared" si="315"/>
        <v>0</v>
      </c>
      <c r="BV165">
        <f t="shared" si="315"/>
        <v>0</v>
      </c>
      <c r="BW165">
        <f t="shared" si="315"/>
        <v>0</v>
      </c>
      <c r="BX165">
        <f t="shared" si="315"/>
        <v>0</v>
      </c>
      <c r="BY165">
        <f t="shared" si="315"/>
        <v>0</v>
      </c>
      <c r="BZ165">
        <f t="shared" si="315"/>
        <v>0</v>
      </c>
    </row>
    <row r="166" spans="1:78" x14ac:dyDescent="0.25">
      <c r="C166" s="2">
        <f>SUM(C156:C165)</f>
        <v>13.860000000000001</v>
      </c>
      <c r="D166" s="2">
        <f t="shared" ref="D166" si="316">SUM(D156:D165)</f>
        <v>13.850000000000001</v>
      </c>
      <c r="E166" s="2">
        <f t="shared" ref="E166" si="317">SUM(E156:E165)</f>
        <v>14.46</v>
      </c>
      <c r="F166" s="2">
        <f t="shared" ref="F166" si="318">SUM(F156:F165)</f>
        <v>14.509999999999998</v>
      </c>
      <c r="G166" s="2">
        <f t="shared" ref="G166" si="319">SUM(G156:G165)</f>
        <v>14.29</v>
      </c>
      <c r="H166" s="2">
        <f t="shared" ref="H166" si="320">SUM(H156:H165)</f>
        <v>14.769999999999998</v>
      </c>
      <c r="I166" s="2">
        <f t="shared" ref="I166" si="321">SUM(I156:I165)</f>
        <v>14.7</v>
      </c>
      <c r="J166" s="2">
        <f t="shared" ref="J166" si="322">SUM(J156:J165)</f>
        <v>14.909999999999998</v>
      </c>
      <c r="K166" s="2">
        <f t="shared" ref="K166" si="323">SUM(K156:K165)</f>
        <v>16.23</v>
      </c>
      <c r="L166" s="2">
        <f t="shared" ref="L166" si="324">SUM(L156:L165)</f>
        <v>15.979999999999999</v>
      </c>
      <c r="M166" s="2">
        <f t="shared" ref="M166" si="325">SUM(M156:M165)</f>
        <v>16.32</v>
      </c>
      <c r="N166" s="2">
        <f t="shared" ref="N166" si="326">SUM(N156:N165)</f>
        <v>15.959999999999999</v>
      </c>
      <c r="O166" s="2">
        <f t="shared" ref="O166:AA166" si="327">SUM(O156:O165)</f>
        <v>15.499999999999996</v>
      </c>
      <c r="P166" s="2">
        <f t="shared" si="327"/>
        <v>16.150000000000002</v>
      </c>
      <c r="Q166" s="2">
        <f t="shared" si="327"/>
        <v>15.689999999999998</v>
      </c>
      <c r="R166" s="2">
        <f t="shared" si="327"/>
        <v>16.100000000000001</v>
      </c>
      <c r="S166" s="2">
        <f t="shared" si="327"/>
        <v>16.279999999999998</v>
      </c>
      <c r="T166" s="2">
        <f t="shared" si="327"/>
        <v>16.680000000000003</v>
      </c>
      <c r="U166" s="2">
        <f t="shared" si="327"/>
        <v>19.36</v>
      </c>
      <c r="V166" s="2">
        <f t="shared" si="327"/>
        <v>21.8</v>
      </c>
      <c r="W166" s="2">
        <f t="shared" si="327"/>
        <v>19.52</v>
      </c>
      <c r="X166" s="2">
        <f t="shared" si="327"/>
        <v>19.830000000000002</v>
      </c>
      <c r="Y166" s="2">
        <f t="shared" si="327"/>
        <v>19.939999999999998</v>
      </c>
      <c r="Z166" s="2">
        <f t="shared" si="327"/>
        <v>20.099999999999994</v>
      </c>
      <c r="AA166" s="2">
        <f t="shared" si="327"/>
        <v>20.059999999999999</v>
      </c>
      <c r="AB166" s="2">
        <f t="shared" ref="AB166:BZ166" si="328">SUM(AB156:AB165)</f>
        <v>21.05</v>
      </c>
      <c r="AC166" s="2">
        <f t="shared" si="328"/>
        <v>0</v>
      </c>
      <c r="AD166" s="2">
        <f t="shared" si="328"/>
        <v>0</v>
      </c>
      <c r="AE166" s="2">
        <f t="shared" si="328"/>
        <v>0</v>
      </c>
      <c r="AF166" s="2">
        <f t="shared" si="328"/>
        <v>0</v>
      </c>
      <c r="AG166" s="2">
        <f t="shared" si="328"/>
        <v>0</v>
      </c>
      <c r="AH166" s="2">
        <f t="shared" si="328"/>
        <v>0</v>
      </c>
      <c r="AI166" s="2">
        <f t="shared" si="328"/>
        <v>0</v>
      </c>
      <c r="AJ166" s="2">
        <f t="shared" si="328"/>
        <v>0</v>
      </c>
      <c r="AK166" s="2">
        <f t="shared" si="328"/>
        <v>0</v>
      </c>
      <c r="AL166" s="2">
        <f t="shared" si="328"/>
        <v>0</v>
      </c>
      <c r="AM166" s="2">
        <f t="shared" si="328"/>
        <v>0</v>
      </c>
      <c r="AN166" s="2">
        <f t="shared" si="328"/>
        <v>0</v>
      </c>
      <c r="AO166" s="2">
        <f t="shared" si="328"/>
        <v>0</v>
      </c>
      <c r="AP166" s="2">
        <f t="shared" si="328"/>
        <v>0</v>
      </c>
      <c r="AQ166" s="2">
        <f t="shared" si="328"/>
        <v>0</v>
      </c>
      <c r="AR166" s="2">
        <f t="shared" si="328"/>
        <v>0</v>
      </c>
      <c r="AS166" s="2">
        <f t="shared" si="328"/>
        <v>0</v>
      </c>
      <c r="AT166" s="2">
        <f t="shared" si="328"/>
        <v>0</v>
      </c>
      <c r="AU166" s="2">
        <f t="shared" si="328"/>
        <v>0</v>
      </c>
      <c r="AV166" s="2">
        <f t="shared" si="328"/>
        <v>0</v>
      </c>
      <c r="AW166" s="2">
        <f t="shared" si="328"/>
        <v>0</v>
      </c>
      <c r="AX166" s="2">
        <f t="shared" si="328"/>
        <v>0</v>
      </c>
      <c r="AY166" s="2">
        <f t="shared" si="328"/>
        <v>0</v>
      </c>
      <c r="AZ166" s="2">
        <f t="shared" si="328"/>
        <v>0</v>
      </c>
      <c r="BA166" s="2">
        <f t="shared" si="328"/>
        <v>0</v>
      </c>
      <c r="BB166" s="2">
        <f t="shared" si="328"/>
        <v>0</v>
      </c>
      <c r="BC166" s="2">
        <f t="shared" si="328"/>
        <v>0</v>
      </c>
      <c r="BD166" s="2">
        <f t="shared" si="328"/>
        <v>0</v>
      </c>
      <c r="BE166" s="2">
        <f t="shared" si="328"/>
        <v>0</v>
      </c>
      <c r="BF166" s="2">
        <f t="shared" si="328"/>
        <v>0</v>
      </c>
      <c r="BG166" s="2">
        <f t="shared" si="328"/>
        <v>0</v>
      </c>
      <c r="BH166" s="2">
        <f t="shared" si="328"/>
        <v>0</v>
      </c>
      <c r="BI166" s="2">
        <f t="shared" si="328"/>
        <v>0</v>
      </c>
      <c r="BJ166" s="2">
        <f t="shared" si="328"/>
        <v>0</v>
      </c>
      <c r="BK166" s="2">
        <f t="shared" si="328"/>
        <v>0</v>
      </c>
      <c r="BL166" s="2">
        <f t="shared" si="328"/>
        <v>0</v>
      </c>
      <c r="BM166" s="2">
        <f t="shared" si="328"/>
        <v>0</v>
      </c>
      <c r="BN166" s="2">
        <f t="shared" si="328"/>
        <v>0</v>
      </c>
      <c r="BO166" s="2">
        <f t="shared" si="328"/>
        <v>0</v>
      </c>
      <c r="BP166" s="2">
        <f t="shared" si="328"/>
        <v>0</v>
      </c>
      <c r="BQ166" s="2">
        <f t="shared" si="328"/>
        <v>0</v>
      </c>
      <c r="BR166" s="2">
        <f t="shared" si="328"/>
        <v>0</v>
      </c>
      <c r="BS166" s="2">
        <f t="shared" si="328"/>
        <v>0</v>
      </c>
      <c r="BT166" s="2">
        <f t="shared" si="328"/>
        <v>0</v>
      </c>
      <c r="BU166" s="2">
        <f t="shared" si="328"/>
        <v>0</v>
      </c>
      <c r="BV166" s="2">
        <f t="shared" si="328"/>
        <v>0</v>
      </c>
      <c r="BW166" s="2">
        <f t="shared" si="328"/>
        <v>0</v>
      </c>
      <c r="BX166" s="2">
        <f t="shared" si="328"/>
        <v>0</v>
      </c>
      <c r="BY166" s="2">
        <f t="shared" si="328"/>
        <v>0</v>
      </c>
      <c r="BZ166" s="2">
        <f t="shared" si="328"/>
        <v>0</v>
      </c>
    </row>
    <row r="169" spans="1:78" ht="23.25" x14ac:dyDescent="0.35">
      <c r="A169" s="3" t="s">
        <v>29</v>
      </c>
    </row>
    <row r="170" spans="1:78" x14ac:dyDescent="0.25">
      <c r="A170" s="2" t="s">
        <v>11</v>
      </c>
      <c r="B170" s="2" t="s">
        <v>12</v>
      </c>
    </row>
    <row r="171" spans="1:78" x14ac:dyDescent="0.25">
      <c r="C171" s="1">
        <f>C155</f>
        <v>44331</v>
      </c>
      <c r="D171" s="1">
        <f t="shared" ref="D171:M171" si="329">D155</f>
        <v>44332</v>
      </c>
      <c r="E171" s="1">
        <f t="shared" si="329"/>
        <v>44334</v>
      </c>
      <c r="F171" s="1">
        <f t="shared" si="329"/>
        <v>44336</v>
      </c>
      <c r="G171" s="1">
        <f t="shared" si="329"/>
        <v>44337</v>
      </c>
      <c r="H171" s="1">
        <f t="shared" si="329"/>
        <v>44338</v>
      </c>
      <c r="I171" s="1">
        <f t="shared" si="329"/>
        <v>44339</v>
      </c>
      <c r="J171" s="1">
        <f t="shared" si="329"/>
        <v>44340</v>
      </c>
      <c r="K171" s="1">
        <f t="shared" si="329"/>
        <v>44341</v>
      </c>
      <c r="L171" s="1">
        <f t="shared" si="329"/>
        <v>44342</v>
      </c>
      <c r="M171" s="1">
        <f t="shared" si="329"/>
        <v>44343</v>
      </c>
      <c r="N171" s="1">
        <f t="shared" ref="N171" si="330">N155</f>
        <v>44344</v>
      </c>
      <c r="O171" s="1">
        <f t="shared" ref="O171:AA171" si="331">O155</f>
        <v>44345</v>
      </c>
      <c r="P171" s="1">
        <f t="shared" si="331"/>
        <v>44346</v>
      </c>
      <c r="Q171" s="1">
        <f t="shared" si="331"/>
        <v>44347</v>
      </c>
      <c r="R171" s="1">
        <f t="shared" si="331"/>
        <v>44348</v>
      </c>
      <c r="S171" s="1">
        <f t="shared" si="331"/>
        <v>44349</v>
      </c>
      <c r="T171" s="1">
        <f t="shared" si="331"/>
        <v>44350</v>
      </c>
      <c r="U171" s="1">
        <f t="shared" si="331"/>
        <v>44351</v>
      </c>
      <c r="V171" s="1">
        <f t="shared" si="331"/>
        <v>44352</v>
      </c>
      <c r="W171" s="1">
        <f t="shared" si="331"/>
        <v>44353</v>
      </c>
      <c r="X171" s="1">
        <f t="shared" si="331"/>
        <v>44354</v>
      </c>
      <c r="Y171" s="1">
        <f t="shared" si="331"/>
        <v>44355</v>
      </c>
      <c r="Z171" s="1">
        <f t="shared" si="331"/>
        <v>44356</v>
      </c>
      <c r="AA171" s="1">
        <f t="shared" si="331"/>
        <v>44357</v>
      </c>
      <c r="AB171" s="1">
        <f t="shared" ref="AB171:BZ171" si="332">AB155</f>
        <v>44358</v>
      </c>
      <c r="AC171" s="1">
        <f t="shared" si="332"/>
        <v>44359</v>
      </c>
      <c r="AD171" s="1">
        <f t="shared" si="332"/>
        <v>44360</v>
      </c>
      <c r="AE171" s="1">
        <f t="shared" si="332"/>
        <v>44361</v>
      </c>
      <c r="AF171" s="1">
        <f t="shared" si="332"/>
        <v>44362</v>
      </c>
      <c r="AG171" s="1">
        <f t="shared" si="332"/>
        <v>44363</v>
      </c>
      <c r="AH171" s="1">
        <f t="shared" si="332"/>
        <v>44364</v>
      </c>
      <c r="AI171" s="1">
        <f t="shared" si="332"/>
        <v>44365</v>
      </c>
      <c r="AJ171" s="1">
        <f t="shared" si="332"/>
        <v>44366</v>
      </c>
      <c r="AK171" s="1">
        <f t="shared" si="332"/>
        <v>44367</v>
      </c>
      <c r="AL171" s="1">
        <f t="shared" si="332"/>
        <v>44368</v>
      </c>
      <c r="AM171" s="1">
        <f t="shared" si="332"/>
        <v>44369</v>
      </c>
      <c r="AN171" s="1">
        <f t="shared" si="332"/>
        <v>44370</v>
      </c>
      <c r="AO171" s="1">
        <f t="shared" si="332"/>
        <v>44371</v>
      </c>
      <c r="AP171" s="1">
        <f t="shared" si="332"/>
        <v>44372</v>
      </c>
      <c r="AQ171" s="1">
        <f t="shared" si="332"/>
        <v>44373</v>
      </c>
      <c r="AR171" s="1">
        <f t="shared" si="332"/>
        <v>44374</v>
      </c>
      <c r="AS171" s="1">
        <f t="shared" si="332"/>
        <v>44375</v>
      </c>
      <c r="AT171" s="1">
        <f t="shared" si="332"/>
        <v>44376</v>
      </c>
      <c r="AU171" s="1">
        <f t="shared" si="332"/>
        <v>44377</v>
      </c>
      <c r="AV171" s="1">
        <f t="shared" si="332"/>
        <v>44378</v>
      </c>
      <c r="AW171" s="1">
        <f t="shared" si="332"/>
        <v>44379</v>
      </c>
      <c r="AX171" s="1">
        <f t="shared" si="332"/>
        <v>44380</v>
      </c>
      <c r="AY171" s="1">
        <f t="shared" si="332"/>
        <v>44381</v>
      </c>
      <c r="AZ171" s="1">
        <f t="shared" si="332"/>
        <v>44382</v>
      </c>
      <c r="BA171" s="1">
        <f t="shared" si="332"/>
        <v>44383</v>
      </c>
      <c r="BB171" s="1">
        <f t="shared" si="332"/>
        <v>44384</v>
      </c>
      <c r="BC171" s="1">
        <f t="shared" si="332"/>
        <v>44385</v>
      </c>
      <c r="BD171" s="1">
        <f t="shared" si="332"/>
        <v>44386</v>
      </c>
      <c r="BE171" s="1">
        <f t="shared" si="332"/>
        <v>44387</v>
      </c>
      <c r="BF171" s="1">
        <f t="shared" si="332"/>
        <v>44388</v>
      </c>
      <c r="BG171" s="1">
        <f t="shared" si="332"/>
        <v>44389</v>
      </c>
      <c r="BH171" s="1">
        <f t="shared" si="332"/>
        <v>44390</v>
      </c>
      <c r="BI171" s="1">
        <f t="shared" si="332"/>
        <v>44391</v>
      </c>
      <c r="BJ171" s="1">
        <f t="shared" si="332"/>
        <v>44392</v>
      </c>
      <c r="BK171" s="1">
        <f t="shared" si="332"/>
        <v>44393</v>
      </c>
      <c r="BL171" s="1">
        <f t="shared" si="332"/>
        <v>44394</v>
      </c>
      <c r="BM171" s="1">
        <f t="shared" si="332"/>
        <v>44395</v>
      </c>
      <c r="BN171" s="1">
        <f t="shared" si="332"/>
        <v>44396</v>
      </c>
      <c r="BO171" s="1">
        <f t="shared" si="332"/>
        <v>44397</v>
      </c>
      <c r="BP171" s="1">
        <f t="shared" si="332"/>
        <v>44398</v>
      </c>
      <c r="BQ171" s="1">
        <f t="shared" si="332"/>
        <v>44399</v>
      </c>
      <c r="BR171" s="1">
        <f t="shared" si="332"/>
        <v>44400</v>
      </c>
      <c r="BS171" s="1">
        <f t="shared" si="332"/>
        <v>44401</v>
      </c>
      <c r="BT171" s="1">
        <f t="shared" si="332"/>
        <v>44402</v>
      </c>
      <c r="BU171" s="1">
        <f t="shared" si="332"/>
        <v>44403</v>
      </c>
      <c r="BV171" s="1">
        <f t="shared" si="332"/>
        <v>44404</v>
      </c>
      <c r="BW171" s="1">
        <f t="shared" si="332"/>
        <v>44405</v>
      </c>
      <c r="BX171" s="1">
        <f t="shared" si="332"/>
        <v>44406</v>
      </c>
      <c r="BY171" s="1">
        <f t="shared" si="332"/>
        <v>44407</v>
      </c>
      <c r="BZ171" s="1">
        <f t="shared" si="332"/>
        <v>44408</v>
      </c>
    </row>
    <row r="172" spans="1:78" x14ac:dyDescent="0.25">
      <c r="A172">
        <v>48</v>
      </c>
      <c r="B172" t="s">
        <v>30</v>
      </c>
      <c r="C172">
        <f>ROUNDDOWN(C81*$A172*0.8,2)</f>
        <v>126.33</v>
      </c>
      <c r="D172">
        <f t="shared" ref="D172:L172" si="333">ROUNDDOWN(D81*$A172*0.8,2)</f>
        <v>119.8</v>
      </c>
      <c r="E172">
        <f t="shared" si="333"/>
        <v>128.63999999999999</v>
      </c>
      <c r="F172">
        <f t="shared" si="333"/>
        <v>144.76</v>
      </c>
      <c r="G172">
        <f t="shared" si="333"/>
        <v>143.22999999999999</v>
      </c>
      <c r="H172">
        <f t="shared" si="333"/>
        <v>195.45</v>
      </c>
      <c r="I172">
        <f t="shared" si="333"/>
        <v>192</v>
      </c>
      <c r="J172">
        <f t="shared" si="333"/>
        <v>211.96</v>
      </c>
      <c r="K172">
        <f t="shared" si="333"/>
        <v>212.73</v>
      </c>
      <c r="L172">
        <f t="shared" si="333"/>
        <v>250.36</v>
      </c>
      <c r="M172">
        <f t="shared" ref="M172:AA172" si="334">ROUNDDOWN(M81*$A172*0.8,2)</f>
        <v>283.39</v>
      </c>
      <c r="N172">
        <f t="shared" si="334"/>
        <v>280.32</v>
      </c>
      <c r="O172">
        <f t="shared" si="334"/>
        <v>251.52</v>
      </c>
      <c r="P172">
        <f t="shared" si="334"/>
        <v>235.77</v>
      </c>
      <c r="Q172">
        <f t="shared" si="334"/>
        <v>223.48</v>
      </c>
      <c r="R172">
        <f t="shared" si="334"/>
        <v>251.9</v>
      </c>
      <c r="S172">
        <f t="shared" si="334"/>
        <v>279.93</v>
      </c>
      <c r="T172">
        <f t="shared" si="334"/>
        <v>294.91000000000003</v>
      </c>
      <c r="U172">
        <f t="shared" si="334"/>
        <v>304.12</v>
      </c>
      <c r="V172">
        <f t="shared" si="334"/>
        <v>357.12</v>
      </c>
      <c r="W172">
        <f t="shared" si="334"/>
        <v>311.8</v>
      </c>
      <c r="X172">
        <f t="shared" si="334"/>
        <v>309.12</v>
      </c>
      <c r="Y172">
        <f t="shared" si="334"/>
        <v>312.19</v>
      </c>
      <c r="Z172">
        <f t="shared" si="334"/>
        <v>310.27</v>
      </c>
      <c r="AA172">
        <f t="shared" si="334"/>
        <v>309.88</v>
      </c>
      <c r="AB172">
        <f t="shared" ref="AB172:BZ172" si="335">ROUNDDOWN(AB81*$A172*0.8,2)</f>
        <v>301.44</v>
      </c>
      <c r="AC172">
        <f t="shared" si="335"/>
        <v>0</v>
      </c>
      <c r="AD172">
        <f t="shared" si="335"/>
        <v>0</v>
      </c>
      <c r="AE172">
        <f t="shared" si="335"/>
        <v>0</v>
      </c>
      <c r="AF172">
        <f t="shared" si="335"/>
        <v>0</v>
      </c>
      <c r="AG172">
        <f t="shared" si="335"/>
        <v>0</v>
      </c>
      <c r="AH172">
        <f t="shared" si="335"/>
        <v>0</v>
      </c>
      <c r="AI172">
        <f t="shared" si="335"/>
        <v>0</v>
      </c>
      <c r="AJ172">
        <f t="shared" si="335"/>
        <v>0</v>
      </c>
      <c r="AK172">
        <f t="shared" si="335"/>
        <v>0</v>
      </c>
      <c r="AL172">
        <f t="shared" si="335"/>
        <v>0</v>
      </c>
      <c r="AM172">
        <f t="shared" si="335"/>
        <v>0</v>
      </c>
      <c r="AN172">
        <f t="shared" si="335"/>
        <v>0</v>
      </c>
      <c r="AO172">
        <f t="shared" si="335"/>
        <v>0</v>
      </c>
      <c r="AP172">
        <f t="shared" si="335"/>
        <v>0</v>
      </c>
      <c r="AQ172">
        <f t="shared" si="335"/>
        <v>0</v>
      </c>
      <c r="AR172">
        <f t="shared" si="335"/>
        <v>0</v>
      </c>
      <c r="AS172">
        <f t="shared" si="335"/>
        <v>0</v>
      </c>
      <c r="AT172">
        <f t="shared" si="335"/>
        <v>0</v>
      </c>
      <c r="AU172">
        <f t="shared" si="335"/>
        <v>0</v>
      </c>
      <c r="AV172">
        <f t="shared" si="335"/>
        <v>0</v>
      </c>
      <c r="AW172">
        <f t="shared" si="335"/>
        <v>0</v>
      </c>
      <c r="AX172">
        <f t="shared" si="335"/>
        <v>0</v>
      </c>
      <c r="AY172">
        <f t="shared" si="335"/>
        <v>0</v>
      </c>
      <c r="AZ172">
        <f t="shared" si="335"/>
        <v>0</v>
      </c>
      <c r="BA172">
        <f t="shared" si="335"/>
        <v>0</v>
      </c>
      <c r="BB172">
        <f t="shared" si="335"/>
        <v>0</v>
      </c>
      <c r="BC172">
        <f t="shared" si="335"/>
        <v>0</v>
      </c>
      <c r="BD172">
        <f t="shared" si="335"/>
        <v>0</v>
      </c>
      <c r="BE172">
        <f t="shared" si="335"/>
        <v>0</v>
      </c>
      <c r="BF172">
        <f t="shared" si="335"/>
        <v>0</v>
      </c>
      <c r="BG172">
        <f t="shared" si="335"/>
        <v>0</v>
      </c>
      <c r="BH172">
        <f t="shared" si="335"/>
        <v>0</v>
      </c>
      <c r="BI172">
        <f t="shared" si="335"/>
        <v>0</v>
      </c>
      <c r="BJ172">
        <f t="shared" si="335"/>
        <v>0</v>
      </c>
      <c r="BK172">
        <f t="shared" si="335"/>
        <v>0</v>
      </c>
      <c r="BL172">
        <f t="shared" si="335"/>
        <v>0</v>
      </c>
      <c r="BM172">
        <f t="shared" si="335"/>
        <v>0</v>
      </c>
      <c r="BN172">
        <f t="shared" si="335"/>
        <v>0</v>
      </c>
      <c r="BO172">
        <f t="shared" si="335"/>
        <v>0</v>
      </c>
      <c r="BP172">
        <f t="shared" si="335"/>
        <v>0</v>
      </c>
      <c r="BQ172">
        <f t="shared" si="335"/>
        <v>0</v>
      </c>
      <c r="BR172">
        <f t="shared" si="335"/>
        <v>0</v>
      </c>
      <c r="BS172">
        <f t="shared" si="335"/>
        <v>0</v>
      </c>
      <c r="BT172">
        <f t="shared" si="335"/>
        <v>0</v>
      </c>
      <c r="BU172">
        <f t="shared" si="335"/>
        <v>0</v>
      </c>
      <c r="BV172">
        <f t="shared" si="335"/>
        <v>0</v>
      </c>
      <c r="BW172">
        <f t="shared" si="335"/>
        <v>0</v>
      </c>
      <c r="BX172">
        <f t="shared" si="335"/>
        <v>0</v>
      </c>
      <c r="BY172">
        <f t="shared" si="335"/>
        <v>0</v>
      </c>
      <c r="BZ172">
        <f t="shared" si="335"/>
        <v>0</v>
      </c>
    </row>
    <row r="173" spans="1:78" x14ac:dyDescent="0.25">
      <c r="A173">
        <v>10</v>
      </c>
      <c r="B173" t="s">
        <v>123</v>
      </c>
      <c r="C173">
        <f t="shared" ref="C173:L178" si="336">ROUNDDOWN(C82*$A173*0.8,2)</f>
        <v>23.6</v>
      </c>
      <c r="D173">
        <f t="shared" si="336"/>
        <v>23.84</v>
      </c>
      <c r="E173">
        <f t="shared" si="336"/>
        <v>26.64</v>
      </c>
      <c r="F173">
        <f t="shared" si="336"/>
        <v>29.04</v>
      </c>
      <c r="G173">
        <f t="shared" si="336"/>
        <v>30.56</v>
      </c>
      <c r="H173">
        <f t="shared" si="336"/>
        <v>39.44</v>
      </c>
      <c r="I173">
        <f t="shared" si="336"/>
        <v>38.72</v>
      </c>
      <c r="J173">
        <f t="shared" si="336"/>
        <v>42.8</v>
      </c>
      <c r="K173">
        <f t="shared" si="336"/>
        <v>42.48</v>
      </c>
      <c r="L173">
        <f t="shared" si="336"/>
        <v>49.68</v>
      </c>
      <c r="M173">
        <f t="shared" ref="M173:AA173" si="337">ROUNDDOWN(M82*$A173*0.8,2)</f>
        <v>54.32</v>
      </c>
      <c r="N173">
        <f t="shared" si="337"/>
        <v>57.28</v>
      </c>
      <c r="O173">
        <f t="shared" si="337"/>
        <v>55.28</v>
      </c>
      <c r="P173">
        <f t="shared" si="337"/>
        <v>48.88</v>
      </c>
      <c r="Q173">
        <f t="shared" si="337"/>
        <v>43.28</v>
      </c>
      <c r="R173">
        <f t="shared" si="337"/>
        <v>46.56</v>
      </c>
      <c r="S173">
        <f t="shared" si="337"/>
        <v>54.64</v>
      </c>
      <c r="T173">
        <f t="shared" si="337"/>
        <v>60.08</v>
      </c>
      <c r="U173">
        <f t="shared" si="337"/>
        <v>61.2</v>
      </c>
      <c r="V173">
        <f t="shared" si="337"/>
        <v>66.239999999999995</v>
      </c>
      <c r="W173">
        <f t="shared" si="337"/>
        <v>66.72</v>
      </c>
      <c r="X173">
        <f t="shared" si="337"/>
        <v>59.76</v>
      </c>
      <c r="Y173">
        <f t="shared" si="337"/>
        <v>61.28</v>
      </c>
      <c r="Z173">
        <f t="shared" si="337"/>
        <v>63.04</v>
      </c>
      <c r="AA173">
        <f t="shared" si="337"/>
        <v>62</v>
      </c>
      <c r="AB173">
        <f t="shared" ref="AB173:BZ173" si="338">ROUNDDOWN(AB82*$A173*0.8,2)</f>
        <v>62.64</v>
      </c>
      <c r="AC173">
        <f t="shared" si="338"/>
        <v>0</v>
      </c>
      <c r="AD173">
        <f t="shared" si="338"/>
        <v>0</v>
      </c>
      <c r="AE173">
        <f t="shared" si="338"/>
        <v>0</v>
      </c>
      <c r="AF173">
        <f t="shared" si="338"/>
        <v>0</v>
      </c>
      <c r="AG173">
        <f t="shared" si="338"/>
        <v>0</v>
      </c>
      <c r="AH173">
        <f t="shared" si="338"/>
        <v>0</v>
      </c>
      <c r="AI173">
        <f t="shared" si="338"/>
        <v>0</v>
      </c>
      <c r="AJ173">
        <f t="shared" si="338"/>
        <v>0</v>
      </c>
      <c r="AK173">
        <f t="shared" si="338"/>
        <v>0</v>
      </c>
      <c r="AL173">
        <f t="shared" si="338"/>
        <v>0</v>
      </c>
      <c r="AM173">
        <f t="shared" si="338"/>
        <v>0</v>
      </c>
      <c r="AN173">
        <f t="shared" si="338"/>
        <v>0</v>
      </c>
      <c r="AO173">
        <f t="shared" si="338"/>
        <v>0</v>
      </c>
      <c r="AP173">
        <f t="shared" si="338"/>
        <v>0</v>
      </c>
      <c r="AQ173">
        <f t="shared" si="338"/>
        <v>0</v>
      </c>
      <c r="AR173">
        <f t="shared" si="338"/>
        <v>0</v>
      </c>
      <c r="AS173">
        <f t="shared" si="338"/>
        <v>0</v>
      </c>
      <c r="AT173">
        <f t="shared" si="338"/>
        <v>0</v>
      </c>
      <c r="AU173">
        <f t="shared" si="338"/>
        <v>0</v>
      </c>
      <c r="AV173">
        <f t="shared" si="338"/>
        <v>0</v>
      </c>
      <c r="AW173">
        <f t="shared" si="338"/>
        <v>0</v>
      </c>
      <c r="AX173">
        <f t="shared" si="338"/>
        <v>0</v>
      </c>
      <c r="AY173">
        <f t="shared" si="338"/>
        <v>0</v>
      </c>
      <c r="AZ173">
        <f t="shared" si="338"/>
        <v>0</v>
      </c>
      <c r="BA173">
        <f t="shared" si="338"/>
        <v>0</v>
      </c>
      <c r="BB173">
        <f t="shared" si="338"/>
        <v>0</v>
      </c>
      <c r="BC173">
        <f t="shared" si="338"/>
        <v>0</v>
      </c>
      <c r="BD173">
        <f t="shared" si="338"/>
        <v>0</v>
      </c>
      <c r="BE173">
        <f t="shared" si="338"/>
        <v>0</v>
      </c>
      <c r="BF173">
        <f t="shared" si="338"/>
        <v>0</v>
      </c>
      <c r="BG173">
        <f t="shared" si="338"/>
        <v>0</v>
      </c>
      <c r="BH173">
        <f t="shared" si="338"/>
        <v>0</v>
      </c>
      <c r="BI173">
        <f t="shared" si="338"/>
        <v>0</v>
      </c>
      <c r="BJ173">
        <f t="shared" si="338"/>
        <v>0</v>
      </c>
      <c r="BK173">
        <f t="shared" si="338"/>
        <v>0</v>
      </c>
      <c r="BL173">
        <f t="shared" si="338"/>
        <v>0</v>
      </c>
      <c r="BM173">
        <f t="shared" si="338"/>
        <v>0</v>
      </c>
      <c r="BN173">
        <f t="shared" si="338"/>
        <v>0</v>
      </c>
      <c r="BO173">
        <f t="shared" si="338"/>
        <v>0</v>
      </c>
      <c r="BP173">
        <f t="shared" si="338"/>
        <v>0</v>
      </c>
      <c r="BQ173">
        <f t="shared" si="338"/>
        <v>0</v>
      </c>
      <c r="BR173">
        <f t="shared" si="338"/>
        <v>0</v>
      </c>
      <c r="BS173">
        <f t="shared" si="338"/>
        <v>0</v>
      </c>
      <c r="BT173">
        <f t="shared" si="338"/>
        <v>0</v>
      </c>
      <c r="BU173">
        <f t="shared" si="338"/>
        <v>0</v>
      </c>
      <c r="BV173">
        <f t="shared" si="338"/>
        <v>0</v>
      </c>
      <c r="BW173">
        <f t="shared" si="338"/>
        <v>0</v>
      </c>
      <c r="BX173">
        <f t="shared" si="338"/>
        <v>0</v>
      </c>
      <c r="BY173">
        <f t="shared" si="338"/>
        <v>0</v>
      </c>
      <c r="BZ173">
        <f t="shared" si="338"/>
        <v>0</v>
      </c>
    </row>
    <row r="174" spans="1:78" x14ac:dyDescent="0.25">
      <c r="A174">
        <v>6</v>
      </c>
      <c r="B174" t="s">
        <v>124</v>
      </c>
      <c r="C174">
        <f t="shared" si="336"/>
        <v>14.44</v>
      </c>
      <c r="D174">
        <f t="shared" si="336"/>
        <v>13.96</v>
      </c>
      <c r="E174">
        <f t="shared" si="336"/>
        <v>16.12</v>
      </c>
      <c r="F174">
        <f t="shared" si="336"/>
        <v>18</v>
      </c>
      <c r="G174">
        <f t="shared" si="336"/>
        <v>18.329999999999998</v>
      </c>
      <c r="H174">
        <f t="shared" si="336"/>
        <v>27.31</v>
      </c>
      <c r="I174">
        <f t="shared" si="336"/>
        <v>29.37</v>
      </c>
      <c r="J174">
        <f t="shared" si="336"/>
        <v>24.72</v>
      </c>
      <c r="K174">
        <f t="shared" si="336"/>
        <v>26.83</v>
      </c>
      <c r="L174">
        <f t="shared" si="336"/>
        <v>30.52</v>
      </c>
      <c r="M174">
        <f t="shared" ref="M174:AA174" si="339">ROUNDDOWN(M83*$A174*0.8,2)</f>
        <v>33.119999999999997</v>
      </c>
      <c r="N174">
        <f t="shared" si="339"/>
        <v>34.65</v>
      </c>
      <c r="O174">
        <f t="shared" si="339"/>
        <v>32.06</v>
      </c>
      <c r="P174">
        <f t="shared" si="339"/>
        <v>30.81</v>
      </c>
      <c r="Q174">
        <f t="shared" si="339"/>
        <v>28.27</v>
      </c>
      <c r="R174">
        <f t="shared" si="339"/>
        <v>28.65</v>
      </c>
      <c r="S174">
        <f t="shared" si="339"/>
        <v>32.200000000000003</v>
      </c>
      <c r="T174">
        <f t="shared" si="339"/>
        <v>39.5</v>
      </c>
      <c r="U174">
        <f t="shared" si="339"/>
        <v>39.6</v>
      </c>
      <c r="V174">
        <f t="shared" si="339"/>
        <v>45.26</v>
      </c>
      <c r="W174">
        <f t="shared" si="339"/>
        <v>38.880000000000003</v>
      </c>
      <c r="X174">
        <f t="shared" si="339"/>
        <v>37.82</v>
      </c>
      <c r="Y174">
        <f t="shared" si="339"/>
        <v>37.1</v>
      </c>
      <c r="Z174">
        <f t="shared" si="339"/>
        <v>38.44</v>
      </c>
      <c r="AA174">
        <f t="shared" si="339"/>
        <v>38.92</v>
      </c>
      <c r="AB174">
        <f t="shared" ref="AB174:BZ174" si="340">ROUNDDOWN(AB83*$A174*0.8,2)</f>
        <v>39.020000000000003</v>
      </c>
      <c r="AC174">
        <f t="shared" si="340"/>
        <v>0</v>
      </c>
      <c r="AD174">
        <f t="shared" si="340"/>
        <v>0</v>
      </c>
      <c r="AE174">
        <f t="shared" si="340"/>
        <v>0</v>
      </c>
      <c r="AF174">
        <f t="shared" si="340"/>
        <v>0</v>
      </c>
      <c r="AG174">
        <f t="shared" si="340"/>
        <v>0</v>
      </c>
      <c r="AH174">
        <f t="shared" si="340"/>
        <v>0</v>
      </c>
      <c r="AI174">
        <f t="shared" si="340"/>
        <v>0</v>
      </c>
      <c r="AJ174">
        <f t="shared" si="340"/>
        <v>0</v>
      </c>
      <c r="AK174">
        <f t="shared" si="340"/>
        <v>0</v>
      </c>
      <c r="AL174">
        <f t="shared" si="340"/>
        <v>0</v>
      </c>
      <c r="AM174">
        <f t="shared" si="340"/>
        <v>0</v>
      </c>
      <c r="AN174">
        <f t="shared" si="340"/>
        <v>0</v>
      </c>
      <c r="AO174">
        <f t="shared" si="340"/>
        <v>0</v>
      </c>
      <c r="AP174">
        <f t="shared" si="340"/>
        <v>0</v>
      </c>
      <c r="AQ174">
        <f t="shared" si="340"/>
        <v>0</v>
      </c>
      <c r="AR174">
        <f t="shared" si="340"/>
        <v>0</v>
      </c>
      <c r="AS174">
        <f t="shared" si="340"/>
        <v>0</v>
      </c>
      <c r="AT174">
        <f t="shared" si="340"/>
        <v>0</v>
      </c>
      <c r="AU174">
        <f t="shared" si="340"/>
        <v>0</v>
      </c>
      <c r="AV174">
        <f t="shared" si="340"/>
        <v>0</v>
      </c>
      <c r="AW174">
        <f t="shared" si="340"/>
        <v>0</v>
      </c>
      <c r="AX174">
        <f t="shared" si="340"/>
        <v>0</v>
      </c>
      <c r="AY174">
        <f t="shared" si="340"/>
        <v>0</v>
      </c>
      <c r="AZ174">
        <f t="shared" si="340"/>
        <v>0</v>
      </c>
      <c r="BA174">
        <f t="shared" si="340"/>
        <v>0</v>
      </c>
      <c r="BB174">
        <f t="shared" si="340"/>
        <v>0</v>
      </c>
      <c r="BC174">
        <f t="shared" si="340"/>
        <v>0</v>
      </c>
      <c r="BD174">
        <f t="shared" si="340"/>
        <v>0</v>
      </c>
      <c r="BE174">
        <f t="shared" si="340"/>
        <v>0</v>
      </c>
      <c r="BF174">
        <f t="shared" si="340"/>
        <v>0</v>
      </c>
      <c r="BG174">
        <f t="shared" si="340"/>
        <v>0</v>
      </c>
      <c r="BH174">
        <f t="shared" si="340"/>
        <v>0</v>
      </c>
      <c r="BI174">
        <f t="shared" si="340"/>
        <v>0</v>
      </c>
      <c r="BJ174">
        <f t="shared" si="340"/>
        <v>0</v>
      </c>
      <c r="BK174">
        <f t="shared" si="340"/>
        <v>0</v>
      </c>
      <c r="BL174">
        <f t="shared" si="340"/>
        <v>0</v>
      </c>
      <c r="BM174">
        <f t="shared" si="340"/>
        <v>0</v>
      </c>
      <c r="BN174">
        <f t="shared" si="340"/>
        <v>0</v>
      </c>
      <c r="BO174">
        <f t="shared" si="340"/>
        <v>0</v>
      </c>
      <c r="BP174">
        <f t="shared" si="340"/>
        <v>0</v>
      </c>
      <c r="BQ174">
        <f t="shared" si="340"/>
        <v>0</v>
      </c>
      <c r="BR174">
        <f t="shared" si="340"/>
        <v>0</v>
      </c>
      <c r="BS174">
        <f t="shared" si="340"/>
        <v>0</v>
      </c>
      <c r="BT174">
        <f t="shared" si="340"/>
        <v>0</v>
      </c>
      <c r="BU174">
        <f t="shared" si="340"/>
        <v>0</v>
      </c>
      <c r="BV174">
        <f t="shared" si="340"/>
        <v>0</v>
      </c>
      <c r="BW174">
        <f t="shared" si="340"/>
        <v>0</v>
      </c>
      <c r="BX174">
        <f t="shared" si="340"/>
        <v>0</v>
      </c>
      <c r="BY174">
        <f t="shared" si="340"/>
        <v>0</v>
      </c>
      <c r="BZ174">
        <f t="shared" si="340"/>
        <v>0</v>
      </c>
    </row>
    <row r="175" spans="1:78" x14ac:dyDescent="0.25">
      <c r="A175">
        <v>10</v>
      </c>
      <c r="B175" t="s">
        <v>125</v>
      </c>
      <c r="C175">
        <f t="shared" si="336"/>
        <v>28.08</v>
      </c>
      <c r="D175">
        <f t="shared" si="336"/>
        <v>26.48</v>
      </c>
      <c r="E175">
        <f t="shared" si="336"/>
        <v>26.48</v>
      </c>
      <c r="F175">
        <f t="shared" si="336"/>
        <v>32</v>
      </c>
      <c r="G175">
        <f t="shared" si="336"/>
        <v>34.64</v>
      </c>
      <c r="H175">
        <f t="shared" si="336"/>
        <v>40.08</v>
      </c>
      <c r="I175">
        <f t="shared" si="336"/>
        <v>44.56</v>
      </c>
      <c r="J175">
        <f t="shared" si="336"/>
        <v>48.4</v>
      </c>
      <c r="K175">
        <f t="shared" si="336"/>
        <v>48.88</v>
      </c>
      <c r="L175">
        <f t="shared" si="336"/>
        <v>54.08</v>
      </c>
      <c r="M175">
        <f t="shared" ref="M175:AA175" si="341">ROUNDDOWN(M84*$A175*0.8,2)</f>
        <v>58</v>
      </c>
      <c r="N175">
        <f t="shared" si="341"/>
        <v>56.48</v>
      </c>
      <c r="O175">
        <f t="shared" si="341"/>
        <v>55.76</v>
      </c>
      <c r="P175">
        <f t="shared" si="341"/>
        <v>51.68</v>
      </c>
      <c r="Q175">
        <f t="shared" si="341"/>
        <v>51.28</v>
      </c>
      <c r="R175">
        <f t="shared" si="341"/>
        <v>53.28</v>
      </c>
      <c r="S175">
        <f t="shared" si="341"/>
        <v>59.68</v>
      </c>
      <c r="T175">
        <f t="shared" si="341"/>
        <v>61.52</v>
      </c>
      <c r="U175">
        <f t="shared" si="341"/>
        <v>68.48</v>
      </c>
      <c r="V175">
        <f t="shared" si="341"/>
        <v>73.599999999999994</v>
      </c>
      <c r="W175">
        <f t="shared" si="341"/>
        <v>70.72</v>
      </c>
      <c r="X175">
        <f t="shared" si="341"/>
        <v>65.28</v>
      </c>
      <c r="Y175">
        <f t="shared" si="341"/>
        <v>69.2</v>
      </c>
      <c r="Z175">
        <f t="shared" si="341"/>
        <v>68.16</v>
      </c>
      <c r="AA175">
        <f t="shared" si="341"/>
        <v>68.16</v>
      </c>
      <c r="AB175">
        <f t="shared" ref="AB175:BZ175" si="342">ROUNDDOWN(AB84*$A175*0.8,2)</f>
        <v>66.64</v>
      </c>
      <c r="AC175">
        <f t="shared" si="342"/>
        <v>0</v>
      </c>
      <c r="AD175">
        <f t="shared" si="342"/>
        <v>0</v>
      </c>
      <c r="AE175">
        <f t="shared" si="342"/>
        <v>0</v>
      </c>
      <c r="AF175">
        <f t="shared" si="342"/>
        <v>0</v>
      </c>
      <c r="AG175">
        <f t="shared" si="342"/>
        <v>0</v>
      </c>
      <c r="AH175">
        <f t="shared" si="342"/>
        <v>0</v>
      </c>
      <c r="AI175">
        <f t="shared" si="342"/>
        <v>0</v>
      </c>
      <c r="AJ175">
        <f t="shared" si="342"/>
        <v>0</v>
      </c>
      <c r="AK175">
        <f t="shared" si="342"/>
        <v>0</v>
      </c>
      <c r="AL175">
        <f t="shared" si="342"/>
        <v>0</v>
      </c>
      <c r="AM175">
        <f t="shared" si="342"/>
        <v>0</v>
      </c>
      <c r="AN175">
        <f t="shared" si="342"/>
        <v>0</v>
      </c>
      <c r="AO175">
        <f t="shared" si="342"/>
        <v>0</v>
      </c>
      <c r="AP175">
        <f t="shared" si="342"/>
        <v>0</v>
      </c>
      <c r="AQ175">
        <f t="shared" si="342"/>
        <v>0</v>
      </c>
      <c r="AR175">
        <f t="shared" si="342"/>
        <v>0</v>
      </c>
      <c r="AS175">
        <f t="shared" si="342"/>
        <v>0</v>
      </c>
      <c r="AT175">
        <f t="shared" si="342"/>
        <v>0</v>
      </c>
      <c r="AU175">
        <f t="shared" si="342"/>
        <v>0</v>
      </c>
      <c r="AV175">
        <f t="shared" si="342"/>
        <v>0</v>
      </c>
      <c r="AW175">
        <f t="shared" si="342"/>
        <v>0</v>
      </c>
      <c r="AX175">
        <f t="shared" si="342"/>
        <v>0</v>
      </c>
      <c r="AY175">
        <f t="shared" si="342"/>
        <v>0</v>
      </c>
      <c r="AZ175">
        <f t="shared" si="342"/>
        <v>0</v>
      </c>
      <c r="BA175">
        <f t="shared" si="342"/>
        <v>0</v>
      </c>
      <c r="BB175">
        <f t="shared" si="342"/>
        <v>0</v>
      </c>
      <c r="BC175">
        <f t="shared" si="342"/>
        <v>0</v>
      </c>
      <c r="BD175">
        <f t="shared" si="342"/>
        <v>0</v>
      </c>
      <c r="BE175">
        <f t="shared" si="342"/>
        <v>0</v>
      </c>
      <c r="BF175">
        <f t="shared" si="342"/>
        <v>0</v>
      </c>
      <c r="BG175">
        <f t="shared" si="342"/>
        <v>0</v>
      </c>
      <c r="BH175">
        <f t="shared" si="342"/>
        <v>0</v>
      </c>
      <c r="BI175">
        <f t="shared" si="342"/>
        <v>0</v>
      </c>
      <c r="BJ175">
        <f t="shared" si="342"/>
        <v>0</v>
      </c>
      <c r="BK175">
        <f t="shared" si="342"/>
        <v>0</v>
      </c>
      <c r="BL175">
        <f t="shared" si="342"/>
        <v>0</v>
      </c>
      <c r="BM175">
        <f t="shared" si="342"/>
        <v>0</v>
      </c>
      <c r="BN175">
        <f t="shared" si="342"/>
        <v>0</v>
      </c>
      <c r="BO175">
        <f t="shared" si="342"/>
        <v>0</v>
      </c>
      <c r="BP175">
        <f t="shared" si="342"/>
        <v>0</v>
      </c>
      <c r="BQ175">
        <f t="shared" si="342"/>
        <v>0</v>
      </c>
      <c r="BR175">
        <f t="shared" si="342"/>
        <v>0</v>
      </c>
      <c r="BS175">
        <f t="shared" si="342"/>
        <v>0</v>
      </c>
      <c r="BT175">
        <f t="shared" si="342"/>
        <v>0</v>
      </c>
      <c r="BU175">
        <f t="shared" si="342"/>
        <v>0</v>
      </c>
      <c r="BV175">
        <f t="shared" si="342"/>
        <v>0</v>
      </c>
      <c r="BW175">
        <f t="shared" si="342"/>
        <v>0</v>
      </c>
      <c r="BX175">
        <f t="shared" si="342"/>
        <v>0</v>
      </c>
      <c r="BY175">
        <f t="shared" si="342"/>
        <v>0</v>
      </c>
      <c r="BZ175">
        <f t="shared" si="342"/>
        <v>0</v>
      </c>
    </row>
    <row r="176" spans="1:78" x14ac:dyDescent="0.25">
      <c r="A176">
        <v>10</v>
      </c>
      <c r="B176" t="s">
        <v>126</v>
      </c>
      <c r="C176">
        <f t="shared" si="336"/>
        <v>24.24</v>
      </c>
      <c r="D176">
        <f t="shared" si="336"/>
        <v>24.16</v>
      </c>
      <c r="E176">
        <f t="shared" si="336"/>
        <v>26</v>
      </c>
      <c r="F176">
        <f t="shared" si="336"/>
        <v>29.12</v>
      </c>
      <c r="G176">
        <f t="shared" si="336"/>
        <v>29.92</v>
      </c>
      <c r="H176">
        <f t="shared" si="336"/>
        <v>38.479999999999997</v>
      </c>
      <c r="I176">
        <f t="shared" si="336"/>
        <v>39.840000000000003</v>
      </c>
      <c r="J176">
        <f t="shared" si="336"/>
        <v>42.8</v>
      </c>
      <c r="K176">
        <f t="shared" si="336"/>
        <v>42.24</v>
      </c>
      <c r="L176">
        <f t="shared" si="336"/>
        <v>50.32</v>
      </c>
      <c r="M176">
        <f t="shared" ref="M176:AA176" si="343">ROUNDDOWN(M85*$A176*0.8,2)</f>
        <v>53.36</v>
      </c>
      <c r="N176">
        <f t="shared" si="343"/>
        <v>55.68</v>
      </c>
      <c r="O176">
        <f t="shared" si="343"/>
        <v>54.64</v>
      </c>
      <c r="P176">
        <f t="shared" si="343"/>
        <v>54.08</v>
      </c>
      <c r="Q176">
        <f t="shared" si="343"/>
        <v>49.12</v>
      </c>
      <c r="R176">
        <f t="shared" si="343"/>
        <v>47.04</v>
      </c>
      <c r="S176">
        <f t="shared" si="343"/>
        <v>54.16</v>
      </c>
      <c r="T176">
        <f t="shared" si="343"/>
        <v>60.4</v>
      </c>
      <c r="U176">
        <f t="shared" si="343"/>
        <v>65.84</v>
      </c>
      <c r="V176">
        <f t="shared" si="343"/>
        <v>77.84</v>
      </c>
      <c r="W176">
        <f t="shared" si="343"/>
        <v>65.84</v>
      </c>
      <c r="X176">
        <f t="shared" si="343"/>
        <v>63.36</v>
      </c>
      <c r="Y176">
        <f t="shared" si="343"/>
        <v>63.04</v>
      </c>
      <c r="Z176">
        <f t="shared" si="343"/>
        <v>63.44</v>
      </c>
      <c r="AA176">
        <f t="shared" si="343"/>
        <v>62.88</v>
      </c>
      <c r="AB176">
        <f t="shared" ref="AB176:BZ176" si="344">ROUNDDOWN(AB85*$A176*0.8,2)</f>
        <v>62.16</v>
      </c>
      <c r="AC176">
        <f t="shared" si="344"/>
        <v>0</v>
      </c>
      <c r="AD176">
        <f t="shared" si="344"/>
        <v>0</v>
      </c>
      <c r="AE176">
        <f t="shared" si="344"/>
        <v>0</v>
      </c>
      <c r="AF176">
        <f t="shared" si="344"/>
        <v>0</v>
      </c>
      <c r="AG176">
        <f t="shared" si="344"/>
        <v>0</v>
      </c>
      <c r="AH176">
        <f t="shared" si="344"/>
        <v>0</v>
      </c>
      <c r="AI176">
        <f t="shared" si="344"/>
        <v>0</v>
      </c>
      <c r="AJ176">
        <f t="shared" si="344"/>
        <v>0</v>
      </c>
      <c r="AK176">
        <f t="shared" si="344"/>
        <v>0</v>
      </c>
      <c r="AL176">
        <f t="shared" si="344"/>
        <v>0</v>
      </c>
      <c r="AM176">
        <f t="shared" si="344"/>
        <v>0</v>
      </c>
      <c r="AN176">
        <f t="shared" si="344"/>
        <v>0</v>
      </c>
      <c r="AO176">
        <f t="shared" si="344"/>
        <v>0</v>
      </c>
      <c r="AP176">
        <f t="shared" si="344"/>
        <v>0</v>
      </c>
      <c r="AQ176">
        <f t="shared" si="344"/>
        <v>0</v>
      </c>
      <c r="AR176">
        <f t="shared" si="344"/>
        <v>0</v>
      </c>
      <c r="AS176">
        <f t="shared" si="344"/>
        <v>0</v>
      </c>
      <c r="AT176">
        <f t="shared" si="344"/>
        <v>0</v>
      </c>
      <c r="AU176">
        <f t="shared" si="344"/>
        <v>0</v>
      </c>
      <c r="AV176">
        <f t="shared" si="344"/>
        <v>0</v>
      </c>
      <c r="AW176">
        <f t="shared" si="344"/>
        <v>0</v>
      </c>
      <c r="AX176">
        <f t="shared" si="344"/>
        <v>0</v>
      </c>
      <c r="AY176">
        <f t="shared" si="344"/>
        <v>0</v>
      </c>
      <c r="AZ176">
        <f t="shared" si="344"/>
        <v>0</v>
      </c>
      <c r="BA176">
        <f t="shared" si="344"/>
        <v>0</v>
      </c>
      <c r="BB176">
        <f t="shared" si="344"/>
        <v>0</v>
      </c>
      <c r="BC176">
        <f t="shared" si="344"/>
        <v>0</v>
      </c>
      <c r="BD176">
        <f t="shared" si="344"/>
        <v>0</v>
      </c>
      <c r="BE176">
        <f t="shared" si="344"/>
        <v>0</v>
      </c>
      <c r="BF176">
        <f t="shared" si="344"/>
        <v>0</v>
      </c>
      <c r="BG176">
        <f t="shared" si="344"/>
        <v>0</v>
      </c>
      <c r="BH176">
        <f t="shared" si="344"/>
        <v>0</v>
      </c>
      <c r="BI176">
        <f t="shared" si="344"/>
        <v>0</v>
      </c>
      <c r="BJ176">
        <f t="shared" si="344"/>
        <v>0</v>
      </c>
      <c r="BK176">
        <f t="shared" si="344"/>
        <v>0</v>
      </c>
      <c r="BL176">
        <f t="shared" si="344"/>
        <v>0</v>
      </c>
      <c r="BM176">
        <f t="shared" si="344"/>
        <v>0</v>
      </c>
      <c r="BN176">
        <f t="shared" si="344"/>
        <v>0</v>
      </c>
      <c r="BO176">
        <f t="shared" si="344"/>
        <v>0</v>
      </c>
      <c r="BP176">
        <f t="shared" si="344"/>
        <v>0</v>
      </c>
      <c r="BQ176">
        <f t="shared" si="344"/>
        <v>0</v>
      </c>
      <c r="BR176">
        <f t="shared" si="344"/>
        <v>0</v>
      </c>
      <c r="BS176">
        <f t="shared" si="344"/>
        <v>0</v>
      </c>
      <c r="BT176">
        <f t="shared" si="344"/>
        <v>0</v>
      </c>
      <c r="BU176">
        <f t="shared" si="344"/>
        <v>0</v>
      </c>
      <c r="BV176">
        <f t="shared" si="344"/>
        <v>0</v>
      </c>
      <c r="BW176">
        <f t="shared" si="344"/>
        <v>0</v>
      </c>
      <c r="BX176">
        <f t="shared" si="344"/>
        <v>0</v>
      </c>
      <c r="BY176">
        <f t="shared" si="344"/>
        <v>0</v>
      </c>
      <c r="BZ176">
        <f t="shared" si="344"/>
        <v>0</v>
      </c>
    </row>
    <row r="177" spans="1:78" x14ac:dyDescent="0.25">
      <c r="A177">
        <v>7</v>
      </c>
      <c r="B177" t="s">
        <v>127</v>
      </c>
      <c r="C177">
        <f t="shared" si="336"/>
        <v>16.57</v>
      </c>
      <c r="D177">
        <f t="shared" si="336"/>
        <v>17.86</v>
      </c>
      <c r="E177">
        <f t="shared" si="336"/>
        <v>19.09</v>
      </c>
      <c r="F177">
        <f t="shared" si="336"/>
        <v>20.88</v>
      </c>
      <c r="G177">
        <f t="shared" si="336"/>
        <v>22.62</v>
      </c>
      <c r="H177">
        <f t="shared" si="336"/>
        <v>29.06</v>
      </c>
      <c r="I177">
        <f t="shared" si="336"/>
        <v>31.3</v>
      </c>
      <c r="J177">
        <f t="shared" si="336"/>
        <v>31.3</v>
      </c>
      <c r="K177">
        <f t="shared" si="336"/>
        <v>31.24</v>
      </c>
      <c r="L177">
        <f t="shared" si="336"/>
        <v>36.56</v>
      </c>
      <c r="M177">
        <f t="shared" ref="M177:AA177" si="345">ROUNDDOWN(M86*$A177*0.8,2)</f>
        <v>40.54</v>
      </c>
      <c r="N177">
        <f t="shared" si="345"/>
        <v>40.200000000000003</v>
      </c>
      <c r="O177">
        <f t="shared" si="345"/>
        <v>40.32</v>
      </c>
      <c r="P177">
        <f t="shared" si="345"/>
        <v>37.909999999999997</v>
      </c>
      <c r="Q177">
        <f t="shared" si="345"/>
        <v>37.57</v>
      </c>
      <c r="R177">
        <f t="shared" si="345"/>
        <v>37.520000000000003</v>
      </c>
      <c r="S177">
        <f t="shared" si="345"/>
        <v>40.880000000000003</v>
      </c>
      <c r="T177">
        <f t="shared" si="345"/>
        <v>44.57</v>
      </c>
      <c r="U177">
        <f t="shared" si="345"/>
        <v>52.69</v>
      </c>
      <c r="V177">
        <f t="shared" si="345"/>
        <v>52.02</v>
      </c>
      <c r="W177">
        <f t="shared" si="345"/>
        <v>47.09</v>
      </c>
      <c r="X177">
        <f t="shared" si="345"/>
        <v>44.68</v>
      </c>
      <c r="Y177">
        <f t="shared" si="345"/>
        <v>46.14</v>
      </c>
      <c r="Z177">
        <f t="shared" si="345"/>
        <v>44.63</v>
      </c>
      <c r="AA177">
        <f t="shared" si="345"/>
        <v>46.76</v>
      </c>
      <c r="AB177">
        <f t="shared" ref="AB177:BZ177" si="346">ROUNDDOWN(AB86*$A177*0.8,2)</f>
        <v>46.64</v>
      </c>
      <c r="AC177">
        <f t="shared" si="346"/>
        <v>0</v>
      </c>
      <c r="AD177">
        <f t="shared" si="346"/>
        <v>0</v>
      </c>
      <c r="AE177">
        <f t="shared" si="346"/>
        <v>0</v>
      </c>
      <c r="AF177">
        <f t="shared" si="346"/>
        <v>0</v>
      </c>
      <c r="AG177">
        <f t="shared" si="346"/>
        <v>0</v>
      </c>
      <c r="AH177">
        <f t="shared" si="346"/>
        <v>0</v>
      </c>
      <c r="AI177">
        <f t="shared" si="346"/>
        <v>0</v>
      </c>
      <c r="AJ177">
        <f t="shared" si="346"/>
        <v>0</v>
      </c>
      <c r="AK177">
        <f t="shared" si="346"/>
        <v>0</v>
      </c>
      <c r="AL177">
        <f t="shared" si="346"/>
        <v>0</v>
      </c>
      <c r="AM177">
        <f t="shared" si="346"/>
        <v>0</v>
      </c>
      <c r="AN177">
        <f t="shared" si="346"/>
        <v>0</v>
      </c>
      <c r="AO177">
        <f t="shared" si="346"/>
        <v>0</v>
      </c>
      <c r="AP177">
        <f t="shared" si="346"/>
        <v>0</v>
      </c>
      <c r="AQ177">
        <f t="shared" si="346"/>
        <v>0</v>
      </c>
      <c r="AR177">
        <f t="shared" si="346"/>
        <v>0</v>
      </c>
      <c r="AS177">
        <f t="shared" si="346"/>
        <v>0</v>
      </c>
      <c r="AT177">
        <f t="shared" si="346"/>
        <v>0</v>
      </c>
      <c r="AU177">
        <f t="shared" si="346"/>
        <v>0</v>
      </c>
      <c r="AV177">
        <f t="shared" si="346"/>
        <v>0</v>
      </c>
      <c r="AW177">
        <f t="shared" si="346"/>
        <v>0</v>
      </c>
      <c r="AX177">
        <f t="shared" si="346"/>
        <v>0</v>
      </c>
      <c r="AY177">
        <f t="shared" si="346"/>
        <v>0</v>
      </c>
      <c r="AZ177">
        <f t="shared" si="346"/>
        <v>0</v>
      </c>
      <c r="BA177">
        <f t="shared" si="346"/>
        <v>0</v>
      </c>
      <c r="BB177">
        <f t="shared" si="346"/>
        <v>0</v>
      </c>
      <c r="BC177">
        <f t="shared" si="346"/>
        <v>0</v>
      </c>
      <c r="BD177">
        <f t="shared" si="346"/>
        <v>0</v>
      </c>
      <c r="BE177">
        <f t="shared" si="346"/>
        <v>0</v>
      </c>
      <c r="BF177">
        <f t="shared" si="346"/>
        <v>0</v>
      </c>
      <c r="BG177">
        <f t="shared" si="346"/>
        <v>0</v>
      </c>
      <c r="BH177">
        <f t="shared" si="346"/>
        <v>0</v>
      </c>
      <c r="BI177">
        <f t="shared" si="346"/>
        <v>0</v>
      </c>
      <c r="BJ177">
        <f t="shared" si="346"/>
        <v>0</v>
      </c>
      <c r="BK177">
        <f t="shared" si="346"/>
        <v>0</v>
      </c>
      <c r="BL177">
        <f t="shared" si="346"/>
        <v>0</v>
      </c>
      <c r="BM177">
        <f t="shared" si="346"/>
        <v>0</v>
      </c>
      <c r="BN177">
        <f t="shared" si="346"/>
        <v>0</v>
      </c>
      <c r="BO177">
        <f t="shared" si="346"/>
        <v>0</v>
      </c>
      <c r="BP177">
        <f t="shared" si="346"/>
        <v>0</v>
      </c>
      <c r="BQ177">
        <f t="shared" si="346"/>
        <v>0</v>
      </c>
      <c r="BR177">
        <f t="shared" si="346"/>
        <v>0</v>
      </c>
      <c r="BS177">
        <f t="shared" si="346"/>
        <v>0</v>
      </c>
      <c r="BT177">
        <f t="shared" si="346"/>
        <v>0</v>
      </c>
      <c r="BU177">
        <f t="shared" si="346"/>
        <v>0</v>
      </c>
      <c r="BV177">
        <f t="shared" si="346"/>
        <v>0</v>
      </c>
      <c r="BW177">
        <f t="shared" si="346"/>
        <v>0</v>
      </c>
      <c r="BX177">
        <f t="shared" si="346"/>
        <v>0</v>
      </c>
      <c r="BY177">
        <f t="shared" si="346"/>
        <v>0</v>
      </c>
      <c r="BZ177">
        <f t="shared" si="346"/>
        <v>0</v>
      </c>
    </row>
    <row r="178" spans="1:78" x14ac:dyDescent="0.25">
      <c r="A178">
        <v>5</v>
      </c>
      <c r="B178" t="s">
        <v>128</v>
      </c>
      <c r="C178">
        <f t="shared" si="336"/>
        <v>11.88</v>
      </c>
      <c r="D178">
        <f t="shared" si="336"/>
        <v>12.56</v>
      </c>
      <c r="E178">
        <f t="shared" si="336"/>
        <v>13.24</v>
      </c>
      <c r="F178">
        <f t="shared" si="336"/>
        <v>14.28</v>
      </c>
      <c r="G178">
        <f t="shared" si="336"/>
        <v>15.28</v>
      </c>
      <c r="H178">
        <f t="shared" si="336"/>
        <v>22.44</v>
      </c>
      <c r="I178">
        <f t="shared" si="336"/>
        <v>21.72</v>
      </c>
      <c r="J178">
        <f t="shared" si="336"/>
        <v>21.72</v>
      </c>
      <c r="K178">
        <f t="shared" si="336"/>
        <v>22.28</v>
      </c>
      <c r="L178">
        <f t="shared" si="336"/>
        <v>29.96</v>
      </c>
      <c r="M178">
        <f t="shared" ref="M178:AA178" si="347">ROUNDDOWN(M87*$A178*0.8,2)</f>
        <v>32.6</v>
      </c>
      <c r="N178">
        <f t="shared" si="347"/>
        <v>30.6</v>
      </c>
      <c r="O178">
        <f t="shared" si="347"/>
        <v>29.52</v>
      </c>
      <c r="P178">
        <f t="shared" si="347"/>
        <v>27.84</v>
      </c>
      <c r="Q178">
        <f t="shared" si="347"/>
        <v>25.04</v>
      </c>
      <c r="R178">
        <f t="shared" si="347"/>
        <v>25.88</v>
      </c>
      <c r="S178">
        <f t="shared" si="347"/>
        <v>27.92</v>
      </c>
      <c r="T178">
        <f t="shared" si="347"/>
        <v>31.12</v>
      </c>
      <c r="U178">
        <f t="shared" si="347"/>
        <v>33.6</v>
      </c>
      <c r="V178">
        <f t="shared" si="347"/>
        <v>37.92</v>
      </c>
      <c r="W178">
        <f t="shared" si="347"/>
        <v>37.92</v>
      </c>
      <c r="X178">
        <f t="shared" si="347"/>
        <v>34.04</v>
      </c>
      <c r="Y178">
        <f t="shared" si="347"/>
        <v>33.28</v>
      </c>
      <c r="Z178">
        <f t="shared" si="347"/>
        <v>32.32</v>
      </c>
      <c r="AA178">
        <f t="shared" si="347"/>
        <v>32.840000000000003</v>
      </c>
      <c r="AB178">
        <f t="shared" ref="AB178:BZ178" si="348">ROUNDDOWN(AB87*$A178*0.8,2)</f>
        <v>32.6</v>
      </c>
      <c r="AC178">
        <f t="shared" si="348"/>
        <v>0</v>
      </c>
      <c r="AD178">
        <f t="shared" si="348"/>
        <v>0</v>
      </c>
      <c r="AE178">
        <f t="shared" si="348"/>
        <v>0</v>
      </c>
      <c r="AF178">
        <f t="shared" si="348"/>
        <v>0</v>
      </c>
      <c r="AG178">
        <f t="shared" si="348"/>
        <v>0</v>
      </c>
      <c r="AH178">
        <f t="shared" si="348"/>
        <v>0</v>
      </c>
      <c r="AI178">
        <f t="shared" si="348"/>
        <v>0</v>
      </c>
      <c r="AJ178">
        <f t="shared" si="348"/>
        <v>0</v>
      </c>
      <c r="AK178">
        <f t="shared" si="348"/>
        <v>0</v>
      </c>
      <c r="AL178">
        <f t="shared" si="348"/>
        <v>0</v>
      </c>
      <c r="AM178">
        <f t="shared" si="348"/>
        <v>0</v>
      </c>
      <c r="AN178">
        <f t="shared" si="348"/>
        <v>0</v>
      </c>
      <c r="AO178">
        <f t="shared" si="348"/>
        <v>0</v>
      </c>
      <c r="AP178">
        <f t="shared" si="348"/>
        <v>0</v>
      </c>
      <c r="AQ178">
        <f t="shared" si="348"/>
        <v>0</v>
      </c>
      <c r="AR178">
        <f t="shared" si="348"/>
        <v>0</v>
      </c>
      <c r="AS178">
        <f t="shared" si="348"/>
        <v>0</v>
      </c>
      <c r="AT178">
        <f t="shared" si="348"/>
        <v>0</v>
      </c>
      <c r="AU178">
        <f t="shared" si="348"/>
        <v>0</v>
      </c>
      <c r="AV178">
        <f t="shared" si="348"/>
        <v>0</v>
      </c>
      <c r="AW178">
        <f t="shared" si="348"/>
        <v>0</v>
      </c>
      <c r="AX178">
        <f t="shared" si="348"/>
        <v>0</v>
      </c>
      <c r="AY178">
        <f t="shared" si="348"/>
        <v>0</v>
      </c>
      <c r="AZ178">
        <f t="shared" si="348"/>
        <v>0</v>
      </c>
      <c r="BA178">
        <f t="shared" si="348"/>
        <v>0</v>
      </c>
      <c r="BB178">
        <f t="shared" si="348"/>
        <v>0</v>
      </c>
      <c r="BC178">
        <f t="shared" si="348"/>
        <v>0</v>
      </c>
      <c r="BD178">
        <f t="shared" si="348"/>
        <v>0</v>
      </c>
      <c r="BE178">
        <f t="shared" si="348"/>
        <v>0</v>
      </c>
      <c r="BF178">
        <f t="shared" si="348"/>
        <v>0</v>
      </c>
      <c r="BG178">
        <f t="shared" si="348"/>
        <v>0</v>
      </c>
      <c r="BH178">
        <f t="shared" si="348"/>
        <v>0</v>
      </c>
      <c r="BI178">
        <f t="shared" si="348"/>
        <v>0</v>
      </c>
      <c r="BJ178">
        <f t="shared" si="348"/>
        <v>0</v>
      </c>
      <c r="BK178">
        <f t="shared" si="348"/>
        <v>0</v>
      </c>
      <c r="BL178">
        <f t="shared" si="348"/>
        <v>0</v>
      </c>
      <c r="BM178">
        <f t="shared" si="348"/>
        <v>0</v>
      </c>
      <c r="BN178">
        <f t="shared" si="348"/>
        <v>0</v>
      </c>
      <c r="BO178">
        <f t="shared" si="348"/>
        <v>0</v>
      </c>
      <c r="BP178">
        <f t="shared" si="348"/>
        <v>0</v>
      </c>
      <c r="BQ178">
        <f t="shared" si="348"/>
        <v>0</v>
      </c>
      <c r="BR178">
        <f t="shared" si="348"/>
        <v>0</v>
      </c>
      <c r="BS178">
        <f t="shared" si="348"/>
        <v>0</v>
      </c>
      <c r="BT178">
        <f t="shared" si="348"/>
        <v>0</v>
      </c>
      <c r="BU178">
        <f t="shared" si="348"/>
        <v>0</v>
      </c>
      <c r="BV178">
        <f t="shared" si="348"/>
        <v>0</v>
      </c>
      <c r="BW178">
        <f t="shared" si="348"/>
        <v>0</v>
      </c>
      <c r="BX178">
        <f t="shared" si="348"/>
        <v>0</v>
      </c>
      <c r="BY178">
        <f t="shared" si="348"/>
        <v>0</v>
      </c>
      <c r="BZ178">
        <f t="shared" si="348"/>
        <v>0</v>
      </c>
    </row>
    <row r="179" spans="1:78" x14ac:dyDescent="0.25">
      <c r="C179" s="2">
        <f>SUM(C172:C178)</f>
        <v>245.14</v>
      </c>
      <c r="D179" s="2">
        <f t="shared" ref="D179:L179" si="349">SUM(D172:D178)</f>
        <v>238.65999999999997</v>
      </c>
      <c r="E179" s="2">
        <f t="shared" si="349"/>
        <v>256.20999999999998</v>
      </c>
      <c r="F179" s="2">
        <f t="shared" si="349"/>
        <v>288.08</v>
      </c>
      <c r="G179" s="2">
        <f t="shared" si="349"/>
        <v>294.58</v>
      </c>
      <c r="H179" s="2">
        <f t="shared" si="349"/>
        <v>392.26</v>
      </c>
      <c r="I179" s="2">
        <f t="shared" si="349"/>
        <v>397.51</v>
      </c>
      <c r="J179" s="2">
        <f t="shared" si="349"/>
        <v>423.70000000000005</v>
      </c>
      <c r="K179" s="2">
        <f t="shared" si="349"/>
        <v>426.67999999999995</v>
      </c>
      <c r="L179" s="2">
        <f t="shared" si="349"/>
        <v>501.47999999999996</v>
      </c>
      <c r="M179" s="2">
        <f t="shared" ref="M179:AA179" si="350">SUM(M172:M178)</f>
        <v>555.33000000000004</v>
      </c>
      <c r="N179" s="2">
        <f t="shared" si="350"/>
        <v>555.21</v>
      </c>
      <c r="O179" s="2">
        <f t="shared" si="350"/>
        <v>519.1</v>
      </c>
      <c r="P179" s="2">
        <f t="shared" si="350"/>
        <v>486.96999999999997</v>
      </c>
      <c r="Q179" s="2">
        <f t="shared" si="350"/>
        <v>458.03999999999996</v>
      </c>
      <c r="R179" s="2">
        <f t="shared" si="350"/>
        <v>490.83</v>
      </c>
      <c r="S179" s="2">
        <f t="shared" si="350"/>
        <v>549.41</v>
      </c>
      <c r="T179" s="2">
        <f t="shared" si="350"/>
        <v>592.1</v>
      </c>
      <c r="U179" s="2">
        <f t="shared" si="350"/>
        <v>625.53000000000009</v>
      </c>
      <c r="V179" s="2">
        <f t="shared" si="350"/>
        <v>710</v>
      </c>
      <c r="W179" s="2">
        <f t="shared" si="350"/>
        <v>638.97</v>
      </c>
      <c r="X179" s="2">
        <f t="shared" si="350"/>
        <v>614.05999999999995</v>
      </c>
      <c r="Y179" s="2">
        <f t="shared" si="350"/>
        <v>622.23</v>
      </c>
      <c r="Z179" s="2">
        <f t="shared" si="350"/>
        <v>620.29999999999995</v>
      </c>
      <c r="AA179" s="2">
        <f t="shared" si="350"/>
        <v>621.44000000000005</v>
      </c>
      <c r="AB179" s="2">
        <f t="shared" ref="AB179:BZ179" si="351">SUM(AB172:AB178)</f>
        <v>611.14</v>
      </c>
      <c r="AC179" s="2">
        <f t="shared" si="351"/>
        <v>0</v>
      </c>
      <c r="AD179" s="2">
        <f t="shared" si="351"/>
        <v>0</v>
      </c>
      <c r="AE179" s="2">
        <f t="shared" si="351"/>
        <v>0</v>
      </c>
      <c r="AF179" s="2">
        <f t="shared" si="351"/>
        <v>0</v>
      </c>
      <c r="AG179" s="2">
        <f t="shared" si="351"/>
        <v>0</v>
      </c>
      <c r="AH179" s="2">
        <f t="shared" si="351"/>
        <v>0</v>
      </c>
      <c r="AI179" s="2">
        <f t="shared" si="351"/>
        <v>0</v>
      </c>
      <c r="AJ179" s="2">
        <f t="shared" si="351"/>
        <v>0</v>
      </c>
      <c r="AK179" s="2">
        <f t="shared" si="351"/>
        <v>0</v>
      </c>
      <c r="AL179" s="2">
        <f t="shared" si="351"/>
        <v>0</v>
      </c>
      <c r="AM179" s="2">
        <f t="shared" si="351"/>
        <v>0</v>
      </c>
      <c r="AN179" s="2">
        <f t="shared" si="351"/>
        <v>0</v>
      </c>
      <c r="AO179" s="2">
        <f t="shared" si="351"/>
        <v>0</v>
      </c>
      <c r="AP179" s="2">
        <f t="shared" si="351"/>
        <v>0</v>
      </c>
      <c r="AQ179" s="2">
        <f t="shared" si="351"/>
        <v>0</v>
      </c>
      <c r="AR179" s="2">
        <f t="shared" si="351"/>
        <v>0</v>
      </c>
      <c r="AS179" s="2">
        <f t="shared" si="351"/>
        <v>0</v>
      </c>
      <c r="AT179" s="2">
        <f t="shared" si="351"/>
        <v>0</v>
      </c>
      <c r="AU179" s="2">
        <f t="shared" si="351"/>
        <v>0</v>
      </c>
      <c r="AV179" s="2">
        <f t="shared" si="351"/>
        <v>0</v>
      </c>
      <c r="AW179" s="2">
        <f t="shared" si="351"/>
        <v>0</v>
      </c>
      <c r="AX179" s="2">
        <f t="shared" si="351"/>
        <v>0</v>
      </c>
      <c r="AY179" s="2">
        <f t="shared" si="351"/>
        <v>0</v>
      </c>
      <c r="AZ179" s="2">
        <f t="shared" si="351"/>
        <v>0</v>
      </c>
      <c r="BA179" s="2">
        <f t="shared" si="351"/>
        <v>0</v>
      </c>
      <c r="BB179" s="2">
        <f t="shared" si="351"/>
        <v>0</v>
      </c>
      <c r="BC179" s="2">
        <f t="shared" si="351"/>
        <v>0</v>
      </c>
      <c r="BD179" s="2">
        <f t="shared" si="351"/>
        <v>0</v>
      </c>
      <c r="BE179" s="2">
        <f t="shared" si="351"/>
        <v>0</v>
      </c>
      <c r="BF179" s="2">
        <f t="shared" si="351"/>
        <v>0</v>
      </c>
      <c r="BG179" s="2">
        <f t="shared" si="351"/>
        <v>0</v>
      </c>
      <c r="BH179" s="2">
        <f t="shared" si="351"/>
        <v>0</v>
      </c>
      <c r="BI179" s="2">
        <f t="shared" si="351"/>
        <v>0</v>
      </c>
      <c r="BJ179" s="2">
        <f t="shared" si="351"/>
        <v>0</v>
      </c>
      <c r="BK179" s="2">
        <f t="shared" si="351"/>
        <v>0</v>
      </c>
      <c r="BL179" s="2">
        <f t="shared" si="351"/>
        <v>0</v>
      </c>
      <c r="BM179" s="2">
        <f t="shared" si="351"/>
        <v>0</v>
      </c>
      <c r="BN179" s="2">
        <f t="shared" si="351"/>
        <v>0</v>
      </c>
      <c r="BO179" s="2">
        <f t="shared" si="351"/>
        <v>0</v>
      </c>
      <c r="BP179" s="2">
        <f t="shared" si="351"/>
        <v>0</v>
      </c>
      <c r="BQ179" s="2">
        <f t="shared" si="351"/>
        <v>0</v>
      </c>
      <c r="BR179" s="2">
        <f t="shared" si="351"/>
        <v>0</v>
      </c>
      <c r="BS179" s="2">
        <f t="shared" si="351"/>
        <v>0</v>
      </c>
      <c r="BT179" s="2">
        <f t="shared" si="351"/>
        <v>0</v>
      </c>
      <c r="BU179" s="2">
        <f t="shared" si="351"/>
        <v>0</v>
      </c>
      <c r="BV179" s="2">
        <f t="shared" si="351"/>
        <v>0</v>
      </c>
      <c r="BW179" s="2">
        <f t="shared" si="351"/>
        <v>0</v>
      </c>
      <c r="BX179" s="2">
        <f t="shared" si="351"/>
        <v>0</v>
      </c>
      <c r="BY179" s="2">
        <f t="shared" si="351"/>
        <v>0</v>
      </c>
      <c r="BZ179" s="2">
        <f t="shared" si="351"/>
        <v>0</v>
      </c>
    </row>
    <row r="181" spans="1:78" ht="23.25" x14ac:dyDescent="0.35">
      <c r="B181" s="3" t="s">
        <v>35</v>
      </c>
      <c r="C181" s="3">
        <f t="shared" ref="C181:M181" si="352">SUM(C150+C166+C179)</f>
        <v>525.4</v>
      </c>
      <c r="D181" s="3">
        <f t="shared" si="352"/>
        <v>518.91</v>
      </c>
      <c r="E181" s="3">
        <f t="shared" si="352"/>
        <v>537.06999999999994</v>
      </c>
      <c r="F181" s="3">
        <f t="shared" si="352"/>
        <v>582.99</v>
      </c>
      <c r="G181" s="3">
        <f t="shared" si="352"/>
        <v>589.27</v>
      </c>
      <c r="H181" s="3">
        <f t="shared" si="352"/>
        <v>691.93000000000006</v>
      </c>
      <c r="I181" s="3">
        <f t="shared" si="352"/>
        <v>672.6099999999999</v>
      </c>
      <c r="J181" s="3">
        <f t="shared" si="352"/>
        <v>719.01</v>
      </c>
      <c r="K181" s="3">
        <f t="shared" si="352"/>
        <v>723.31</v>
      </c>
      <c r="L181" s="3">
        <f t="shared" si="352"/>
        <v>797.8599999999999</v>
      </c>
      <c r="M181" s="3">
        <f t="shared" si="352"/>
        <v>852.05</v>
      </c>
      <c r="N181" s="3">
        <f t="shared" ref="N181" si="353">SUM(N150+N166+N179)</f>
        <v>841.56999999999994</v>
      </c>
      <c r="O181" s="3">
        <f t="shared" ref="O181:AA181" si="354">SUM(O150+O166+O179)</f>
        <v>806.5</v>
      </c>
      <c r="P181" s="3">
        <f t="shared" si="354"/>
        <v>765.02</v>
      </c>
      <c r="Q181" s="3">
        <f t="shared" si="354"/>
        <v>758.63</v>
      </c>
      <c r="R181" s="3">
        <f t="shared" si="354"/>
        <v>787.32999999999993</v>
      </c>
      <c r="S181" s="3">
        <f t="shared" si="354"/>
        <v>847.58999999999992</v>
      </c>
      <c r="T181" s="3">
        <f t="shared" si="354"/>
        <v>889.18000000000006</v>
      </c>
      <c r="U181" s="3">
        <f t="shared" si="354"/>
        <v>1056.3400000000001</v>
      </c>
      <c r="V181" s="3">
        <f t="shared" si="354"/>
        <v>1219.7</v>
      </c>
      <c r="W181" s="3">
        <f t="shared" si="354"/>
        <v>1047.5900000000001</v>
      </c>
      <c r="X181" s="3">
        <f t="shared" si="354"/>
        <v>1075.1399999999999</v>
      </c>
      <c r="Y181" s="3">
        <f t="shared" si="354"/>
        <v>1081.92</v>
      </c>
      <c r="Z181" s="3">
        <f t="shared" si="354"/>
        <v>1074.4499999999998</v>
      </c>
      <c r="AA181" s="3">
        <f t="shared" si="354"/>
        <v>1087.7</v>
      </c>
      <c r="AB181" s="3">
        <f t="shared" ref="AB181:BZ181" si="355">SUM(AB150+AB166+AB179)</f>
        <v>1100.54</v>
      </c>
      <c r="AC181" s="3">
        <f t="shared" si="355"/>
        <v>0</v>
      </c>
      <c r="AD181" s="3">
        <f t="shared" si="355"/>
        <v>0</v>
      </c>
      <c r="AE181" s="3">
        <f t="shared" si="355"/>
        <v>0</v>
      </c>
      <c r="AF181" s="3">
        <f t="shared" si="355"/>
        <v>0</v>
      </c>
      <c r="AG181" s="3">
        <f t="shared" si="355"/>
        <v>0</v>
      </c>
      <c r="AH181" s="3">
        <f t="shared" si="355"/>
        <v>0</v>
      </c>
      <c r="AI181" s="3">
        <f t="shared" si="355"/>
        <v>0</v>
      </c>
      <c r="AJ181" s="3">
        <f t="shared" si="355"/>
        <v>0</v>
      </c>
      <c r="AK181" s="3">
        <f t="shared" si="355"/>
        <v>0</v>
      </c>
      <c r="AL181" s="3">
        <f t="shared" si="355"/>
        <v>0</v>
      </c>
      <c r="AM181" s="3">
        <f t="shared" si="355"/>
        <v>0</v>
      </c>
      <c r="AN181" s="3">
        <f t="shared" si="355"/>
        <v>0</v>
      </c>
      <c r="AO181" s="3">
        <f t="shared" si="355"/>
        <v>0</v>
      </c>
      <c r="AP181" s="3">
        <f t="shared" si="355"/>
        <v>0</v>
      </c>
      <c r="AQ181" s="3">
        <f t="shared" si="355"/>
        <v>0</v>
      </c>
      <c r="AR181" s="3">
        <f t="shared" si="355"/>
        <v>0</v>
      </c>
      <c r="AS181" s="3">
        <f t="shared" si="355"/>
        <v>0</v>
      </c>
      <c r="AT181" s="3">
        <f t="shared" si="355"/>
        <v>0</v>
      </c>
      <c r="AU181" s="3">
        <f t="shared" si="355"/>
        <v>0</v>
      </c>
      <c r="AV181" s="3">
        <f t="shared" si="355"/>
        <v>0</v>
      </c>
      <c r="AW181" s="3">
        <f t="shared" si="355"/>
        <v>0</v>
      </c>
      <c r="AX181" s="3">
        <f t="shared" si="355"/>
        <v>0</v>
      </c>
      <c r="AY181" s="3">
        <f t="shared" si="355"/>
        <v>0</v>
      </c>
      <c r="AZ181" s="3">
        <f t="shared" si="355"/>
        <v>0</v>
      </c>
      <c r="BA181" s="3">
        <f t="shared" si="355"/>
        <v>0</v>
      </c>
      <c r="BB181" s="3">
        <f t="shared" si="355"/>
        <v>0</v>
      </c>
      <c r="BC181" s="3">
        <f t="shared" si="355"/>
        <v>0</v>
      </c>
      <c r="BD181" s="3">
        <f t="shared" si="355"/>
        <v>0</v>
      </c>
      <c r="BE181" s="3">
        <f t="shared" si="355"/>
        <v>0</v>
      </c>
      <c r="BF181" s="3">
        <f t="shared" si="355"/>
        <v>0</v>
      </c>
      <c r="BG181" s="3">
        <f t="shared" si="355"/>
        <v>0</v>
      </c>
      <c r="BH181" s="3">
        <f t="shared" si="355"/>
        <v>0</v>
      </c>
      <c r="BI181" s="3">
        <f t="shared" si="355"/>
        <v>0</v>
      </c>
      <c r="BJ181" s="3">
        <f t="shared" si="355"/>
        <v>0</v>
      </c>
      <c r="BK181" s="3">
        <f t="shared" si="355"/>
        <v>0</v>
      </c>
      <c r="BL181" s="3">
        <f t="shared" si="355"/>
        <v>0</v>
      </c>
      <c r="BM181" s="3">
        <f t="shared" si="355"/>
        <v>0</v>
      </c>
      <c r="BN181" s="3">
        <f t="shared" si="355"/>
        <v>0</v>
      </c>
      <c r="BO181" s="3">
        <f t="shared" si="355"/>
        <v>0</v>
      </c>
      <c r="BP181" s="3">
        <f t="shared" si="355"/>
        <v>0</v>
      </c>
      <c r="BQ181" s="3">
        <f t="shared" si="355"/>
        <v>0</v>
      </c>
      <c r="BR181" s="3">
        <f t="shared" si="355"/>
        <v>0</v>
      </c>
      <c r="BS181" s="3">
        <f t="shared" si="355"/>
        <v>0</v>
      </c>
      <c r="BT181" s="3">
        <f t="shared" si="355"/>
        <v>0</v>
      </c>
      <c r="BU181" s="3">
        <f t="shared" si="355"/>
        <v>0</v>
      </c>
      <c r="BV181" s="3">
        <f t="shared" si="355"/>
        <v>0</v>
      </c>
      <c r="BW181" s="3">
        <f t="shared" si="355"/>
        <v>0</v>
      </c>
      <c r="BX181" s="3">
        <f t="shared" si="355"/>
        <v>0</v>
      </c>
      <c r="BY181" s="3">
        <f t="shared" si="355"/>
        <v>0</v>
      </c>
      <c r="BZ181" s="3">
        <f t="shared" si="355"/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65D6-D049-478F-8624-CCA63860B5C9}">
  <dimension ref="A1:BY25"/>
  <sheetViews>
    <sheetView zoomScale="90" zoomScaleNormal="90" workbookViewId="0">
      <pane xSplit="1" topLeftCell="V1" activePane="topRight" state="frozen"/>
      <selection pane="topRight" activeCell="AA9" sqref="AA9"/>
    </sheetView>
  </sheetViews>
  <sheetFormatPr defaultRowHeight="15" x14ac:dyDescent="0.25"/>
  <cols>
    <col min="1" max="1" width="23.7109375" customWidth="1"/>
    <col min="2" max="26" width="12" customWidth="1"/>
    <col min="27" max="77" width="13.7109375" customWidth="1"/>
  </cols>
  <sheetData>
    <row r="1" spans="1:77" ht="31.5" x14ac:dyDescent="0.5">
      <c r="A1" s="4" t="s">
        <v>0</v>
      </c>
    </row>
    <row r="3" spans="1:77" x14ac:dyDescent="0.25">
      <c r="A3" t="s">
        <v>12</v>
      </c>
    </row>
    <row r="4" spans="1:77" x14ac:dyDescent="0.25">
      <c r="B4" s="1">
        <f>Totals!B4</f>
        <v>44331</v>
      </c>
      <c r="C4" s="1">
        <f>Totals!C4</f>
        <v>44332</v>
      </c>
      <c r="D4" s="1">
        <f>Totals!D4</f>
        <v>44334</v>
      </c>
      <c r="E4" s="1">
        <f>Totals!E4</f>
        <v>44336</v>
      </c>
      <c r="F4" s="1">
        <f>Totals!F4</f>
        <v>44337</v>
      </c>
      <c r="G4" s="1">
        <f>Totals!G4</f>
        <v>44338</v>
      </c>
      <c r="H4" s="1">
        <f>Totals!H4</f>
        <v>44339</v>
      </c>
      <c r="I4" s="1">
        <f>Totals!I4</f>
        <v>44340</v>
      </c>
      <c r="J4" s="1">
        <f>Totals!J4</f>
        <v>44341</v>
      </c>
      <c r="K4" s="1">
        <f>Totals!K4</f>
        <v>44342</v>
      </c>
      <c r="L4" s="1">
        <f>Totals!L4</f>
        <v>44343</v>
      </c>
      <c r="M4" s="1">
        <f>Totals!M4</f>
        <v>44344</v>
      </c>
      <c r="N4" s="1">
        <f>Totals!N4</f>
        <v>44345</v>
      </c>
      <c r="O4" s="1">
        <f>Totals!O4</f>
        <v>44346</v>
      </c>
      <c r="P4" s="1">
        <f>Totals!P4</f>
        <v>44347</v>
      </c>
      <c r="Q4" s="1">
        <f>Totals!Q4</f>
        <v>44348</v>
      </c>
      <c r="R4" s="1">
        <f>Totals!R4</f>
        <v>44349</v>
      </c>
      <c r="S4" s="1">
        <f>Totals!S4</f>
        <v>44350</v>
      </c>
      <c r="T4" s="1">
        <f>Totals!T4</f>
        <v>44351</v>
      </c>
      <c r="U4" s="1">
        <f>Totals!U4</f>
        <v>44352</v>
      </c>
      <c r="V4" s="1">
        <f>Totals!V4</f>
        <v>44353</v>
      </c>
      <c r="W4" s="1">
        <f>Totals!W4</f>
        <v>44354</v>
      </c>
      <c r="X4" s="1">
        <f>Totals!X4</f>
        <v>44355</v>
      </c>
      <c r="Y4" s="1">
        <f>Totals!Y4</f>
        <v>44356</v>
      </c>
      <c r="Z4" s="1">
        <f>Totals!Z4</f>
        <v>44357</v>
      </c>
      <c r="AA4" s="1">
        <f>Totals!AA4</f>
        <v>44358</v>
      </c>
      <c r="AB4" s="1">
        <f>Totals!AB4</f>
        <v>44359</v>
      </c>
      <c r="AC4" s="1">
        <f>Totals!AC4</f>
        <v>44360</v>
      </c>
      <c r="AD4" s="1">
        <f>Totals!AD4</f>
        <v>44361</v>
      </c>
      <c r="AE4" s="1">
        <f>Totals!AE4</f>
        <v>44362</v>
      </c>
      <c r="AF4" s="1">
        <f>Totals!AF4</f>
        <v>44363</v>
      </c>
      <c r="AG4" s="1">
        <f>Totals!AG4</f>
        <v>44364</v>
      </c>
      <c r="AH4" s="1">
        <f>Totals!AH4</f>
        <v>44365</v>
      </c>
      <c r="AI4" s="1">
        <f>Totals!AI4</f>
        <v>44366</v>
      </c>
      <c r="AJ4" s="1">
        <f>Totals!AJ4</f>
        <v>44367</v>
      </c>
      <c r="AK4" s="1">
        <f>Totals!AK4</f>
        <v>44368</v>
      </c>
      <c r="AL4" s="1">
        <f>Totals!AL4</f>
        <v>44369</v>
      </c>
      <c r="AM4" s="1">
        <f>Totals!AM4</f>
        <v>44370</v>
      </c>
      <c r="AN4" s="1">
        <f>Totals!AN4</f>
        <v>44371</v>
      </c>
      <c r="AO4" s="1">
        <f>Totals!AO4</f>
        <v>44372</v>
      </c>
      <c r="AP4" s="1">
        <f>Totals!AP4</f>
        <v>44373</v>
      </c>
      <c r="AQ4" s="1">
        <f>Totals!AQ4</f>
        <v>44374</v>
      </c>
      <c r="AR4" s="1">
        <f>Totals!AR4</f>
        <v>44375</v>
      </c>
      <c r="AS4" s="1">
        <f>Totals!AS4</f>
        <v>44376</v>
      </c>
      <c r="AT4" s="1">
        <f>Totals!AT4</f>
        <v>44377</v>
      </c>
      <c r="AU4" s="1">
        <f>Totals!AU4</f>
        <v>44378</v>
      </c>
      <c r="AV4" s="1">
        <f>Totals!AV4</f>
        <v>44379</v>
      </c>
      <c r="AW4" s="1">
        <f>Totals!AW4</f>
        <v>44380</v>
      </c>
      <c r="AX4" s="1">
        <f>Totals!AX4</f>
        <v>44381</v>
      </c>
      <c r="AY4" s="1">
        <f>Totals!AY4</f>
        <v>44382</v>
      </c>
      <c r="AZ4" s="1">
        <f>Totals!AZ4</f>
        <v>44383</v>
      </c>
      <c r="BA4" s="1">
        <f>Totals!BA4</f>
        <v>44384</v>
      </c>
      <c r="BB4" s="1">
        <f>Totals!BB4</f>
        <v>44385</v>
      </c>
      <c r="BC4" s="1">
        <f>Totals!BC4</f>
        <v>44386</v>
      </c>
      <c r="BD4" s="1">
        <f>Totals!BD4</f>
        <v>44387</v>
      </c>
      <c r="BE4" s="1">
        <f>Totals!BE4</f>
        <v>44388</v>
      </c>
      <c r="BF4" s="1">
        <f>Totals!BF4</f>
        <v>44389</v>
      </c>
      <c r="BG4" s="1">
        <f>Totals!BG4</f>
        <v>44390</v>
      </c>
      <c r="BH4" s="1">
        <f>Totals!BH4</f>
        <v>44391</v>
      </c>
      <c r="BI4" s="1">
        <f>Totals!BI4</f>
        <v>44392</v>
      </c>
      <c r="BJ4" s="1">
        <f>Totals!BJ4</f>
        <v>44393</v>
      </c>
      <c r="BK4" s="1">
        <f>Totals!BK4</f>
        <v>44394</v>
      </c>
      <c r="BL4" s="1">
        <f>Totals!BL4</f>
        <v>44395</v>
      </c>
      <c r="BM4" s="1">
        <f>Totals!BM4</f>
        <v>44396</v>
      </c>
      <c r="BN4" s="1">
        <f>Totals!BN4</f>
        <v>44397</v>
      </c>
      <c r="BO4" s="1">
        <f>Totals!BO4</f>
        <v>44398</v>
      </c>
      <c r="BP4" s="1">
        <f>Totals!BP4</f>
        <v>44399</v>
      </c>
      <c r="BQ4" s="1">
        <f>Totals!BQ4</f>
        <v>44400</v>
      </c>
      <c r="BR4" s="1">
        <f>Totals!BR4</f>
        <v>44401</v>
      </c>
      <c r="BS4" s="1">
        <f>Totals!BS4</f>
        <v>44402</v>
      </c>
      <c r="BT4" s="1">
        <f>Totals!BT4</f>
        <v>44403</v>
      </c>
      <c r="BU4" s="1">
        <f>Totals!BU4</f>
        <v>44404</v>
      </c>
      <c r="BV4" s="1">
        <f>Totals!BV4</f>
        <v>44405</v>
      </c>
      <c r="BW4" s="1">
        <f>Totals!BW4</f>
        <v>44406</v>
      </c>
      <c r="BX4" s="1">
        <f>Totals!BX4</f>
        <v>44407</v>
      </c>
      <c r="BY4" s="1">
        <f>Totals!BY4</f>
        <v>44408</v>
      </c>
    </row>
    <row r="5" spans="1:77" x14ac:dyDescent="0.25">
      <c r="A5" s="2" t="s">
        <v>36</v>
      </c>
      <c r="B5">
        <v>196.27</v>
      </c>
      <c r="C5">
        <v>201.82</v>
      </c>
      <c r="D5">
        <v>197</v>
      </c>
      <c r="E5">
        <v>196.88</v>
      </c>
      <c r="F5">
        <v>207.18</v>
      </c>
      <c r="G5">
        <v>209.46</v>
      </c>
      <c r="H5">
        <v>201.89</v>
      </c>
      <c r="I5">
        <v>202.48</v>
      </c>
      <c r="J5">
        <v>196.23</v>
      </c>
      <c r="K5">
        <v>204.01</v>
      </c>
      <c r="L5">
        <v>206.61</v>
      </c>
      <c r="M5">
        <v>209.15</v>
      </c>
      <c r="N5">
        <v>207.58</v>
      </c>
      <c r="O5">
        <v>207.32</v>
      </c>
      <c r="P5">
        <v>202.17</v>
      </c>
      <c r="Q5">
        <v>201.3</v>
      </c>
      <c r="R5">
        <v>201.79</v>
      </c>
      <c r="S5">
        <v>203.29</v>
      </c>
      <c r="T5">
        <v>201.2</v>
      </c>
      <c r="U5">
        <v>207</v>
      </c>
      <c r="V5">
        <v>207.01</v>
      </c>
      <c r="W5">
        <v>197.73</v>
      </c>
      <c r="X5">
        <v>197.35</v>
      </c>
      <c r="Y5">
        <v>177</v>
      </c>
      <c r="Z5">
        <v>187.92</v>
      </c>
      <c r="AA5">
        <v>200.49</v>
      </c>
    </row>
    <row r="6" spans="1:77" x14ac:dyDescent="0.25">
      <c r="A6" s="2" t="s">
        <v>37</v>
      </c>
      <c r="B6">
        <v>1201.5999999999999</v>
      </c>
      <c r="C6">
        <v>1205.46</v>
      </c>
      <c r="D6">
        <v>1261.0999999999999</v>
      </c>
      <c r="E6">
        <v>1261.06</v>
      </c>
      <c r="F6">
        <v>1261.06</v>
      </c>
      <c r="G6">
        <v>1230.57</v>
      </c>
      <c r="H6">
        <v>1294.3599999999999</v>
      </c>
      <c r="I6">
        <v>1294.3599999999999</v>
      </c>
      <c r="J6">
        <v>1290.31</v>
      </c>
      <c r="K6">
        <v>1427.45</v>
      </c>
      <c r="L6">
        <v>1391</v>
      </c>
      <c r="M6">
        <v>1383.65</v>
      </c>
      <c r="N6">
        <v>1363.98</v>
      </c>
      <c r="O6">
        <v>1354.05</v>
      </c>
      <c r="P6">
        <v>1341.3</v>
      </c>
      <c r="Q6">
        <v>1341.3</v>
      </c>
      <c r="R6">
        <v>1354.94</v>
      </c>
      <c r="S6">
        <v>1364.6</v>
      </c>
      <c r="T6">
        <v>1349.99</v>
      </c>
      <c r="U6">
        <v>1413.09</v>
      </c>
      <c r="V6">
        <v>1484.68</v>
      </c>
      <c r="W6">
        <v>1478.37</v>
      </c>
      <c r="X6">
        <v>1473.65</v>
      </c>
      <c r="Y6">
        <v>1480.13</v>
      </c>
      <c r="Z6">
        <v>1494.04</v>
      </c>
      <c r="AA6">
        <v>1483.36</v>
      </c>
    </row>
    <row r="7" spans="1:77" x14ac:dyDescent="0.25">
      <c r="A7" s="2" t="s">
        <v>38</v>
      </c>
      <c r="B7">
        <v>194.62</v>
      </c>
      <c r="C7">
        <v>191.6</v>
      </c>
      <c r="D7">
        <v>180.11</v>
      </c>
      <c r="E7">
        <v>192.42</v>
      </c>
      <c r="F7">
        <v>192.42</v>
      </c>
      <c r="G7">
        <v>191.29</v>
      </c>
      <c r="H7">
        <v>183.02</v>
      </c>
      <c r="I7">
        <v>190.84</v>
      </c>
      <c r="J7">
        <v>183.2</v>
      </c>
      <c r="K7">
        <v>188.79</v>
      </c>
      <c r="L7">
        <v>188.98</v>
      </c>
      <c r="M7">
        <v>181.09</v>
      </c>
      <c r="N7">
        <v>190.1</v>
      </c>
      <c r="O7">
        <v>189.75</v>
      </c>
      <c r="P7">
        <v>180.74</v>
      </c>
      <c r="Q7">
        <v>189.61</v>
      </c>
      <c r="R7">
        <v>186.36</v>
      </c>
      <c r="S7">
        <v>180.21</v>
      </c>
      <c r="T7">
        <v>164.58</v>
      </c>
      <c r="U7">
        <v>169.76</v>
      </c>
      <c r="V7">
        <v>185.28</v>
      </c>
      <c r="W7">
        <v>178.84</v>
      </c>
      <c r="X7">
        <v>182.71</v>
      </c>
      <c r="Y7">
        <v>183</v>
      </c>
      <c r="Z7">
        <v>180.69</v>
      </c>
      <c r="AA7">
        <v>181.39</v>
      </c>
    </row>
    <row r="8" spans="1:77" x14ac:dyDescent="0.25">
      <c r="A8" s="2" t="s">
        <v>39</v>
      </c>
      <c r="B8">
        <v>380.55</v>
      </c>
      <c r="C8">
        <v>383.02</v>
      </c>
      <c r="D8">
        <v>361.9</v>
      </c>
      <c r="E8">
        <v>361.97</v>
      </c>
      <c r="F8">
        <v>372.41</v>
      </c>
      <c r="G8">
        <v>365.9</v>
      </c>
      <c r="H8">
        <v>334.61</v>
      </c>
      <c r="I8">
        <v>355.59</v>
      </c>
      <c r="J8">
        <v>350.79</v>
      </c>
      <c r="K8">
        <v>385.29</v>
      </c>
      <c r="L8">
        <v>391.15</v>
      </c>
      <c r="M8">
        <v>391.41</v>
      </c>
      <c r="N8">
        <v>370.36</v>
      </c>
      <c r="O8">
        <v>386.6</v>
      </c>
      <c r="P8">
        <v>386.45</v>
      </c>
      <c r="Q8">
        <v>382.76</v>
      </c>
      <c r="R8">
        <v>397.01</v>
      </c>
      <c r="S8">
        <v>406.58</v>
      </c>
      <c r="T8">
        <v>384.98</v>
      </c>
      <c r="U8">
        <v>385.96</v>
      </c>
      <c r="V8">
        <v>424.73</v>
      </c>
      <c r="W8">
        <v>394.27</v>
      </c>
      <c r="X8">
        <v>404.05</v>
      </c>
      <c r="Y8">
        <v>403.38</v>
      </c>
      <c r="Z8">
        <v>361.27</v>
      </c>
      <c r="AA8">
        <v>384.52</v>
      </c>
    </row>
    <row r="10" spans="1:77" x14ac:dyDescent="0.25">
      <c r="B10" s="2">
        <f>SUM(B5:B8)</f>
        <v>1973.0399999999997</v>
      </c>
      <c r="C10" s="2">
        <f t="shared" ref="C10:L10" si="0">SUM(C5:C8)</f>
        <v>1981.8999999999999</v>
      </c>
      <c r="D10" s="2">
        <f t="shared" si="0"/>
        <v>2000.1100000000001</v>
      </c>
      <c r="E10" s="2">
        <f t="shared" si="0"/>
        <v>2012.3300000000002</v>
      </c>
      <c r="F10" s="2">
        <f t="shared" si="0"/>
        <v>2033.0700000000002</v>
      </c>
      <c r="G10" s="2">
        <f t="shared" si="0"/>
        <v>1997.2199999999998</v>
      </c>
      <c r="H10" s="2">
        <f t="shared" si="0"/>
        <v>2013.88</v>
      </c>
      <c r="I10" s="2">
        <f t="shared" si="0"/>
        <v>2043.2699999999998</v>
      </c>
      <c r="J10" s="2">
        <f t="shared" si="0"/>
        <v>2020.53</v>
      </c>
      <c r="K10" s="2">
        <f t="shared" si="0"/>
        <v>2205.54</v>
      </c>
      <c r="L10" s="2">
        <f t="shared" si="0"/>
        <v>2177.7400000000002</v>
      </c>
      <c r="M10" s="2">
        <f t="shared" ref="M10:Z10" si="1">SUM(M5:M8)</f>
        <v>2165.3000000000002</v>
      </c>
      <c r="N10" s="2">
        <f t="shared" si="1"/>
        <v>2132.02</v>
      </c>
      <c r="O10" s="2">
        <f t="shared" si="1"/>
        <v>2137.7199999999998</v>
      </c>
      <c r="P10" s="2">
        <f t="shared" si="1"/>
        <v>2110.66</v>
      </c>
      <c r="Q10" s="2">
        <f t="shared" si="1"/>
        <v>2114.9700000000003</v>
      </c>
      <c r="R10" s="2">
        <f t="shared" si="1"/>
        <v>2140.1000000000004</v>
      </c>
      <c r="S10" s="2">
        <f t="shared" si="1"/>
        <v>2154.6799999999998</v>
      </c>
      <c r="T10" s="2">
        <f t="shared" si="1"/>
        <v>2100.75</v>
      </c>
      <c r="U10" s="2">
        <f t="shared" si="1"/>
        <v>2175.81</v>
      </c>
      <c r="V10" s="2">
        <f t="shared" si="1"/>
        <v>2301.6999999999998</v>
      </c>
      <c r="W10" s="2">
        <f t="shared" si="1"/>
        <v>2249.21</v>
      </c>
      <c r="X10" s="2">
        <f t="shared" si="1"/>
        <v>2257.7600000000002</v>
      </c>
      <c r="Y10" s="2">
        <f t="shared" si="1"/>
        <v>2243.5100000000002</v>
      </c>
      <c r="Z10" s="2">
        <f t="shared" si="1"/>
        <v>2223.92</v>
      </c>
      <c r="AA10" s="2">
        <f t="shared" ref="AA10:BY10" si="2">SUM(AA5:AA8)</f>
        <v>2249.7599999999998</v>
      </c>
      <c r="AB10" s="2">
        <f t="shared" si="2"/>
        <v>0</v>
      </c>
      <c r="AC10" s="2">
        <f t="shared" si="2"/>
        <v>0</v>
      </c>
      <c r="AD10" s="2">
        <f t="shared" si="2"/>
        <v>0</v>
      </c>
      <c r="AE10" s="2">
        <f t="shared" si="2"/>
        <v>0</v>
      </c>
      <c r="AF10" s="2">
        <f t="shared" si="2"/>
        <v>0</v>
      </c>
      <c r="AG10" s="2">
        <f t="shared" si="2"/>
        <v>0</v>
      </c>
      <c r="AH10" s="2">
        <f t="shared" si="2"/>
        <v>0</v>
      </c>
      <c r="AI10" s="2">
        <f t="shared" si="2"/>
        <v>0</v>
      </c>
      <c r="AJ10" s="2">
        <f t="shared" si="2"/>
        <v>0</v>
      </c>
      <c r="AK10" s="2">
        <f t="shared" si="2"/>
        <v>0</v>
      </c>
      <c r="AL10" s="2">
        <f t="shared" si="2"/>
        <v>0</v>
      </c>
      <c r="AM10" s="2">
        <f t="shared" si="2"/>
        <v>0</v>
      </c>
      <c r="AN10" s="2">
        <f t="shared" si="2"/>
        <v>0</v>
      </c>
      <c r="AO10" s="2">
        <f t="shared" si="2"/>
        <v>0</v>
      </c>
      <c r="AP10" s="2">
        <f t="shared" si="2"/>
        <v>0</v>
      </c>
      <c r="AQ10" s="2">
        <f t="shared" si="2"/>
        <v>0</v>
      </c>
      <c r="AR10" s="2">
        <f t="shared" si="2"/>
        <v>0</v>
      </c>
      <c r="AS10" s="2">
        <f t="shared" si="2"/>
        <v>0</v>
      </c>
      <c r="AT10" s="2">
        <f t="shared" si="2"/>
        <v>0</v>
      </c>
      <c r="AU10" s="2">
        <f t="shared" si="2"/>
        <v>0</v>
      </c>
      <c r="AV10" s="2">
        <f t="shared" si="2"/>
        <v>0</v>
      </c>
      <c r="AW10" s="2">
        <f t="shared" si="2"/>
        <v>0</v>
      </c>
      <c r="AX10" s="2">
        <f t="shared" si="2"/>
        <v>0</v>
      </c>
      <c r="AY10" s="2">
        <f t="shared" si="2"/>
        <v>0</v>
      </c>
      <c r="AZ10" s="2">
        <f t="shared" si="2"/>
        <v>0</v>
      </c>
      <c r="BA10" s="2">
        <f t="shared" si="2"/>
        <v>0</v>
      </c>
      <c r="BB10" s="2">
        <f t="shared" si="2"/>
        <v>0</v>
      </c>
      <c r="BC10" s="2">
        <f t="shared" si="2"/>
        <v>0</v>
      </c>
      <c r="BD10" s="2">
        <f t="shared" si="2"/>
        <v>0</v>
      </c>
      <c r="BE10" s="2">
        <f t="shared" si="2"/>
        <v>0</v>
      </c>
      <c r="BF10" s="2">
        <f t="shared" si="2"/>
        <v>0</v>
      </c>
      <c r="BG10" s="2">
        <f t="shared" si="2"/>
        <v>0</v>
      </c>
      <c r="BH10" s="2">
        <f t="shared" si="2"/>
        <v>0</v>
      </c>
      <c r="BI10" s="2">
        <f t="shared" si="2"/>
        <v>0</v>
      </c>
      <c r="BJ10" s="2">
        <f t="shared" si="2"/>
        <v>0</v>
      </c>
      <c r="BK10" s="2">
        <f t="shared" si="2"/>
        <v>0</v>
      </c>
      <c r="BL10" s="2">
        <f t="shared" si="2"/>
        <v>0</v>
      </c>
      <c r="BM10" s="2">
        <f t="shared" si="2"/>
        <v>0</v>
      </c>
      <c r="BN10" s="2">
        <f t="shared" si="2"/>
        <v>0</v>
      </c>
      <c r="BO10" s="2">
        <f t="shared" si="2"/>
        <v>0</v>
      </c>
      <c r="BP10" s="2">
        <f t="shared" si="2"/>
        <v>0</v>
      </c>
      <c r="BQ10" s="2">
        <f t="shared" si="2"/>
        <v>0</v>
      </c>
      <c r="BR10" s="2">
        <f t="shared" si="2"/>
        <v>0</v>
      </c>
      <c r="BS10" s="2">
        <f t="shared" si="2"/>
        <v>0</v>
      </c>
      <c r="BT10" s="2">
        <f t="shared" si="2"/>
        <v>0</v>
      </c>
      <c r="BU10" s="2">
        <f t="shared" si="2"/>
        <v>0</v>
      </c>
      <c r="BV10" s="2">
        <f t="shared" si="2"/>
        <v>0</v>
      </c>
      <c r="BW10" s="2">
        <f t="shared" si="2"/>
        <v>0</v>
      </c>
      <c r="BX10" s="2">
        <f t="shared" si="2"/>
        <v>0</v>
      </c>
      <c r="BY10" s="2">
        <f t="shared" si="2"/>
        <v>0</v>
      </c>
    </row>
    <row r="16" spans="1:77" ht="21" x14ac:dyDescent="0.35">
      <c r="A16" s="5" t="s">
        <v>33</v>
      </c>
    </row>
    <row r="18" spans="1:77" x14ac:dyDescent="0.25">
      <c r="A18" t="s">
        <v>12</v>
      </c>
    </row>
    <row r="19" spans="1:77" x14ac:dyDescent="0.25">
      <c r="B19" s="1">
        <f>B4</f>
        <v>44331</v>
      </c>
      <c r="C19" s="1">
        <f t="shared" ref="C19:L19" si="3">C4</f>
        <v>44332</v>
      </c>
      <c r="D19" s="1">
        <f t="shared" si="3"/>
        <v>44334</v>
      </c>
      <c r="E19" s="1">
        <f t="shared" si="3"/>
        <v>44336</v>
      </c>
      <c r="F19" s="1">
        <f t="shared" si="3"/>
        <v>44337</v>
      </c>
      <c r="G19" s="1">
        <f t="shared" si="3"/>
        <v>44338</v>
      </c>
      <c r="H19" s="1">
        <f t="shared" si="3"/>
        <v>44339</v>
      </c>
      <c r="I19" s="1">
        <f t="shared" si="3"/>
        <v>44340</v>
      </c>
      <c r="J19" s="1">
        <f t="shared" si="3"/>
        <v>44341</v>
      </c>
      <c r="K19" s="1">
        <f t="shared" si="3"/>
        <v>44342</v>
      </c>
      <c r="L19" s="1">
        <f t="shared" si="3"/>
        <v>44343</v>
      </c>
      <c r="M19" s="1">
        <f t="shared" ref="M19:Z19" si="4">M4</f>
        <v>44344</v>
      </c>
      <c r="N19" s="1">
        <f t="shared" si="4"/>
        <v>44345</v>
      </c>
      <c r="O19" s="1">
        <f t="shared" si="4"/>
        <v>44346</v>
      </c>
      <c r="P19" s="1">
        <f t="shared" si="4"/>
        <v>44347</v>
      </c>
      <c r="Q19" s="1">
        <f t="shared" si="4"/>
        <v>44348</v>
      </c>
      <c r="R19" s="1">
        <f t="shared" si="4"/>
        <v>44349</v>
      </c>
      <c r="S19" s="1">
        <f t="shared" si="4"/>
        <v>44350</v>
      </c>
      <c r="T19" s="1">
        <f t="shared" si="4"/>
        <v>44351</v>
      </c>
      <c r="U19" s="1">
        <f t="shared" si="4"/>
        <v>44352</v>
      </c>
      <c r="V19" s="1">
        <f t="shared" si="4"/>
        <v>44353</v>
      </c>
      <c r="W19" s="1">
        <f t="shared" si="4"/>
        <v>44354</v>
      </c>
      <c r="X19" s="1">
        <f t="shared" si="4"/>
        <v>44355</v>
      </c>
      <c r="Y19" s="1">
        <f t="shared" si="4"/>
        <v>44356</v>
      </c>
      <c r="Z19" s="1">
        <f t="shared" si="4"/>
        <v>44357</v>
      </c>
      <c r="AA19" s="1">
        <f t="shared" ref="AA19:BY19" si="5">AA4</f>
        <v>44358</v>
      </c>
      <c r="AB19" s="1">
        <f t="shared" si="5"/>
        <v>44359</v>
      </c>
      <c r="AC19" s="1">
        <f t="shared" si="5"/>
        <v>44360</v>
      </c>
      <c r="AD19" s="1">
        <f t="shared" si="5"/>
        <v>44361</v>
      </c>
      <c r="AE19" s="1">
        <f t="shared" si="5"/>
        <v>44362</v>
      </c>
      <c r="AF19" s="1">
        <f t="shared" si="5"/>
        <v>44363</v>
      </c>
      <c r="AG19" s="1">
        <f t="shared" si="5"/>
        <v>44364</v>
      </c>
      <c r="AH19" s="1">
        <f t="shared" si="5"/>
        <v>44365</v>
      </c>
      <c r="AI19" s="1">
        <f t="shared" si="5"/>
        <v>44366</v>
      </c>
      <c r="AJ19" s="1">
        <f t="shared" si="5"/>
        <v>44367</v>
      </c>
      <c r="AK19" s="1">
        <f t="shared" si="5"/>
        <v>44368</v>
      </c>
      <c r="AL19" s="1">
        <f t="shared" si="5"/>
        <v>44369</v>
      </c>
      <c r="AM19" s="1">
        <f t="shared" si="5"/>
        <v>44370</v>
      </c>
      <c r="AN19" s="1">
        <f t="shared" si="5"/>
        <v>44371</v>
      </c>
      <c r="AO19" s="1">
        <f t="shared" si="5"/>
        <v>44372</v>
      </c>
      <c r="AP19" s="1">
        <f t="shared" si="5"/>
        <v>44373</v>
      </c>
      <c r="AQ19" s="1">
        <f t="shared" si="5"/>
        <v>44374</v>
      </c>
      <c r="AR19" s="1">
        <f t="shared" si="5"/>
        <v>44375</v>
      </c>
      <c r="AS19" s="1">
        <f t="shared" si="5"/>
        <v>44376</v>
      </c>
      <c r="AT19" s="1">
        <f t="shared" si="5"/>
        <v>44377</v>
      </c>
      <c r="AU19" s="1">
        <f t="shared" si="5"/>
        <v>44378</v>
      </c>
      <c r="AV19" s="1">
        <f t="shared" si="5"/>
        <v>44379</v>
      </c>
      <c r="AW19" s="1">
        <f t="shared" si="5"/>
        <v>44380</v>
      </c>
      <c r="AX19" s="1">
        <f t="shared" si="5"/>
        <v>44381</v>
      </c>
      <c r="AY19" s="1">
        <f t="shared" si="5"/>
        <v>44382</v>
      </c>
      <c r="AZ19" s="1">
        <f t="shared" si="5"/>
        <v>44383</v>
      </c>
      <c r="BA19" s="1">
        <f t="shared" si="5"/>
        <v>44384</v>
      </c>
      <c r="BB19" s="1">
        <f t="shared" si="5"/>
        <v>44385</v>
      </c>
      <c r="BC19" s="1">
        <f t="shared" si="5"/>
        <v>44386</v>
      </c>
      <c r="BD19" s="1">
        <f t="shared" si="5"/>
        <v>44387</v>
      </c>
      <c r="BE19" s="1">
        <f t="shared" si="5"/>
        <v>44388</v>
      </c>
      <c r="BF19" s="1">
        <f t="shared" si="5"/>
        <v>44389</v>
      </c>
      <c r="BG19" s="1">
        <f t="shared" si="5"/>
        <v>44390</v>
      </c>
      <c r="BH19" s="1">
        <f t="shared" si="5"/>
        <v>44391</v>
      </c>
      <c r="BI19" s="1">
        <f t="shared" si="5"/>
        <v>44392</v>
      </c>
      <c r="BJ19" s="1">
        <f t="shared" si="5"/>
        <v>44393</v>
      </c>
      <c r="BK19" s="1">
        <f t="shared" si="5"/>
        <v>44394</v>
      </c>
      <c r="BL19" s="1">
        <f t="shared" si="5"/>
        <v>44395</v>
      </c>
      <c r="BM19" s="1">
        <f t="shared" si="5"/>
        <v>44396</v>
      </c>
      <c r="BN19" s="1">
        <f t="shared" si="5"/>
        <v>44397</v>
      </c>
      <c r="BO19" s="1">
        <f t="shared" si="5"/>
        <v>44398</v>
      </c>
      <c r="BP19" s="1">
        <f t="shared" si="5"/>
        <v>44399</v>
      </c>
      <c r="BQ19" s="1">
        <f t="shared" si="5"/>
        <v>44400</v>
      </c>
      <c r="BR19" s="1">
        <f t="shared" si="5"/>
        <v>44401</v>
      </c>
      <c r="BS19" s="1">
        <f t="shared" si="5"/>
        <v>44402</v>
      </c>
      <c r="BT19" s="1">
        <f t="shared" si="5"/>
        <v>44403</v>
      </c>
      <c r="BU19" s="1">
        <f t="shared" si="5"/>
        <v>44404</v>
      </c>
      <c r="BV19" s="1">
        <f t="shared" si="5"/>
        <v>44405</v>
      </c>
      <c r="BW19" s="1">
        <f t="shared" si="5"/>
        <v>44406</v>
      </c>
      <c r="BX19" s="1">
        <f t="shared" si="5"/>
        <v>44407</v>
      </c>
      <c r="BY19" s="1">
        <f t="shared" si="5"/>
        <v>44408</v>
      </c>
    </row>
    <row r="20" spans="1:77" x14ac:dyDescent="0.25">
      <c r="A20" s="2" t="s">
        <v>36</v>
      </c>
      <c r="B20">
        <f>ROUNDDOWN((B5-ROUNDUP(B5*0.1,2)-ROUNDUP(B5*0.05,2))*0.8,2)</f>
        <v>133.44999999999999</v>
      </c>
      <c r="C20">
        <f t="shared" ref="C20:L20" si="6">ROUNDDOWN((C5-ROUNDUP(C5*0.1,2)-ROUNDUP(C5*0.05,2))*0.8,2)</f>
        <v>137.22</v>
      </c>
      <c r="D20">
        <f t="shared" si="6"/>
        <v>133.96</v>
      </c>
      <c r="E20">
        <f t="shared" si="6"/>
        <v>133.87</v>
      </c>
      <c r="F20">
        <f t="shared" si="6"/>
        <v>140.88</v>
      </c>
      <c r="G20">
        <f t="shared" si="6"/>
        <v>142.41999999999999</v>
      </c>
      <c r="H20">
        <f t="shared" si="6"/>
        <v>137.28</v>
      </c>
      <c r="I20">
        <f t="shared" si="6"/>
        <v>137.68</v>
      </c>
      <c r="J20">
        <f t="shared" si="6"/>
        <v>133.41999999999999</v>
      </c>
      <c r="K20">
        <f t="shared" si="6"/>
        <v>138.71</v>
      </c>
      <c r="L20">
        <f t="shared" si="6"/>
        <v>140.47999999999999</v>
      </c>
      <c r="M20">
        <f t="shared" ref="M20:Z20" si="7">ROUNDDOWN((M5-ROUNDUP(M5*0.1,2)-ROUNDUP(M5*0.05,2))*0.8,2)</f>
        <v>142.21</v>
      </c>
      <c r="N20">
        <f t="shared" si="7"/>
        <v>141.15</v>
      </c>
      <c r="O20">
        <f t="shared" si="7"/>
        <v>140.96</v>
      </c>
      <c r="P20">
        <f t="shared" si="7"/>
        <v>137.47</v>
      </c>
      <c r="Q20">
        <f t="shared" si="7"/>
        <v>136.88</v>
      </c>
      <c r="R20">
        <f t="shared" si="7"/>
        <v>137.21</v>
      </c>
      <c r="S20">
        <f t="shared" si="7"/>
        <v>138.22999999999999</v>
      </c>
      <c r="T20">
        <f t="shared" si="7"/>
        <v>136.81</v>
      </c>
      <c r="U20">
        <f t="shared" si="7"/>
        <v>140.76</v>
      </c>
      <c r="V20">
        <f t="shared" si="7"/>
        <v>140.75</v>
      </c>
      <c r="W20">
        <f t="shared" si="7"/>
        <v>134.44</v>
      </c>
      <c r="X20">
        <f t="shared" si="7"/>
        <v>134.19</v>
      </c>
      <c r="Y20">
        <f t="shared" si="7"/>
        <v>120.36</v>
      </c>
      <c r="Z20">
        <f t="shared" si="7"/>
        <v>127.77</v>
      </c>
      <c r="AA20">
        <f t="shared" ref="AA20:BY20" si="8">ROUNDDOWN((AA5-ROUNDUP(AA5*0.1,2)-ROUNDUP(AA5*0.05,2))*0.8,2)</f>
        <v>136.32</v>
      </c>
      <c r="AB20">
        <f t="shared" si="8"/>
        <v>0</v>
      </c>
      <c r="AC20">
        <f t="shared" si="8"/>
        <v>0</v>
      </c>
      <c r="AD20">
        <f t="shared" si="8"/>
        <v>0</v>
      </c>
      <c r="AE20">
        <f t="shared" si="8"/>
        <v>0</v>
      </c>
      <c r="AF20">
        <f t="shared" si="8"/>
        <v>0</v>
      </c>
      <c r="AG20">
        <f t="shared" si="8"/>
        <v>0</v>
      </c>
      <c r="AH20">
        <f t="shared" si="8"/>
        <v>0</v>
      </c>
      <c r="AI20">
        <f t="shared" si="8"/>
        <v>0</v>
      </c>
      <c r="AJ20">
        <f t="shared" si="8"/>
        <v>0</v>
      </c>
      <c r="AK20">
        <f t="shared" si="8"/>
        <v>0</v>
      </c>
      <c r="AL20">
        <f t="shared" si="8"/>
        <v>0</v>
      </c>
      <c r="AM20">
        <f t="shared" si="8"/>
        <v>0</v>
      </c>
      <c r="AN20">
        <f t="shared" si="8"/>
        <v>0</v>
      </c>
      <c r="AO20">
        <f t="shared" si="8"/>
        <v>0</v>
      </c>
      <c r="AP20">
        <f t="shared" si="8"/>
        <v>0</v>
      </c>
      <c r="AQ20">
        <f t="shared" si="8"/>
        <v>0</v>
      </c>
      <c r="AR20">
        <f t="shared" si="8"/>
        <v>0</v>
      </c>
      <c r="AS20">
        <f t="shared" si="8"/>
        <v>0</v>
      </c>
      <c r="AT20">
        <f t="shared" si="8"/>
        <v>0</v>
      </c>
      <c r="AU20">
        <f t="shared" si="8"/>
        <v>0</v>
      </c>
      <c r="AV20">
        <f t="shared" si="8"/>
        <v>0</v>
      </c>
      <c r="AW20">
        <f t="shared" si="8"/>
        <v>0</v>
      </c>
      <c r="AX20">
        <f t="shared" si="8"/>
        <v>0</v>
      </c>
      <c r="AY20">
        <f t="shared" si="8"/>
        <v>0</v>
      </c>
      <c r="AZ20">
        <f t="shared" si="8"/>
        <v>0</v>
      </c>
      <c r="BA20">
        <f t="shared" si="8"/>
        <v>0</v>
      </c>
      <c r="BB20">
        <f t="shared" si="8"/>
        <v>0</v>
      </c>
      <c r="BC20">
        <f t="shared" si="8"/>
        <v>0</v>
      </c>
      <c r="BD20">
        <f t="shared" si="8"/>
        <v>0</v>
      </c>
      <c r="BE20">
        <f t="shared" si="8"/>
        <v>0</v>
      </c>
      <c r="BF20">
        <f t="shared" si="8"/>
        <v>0</v>
      </c>
      <c r="BG20">
        <f t="shared" si="8"/>
        <v>0</v>
      </c>
      <c r="BH20">
        <f t="shared" si="8"/>
        <v>0</v>
      </c>
      <c r="BI20">
        <f t="shared" si="8"/>
        <v>0</v>
      </c>
      <c r="BJ20">
        <f t="shared" si="8"/>
        <v>0</v>
      </c>
      <c r="BK20">
        <f t="shared" si="8"/>
        <v>0</v>
      </c>
      <c r="BL20">
        <f t="shared" si="8"/>
        <v>0</v>
      </c>
      <c r="BM20">
        <f t="shared" si="8"/>
        <v>0</v>
      </c>
      <c r="BN20">
        <f t="shared" si="8"/>
        <v>0</v>
      </c>
      <c r="BO20">
        <f t="shared" si="8"/>
        <v>0</v>
      </c>
      <c r="BP20">
        <f t="shared" si="8"/>
        <v>0</v>
      </c>
      <c r="BQ20">
        <f t="shared" si="8"/>
        <v>0</v>
      </c>
      <c r="BR20">
        <f t="shared" si="8"/>
        <v>0</v>
      </c>
      <c r="BS20">
        <f t="shared" si="8"/>
        <v>0</v>
      </c>
      <c r="BT20">
        <f t="shared" si="8"/>
        <v>0</v>
      </c>
      <c r="BU20">
        <f t="shared" si="8"/>
        <v>0</v>
      </c>
      <c r="BV20">
        <f t="shared" si="8"/>
        <v>0</v>
      </c>
      <c r="BW20">
        <f t="shared" si="8"/>
        <v>0</v>
      </c>
      <c r="BX20">
        <f t="shared" si="8"/>
        <v>0</v>
      </c>
      <c r="BY20">
        <f t="shared" si="8"/>
        <v>0</v>
      </c>
    </row>
    <row r="21" spans="1:77" x14ac:dyDescent="0.25">
      <c r="A21" s="2" t="s">
        <v>37</v>
      </c>
      <c r="B21">
        <f t="shared" ref="B21:L23" si="9">ROUNDDOWN((B6-ROUNDUP(B6*0.1,2)-ROUNDUP(B6*0.05,2))*0.8,2)</f>
        <v>817.08</v>
      </c>
      <c r="C21">
        <f t="shared" si="9"/>
        <v>819.7</v>
      </c>
      <c r="D21">
        <f t="shared" si="9"/>
        <v>857.54</v>
      </c>
      <c r="E21">
        <f t="shared" si="9"/>
        <v>857.51</v>
      </c>
      <c r="F21">
        <f t="shared" si="9"/>
        <v>857.51</v>
      </c>
      <c r="G21">
        <f t="shared" si="9"/>
        <v>836.78</v>
      </c>
      <c r="H21">
        <f t="shared" si="9"/>
        <v>880.16</v>
      </c>
      <c r="I21">
        <f t="shared" si="9"/>
        <v>880.16</v>
      </c>
      <c r="J21">
        <f t="shared" si="9"/>
        <v>877.4</v>
      </c>
      <c r="K21">
        <f t="shared" si="9"/>
        <v>970.65</v>
      </c>
      <c r="L21">
        <f t="shared" si="9"/>
        <v>945.88</v>
      </c>
      <c r="M21">
        <f t="shared" ref="M21:Z21" si="10">ROUNDDOWN((M6-ROUNDUP(M6*0.1,2)-ROUNDUP(M6*0.05,2))*0.8,2)</f>
        <v>940.87</v>
      </c>
      <c r="N21">
        <f t="shared" si="10"/>
        <v>927.5</v>
      </c>
      <c r="O21">
        <f t="shared" si="10"/>
        <v>920.74</v>
      </c>
      <c r="P21">
        <f t="shared" si="10"/>
        <v>912.08</v>
      </c>
      <c r="Q21">
        <f t="shared" si="10"/>
        <v>912.08</v>
      </c>
      <c r="R21">
        <f t="shared" si="10"/>
        <v>921.35</v>
      </c>
      <c r="S21">
        <f t="shared" si="10"/>
        <v>927.92</v>
      </c>
      <c r="T21">
        <f t="shared" si="10"/>
        <v>917.99</v>
      </c>
      <c r="U21">
        <f t="shared" si="10"/>
        <v>960.89</v>
      </c>
      <c r="V21">
        <f t="shared" si="10"/>
        <v>1009.57</v>
      </c>
      <c r="W21">
        <f t="shared" si="10"/>
        <v>1005.28</v>
      </c>
      <c r="X21">
        <f t="shared" si="10"/>
        <v>1002.07</v>
      </c>
      <c r="Y21">
        <f t="shared" si="10"/>
        <v>1006.48</v>
      </c>
      <c r="Z21">
        <f t="shared" si="10"/>
        <v>1015.93</v>
      </c>
      <c r="AA21">
        <f t="shared" ref="AA21:BY21" si="11">ROUNDDOWN((AA6-ROUNDUP(AA6*0.1,2)-ROUNDUP(AA6*0.05,2))*0.8,2)</f>
        <v>1008.68</v>
      </c>
      <c r="AB21">
        <f t="shared" si="11"/>
        <v>0</v>
      </c>
      <c r="AC21">
        <f t="shared" si="11"/>
        <v>0</v>
      </c>
      <c r="AD21">
        <f t="shared" si="11"/>
        <v>0</v>
      </c>
      <c r="AE21">
        <f t="shared" si="11"/>
        <v>0</v>
      </c>
      <c r="AF21">
        <f t="shared" si="11"/>
        <v>0</v>
      </c>
      <c r="AG21">
        <f t="shared" si="11"/>
        <v>0</v>
      </c>
      <c r="AH21">
        <f t="shared" si="11"/>
        <v>0</v>
      </c>
      <c r="AI21">
        <f t="shared" si="11"/>
        <v>0</v>
      </c>
      <c r="AJ21">
        <f t="shared" si="11"/>
        <v>0</v>
      </c>
      <c r="AK21">
        <f t="shared" si="11"/>
        <v>0</v>
      </c>
      <c r="AL21">
        <f t="shared" si="11"/>
        <v>0</v>
      </c>
      <c r="AM21">
        <f t="shared" si="11"/>
        <v>0</v>
      </c>
      <c r="AN21">
        <f t="shared" si="11"/>
        <v>0</v>
      </c>
      <c r="AO21">
        <f t="shared" si="11"/>
        <v>0</v>
      </c>
      <c r="AP21">
        <f t="shared" si="11"/>
        <v>0</v>
      </c>
      <c r="AQ21">
        <f t="shared" si="11"/>
        <v>0</v>
      </c>
      <c r="AR21">
        <f t="shared" si="11"/>
        <v>0</v>
      </c>
      <c r="AS21">
        <f t="shared" si="11"/>
        <v>0</v>
      </c>
      <c r="AT21">
        <f t="shared" si="11"/>
        <v>0</v>
      </c>
      <c r="AU21">
        <f t="shared" si="11"/>
        <v>0</v>
      </c>
      <c r="AV21">
        <f t="shared" si="11"/>
        <v>0</v>
      </c>
      <c r="AW21">
        <f t="shared" si="11"/>
        <v>0</v>
      </c>
      <c r="AX21">
        <f t="shared" si="11"/>
        <v>0</v>
      </c>
      <c r="AY21">
        <f t="shared" si="11"/>
        <v>0</v>
      </c>
      <c r="AZ21">
        <f t="shared" si="11"/>
        <v>0</v>
      </c>
      <c r="BA21">
        <f t="shared" si="11"/>
        <v>0</v>
      </c>
      <c r="BB21">
        <f t="shared" si="11"/>
        <v>0</v>
      </c>
      <c r="BC21">
        <f t="shared" si="11"/>
        <v>0</v>
      </c>
      <c r="BD21">
        <f t="shared" si="11"/>
        <v>0</v>
      </c>
      <c r="BE21">
        <f t="shared" si="11"/>
        <v>0</v>
      </c>
      <c r="BF21">
        <f t="shared" si="11"/>
        <v>0</v>
      </c>
      <c r="BG21">
        <f t="shared" si="11"/>
        <v>0</v>
      </c>
      <c r="BH21">
        <f t="shared" si="11"/>
        <v>0</v>
      </c>
      <c r="BI21">
        <f t="shared" si="11"/>
        <v>0</v>
      </c>
      <c r="BJ21">
        <f t="shared" si="11"/>
        <v>0</v>
      </c>
      <c r="BK21">
        <f t="shared" si="11"/>
        <v>0</v>
      </c>
      <c r="BL21">
        <f t="shared" si="11"/>
        <v>0</v>
      </c>
      <c r="BM21">
        <f t="shared" si="11"/>
        <v>0</v>
      </c>
      <c r="BN21">
        <f t="shared" si="11"/>
        <v>0</v>
      </c>
      <c r="BO21">
        <f t="shared" si="11"/>
        <v>0</v>
      </c>
      <c r="BP21">
        <f t="shared" si="11"/>
        <v>0</v>
      </c>
      <c r="BQ21">
        <f t="shared" si="11"/>
        <v>0</v>
      </c>
      <c r="BR21">
        <f t="shared" si="11"/>
        <v>0</v>
      </c>
      <c r="BS21">
        <f t="shared" si="11"/>
        <v>0</v>
      </c>
      <c r="BT21">
        <f t="shared" si="11"/>
        <v>0</v>
      </c>
      <c r="BU21">
        <f t="shared" si="11"/>
        <v>0</v>
      </c>
      <c r="BV21">
        <f t="shared" si="11"/>
        <v>0</v>
      </c>
      <c r="BW21">
        <f t="shared" si="11"/>
        <v>0</v>
      </c>
      <c r="BX21">
        <f t="shared" si="11"/>
        <v>0</v>
      </c>
      <c r="BY21">
        <f t="shared" si="11"/>
        <v>0</v>
      </c>
    </row>
    <row r="22" spans="1:77" x14ac:dyDescent="0.25">
      <c r="A22" s="2" t="s">
        <v>38</v>
      </c>
      <c r="B22">
        <f t="shared" si="9"/>
        <v>132.32</v>
      </c>
      <c r="C22">
        <f t="shared" si="9"/>
        <v>130.28</v>
      </c>
      <c r="D22">
        <f t="shared" si="9"/>
        <v>122.46</v>
      </c>
      <c r="E22">
        <f t="shared" si="9"/>
        <v>130.83000000000001</v>
      </c>
      <c r="F22">
        <f t="shared" si="9"/>
        <v>130.83000000000001</v>
      </c>
      <c r="G22">
        <f t="shared" si="9"/>
        <v>130.07</v>
      </c>
      <c r="H22">
        <f t="shared" si="9"/>
        <v>124.44</v>
      </c>
      <c r="I22">
        <f t="shared" si="9"/>
        <v>129.76</v>
      </c>
      <c r="J22">
        <f t="shared" si="9"/>
        <v>124.57</v>
      </c>
      <c r="K22">
        <f t="shared" si="9"/>
        <v>128.37</v>
      </c>
      <c r="L22">
        <f t="shared" si="9"/>
        <v>128.5</v>
      </c>
      <c r="M22">
        <f t="shared" ref="M22:Z22" si="12">ROUNDDOWN((M7-ROUNDUP(M7*0.1,2)-ROUNDUP(M7*0.05,2))*0.8,2)</f>
        <v>123.13</v>
      </c>
      <c r="N22">
        <f t="shared" si="12"/>
        <v>129.26</v>
      </c>
      <c r="O22">
        <f t="shared" si="12"/>
        <v>129.02000000000001</v>
      </c>
      <c r="P22">
        <f t="shared" si="12"/>
        <v>122.89</v>
      </c>
      <c r="Q22">
        <f t="shared" si="12"/>
        <v>128.91999999999999</v>
      </c>
      <c r="R22">
        <f t="shared" si="12"/>
        <v>126.72</v>
      </c>
      <c r="S22">
        <f t="shared" si="12"/>
        <v>122.52</v>
      </c>
      <c r="T22">
        <f t="shared" si="12"/>
        <v>111.91</v>
      </c>
      <c r="U22">
        <f t="shared" si="12"/>
        <v>115.43</v>
      </c>
      <c r="V22">
        <f t="shared" si="12"/>
        <v>125.98</v>
      </c>
      <c r="W22">
        <f t="shared" si="12"/>
        <v>121.6</v>
      </c>
      <c r="X22">
        <f t="shared" si="12"/>
        <v>124.23</v>
      </c>
      <c r="Y22">
        <f t="shared" si="12"/>
        <v>124.44</v>
      </c>
      <c r="Z22">
        <f t="shared" si="12"/>
        <v>122.86</v>
      </c>
      <c r="AA22">
        <f t="shared" ref="AA22:BY22" si="13">ROUNDDOWN((AA7-ROUNDUP(AA7*0.1,2)-ROUNDUP(AA7*0.05,2))*0.8,2)</f>
        <v>123.34</v>
      </c>
      <c r="AB22">
        <f t="shared" si="13"/>
        <v>0</v>
      </c>
      <c r="AC22">
        <f t="shared" si="13"/>
        <v>0</v>
      </c>
      <c r="AD22">
        <f t="shared" si="13"/>
        <v>0</v>
      </c>
      <c r="AE22">
        <f t="shared" si="13"/>
        <v>0</v>
      </c>
      <c r="AF22">
        <f t="shared" si="13"/>
        <v>0</v>
      </c>
      <c r="AG22">
        <f t="shared" si="13"/>
        <v>0</v>
      </c>
      <c r="AH22">
        <f t="shared" si="13"/>
        <v>0</v>
      </c>
      <c r="AI22">
        <f t="shared" si="13"/>
        <v>0</v>
      </c>
      <c r="AJ22">
        <f t="shared" si="13"/>
        <v>0</v>
      </c>
      <c r="AK22">
        <f t="shared" si="13"/>
        <v>0</v>
      </c>
      <c r="AL22">
        <f t="shared" si="13"/>
        <v>0</v>
      </c>
      <c r="AM22">
        <f t="shared" si="13"/>
        <v>0</v>
      </c>
      <c r="AN22">
        <f t="shared" si="13"/>
        <v>0</v>
      </c>
      <c r="AO22">
        <f t="shared" si="13"/>
        <v>0</v>
      </c>
      <c r="AP22">
        <f t="shared" si="13"/>
        <v>0</v>
      </c>
      <c r="AQ22">
        <f t="shared" si="13"/>
        <v>0</v>
      </c>
      <c r="AR22">
        <f t="shared" si="13"/>
        <v>0</v>
      </c>
      <c r="AS22">
        <f t="shared" si="13"/>
        <v>0</v>
      </c>
      <c r="AT22">
        <f t="shared" si="13"/>
        <v>0</v>
      </c>
      <c r="AU22">
        <f t="shared" si="13"/>
        <v>0</v>
      </c>
      <c r="AV22">
        <f t="shared" si="13"/>
        <v>0</v>
      </c>
      <c r="AW22">
        <f t="shared" si="13"/>
        <v>0</v>
      </c>
      <c r="AX22">
        <f t="shared" si="13"/>
        <v>0</v>
      </c>
      <c r="AY22">
        <f t="shared" si="13"/>
        <v>0</v>
      </c>
      <c r="AZ22">
        <f t="shared" si="13"/>
        <v>0</v>
      </c>
      <c r="BA22">
        <f t="shared" si="13"/>
        <v>0</v>
      </c>
      <c r="BB22">
        <f t="shared" si="13"/>
        <v>0</v>
      </c>
      <c r="BC22">
        <f t="shared" si="13"/>
        <v>0</v>
      </c>
      <c r="BD22">
        <f t="shared" si="13"/>
        <v>0</v>
      </c>
      <c r="BE22">
        <f t="shared" si="13"/>
        <v>0</v>
      </c>
      <c r="BF22">
        <f t="shared" si="13"/>
        <v>0</v>
      </c>
      <c r="BG22">
        <f t="shared" si="13"/>
        <v>0</v>
      </c>
      <c r="BH22">
        <f t="shared" si="13"/>
        <v>0</v>
      </c>
      <c r="BI22">
        <f t="shared" si="13"/>
        <v>0</v>
      </c>
      <c r="BJ22">
        <f t="shared" si="13"/>
        <v>0</v>
      </c>
      <c r="BK22">
        <f t="shared" si="13"/>
        <v>0</v>
      </c>
      <c r="BL22">
        <f t="shared" si="13"/>
        <v>0</v>
      </c>
      <c r="BM22">
        <f t="shared" si="13"/>
        <v>0</v>
      </c>
      <c r="BN22">
        <f t="shared" si="13"/>
        <v>0</v>
      </c>
      <c r="BO22">
        <f t="shared" si="13"/>
        <v>0</v>
      </c>
      <c r="BP22">
        <f t="shared" si="13"/>
        <v>0</v>
      </c>
      <c r="BQ22">
        <f t="shared" si="13"/>
        <v>0</v>
      </c>
      <c r="BR22">
        <f t="shared" si="13"/>
        <v>0</v>
      </c>
      <c r="BS22">
        <f t="shared" si="13"/>
        <v>0</v>
      </c>
      <c r="BT22">
        <f t="shared" si="13"/>
        <v>0</v>
      </c>
      <c r="BU22">
        <f t="shared" si="13"/>
        <v>0</v>
      </c>
      <c r="BV22">
        <f t="shared" si="13"/>
        <v>0</v>
      </c>
      <c r="BW22">
        <f t="shared" si="13"/>
        <v>0</v>
      </c>
      <c r="BX22">
        <f t="shared" si="13"/>
        <v>0</v>
      </c>
      <c r="BY22">
        <f t="shared" si="13"/>
        <v>0</v>
      </c>
    </row>
    <row r="23" spans="1:77" x14ac:dyDescent="0.25">
      <c r="A23" s="2" t="s">
        <v>39</v>
      </c>
      <c r="B23">
        <f t="shared" si="9"/>
        <v>258.76</v>
      </c>
      <c r="C23">
        <f t="shared" si="9"/>
        <v>260.44</v>
      </c>
      <c r="D23">
        <f t="shared" si="9"/>
        <v>246.08</v>
      </c>
      <c r="E23">
        <f t="shared" si="9"/>
        <v>246.13</v>
      </c>
      <c r="F23">
        <f t="shared" si="9"/>
        <v>253.22</v>
      </c>
      <c r="G23">
        <f t="shared" si="9"/>
        <v>248.8</v>
      </c>
      <c r="H23">
        <f t="shared" si="9"/>
        <v>227.52</v>
      </c>
      <c r="I23">
        <f t="shared" si="9"/>
        <v>241.8</v>
      </c>
      <c r="J23">
        <f t="shared" si="9"/>
        <v>238.53</v>
      </c>
      <c r="K23">
        <f t="shared" si="9"/>
        <v>261.99</v>
      </c>
      <c r="L23">
        <f t="shared" si="9"/>
        <v>265.97000000000003</v>
      </c>
      <c r="M23">
        <f t="shared" ref="M23:Z23" si="14">ROUNDDOWN((M8-ROUNDUP(M8*0.1,2)-ROUNDUP(M8*0.05,2))*0.8,2)</f>
        <v>266.14</v>
      </c>
      <c r="N23">
        <f t="shared" si="14"/>
        <v>251.84</v>
      </c>
      <c r="O23">
        <f t="shared" si="14"/>
        <v>262.88</v>
      </c>
      <c r="P23">
        <f t="shared" si="14"/>
        <v>262.77</v>
      </c>
      <c r="Q23">
        <f t="shared" si="14"/>
        <v>260.27</v>
      </c>
      <c r="R23">
        <f t="shared" si="14"/>
        <v>269.95</v>
      </c>
      <c r="S23">
        <f t="shared" si="14"/>
        <v>276.47000000000003</v>
      </c>
      <c r="T23">
        <f t="shared" si="14"/>
        <v>261.77999999999997</v>
      </c>
      <c r="U23">
        <f t="shared" si="14"/>
        <v>262.44</v>
      </c>
      <c r="V23">
        <f t="shared" si="14"/>
        <v>288.8</v>
      </c>
      <c r="W23">
        <f t="shared" si="14"/>
        <v>268.08999999999997</v>
      </c>
      <c r="X23">
        <f t="shared" si="14"/>
        <v>274.74</v>
      </c>
      <c r="Y23">
        <f t="shared" si="14"/>
        <v>274.29000000000002</v>
      </c>
      <c r="Z23">
        <f t="shared" si="14"/>
        <v>245.65</v>
      </c>
      <c r="AA23">
        <f t="shared" ref="AA23:BY23" si="15">ROUNDDOWN((AA8-ROUNDUP(AA8*0.1,2)-ROUNDUP(AA8*0.05,2))*0.8,2)</f>
        <v>261.45999999999998</v>
      </c>
      <c r="AB23">
        <f t="shared" si="15"/>
        <v>0</v>
      </c>
      <c r="AC23">
        <f t="shared" si="15"/>
        <v>0</v>
      </c>
      <c r="AD23">
        <f t="shared" si="15"/>
        <v>0</v>
      </c>
      <c r="AE23">
        <f t="shared" si="15"/>
        <v>0</v>
      </c>
      <c r="AF23">
        <f t="shared" si="15"/>
        <v>0</v>
      </c>
      <c r="AG23">
        <f t="shared" si="15"/>
        <v>0</v>
      </c>
      <c r="AH23">
        <f t="shared" si="15"/>
        <v>0</v>
      </c>
      <c r="AI23">
        <f t="shared" si="15"/>
        <v>0</v>
      </c>
      <c r="AJ23">
        <f t="shared" si="15"/>
        <v>0</v>
      </c>
      <c r="AK23">
        <f t="shared" si="15"/>
        <v>0</v>
      </c>
      <c r="AL23">
        <f t="shared" si="15"/>
        <v>0</v>
      </c>
      <c r="AM23">
        <f t="shared" si="15"/>
        <v>0</v>
      </c>
      <c r="AN23">
        <f t="shared" si="15"/>
        <v>0</v>
      </c>
      <c r="AO23">
        <f t="shared" si="15"/>
        <v>0</v>
      </c>
      <c r="AP23">
        <f t="shared" si="15"/>
        <v>0</v>
      </c>
      <c r="AQ23">
        <f t="shared" si="15"/>
        <v>0</v>
      </c>
      <c r="AR23">
        <f t="shared" si="15"/>
        <v>0</v>
      </c>
      <c r="AS23">
        <f t="shared" si="15"/>
        <v>0</v>
      </c>
      <c r="AT23">
        <f t="shared" si="15"/>
        <v>0</v>
      </c>
      <c r="AU23">
        <f t="shared" si="15"/>
        <v>0</v>
      </c>
      <c r="AV23">
        <f t="shared" si="15"/>
        <v>0</v>
      </c>
      <c r="AW23">
        <f t="shared" si="15"/>
        <v>0</v>
      </c>
      <c r="AX23">
        <f t="shared" si="15"/>
        <v>0</v>
      </c>
      <c r="AY23">
        <f t="shared" si="15"/>
        <v>0</v>
      </c>
      <c r="AZ23">
        <f t="shared" si="15"/>
        <v>0</v>
      </c>
      <c r="BA23">
        <f t="shared" si="15"/>
        <v>0</v>
      </c>
      <c r="BB23">
        <f t="shared" si="15"/>
        <v>0</v>
      </c>
      <c r="BC23">
        <f t="shared" si="15"/>
        <v>0</v>
      </c>
      <c r="BD23">
        <f t="shared" si="15"/>
        <v>0</v>
      </c>
      <c r="BE23">
        <f t="shared" si="15"/>
        <v>0</v>
      </c>
      <c r="BF23">
        <f t="shared" si="15"/>
        <v>0</v>
      </c>
      <c r="BG23">
        <f t="shared" si="15"/>
        <v>0</v>
      </c>
      <c r="BH23">
        <f t="shared" si="15"/>
        <v>0</v>
      </c>
      <c r="BI23">
        <f t="shared" si="15"/>
        <v>0</v>
      </c>
      <c r="BJ23">
        <f t="shared" si="15"/>
        <v>0</v>
      </c>
      <c r="BK23">
        <f t="shared" si="15"/>
        <v>0</v>
      </c>
      <c r="BL23">
        <f t="shared" si="15"/>
        <v>0</v>
      </c>
      <c r="BM23">
        <f t="shared" si="15"/>
        <v>0</v>
      </c>
      <c r="BN23">
        <f t="shared" si="15"/>
        <v>0</v>
      </c>
      <c r="BO23">
        <f t="shared" si="15"/>
        <v>0</v>
      </c>
      <c r="BP23">
        <f t="shared" si="15"/>
        <v>0</v>
      </c>
      <c r="BQ23">
        <f t="shared" si="15"/>
        <v>0</v>
      </c>
      <c r="BR23">
        <f t="shared" si="15"/>
        <v>0</v>
      </c>
      <c r="BS23">
        <f t="shared" si="15"/>
        <v>0</v>
      </c>
      <c r="BT23">
        <f t="shared" si="15"/>
        <v>0</v>
      </c>
      <c r="BU23">
        <f t="shared" si="15"/>
        <v>0</v>
      </c>
      <c r="BV23">
        <f t="shared" si="15"/>
        <v>0</v>
      </c>
      <c r="BW23">
        <f t="shared" si="15"/>
        <v>0</v>
      </c>
      <c r="BX23">
        <f t="shared" si="15"/>
        <v>0</v>
      </c>
      <c r="BY23">
        <f t="shared" si="15"/>
        <v>0</v>
      </c>
    </row>
    <row r="25" spans="1:77" x14ac:dyDescent="0.25">
      <c r="B25" s="2">
        <f>SUM(B20:B23)</f>
        <v>1341.61</v>
      </c>
      <c r="C25" s="2">
        <f t="shared" ref="C25:E25" si="16">SUM(C20:C23)</f>
        <v>1347.64</v>
      </c>
      <c r="D25" s="2">
        <f t="shared" si="16"/>
        <v>1360.04</v>
      </c>
      <c r="E25" s="2">
        <f t="shared" si="16"/>
        <v>1368.3400000000001</v>
      </c>
      <c r="F25" s="2">
        <f t="shared" ref="F25:L25" si="17">SUM(F20:F23)</f>
        <v>1382.44</v>
      </c>
      <c r="G25" s="2">
        <f t="shared" si="17"/>
        <v>1358.07</v>
      </c>
      <c r="H25" s="2">
        <f t="shared" si="17"/>
        <v>1369.3999999999999</v>
      </c>
      <c r="I25" s="2">
        <f t="shared" si="17"/>
        <v>1389.3999999999999</v>
      </c>
      <c r="J25" s="2">
        <f t="shared" si="17"/>
        <v>1373.9199999999998</v>
      </c>
      <c r="K25" s="2">
        <f t="shared" si="17"/>
        <v>1499.72</v>
      </c>
      <c r="L25" s="2">
        <f t="shared" si="17"/>
        <v>1480.83</v>
      </c>
      <c r="M25" s="2">
        <f t="shared" ref="M25:Z25" si="18">SUM(M20:M23)</f>
        <v>1472.35</v>
      </c>
      <c r="N25" s="2">
        <f t="shared" si="18"/>
        <v>1449.75</v>
      </c>
      <c r="O25" s="2">
        <f t="shared" si="18"/>
        <v>1453.6</v>
      </c>
      <c r="P25" s="2">
        <f t="shared" si="18"/>
        <v>1435.21</v>
      </c>
      <c r="Q25" s="2">
        <f t="shared" si="18"/>
        <v>1438.15</v>
      </c>
      <c r="R25" s="2">
        <f t="shared" si="18"/>
        <v>1455.23</v>
      </c>
      <c r="S25" s="2">
        <f t="shared" si="18"/>
        <v>1465.1399999999999</v>
      </c>
      <c r="T25" s="2">
        <f t="shared" si="18"/>
        <v>1428.49</v>
      </c>
      <c r="U25" s="2">
        <f t="shared" si="18"/>
        <v>1479.5200000000002</v>
      </c>
      <c r="V25" s="2">
        <f t="shared" si="18"/>
        <v>1565.1000000000001</v>
      </c>
      <c r="W25" s="2">
        <f t="shared" si="18"/>
        <v>1529.4099999999999</v>
      </c>
      <c r="X25" s="2">
        <f t="shared" si="18"/>
        <v>1535.23</v>
      </c>
      <c r="Y25" s="2">
        <f t="shared" si="18"/>
        <v>1525.57</v>
      </c>
      <c r="Z25" s="2">
        <f t="shared" si="18"/>
        <v>1512.21</v>
      </c>
      <c r="AA25" s="2">
        <f t="shared" ref="AA25:BY25" si="19">SUM(AA20:AA23)</f>
        <v>1529.8</v>
      </c>
      <c r="AB25" s="2">
        <f t="shared" si="19"/>
        <v>0</v>
      </c>
      <c r="AC25" s="2">
        <f t="shared" si="19"/>
        <v>0</v>
      </c>
      <c r="AD25" s="2">
        <f t="shared" si="19"/>
        <v>0</v>
      </c>
      <c r="AE25" s="2">
        <f t="shared" si="19"/>
        <v>0</v>
      </c>
      <c r="AF25" s="2">
        <f t="shared" si="19"/>
        <v>0</v>
      </c>
      <c r="AG25" s="2">
        <f t="shared" si="19"/>
        <v>0</v>
      </c>
      <c r="AH25" s="2">
        <f t="shared" si="19"/>
        <v>0</v>
      </c>
      <c r="AI25" s="2">
        <f t="shared" si="19"/>
        <v>0</v>
      </c>
      <c r="AJ25" s="2">
        <f t="shared" si="19"/>
        <v>0</v>
      </c>
      <c r="AK25" s="2">
        <f t="shared" si="19"/>
        <v>0</v>
      </c>
      <c r="AL25" s="2">
        <f t="shared" si="19"/>
        <v>0</v>
      </c>
      <c r="AM25" s="2">
        <f t="shared" si="19"/>
        <v>0</v>
      </c>
      <c r="AN25" s="2">
        <f t="shared" si="19"/>
        <v>0</v>
      </c>
      <c r="AO25" s="2">
        <f t="shared" si="19"/>
        <v>0</v>
      </c>
      <c r="AP25" s="2">
        <f t="shared" si="19"/>
        <v>0</v>
      </c>
      <c r="AQ25" s="2">
        <f t="shared" si="19"/>
        <v>0</v>
      </c>
      <c r="AR25" s="2">
        <f t="shared" si="19"/>
        <v>0</v>
      </c>
      <c r="AS25" s="2">
        <f t="shared" si="19"/>
        <v>0</v>
      </c>
      <c r="AT25" s="2">
        <f t="shared" si="19"/>
        <v>0</v>
      </c>
      <c r="AU25" s="2">
        <f t="shared" si="19"/>
        <v>0</v>
      </c>
      <c r="AV25" s="2">
        <f t="shared" si="19"/>
        <v>0</v>
      </c>
      <c r="AW25" s="2">
        <f t="shared" si="19"/>
        <v>0</v>
      </c>
      <c r="AX25" s="2">
        <f t="shared" si="19"/>
        <v>0</v>
      </c>
      <c r="AY25" s="2">
        <f t="shared" si="19"/>
        <v>0</v>
      </c>
      <c r="AZ25" s="2">
        <f t="shared" si="19"/>
        <v>0</v>
      </c>
      <c r="BA25" s="2">
        <f t="shared" si="19"/>
        <v>0</v>
      </c>
      <c r="BB25" s="2">
        <f t="shared" si="19"/>
        <v>0</v>
      </c>
      <c r="BC25" s="2">
        <f t="shared" si="19"/>
        <v>0</v>
      </c>
      <c r="BD25" s="2">
        <f t="shared" si="19"/>
        <v>0</v>
      </c>
      <c r="BE25" s="2">
        <f t="shared" si="19"/>
        <v>0</v>
      </c>
      <c r="BF25" s="2">
        <f t="shared" si="19"/>
        <v>0</v>
      </c>
      <c r="BG25" s="2">
        <f t="shared" si="19"/>
        <v>0</v>
      </c>
      <c r="BH25" s="2">
        <f t="shared" si="19"/>
        <v>0</v>
      </c>
      <c r="BI25" s="2">
        <f t="shared" si="19"/>
        <v>0</v>
      </c>
      <c r="BJ25" s="2">
        <f t="shared" si="19"/>
        <v>0</v>
      </c>
      <c r="BK25" s="2">
        <f t="shared" si="19"/>
        <v>0</v>
      </c>
      <c r="BL25" s="2">
        <f t="shared" si="19"/>
        <v>0</v>
      </c>
      <c r="BM25" s="2">
        <f t="shared" si="19"/>
        <v>0</v>
      </c>
      <c r="BN25" s="2">
        <f t="shared" si="19"/>
        <v>0</v>
      </c>
      <c r="BO25" s="2">
        <f t="shared" si="19"/>
        <v>0</v>
      </c>
      <c r="BP25" s="2">
        <f t="shared" si="19"/>
        <v>0</v>
      </c>
      <c r="BQ25" s="2">
        <f t="shared" si="19"/>
        <v>0</v>
      </c>
      <c r="BR25" s="2">
        <f t="shared" si="19"/>
        <v>0</v>
      </c>
      <c r="BS25" s="2">
        <f t="shared" si="19"/>
        <v>0</v>
      </c>
      <c r="BT25" s="2">
        <f t="shared" si="19"/>
        <v>0</v>
      </c>
      <c r="BU25" s="2">
        <f t="shared" si="19"/>
        <v>0</v>
      </c>
      <c r="BV25" s="2">
        <f t="shared" si="19"/>
        <v>0</v>
      </c>
      <c r="BW25" s="2">
        <f t="shared" si="19"/>
        <v>0</v>
      </c>
      <c r="BX25" s="2">
        <f t="shared" si="19"/>
        <v>0</v>
      </c>
      <c r="BY25" s="2">
        <f t="shared" si="1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8B26-4CB6-44FA-B469-8BD4E4E45B9E}">
  <dimension ref="A1:BY30"/>
  <sheetViews>
    <sheetView zoomScale="80" zoomScaleNormal="80" workbookViewId="0">
      <pane xSplit="1" topLeftCell="T1" activePane="topRight" state="frozen"/>
      <selection pane="topRight" activeCell="AA12" sqref="AA12"/>
    </sheetView>
  </sheetViews>
  <sheetFormatPr defaultRowHeight="15" x14ac:dyDescent="0.25"/>
  <cols>
    <col min="1" max="1" width="21" customWidth="1"/>
    <col min="2" max="50" width="12.85546875" customWidth="1"/>
    <col min="51" max="77" width="11.85546875" customWidth="1"/>
  </cols>
  <sheetData>
    <row r="1" spans="1:77" ht="31.5" x14ac:dyDescent="0.5">
      <c r="A1" s="4" t="s">
        <v>2</v>
      </c>
    </row>
    <row r="3" spans="1:77" x14ac:dyDescent="0.25">
      <c r="A3" t="s">
        <v>12</v>
      </c>
    </row>
    <row r="4" spans="1:77" x14ac:dyDescent="0.25">
      <c r="B4" s="1">
        <f>Knives!B4</f>
        <v>44331</v>
      </c>
      <c r="C4" s="1">
        <f>Knives!C4</f>
        <v>44332</v>
      </c>
      <c r="D4" s="1">
        <f>Knives!D4</f>
        <v>44334</v>
      </c>
      <c r="E4" s="1">
        <f>Knives!E4</f>
        <v>44336</v>
      </c>
      <c r="F4" s="1">
        <f>Knives!F4</f>
        <v>44337</v>
      </c>
      <c r="G4" s="1">
        <f>Knives!G4</f>
        <v>44338</v>
      </c>
      <c r="H4" s="1">
        <f>Knives!H4</f>
        <v>44339</v>
      </c>
      <c r="I4" s="1">
        <f>Knives!I4</f>
        <v>44340</v>
      </c>
      <c r="J4" s="1">
        <f>Knives!J4</f>
        <v>44341</v>
      </c>
      <c r="K4" s="1">
        <f>Knives!K4</f>
        <v>44342</v>
      </c>
      <c r="L4" s="1">
        <f>Knives!L4</f>
        <v>44343</v>
      </c>
      <c r="M4" s="1">
        <f>Knives!M4</f>
        <v>44344</v>
      </c>
      <c r="N4" s="1">
        <f>Knives!N4</f>
        <v>44345</v>
      </c>
      <c r="O4" s="1">
        <f>Knives!O4</f>
        <v>44346</v>
      </c>
      <c r="P4" s="1">
        <f>Knives!P4</f>
        <v>44347</v>
      </c>
      <c r="Q4" s="1">
        <f>Knives!Q4</f>
        <v>44348</v>
      </c>
      <c r="R4" s="1">
        <f>Knives!R4</f>
        <v>44349</v>
      </c>
      <c r="S4" s="1">
        <f>Knives!S4</f>
        <v>44350</v>
      </c>
      <c r="T4" s="1">
        <f>Knives!T4</f>
        <v>44351</v>
      </c>
      <c r="U4" s="1">
        <f>Knives!U4</f>
        <v>44352</v>
      </c>
      <c r="V4" s="1">
        <f>Knives!V4</f>
        <v>44353</v>
      </c>
      <c r="W4" s="1">
        <f>Knives!W4</f>
        <v>44354</v>
      </c>
      <c r="X4" s="1">
        <f>Knives!X4</f>
        <v>44355</v>
      </c>
      <c r="Y4" s="1">
        <f>Knives!Y4</f>
        <v>44356</v>
      </c>
      <c r="Z4" s="1">
        <f>Knives!Z4</f>
        <v>44357</v>
      </c>
      <c r="AA4" s="1">
        <f>Knives!AA4</f>
        <v>44358</v>
      </c>
      <c r="AB4" s="1">
        <f>Knives!AB4</f>
        <v>44359</v>
      </c>
      <c r="AC4" s="1">
        <f>Knives!AC4</f>
        <v>44360</v>
      </c>
      <c r="AD4" s="1">
        <f>Knives!AD4</f>
        <v>44361</v>
      </c>
      <c r="AE4" s="1">
        <f>Knives!AE4</f>
        <v>44362</v>
      </c>
      <c r="AF4" s="1">
        <f>Knives!AF4</f>
        <v>44363</v>
      </c>
      <c r="AG4" s="1">
        <f>Knives!AG4</f>
        <v>44364</v>
      </c>
      <c r="AH4" s="1">
        <f>Knives!AH4</f>
        <v>44365</v>
      </c>
      <c r="AI4" s="1">
        <f>Knives!AI4</f>
        <v>44366</v>
      </c>
      <c r="AJ4" s="1">
        <f>Knives!AJ4</f>
        <v>44367</v>
      </c>
      <c r="AK4" s="1">
        <f>Knives!AK4</f>
        <v>44368</v>
      </c>
      <c r="AL4" s="1">
        <f>Knives!AL4</f>
        <v>44369</v>
      </c>
      <c r="AM4" s="1">
        <f>Knives!AM4</f>
        <v>44370</v>
      </c>
      <c r="AN4" s="1">
        <f>Knives!AN4</f>
        <v>44371</v>
      </c>
      <c r="AO4" s="1">
        <f>Knives!AO4</f>
        <v>44372</v>
      </c>
      <c r="AP4" s="1">
        <f>Knives!AP4</f>
        <v>44373</v>
      </c>
      <c r="AQ4" s="1">
        <f>Knives!AQ4</f>
        <v>44374</v>
      </c>
      <c r="AR4" s="1">
        <f>Knives!AR4</f>
        <v>44375</v>
      </c>
      <c r="AS4" s="1">
        <f>Knives!AS4</f>
        <v>44376</v>
      </c>
      <c r="AT4" s="1">
        <f>Knives!AT4</f>
        <v>44377</v>
      </c>
      <c r="AU4" s="1">
        <f>Knives!AU4</f>
        <v>44378</v>
      </c>
      <c r="AV4" s="1">
        <f>Knives!AV4</f>
        <v>44379</v>
      </c>
      <c r="AW4" s="1">
        <f>Knives!AW4</f>
        <v>44380</v>
      </c>
      <c r="AX4" s="1">
        <f>Knives!AX4</f>
        <v>44381</v>
      </c>
      <c r="AY4" s="1">
        <f>Knives!AY4</f>
        <v>44382</v>
      </c>
      <c r="AZ4" s="1">
        <f>Knives!AZ4</f>
        <v>44383</v>
      </c>
      <c r="BA4" s="1">
        <f>Knives!BA4</f>
        <v>44384</v>
      </c>
      <c r="BB4" s="1">
        <f>Knives!BB4</f>
        <v>44385</v>
      </c>
      <c r="BC4" s="1">
        <f>Knives!BC4</f>
        <v>44386</v>
      </c>
      <c r="BD4" s="1">
        <f>Knives!BD4</f>
        <v>44387</v>
      </c>
      <c r="BE4" s="1">
        <f>Knives!BE4</f>
        <v>44388</v>
      </c>
      <c r="BF4" s="1">
        <f>Knives!BF4</f>
        <v>44389</v>
      </c>
      <c r="BG4" s="1">
        <f>Knives!BG4</f>
        <v>44390</v>
      </c>
      <c r="BH4" s="1">
        <f>Knives!BH4</f>
        <v>44391</v>
      </c>
      <c r="BI4" s="1">
        <f>Knives!BI4</f>
        <v>44392</v>
      </c>
      <c r="BJ4" s="1">
        <f>Knives!BJ4</f>
        <v>44393</v>
      </c>
      <c r="BK4" s="1">
        <f>Knives!BK4</f>
        <v>44394</v>
      </c>
      <c r="BL4" s="1">
        <f>Knives!BL4</f>
        <v>44395</v>
      </c>
      <c r="BM4" s="1">
        <f>Knives!BM4</f>
        <v>44396</v>
      </c>
      <c r="BN4" s="1">
        <f>Knives!BN4</f>
        <v>44397</v>
      </c>
      <c r="BO4" s="1">
        <f>Knives!BO4</f>
        <v>44398</v>
      </c>
      <c r="BP4" s="1">
        <f>Knives!BP4</f>
        <v>44399</v>
      </c>
      <c r="BQ4" s="1">
        <f>Knives!BQ4</f>
        <v>44400</v>
      </c>
      <c r="BR4" s="1">
        <f>Knives!BR4</f>
        <v>44401</v>
      </c>
      <c r="BS4" s="1">
        <f>Knives!BS4</f>
        <v>44402</v>
      </c>
      <c r="BT4" s="1">
        <f>Knives!BT4</f>
        <v>44403</v>
      </c>
      <c r="BU4" s="1">
        <f>Knives!BU4</f>
        <v>44404</v>
      </c>
      <c r="BV4" s="1">
        <f>Knives!BV4</f>
        <v>44405</v>
      </c>
      <c r="BW4" s="1">
        <f>Knives!BW4</f>
        <v>44406</v>
      </c>
      <c r="BX4" s="1">
        <f>Knives!BX4</f>
        <v>44407</v>
      </c>
      <c r="BY4" s="1">
        <f>Knives!BY4</f>
        <v>44408</v>
      </c>
    </row>
    <row r="5" spans="1:77" x14ac:dyDescent="0.25">
      <c r="A5" s="2" t="s">
        <v>40</v>
      </c>
      <c r="B5">
        <v>7.47</v>
      </c>
      <c r="C5">
        <v>7.52</v>
      </c>
      <c r="D5">
        <v>7.36</v>
      </c>
      <c r="E5">
        <v>7.24</v>
      </c>
      <c r="F5">
        <v>7.42</v>
      </c>
      <c r="G5">
        <v>7.21</v>
      </c>
      <c r="H5">
        <v>7.03</v>
      </c>
      <c r="I5">
        <v>7.44</v>
      </c>
      <c r="J5">
        <v>7.33</v>
      </c>
      <c r="K5">
        <v>6.98</v>
      </c>
      <c r="L5">
        <v>6.95</v>
      </c>
      <c r="M5">
        <v>6.92</v>
      </c>
      <c r="N5">
        <v>7.05</v>
      </c>
      <c r="O5">
        <v>6.62</v>
      </c>
      <c r="P5">
        <v>6.71</v>
      </c>
      <c r="Q5">
        <v>7.14</v>
      </c>
      <c r="R5">
        <v>6.86</v>
      </c>
      <c r="S5">
        <v>7.3</v>
      </c>
      <c r="T5">
        <v>7.04</v>
      </c>
      <c r="U5">
        <v>6.9</v>
      </c>
      <c r="V5">
        <v>7.02</v>
      </c>
      <c r="W5">
        <v>7.37</v>
      </c>
      <c r="X5">
        <v>7.3</v>
      </c>
      <c r="Y5">
        <v>7.22</v>
      </c>
      <c r="Z5">
        <v>6.99</v>
      </c>
      <c r="AA5">
        <v>6.85</v>
      </c>
    </row>
    <row r="6" spans="1:77" x14ac:dyDescent="0.25">
      <c r="A6" s="2" t="s">
        <v>41</v>
      </c>
      <c r="B6">
        <v>6.81</v>
      </c>
      <c r="C6">
        <v>7.26</v>
      </c>
      <c r="D6">
        <v>7.22</v>
      </c>
      <c r="E6">
        <v>6.73</v>
      </c>
      <c r="F6">
        <v>6.71</v>
      </c>
      <c r="G6">
        <v>6.73</v>
      </c>
      <c r="H6">
        <v>6.97</v>
      </c>
      <c r="I6">
        <v>7.34</v>
      </c>
      <c r="J6">
        <v>7.18</v>
      </c>
      <c r="K6">
        <v>6.93</v>
      </c>
      <c r="L6">
        <v>6.5</v>
      </c>
      <c r="M6">
        <v>6.4</v>
      </c>
      <c r="N6">
        <v>7.28</v>
      </c>
      <c r="O6">
        <v>7.32</v>
      </c>
      <c r="P6">
        <v>7.71</v>
      </c>
      <c r="Q6">
        <v>7.27</v>
      </c>
      <c r="R6">
        <v>7.36</v>
      </c>
      <c r="S6">
        <v>7.14</v>
      </c>
      <c r="T6">
        <v>7.32</v>
      </c>
      <c r="U6">
        <v>7.2</v>
      </c>
      <c r="V6">
        <v>7.6</v>
      </c>
      <c r="W6">
        <v>7.54</v>
      </c>
      <c r="X6">
        <v>7.66</v>
      </c>
      <c r="Y6">
        <v>7.49</v>
      </c>
      <c r="Z6">
        <v>7.08</v>
      </c>
      <c r="AA6">
        <v>7.24</v>
      </c>
    </row>
    <row r="7" spans="1:77" x14ac:dyDescent="0.25">
      <c r="A7" s="2" t="s">
        <v>42</v>
      </c>
      <c r="B7">
        <v>74.08</v>
      </c>
      <c r="C7">
        <v>71.31</v>
      </c>
      <c r="D7">
        <v>71.88</v>
      </c>
      <c r="E7">
        <v>71.23</v>
      </c>
      <c r="F7">
        <v>70.58</v>
      </c>
      <c r="G7">
        <v>65.36</v>
      </c>
      <c r="H7">
        <v>73.31</v>
      </c>
      <c r="I7">
        <v>73.31</v>
      </c>
      <c r="J7">
        <v>72.87</v>
      </c>
      <c r="K7">
        <v>84.58</v>
      </c>
      <c r="L7">
        <v>84.44</v>
      </c>
      <c r="M7">
        <v>75.84</v>
      </c>
      <c r="N7">
        <v>76.16</v>
      </c>
      <c r="O7">
        <v>69.569999999999993</v>
      </c>
      <c r="P7">
        <v>74.78</v>
      </c>
      <c r="Q7">
        <v>75.67</v>
      </c>
      <c r="R7">
        <v>83.34</v>
      </c>
      <c r="S7">
        <v>78.56</v>
      </c>
      <c r="T7">
        <v>78.23</v>
      </c>
      <c r="U7">
        <v>78.48</v>
      </c>
      <c r="V7">
        <v>76.790000000000006</v>
      </c>
      <c r="W7">
        <v>79.09</v>
      </c>
      <c r="X7">
        <v>85.65</v>
      </c>
      <c r="Y7">
        <v>78.77</v>
      </c>
      <c r="Z7">
        <v>75</v>
      </c>
      <c r="AA7">
        <v>74.31</v>
      </c>
    </row>
    <row r="8" spans="1:77" x14ac:dyDescent="0.25">
      <c r="A8" s="2" t="s">
        <v>43</v>
      </c>
      <c r="B8">
        <v>3.23</v>
      </c>
      <c r="C8">
        <v>3.14</v>
      </c>
      <c r="D8">
        <v>3.5</v>
      </c>
      <c r="E8">
        <v>3.27</v>
      </c>
      <c r="F8">
        <v>3.28</v>
      </c>
      <c r="G8">
        <v>3.41</v>
      </c>
      <c r="H8">
        <v>3.47</v>
      </c>
      <c r="I8">
        <v>3.16</v>
      </c>
      <c r="J8">
        <v>3.26</v>
      </c>
      <c r="K8">
        <v>3.28</v>
      </c>
      <c r="L8">
        <v>3.29</v>
      </c>
      <c r="M8">
        <v>3.38</v>
      </c>
      <c r="N8">
        <v>3.25</v>
      </c>
      <c r="O8">
        <v>3.26</v>
      </c>
      <c r="P8">
        <v>3.19</v>
      </c>
      <c r="Q8">
        <v>3.39</v>
      </c>
      <c r="R8">
        <v>3.14</v>
      </c>
      <c r="S8">
        <v>3.14</v>
      </c>
      <c r="T8">
        <v>3.13</v>
      </c>
      <c r="U8">
        <v>2.92</v>
      </c>
      <c r="V8">
        <v>3.15</v>
      </c>
      <c r="W8">
        <v>2.99</v>
      </c>
      <c r="X8">
        <v>2.89</v>
      </c>
      <c r="Y8">
        <v>3.17</v>
      </c>
      <c r="Z8">
        <v>3.17</v>
      </c>
      <c r="AA8">
        <v>3.26</v>
      </c>
    </row>
    <row r="9" spans="1:77" x14ac:dyDescent="0.25">
      <c r="A9" s="2" t="s">
        <v>44</v>
      </c>
      <c r="B9">
        <v>52.57</v>
      </c>
      <c r="C9">
        <v>50.84</v>
      </c>
      <c r="D9">
        <v>61.12</v>
      </c>
      <c r="E9">
        <v>54.92</v>
      </c>
      <c r="F9">
        <v>54.99</v>
      </c>
      <c r="G9">
        <v>52.25</v>
      </c>
      <c r="H9">
        <v>56.03</v>
      </c>
      <c r="I9">
        <v>55.57</v>
      </c>
      <c r="J9">
        <v>54.76</v>
      </c>
      <c r="K9">
        <v>54.99</v>
      </c>
      <c r="L9">
        <v>54.7</v>
      </c>
      <c r="M9">
        <v>52.32</v>
      </c>
      <c r="N9">
        <v>54.62</v>
      </c>
      <c r="O9">
        <v>55.38</v>
      </c>
      <c r="P9">
        <v>53.77</v>
      </c>
      <c r="Q9">
        <v>56.08</v>
      </c>
      <c r="R9">
        <v>56.08</v>
      </c>
      <c r="S9">
        <v>57.36</v>
      </c>
      <c r="T9">
        <v>55.4</v>
      </c>
      <c r="U9">
        <v>55.27</v>
      </c>
      <c r="V9">
        <v>54.17</v>
      </c>
      <c r="W9">
        <v>54.77</v>
      </c>
      <c r="X9">
        <v>55.31</v>
      </c>
      <c r="Y9">
        <v>55.82</v>
      </c>
      <c r="Z9">
        <v>55.54</v>
      </c>
      <c r="AA9">
        <v>56.84</v>
      </c>
    </row>
    <row r="10" spans="1:77" x14ac:dyDescent="0.25">
      <c r="A10" s="2" t="s">
        <v>45</v>
      </c>
      <c r="B10">
        <v>47</v>
      </c>
      <c r="C10">
        <v>45.93</v>
      </c>
      <c r="D10">
        <v>44.54</v>
      </c>
      <c r="E10">
        <v>45.51</v>
      </c>
      <c r="F10">
        <v>46.05</v>
      </c>
      <c r="G10">
        <v>46.08</v>
      </c>
      <c r="H10">
        <v>46.57</v>
      </c>
      <c r="I10">
        <v>47.69</v>
      </c>
      <c r="J10">
        <v>44.11</v>
      </c>
      <c r="K10">
        <v>44.01</v>
      </c>
      <c r="L10">
        <v>45.22</v>
      </c>
      <c r="M10">
        <v>46.55</v>
      </c>
      <c r="N10">
        <v>46.98</v>
      </c>
      <c r="O10">
        <v>43.94</v>
      </c>
      <c r="P10">
        <v>46.39</v>
      </c>
      <c r="Q10">
        <v>46.37</v>
      </c>
      <c r="R10">
        <v>47.84</v>
      </c>
      <c r="S10">
        <v>44.88</v>
      </c>
      <c r="T10">
        <v>48.07</v>
      </c>
      <c r="U10">
        <v>48.33</v>
      </c>
      <c r="V10">
        <v>47.69</v>
      </c>
      <c r="W10">
        <v>46.01</v>
      </c>
      <c r="X10">
        <v>47.06</v>
      </c>
      <c r="Y10">
        <v>45.28</v>
      </c>
      <c r="Z10">
        <v>42.61</v>
      </c>
      <c r="AA10">
        <v>46.48</v>
      </c>
    </row>
    <row r="11" spans="1:77" x14ac:dyDescent="0.25">
      <c r="A11" s="2" t="s">
        <v>46</v>
      </c>
      <c r="B11">
        <v>4.3099999999999996</v>
      </c>
      <c r="C11">
        <v>4.54</v>
      </c>
      <c r="D11">
        <v>4.37</v>
      </c>
      <c r="E11">
        <v>4.41</v>
      </c>
      <c r="F11">
        <v>4.16</v>
      </c>
      <c r="G11">
        <v>4.4000000000000004</v>
      </c>
      <c r="H11">
        <v>4.7300000000000004</v>
      </c>
      <c r="I11">
        <v>4.6900000000000004</v>
      </c>
      <c r="J11">
        <v>4.54</v>
      </c>
      <c r="K11">
        <v>4.53</v>
      </c>
      <c r="L11">
        <v>4.55</v>
      </c>
      <c r="M11">
        <v>4.22</v>
      </c>
      <c r="N11">
        <v>4.3899999999999997</v>
      </c>
      <c r="O11">
        <v>4.2300000000000004</v>
      </c>
      <c r="P11">
        <v>4.0599999999999996</v>
      </c>
      <c r="Q11">
        <v>4.2300000000000004</v>
      </c>
      <c r="R11">
        <v>4.62</v>
      </c>
      <c r="S11">
        <v>4.07</v>
      </c>
      <c r="T11">
        <v>4.3</v>
      </c>
      <c r="U11">
        <v>4.2300000000000004</v>
      </c>
      <c r="V11">
        <v>4.21</v>
      </c>
      <c r="W11">
        <v>4.25</v>
      </c>
      <c r="X11">
        <v>4.25</v>
      </c>
      <c r="Y11">
        <v>4.22</v>
      </c>
      <c r="Z11">
        <v>4.2699999999999996</v>
      </c>
      <c r="AA11">
        <v>4.43</v>
      </c>
    </row>
    <row r="13" spans="1:77" x14ac:dyDescent="0.25">
      <c r="B13" s="2">
        <f>SUM(B5:B11)</f>
        <v>195.47</v>
      </c>
      <c r="C13" s="2">
        <f t="shared" ref="C13:L13" si="0">SUM(C5:C11)</f>
        <v>190.54</v>
      </c>
      <c r="D13" s="2">
        <f t="shared" si="0"/>
        <v>199.98999999999998</v>
      </c>
      <c r="E13" s="2">
        <f t="shared" si="0"/>
        <v>193.30999999999997</v>
      </c>
      <c r="F13" s="2">
        <f t="shared" si="0"/>
        <v>193.18999999999997</v>
      </c>
      <c r="G13" s="2">
        <f t="shared" si="0"/>
        <v>185.43999999999997</v>
      </c>
      <c r="H13" s="2">
        <f t="shared" si="0"/>
        <v>198.10999999999999</v>
      </c>
      <c r="I13" s="2">
        <f t="shared" si="0"/>
        <v>199.2</v>
      </c>
      <c r="J13" s="2">
        <f t="shared" si="0"/>
        <v>194.04999999999998</v>
      </c>
      <c r="K13" s="2">
        <f t="shared" si="0"/>
        <v>205.29999999999998</v>
      </c>
      <c r="L13" s="2">
        <f t="shared" si="0"/>
        <v>205.65</v>
      </c>
      <c r="M13" s="2">
        <f t="shared" ref="M13:Z13" si="1">SUM(M5:M11)</f>
        <v>195.62999999999997</v>
      </c>
      <c r="N13" s="2">
        <f t="shared" si="1"/>
        <v>199.72999999999996</v>
      </c>
      <c r="O13" s="2">
        <f t="shared" si="1"/>
        <v>190.32</v>
      </c>
      <c r="P13" s="2">
        <f t="shared" si="1"/>
        <v>196.61</v>
      </c>
      <c r="Q13" s="2">
        <f t="shared" si="1"/>
        <v>200.15</v>
      </c>
      <c r="R13" s="2">
        <f t="shared" si="1"/>
        <v>209.24</v>
      </c>
      <c r="S13" s="2">
        <f t="shared" si="1"/>
        <v>202.45</v>
      </c>
      <c r="T13" s="2">
        <f t="shared" si="1"/>
        <v>203.49</v>
      </c>
      <c r="U13" s="2">
        <f t="shared" si="1"/>
        <v>203.33</v>
      </c>
      <c r="V13" s="2">
        <f t="shared" si="1"/>
        <v>200.63000000000002</v>
      </c>
      <c r="W13" s="2">
        <f t="shared" si="1"/>
        <v>202.01999999999998</v>
      </c>
      <c r="X13" s="2">
        <f t="shared" si="1"/>
        <v>210.12</v>
      </c>
      <c r="Y13" s="2">
        <f t="shared" si="1"/>
        <v>201.97</v>
      </c>
      <c r="Z13" s="2">
        <f t="shared" si="1"/>
        <v>194.66</v>
      </c>
      <c r="AA13" s="2">
        <f t="shared" ref="AA13:BY13" si="2">SUM(AA5:AA11)</f>
        <v>199.41</v>
      </c>
      <c r="AB13" s="2">
        <f t="shared" si="2"/>
        <v>0</v>
      </c>
      <c r="AC13" s="2">
        <f t="shared" si="2"/>
        <v>0</v>
      </c>
      <c r="AD13" s="2">
        <f t="shared" si="2"/>
        <v>0</v>
      </c>
      <c r="AE13" s="2">
        <f t="shared" si="2"/>
        <v>0</v>
      </c>
      <c r="AF13" s="2">
        <f t="shared" si="2"/>
        <v>0</v>
      </c>
      <c r="AG13" s="2">
        <f t="shared" si="2"/>
        <v>0</v>
      </c>
      <c r="AH13" s="2">
        <f t="shared" si="2"/>
        <v>0</v>
      </c>
      <c r="AI13" s="2">
        <f t="shared" si="2"/>
        <v>0</v>
      </c>
      <c r="AJ13" s="2">
        <f t="shared" si="2"/>
        <v>0</v>
      </c>
      <c r="AK13" s="2">
        <f t="shared" si="2"/>
        <v>0</v>
      </c>
      <c r="AL13" s="2">
        <f t="shared" si="2"/>
        <v>0</v>
      </c>
      <c r="AM13" s="2">
        <f t="shared" si="2"/>
        <v>0</v>
      </c>
      <c r="AN13" s="2">
        <f t="shared" si="2"/>
        <v>0</v>
      </c>
      <c r="AO13" s="2">
        <f t="shared" si="2"/>
        <v>0</v>
      </c>
      <c r="AP13" s="2">
        <f t="shared" si="2"/>
        <v>0</v>
      </c>
      <c r="AQ13" s="2">
        <f t="shared" si="2"/>
        <v>0</v>
      </c>
      <c r="AR13" s="2">
        <f t="shared" si="2"/>
        <v>0</v>
      </c>
      <c r="AS13" s="2">
        <f t="shared" si="2"/>
        <v>0</v>
      </c>
      <c r="AT13" s="2">
        <f t="shared" si="2"/>
        <v>0</v>
      </c>
      <c r="AU13" s="2">
        <f t="shared" si="2"/>
        <v>0</v>
      </c>
      <c r="AV13" s="2">
        <f t="shared" si="2"/>
        <v>0</v>
      </c>
      <c r="AW13" s="2">
        <f t="shared" si="2"/>
        <v>0</v>
      </c>
      <c r="AX13" s="2">
        <f t="shared" si="2"/>
        <v>0</v>
      </c>
      <c r="AY13" s="2">
        <f t="shared" si="2"/>
        <v>0</v>
      </c>
      <c r="AZ13" s="2">
        <f t="shared" si="2"/>
        <v>0</v>
      </c>
      <c r="BA13" s="2">
        <f t="shared" si="2"/>
        <v>0</v>
      </c>
      <c r="BB13" s="2">
        <f t="shared" si="2"/>
        <v>0</v>
      </c>
      <c r="BC13" s="2">
        <f t="shared" si="2"/>
        <v>0</v>
      </c>
      <c r="BD13" s="2">
        <f t="shared" si="2"/>
        <v>0</v>
      </c>
      <c r="BE13" s="2">
        <f t="shared" si="2"/>
        <v>0</v>
      </c>
      <c r="BF13" s="2">
        <f t="shared" si="2"/>
        <v>0</v>
      </c>
      <c r="BG13" s="2">
        <f t="shared" si="2"/>
        <v>0</v>
      </c>
      <c r="BH13" s="2">
        <f t="shared" si="2"/>
        <v>0</v>
      </c>
      <c r="BI13" s="2">
        <f t="shared" si="2"/>
        <v>0</v>
      </c>
      <c r="BJ13" s="2">
        <f t="shared" si="2"/>
        <v>0</v>
      </c>
      <c r="BK13" s="2">
        <f t="shared" si="2"/>
        <v>0</v>
      </c>
      <c r="BL13" s="2">
        <f t="shared" si="2"/>
        <v>0</v>
      </c>
      <c r="BM13" s="2">
        <f t="shared" si="2"/>
        <v>0</v>
      </c>
      <c r="BN13" s="2">
        <f t="shared" si="2"/>
        <v>0</v>
      </c>
      <c r="BO13" s="2">
        <f t="shared" si="2"/>
        <v>0</v>
      </c>
      <c r="BP13" s="2">
        <f t="shared" si="2"/>
        <v>0</v>
      </c>
      <c r="BQ13" s="2">
        <f t="shared" si="2"/>
        <v>0</v>
      </c>
      <c r="BR13" s="2">
        <f t="shared" si="2"/>
        <v>0</v>
      </c>
      <c r="BS13" s="2">
        <f t="shared" si="2"/>
        <v>0</v>
      </c>
      <c r="BT13" s="2">
        <f t="shared" si="2"/>
        <v>0</v>
      </c>
      <c r="BU13" s="2">
        <f t="shared" si="2"/>
        <v>0</v>
      </c>
      <c r="BV13" s="2">
        <f t="shared" si="2"/>
        <v>0</v>
      </c>
      <c r="BW13" s="2">
        <f t="shared" si="2"/>
        <v>0</v>
      </c>
      <c r="BX13" s="2">
        <f t="shared" si="2"/>
        <v>0</v>
      </c>
      <c r="BY13" s="2">
        <f t="shared" si="2"/>
        <v>0</v>
      </c>
    </row>
    <row r="18" spans="1:77" ht="21" x14ac:dyDescent="0.35">
      <c r="A18" s="5" t="s">
        <v>33</v>
      </c>
    </row>
    <row r="20" spans="1:77" x14ac:dyDescent="0.25">
      <c r="A20" t="s">
        <v>12</v>
      </c>
    </row>
    <row r="21" spans="1:77" x14ac:dyDescent="0.25">
      <c r="B21" s="1">
        <f>B4</f>
        <v>44331</v>
      </c>
      <c r="C21" s="1">
        <f t="shared" ref="C21:L21" si="3">C4</f>
        <v>44332</v>
      </c>
      <c r="D21" s="1">
        <f t="shared" si="3"/>
        <v>44334</v>
      </c>
      <c r="E21" s="1">
        <f t="shared" si="3"/>
        <v>44336</v>
      </c>
      <c r="F21" s="1">
        <f t="shared" si="3"/>
        <v>44337</v>
      </c>
      <c r="G21" s="1">
        <f t="shared" si="3"/>
        <v>44338</v>
      </c>
      <c r="H21" s="1">
        <f t="shared" si="3"/>
        <v>44339</v>
      </c>
      <c r="I21" s="1">
        <f t="shared" si="3"/>
        <v>44340</v>
      </c>
      <c r="J21" s="1">
        <f t="shared" si="3"/>
        <v>44341</v>
      </c>
      <c r="K21" s="1">
        <f t="shared" si="3"/>
        <v>44342</v>
      </c>
      <c r="L21" s="1">
        <f t="shared" si="3"/>
        <v>44343</v>
      </c>
      <c r="M21" s="1">
        <f t="shared" ref="M21:Z21" si="4">M4</f>
        <v>44344</v>
      </c>
      <c r="N21" s="1">
        <f t="shared" si="4"/>
        <v>44345</v>
      </c>
      <c r="O21" s="1">
        <f t="shared" si="4"/>
        <v>44346</v>
      </c>
      <c r="P21" s="1">
        <f t="shared" si="4"/>
        <v>44347</v>
      </c>
      <c r="Q21" s="1">
        <f t="shared" si="4"/>
        <v>44348</v>
      </c>
      <c r="R21" s="1">
        <f t="shared" si="4"/>
        <v>44349</v>
      </c>
      <c r="S21" s="1">
        <f t="shared" si="4"/>
        <v>44350</v>
      </c>
      <c r="T21" s="1">
        <f t="shared" si="4"/>
        <v>44351</v>
      </c>
      <c r="U21" s="1">
        <f t="shared" si="4"/>
        <v>44352</v>
      </c>
      <c r="V21" s="1">
        <f t="shared" si="4"/>
        <v>44353</v>
      </c>
      <c r="W21" s="1">
        <f t="shared" si="4"/>
        <v>44354</v>
      </c>
      <c r="X21" s="1">
        <f t="shared" si="4"/>
        <v>44355</v>
      </c>
      <c r="Y21" s="1">
        <f t="shared" si="4"/>
        <v>44356</v>
      </c>
      <c r="Z21" s="1">
        <f t="shared" si="4"/>
        <v>44357</v>
      </c>
      <c r="AA21" s="1">
        <f t="shared" ref="AA21:BY21" si="5">AA4</f>
        <v>44358</v>
      </c>
      <c r="AB21" s="1">
        <f t="shared" si="5"/>
        <v>44359</v>
      </c>
      <c r="AC21" s="1">
        <f t="shared" si="5"/>
        <v>44360</v>
      </c>
      <c r="AD21" s="1">
        <f t="shared" si="5"/>
        <v>44361</v>
      </c>
      <c r="AE21" s="1">
        <f t="shared" si="5"/>
        <v>44362</v>
      </c>
      <c r="AF21" s="1">
        <f t="shared" si="5"/>
        <v>44363</v>
      </c>
      <c r="AG21" s="1">
        <f t="shared" si="5"/>
        <v>44364</v>
      </c>
      <c r="AH21" s="1">
        <f t="shared" si="5"/>
        <v>44365</v>
      </c>
      <c r="AI21" s="1">
        <f t="shared" si="5"/>
        <v>44366</v>
      </c>
      <c r="AJ21" s="1">
        <f t="shared" si="5"/>
        <v>44367</v>
      </c>
      <c r="AK21" s="1">
        <f t="shared" si="5"/>
        <v>44368</v>
      </c>
      <c r="AL21" s="1">
        <f t="shared" si="5"/>
        <v>44369</v>
      </c>
      <c r="AM21" s="1">
        <f t="shared" si="5"/>
        <v>44370</v>
      </c>
      <c r="AN21" s="1">
        <f t="shared" si="5"/>
        <v>44371</v>
      </c>
      <c r="AO21" s="1">
        <f t="shared" si="5"/>
        <v>44372</v>
      </c>
      <c r="AP21" s="1">
        <f t="shared" si="5"/>
        <v>44373</v>
      </c>
      <c r="AQ21" s="1">
        <f t="shared" si="5"/>
        <v>44374</v>
      </c>
      <c r="AR21" s="1">
        <f t="shared" si="5"/>
        <v>44375</v>
      </c>
      <c r="AS21" s="1">
        <f t="shared" si="5"/>
        <v>44376</v>
      </c>
      <c r="AT21" s="1">
        <f t="shared" si="5"/>
        <v>44377</v>
      </c>
      <c r="AU21" s="1">
        <f t="shared" si="5"/>
        <v>44378</v>
      </c>
      <c r="AV21" s="1">
        <f t="shared" si="5"/>
        <v>44379</v>
      </c>
      <c r="AW21" s="1">
        <f t="shared" si="5"/>
        <v>44380</v>
      </c>
      <c r="AX21" s="1">
        <f t="shared" si="5"/>
        <v>44381</v>
      </c>
      <c r="AY21" s="1">
        <f t="shared" si="5"/>
        <v>44382</v>
      </c>
      <c r="AZ21" s="1">
        <f t="shared" si="5"/>
        <v>44383</v>
      </c>
      <c r="BA21" s="1">
        <f t="shared" si="5"/>
        <v>44384</v>
      </c>
      <c r="BB21" s="1">
        <f t="shared" si="5"/>
        <v>44385</v>
      </c>
      <c r="BC21" s="1">
        <f t="shared" si="5"/>
        <v>44386</v>
      </c>
      <c r="BD21" s="1">
        <f t="shared" si="5"/>
        <v>44387</v>
      </c>
      <c r="BE21" s="1">
        <f t="shared" si="5"/>
        <v>44388</v>
      </c>
      <c r="BF21" s="1">
        <f t="shared" si="5"/>
        <v>44389</v>
      </c>
      <c r="BG21" s="1">
        <f t="shared" si="5"/>
        <v>44390</v>
      </c>
      <c r="BH21" s="1">
        <f t="shared" si="5"/>
        <v>44391</v>
      </c>
      <c r="BI21" s="1">
        <f t="shared" si="5"/>
        <v>44392</v>
      </c>
      <c r="BJ21" s="1">
        <f t="shared" si="5"/>
        <v>44393</v>
      </c>
      <c r="BK21" s="1">
        <f t="shared" si="5"/>
        <v>44394</v>
      </c>
      <c r="BL21" s="1">
        <f t="shared" si="5"/>
        <v>44395</v>
      </c>
      <c r="BM21" s="1">
        <f t="shared" si="5"/>
        <v>44396</v>
      </c>
      <c r="BN21" s="1">
        <f t="shared" si="5"/>
        <v>44397</v>
      </c>
      <c r="BO21" s="1">
        <f t="shared" si="5"/>
        <v>44398</v>
      </c>
      <c r="BP21" s="1">
        <f t="shared" si="5"/>
        <v>44399</v>
      </c>
      <c r="BQ21" s="1">
        <f t="shared" si="5"/>
        <v>44400</v>
      </c>
      <c r="BR21" s="1">
        <f t="shared" si="5"/>
        <v>44401</v>
      </c>
      <c r="BS21" s="1">
        <f t="shared" si="5"/>
        <v>44402</v>
      </c>
      <c r="BT21" s="1">
        <f t="shared" si="5"/>
        <v>44403</v>
      </c>
      <c r="BU21" s="1">
        <f t="shared" si="5"/>
        <v>44404</v>
      </c>
      <c r="BV21" s="1">
        <f t="shared" si="5"/>
        <v>44405</v>
      </c>
      <c r="BW21" s="1">
        <f t="shared" si="5"/>
        <v>44406</v>
      </c>
      <c r="BX21" s="1">
        <f t="shared" si="5"/>
        <v>44407</v>
      </c>
      <c r="BY21" s="1">
        <f t="shared" si="5"/>
        <v>44408</v>
      </c>
    </row>
    <row r="22" spans="1:77" x14ac:dyDescent="0.25">
      <c r="A22" s="2" t="s">
        <v>40</v>
      </c>
      <c r="B22">
        <f>ROUNDDOWN((B5-ROUNDUP(B5*0.1,2)-ROUNDUP(B5*0.05,2))*0.8,2)</f>
        <v>5.07</v>
      </c>
      <c r="C22">
        <f t="shared" ref="C22:L22" si="6">ROUNDDOWN((C5-ROUNDUP(C5*0.1,2)-ROUNDUP(C5*0.05,2))*0.8,2)</f>
        <v>5.0999999999999996</v>
      </c>
      <c r="D22">
        <f t="shared" si="6"/>
        <v>5</v>
      </c>
      <c r="E22">
        <f t="shared" si="6"/>
        <v>4.91</v>
      </c>
      <c r="F22">
        <f t="shared" si="6"/>
        <v>5.03</v>
      </c>
      <c r="G22">
        <f t="shared" si="6"/>
        <v>4.88</v>
      </c>
      <c r="H22">
        <f t="shared" si="6"/>
        <v>4.76</v>
      </c>
      <c r="I22">
        <f t="shared" si="6"/>
        <v>5.04</v>
      </c>
      <c r="J22">
        <f t="shared" si="6"/>
        <v>4.97</v>
      </c>
      <c r="K22">
        <f t="shared" si="6"/>
        <v>4.74</v>
      </c>
      <c r="L22">
        <f t="shared" si="6"/>
        <v>4.72</v>
      </c>
      <c r="M22">
        <f t="shared" ref="M22:Z22" si="7">ROUNDDOWN((M5-ROUNDUP(M5*0.1,2)-ROUNDUP(M5*0.05,2))*0.8,2)</f>
        <v>4.6900000000000004</v>
      </c>
      <c r="N22">
        <f t="shared" si="7"/>
        <v>4.78</v>
      </c>
      <c r="O22">
        <f t="shared" si="7"/>
        <v>4.4800000000000004</v>
      </c>
      <c r="P22">
        <f t="shared" si="7"/>
        <v>4.55</v>
      </c>
      <c r="Q22">
        <f t="shared" si="7"/>
        <v>4.84</v>
      </c>
      <c r="R22">
        <f t="shared" si="7"/>
        <v>4.6500000000000004</v>
      </c>
      <c r="S22">
        <f t="shared" si="7"/>
        <v>4.96</v>
      </c>
      <c r="T22">
        <f t="shared" si="7"/>
        <v>4.7699999999999996</v>
      </c>
      <c r="U22">
        <f t="shared" si="7"/>
        <v>4.68</v>
      </c>
      <c r="V22">
        <f t="shared" si="7"/>
        <v>4.76</v>
      </c>
      <c r="W22">
        <f t="shared" si="7"/>
        <v>5</v>
      </c>
      <c r="X22">
        <f t="shared" si="7"/>
        <v>4.96</v>
      </c>
      <c r="Y22">
        <f t="shared" si="7"/>
        <v>4.8899999999999997</v>
      </c>
      <c r="Z22">
        <f t="shared" si="7"/>
        <v>4.75</v>
      </c>
      <c r="AA22">
        <f t="shared" ref="AA22:BY22" si="8">ROUNDDOWN((AA5-ROUNDUP(AA5*0.1,2)-ROUNDUP(AA5*0.05,2))*0.8,2)</f>
        <v>4.6399999999999997</v>
      </c>
      <c r="AB22">
        <f t="shared" si="8"/>
        <v>0</v>
      </c>
      <c r="AC22">
        <f t="shared" si="8"/>
        <v>0</v>
      </c>
      <c r="AD22">
        <f t="shared" si="8"/>
        <v>0</v>
      </c>
      <c r="AE22">
        <f t="shared" si="8"/>
        <v>0</v>
      </c>
      <c r="AF22">
        <f t="shared" si="8"/>
        <v>0</v>
      </c>
      <c r="AG22">
        <f t="shared" si="8"/>
        <v>0</v>
      </c>
      <c r="AH22">
        <f t="shared" si="8"/>
        <v>0</v>
      </c>
      <c r="AI22">
        <f t="shared" si="8"/>
        <v>0</v>
      </c>
      <c r="AJ22">
        <f t="shared" si="8"/>
        <v>0</v>
      </c>
      <c r="AK22">
        <f t="shared" si="8"/>
        <v>0</v>
      </c>
      <c r="AL22">
        <f t="shared" si="8"/>
        <v>0</v>
      </c>
      <c r="AM22">
        <f t="shared" si="8"/>
        <v>0</v>
      </c>
      <c r="AN22">
        <f t="shared" si="8"/>
        <v>0</v>
      </c>
      <c r="AO22">
        <f t="shared" si="8"/>
        <v>0</v>
      </c>
      <c r="AP22">
        <f t="shared" si="8"/>
        <v>0</v>
      </c>
      <c r="AQ22">
        <f t="shared" si="8"/>
        <v>0</v>
      </c>
      <c r="AR22">
        <f t="shared" si="8"/>
        <v>0</v>
      </c>
      <c r="AS22">
        <f t="shared" si="8"/>
        <v>0</v>
      </c>
      <c r="AT22">
        <f t="shared" si="8"/>
        <v>0</v>
      </c>
      <c r="AU22">
        <f t="shared" si="8"/>
        <v>0</v>
      </c>
      <c r="AV22">
        <f t="shared" si="8"/>
        <v>0</v>
      </c>
      <c r="AW22">
        <f t="shared" si="8"/>
        <v>0</v>
      </c>
      <c r="AX22">
        <f t="shared" si="8"/>
        <v>0</v>
      </c>
      <c r="AY22">
        <f t="shared" si="8"/>
        <v>0</v>
      </c>
      <c r="AZ22">
        <f t="shared" si="8"/>
        <v>0</v>
      </c>
      <c r="BA22">
        <f t="shared" si="8"/>
        <v>0</v>
      </c>
      <c r="BB22">
        <f t="shared" si="8"/>
        <v>0</v>
      </c>
      <c r="BC22">
        <f t="shared" si="8"/>
        <v>0</v>
      </c>
      <c r="BD22">
        <f t="shared" si="8"/>
        <v>0</v>
      </c>
      <c r="BE22">
        <f t="shared" si="8"/>
        <v>0</v>
      </c>
      <c r="BF22">
        <f t="shared" si="8"/>
        <v>0</v>
      </c>
      <c r="BG22">
        <f t="shared" si="8"/>
        <v>0</v>
      </c>
      <c r="BH22">
        <f t="shared" si="8"/>
        <v>0</v>
      </c>
      <c r="BI22">
        <f t="shared" si="8"/>
        <v>0</v>
      </c>
      <c r="BJ22">
        <f t="shared" si="8"/>
        <v>0</v>
      </c>
      <c r="BK22">
        <f t="shared" si="8"/>
        <v>0</v>
      </c>
      <c r="BL22">
        <f t="shared" si="8"/>
        <v>0</v>
      </c>
      <c r="BM22">
        <f t="shared" si="8"/>
        <v>0</v>
      </c>
      <c r="BN22">
        <f t="shared" si="8"/>
        <v>0</v>
      </c>
      <c r="BO22">
        <f t="shared" si="8"/>
        <v>0</v>
      </c>
      <c r="BP22">
        <f t="shared" si="8"/>
        <v>0</v>
      </c>
      <c r="BQ22">
        <f t="shared" si="8"/>
        <v>0</v>
      </c>
      <c r="BR22">
        <f t="shared" si="8"/>
        <v>0</v>
      </c>
      <c r="BS22">
        <f t="shared" si="8"/>
        <v>0</v>
      </c>
      <c r="BT22">
        <f t="shared" si="8"/>
        <v>0</v>
      </c>
      <c r="BU22">
        <f t="shared" si="8"/>
        <v>0</v>
      </c>
      <c r="BV22">
        <f t="shared" si="8"/>
        <v>0</v>
      </c>
      <c r="BW22">
        <f t="shared" si="8"/>
        <v>0</v>
      </c>
      <c r="BX22">
        <f t="shared" si="8"/>
        <v>0</v>
      </c>
      <c r="BY22">
        <f t="shared" si="8"/>
        <v>0</v>
      </c>
    </row>
    <row r="23" spans="1:77" x14ac:dyDescent="0.25">
      <c r="A23" s="2" t="s">
        <v>41</v>
      </c>
      <c r="B23">
        <f t="shared" ref="B23:L28" si="9">ROUNDDOWN((B6-ROUNDUP(B6*0.1,2)-ROUNDUP(B6*0.05,2))*0.8,2)</f>
        <v>4.6100000000000003</v>
      </c>
      <c r="C23">
        <f t="shared" si="9"/>
        <v>4.92</v>
      </c>
      <c r="D23">
        <f t="shared" si="9"/>
        <v>4.8899999999999997</v>
      </c>
      <c r="E23">
        <f t="shared" si="9"/>
        <v>4.5599999999999996</v>
      </c>
      <c r="F23">
        <f t="shared" si="9"/>
        <v>4.55</v>
      </c>
      <c r="G23">
        <f t="shared" si="9"/>
        <v>4.5599999999999996</v>
      </c>
      <c r="H23">
        <f t="shared" si="9"/>
        <v>4.7300000000000004</v>
      </c>
      <c r="I23">
        <f t="shared" si="9"/>
        <v>4.9800000000000004</v>
      </c>
      <c r="J23">
        <f t="shared" si="9"/>
        <v>4.88</v>
      </c>
      <c r="K23">
        <f t="shared" si="9"/>
        <v>4.7</v>
      </c>
      <c r="L23">
        <f t="shared" si="9"/>
        <v>4.41</v>
      </c>
      <c r="M23">
        <f t="shared" ref="M23:Z23" si="10">ROUNDDOWN((M6-ROUNDUP(M6*0.1,2)-ROUNDUP(M6*0.05,2))*0.8,2)</f>
        <v>4.3499999999999996</v>
      </c>
      <c r="N23">
        <f t="shared" si="10"/>
        <v>4.9400000000000004</v>
      </c>
      <c r="O23">
        <f t="shared" si="10"/>
        <v>4.96</v>
      </c>
      <c r="P23">
        <f t="shared" si="10"/>
        <v>5.23</v>
      </c>
      <c r="Q23">
        <f t="shared" si="10"/>
        <v>4.93</v>
      </c>
      <c r="R23">
        <f t="shared" si="10"/>
        <v>5</v>
      </c>
      <c r="S23">
        <f t="shared" si="10"/>
        <v>4.84</v>
      </c>
      <c r="T23">
        <f t="shared" si="10"/>
        <v>4.96</v>
      </c>
      <c r="U23">
        <f t="shared" si="10"/>
        <v>4.8899999999999997</v>
      </c>
      <c r="V23">
        <f t="shared" si="10"/>
        <v>5.16</v>
      </c>
      <c r="W23">
        <f t="shared" si="10"/>
        <v>5.12</v>
      </c>
      <c r="X23">
        <f t="shared" si="10"/>
        <v>5.2</v>
      </c>
      <c r="Y23">
        <f t="shared" si="10"/>
        <v>5.08</v>
      </c>
      <c r="Z23">
        <f t="shared" si="10"/>
        <v>4.8</v>
      </c>
      <c r="AA23">
        <f t="shared" ref="AA23:BY23" si="11">ROUNDDOWN((AA6-ROUNDUP(AA6*0.1,2)-ROUNDUP(AA6*0.05,2))*0.8,2)</f>
        <v>4.91</v>
      </c>
      <c r="AB23">
        <f t="shared" si="11"/>
        <v>0</v>
      </c>
      <c r="AC23">
        <f t="shared" si="11"/>
        <v>0</v>
      </c>
      <c r="AD23">
        <f t="shared" si="11"/>
        <v>0</v>
      </c>
      <c r="AE23">
        <f t="shared" si="11"/>
        <v>0</v>
      </c>
      <c r="AF23">
        <f t="shared" si="11"/>
        <v>0</v>
      </c>
      <c r="AG23">
        <f t="shared" si="11"/>
        <v>0</v>
      </c>
      <c r="AH23">
        <f t="shared" si="11"/>
        <v>0</v>
      </c>
      <c r="AI23">
        <f t="shared" si="11"/>
        <v>0</v>
      </c>
      <c r="AJ23">
        <f t="shared" si="11"/>
        <v>0</v>
      </c>
      <c r="AK23">
        <f t="shared" si="11"/>
        <v>0</v>
      </c>
      <c r="AL23">
        <f t="shared" si="11"/>
        <v>0</v>
      </c>
      <c r="AM23">
        <f t="shared" si="11"/>
        <v>0</v>
      </c>
      <c r="AN23">
        <f t="shared" si="11"/>
        <v>0</v>
      </c>
      <c r="AO23">
        <f t="shared" si="11"/>
        <v>0</v>
      </c>
      <c r="AP23">
        <f t="shared" si="11"/>
        <v>0</v>
      </c>
      <c r="AQ23">
        <f t="shared" si="11"/>
        <v>0</v>
      </c>
      <c r="AR23">
        <f t="shared" si="11"/>
        <v>0</v>
      </c>
      <c r="AS23">
        <f t="shared" si="11"/>
        <v>0</v>
      </c>
      <c r="AT23">
        <f t="shared" si="11"/>
        <v>0</v>
      </c>
      <c r="AU23">
        <f t="shared" si="11"/>
        <v>0</v>
      </c>
      <c r="AV23">
        <f t="shared" si="11"/>
        <v>0</v>
      </c>
      <c r="AW23">
        <f t="shared" si="11"/>
        <v>0</v>
      </c>
      <c r="AX23">
        <f t="shared" si="11"/>
        <v>0</v>
      </c>
      <c r="AY23">
        <f t="shared" si="11"/>
        <v>0</v>
      </c>
      <c r="AZ23">
        <f t="shared" si="11"/>
        <v>0</v>
      </c>
      <c r="BA23">
        <f t="shared" si="11"/>
        <v>0</v>
      </c>
      <c r="BB23">
        <f t="shared" si="11"/>
        <v>0</v>
      </c>
      <c r="BC23">
        <f t="shared" si="11"/>
        <v>0</v>
      </c>
      <c r="BD23">
        <f t="shared" si="11"/>
        <v>0</v>
      </c>
      <c r="BE23">
        <f t="shared" si="11"/>
        <v>0</v>
      </c>
      <c r="BF23">
        <f t="shared" si="11"/>
        <v>0</v>
      </c>
      <c r="BG23">
        <f t="shared" si="11"/>
        <v>0</v>
      </c>
      <c r="BH23">
        <f t="shared" si="11"/>
        <v>0</v>
      </c>
      <c r="BI23">
        <f t="shared" si="11"/>
        <v>0</v>
      </c>
      <c r="BJ23">
        <f t="shared" si="11"/>
        <v>0</v>
      </c>
      <c r="BK23">
        <f t="shared" si="11"/>
        <v>0</v>
      </c>
      <c r="BL23">
        <f t="shared" si="11"/>
        <v>0</v>
      </c>
      <c r="BM23">
        <f t="shared" si="11"/>
        <v>0</v>
      </c>
      <c r="BN23">
        <f t="shared" si="11"/>
        <v>0</v>
      </c>
      <c r="BO23">
        <f t="shared" si="11"/>
        <v>0</v>
      </c>
      <c r="BP23">
        <f t="shared" si="11"/>
        <v>0</v>
      </c>
      <c r="BQ23">
        <f t="shared" si="11"/>
        <v>0</v>
      </c>
      <c r="BR23">
        <f t="shared" si="11"/>
        <v>0</v>
      </c>
      <c r="BS23">
        <f t="shared" si="11"/>
        <v>0</v>
      </c>
      <c r="BT23">
        <f t="shared" si="11"/>
        <v>0</v>
      </c>
      <c r="BU23">
        <f t="shared" si="11"/>
        <v>0</v>
      </c>
      <c r="BV23">
        <f t="shared" si="11"/>
        <v>0</v>
      </c>
      <c r="BW23">
        <f t="shared" si="11"/>
        <v>0</v>
      </c>
      <c r="BX23">
        <f t="shared" si="11"/>
        <v>0</v>
      </c>
      <c r="BY23">
        <f t="shared" si="11"/>
        <v>0</v>
      </c>
    </row>
    <row r="24" spans="1:77" x14ac:dyDescent="0.25">
      <c r="A24" s="2" t="s">
        <v>42</v>
      </c>
      <c r="B24">
        <f t="shared" si="9"/>
        <v>50.36</v>
      </c>
      <c r="C24">
        <f t="shared" si="9"/>
        <v>48.48</v>
      </c>
      <c r="D24">
        <f t="shared" si="9"/>
        <v>48.87</v>
      </c>
      <c r="E24">
        <f t="shared" si="9"/>
        <v>48.42</v>
      </c>
      <c r="F24">
        <f t="shared" si="9"/>
        <v>47.99</v>
      </c>
      <c r="G24">
        <f t="shared" si="9"/>
        <v>44.44</v>
      </c>
      <c r="H24">
        <f t="shared" si="9"/>
        <v>49.84</v>
      </c>
      <c r="I24">
        <f t="shared" si="9"/>
        <v>49.84</v>
      </c>
      <c r="J24">
        <f t="shared" si="9"/>
        <v>49.54</v>
      </c>
      <c r="K24">
        <f t="shared" si="9"/>
        <v>57.51</v>
      </c>
      <c r="L24">
        <f t="shared" si="9"/>
        <v>57.4</v>
      </c>
      <c r="M24">
        <f t="shared" ref="M24:Z24" si="12">ROUNDDOWN((M7-ROUNDUP(M7*0.1,2)-ROUNDUP(M7*0.05,2))*0.8,2)</f>
        <v>51.56</v>
      </c>
      <c r="N24">
        <f t="shared" si="12"/>
        <v>51.78</v>
      </c>
      <c r="O24">
        <f t="shared" si="12"/>
        <v>47.3</v>
      </c>
      <c r="P24">
        <f t="shared" si="12"/>
        <v>50.84</v>
      </c>
      <c r="Q24">
        <f t="shared" si="12"/>
        <v>51.44</v>
      </c>
      <c r="R24">
        <f t="shared" si="12"/>
        <v>56.66</v>
      </c>
      <c r="S24">
        <f t="shared" si="12"/>
        <v>53.41</v>
      </c>
      <c r="T24">
        <f t="shared" si="12"/>
        <v>53.18</v>
      </c>
      <c r="U24">
        <f t="shared" si="12"/>
        <v>53.36</v>
      </c>
      <c r="V24">
        <f t="shared" si="12"/>
        <v>52.21</v>
      </c>
      <c r="W24">
        <f t="shared" si="12"/>
        <v>53.77</v>
      </c>
      <c r="X24">
        <f t="shared" si="12"/>
        <v>58.23</v>
      </c>
      <c r="Y24">
        <f t="shared" si="12"/>
        <v>53.56</v>
      </c>
      <c r="Z24">
        <f t="shared" si="12"/>
        <v>51</v>
      </c>
      <c r="AA24">
        <f t="shared" ref="AA24:BY24" si="13">ROUNDDOWN((AA7-ROUNDUP(AA7*0.1,2)-ROUNDUP(AA7*0.05,2))*0.8,2)</f>
        <v>50.52</v>
      </c>
      <c r="AB24">
        <f t="shared" si="13"/>
        <v>0</v>
      </c>
      <c r="AC24">
        <f t="shared" si="13"/>
        <v>0</v>
      </c>
      <c r="AD24">
        <f t="shared" si="13"/>
        <v>0</v>
      </c>
      <c r="AE24">
        <f t="shared" si="13"/>
        <v>0</v>
      </c>
      <c r="AF24">
        <f t="shared" si="13"/>
        <v>0</v>
      </c>
      <c r="AG24">
        <f t="shared" si="13"/>
        <v>0</v>
      </c>
      <c r="AH24">
        <f t="shared" si="13"/>
        <v>0</v>
      </c>
      <c r="AI24">
        <f t="shared" si="13"/>
        <v>0</v>
      </c>
      <c r="AJ24">
        <f t="shared" si="13"/>
        <v>0</v>
      </c>
      <c r="AK24">
        <f t="shared" si="13"/>
        <v>0</v>
      </c>
      <c r="AL24">
        <f t="shared" si="13"/>
        <v>0</v>
      </c>
      <c r="AM24">
        <f t="shared" si="13"/>
        <v>0</v>
      </c>
      <c r="AN24">
        <f t="shared" si="13"/>
        <v>0</v>
      </c>
      <c r="AO24">
        <f t="shared" si="13"/>
        <v>0</v>
      </c>
      <c r="AP24">
        <f t="shared" si="13"/>
        <v>0</v>
      </c>
      <c r="AQ24">
        <f t="shared" si="13"/>
        <v>0</v>
      </c>
      <c r="AR24">
        <f t="shared" si="13"/>
        <v>0</v>
      </c>
      <c r="AS24">
        <f t="shared" si="13"/>
        <v>0</v>
      </c>
      <c r="AT24">
        <f t="shared" si="13"/>
        <v>0</v>
      </c>
      <c r="AU24">
        <f t="shared" si="13"/>
        <v>0</v>
      </c>
      <c r="AV24">
        <f t="shared" si="13"/>
        <v>0</v>
      </c>
      <c r="AW24">
        <f t="shared" si="13"/>
        <v>0</v>
      </c>
      <c r="AX24">
        <f t="shared" si="13"/>
        <v>0</v>
      </c>
      <c r="AY24">
        <f t="shared" si="13"/>
        <v>0</v>
      </c>
      <c r="AZ24">
        <f t="shared" si="13"/>
        <v>0</v>
      </c>
      <c r="BA24">
        <f t="shared" si="13"/>
        <v>0</v>
      </c>
      <c r="BB24">
        <f t="shared" si="13"/>
        <v>0</v>
      </c>
      <c r="BC24">
        <f t="shared" si="13"/>
        <v>0</v>
      </c>
      <c r="BD24">
        <f t="shared" si="13"/>
        <v>0</v>
      </c>
      <c r="BE24">
        <f t="shared" si="13"/>
        <v>0</v>
      </c>
      <c r="BF24">
        <f t="shared" si="13"/>
        <v>0</v>
      </c>
      <c r="BG24">
        <f t="shared" si="13"/>
        <v>0</v>
      </c>
      <c r="BH24">
        <f t="shared" si="13"/>
        <v>0</v>
      </c>
      <c r="BI24">
        <f t="shared" si="13"/>
        <v>0</v>
      </c>
      <c r="BJ24">
        <f t="shared" si="13"/>
        <v>0</v>
      </c>
      <c r="BK24">
        <f t="shared" si="13"/>
        <v>0</v>
      </c>
      <c r="BL24">
        <f t="shared" si="13"/>
        <v>0</v>
      </c>
      <c r="BM24">
        <f t="shared" si="13"/>
        <v>0</v>
      </c>
      <c r="BN24">
        <f t="shared" si="13"/>
        <v>0</v>
      </c>
      <c r="BO24">
        <f t="shared" si="13"/>
        <v>0</v>
      </c>
      <c r="BP24">
        <f t="shared" si="13"/>
        <v>0</v>
      </c>
      <c r="BQ24">
        <f t="shared" si="13"/>
        <v>0</v>
      </c>
      <c r="BR24">
        <f t="shared" si="13"/>
        <v>0</v>
      </c>
      <c r="BS24">
        <f t="shared" si="13"/>
        <v>0</v>
      </c>
      <c r="BT24">
        <f t="shared" si="13"/>
        <v>0</v>
      </c>
      <c r="BU24">
        <f t="shared" si="13"/>
        <v>0</v>
      </c>
      <c r="BV24">
        <f t="shared" si="13"/>
        <v>0</v>
      </c>
      <c r="BW24">
        <f t="shared" si="13"/>
        <v>0</v>
      </c>
      <c r="BX24">
        <f t="shared" si="13"/>
        <v>0</v>
      </c>
      <c r="BY24">
        <f t="shared" si="13"/>
        <v>0</v>
      </c>
    </row>
    <row r="25" spans="1:77" x14ac:dyDescent="0.25">
      <c r="A25" s="2" t="s">
        <v>43</v>
      </c>
      <c r="B25">
        <f t="shared" si="9"/>
        <v>2.1800000000000002</v>
      </c>
      <c r="C25">
        <f t="shared" si="9"/>
        <v>2.12</v>
      </c>
      <c r="D25">
        <f t="shared" si="9"/>
        <v>2.37</v>
      </c>
      <c r="E25">
        <f t="shared" si="9"/>
        <v>2.21</v>
      </c>
      <c r="F25">
        <f t="shared" si="9"/>
        <v>2.2200000000000002</v>
      </c>
      <c r="G25">
        <f t="shared" si="9"/>
        <v>2.2999999999999998</v>
      </c>
      <c r="H25">
        <f t="shared" si="9"/>
        <v>2.35</v>
      </c>
      <c r="I25">
        <f t="shared" si="9"/>
        <v>2.14</v>
      </c>
      <c r="J25">
        <f t="shared" si="9"/>
        <v>2.2000000000000002</v>
      </c>
      <c r="K25">
        <f t="shared" si="9"/>
        <v>2.2200000000000002</v>
      </c>
      <c r="L25">
        <f t="shared" si="9"/>
        <v>2.23</v>
      </c>
      <c r="M25">
        <f t="shared" ref="M25:Z25" si="14">ROUNDDOWN((M8-ROUNDUP(M8*0.1,2)-ROUNDUP(M8*0.05,2))*0.8,2)</f>
        <v>2.29</v>
      </c>
      <c r="N25">
        <f t="shared" si="14"/>
        <v>2.2000000000000002</v>
      </c>
      <c r="O25">
        <f t="shared" si="14"/>
        <v>2.2000000000000002</v>
      </c>
      <c r="P25">
        <f t="shared" si="14"/>
        <v>2.16</v>
      </c>
      <c r="Q25">
        <f t="shared" si="14"/>
        <v>2.2999999999999998</v>
      </c>
      <c r="R25">
        <f t="shared" si="14"/>
        <v>2.12</v>
      </c>
      <c r="S25">
        <f t="shared" si="14"/>
        <v>2.12</v>
      </c>
      <c r="T25">
        <f t="shared" si="14"/>
        <v>2.12</v>
      </c>
      <c r="U25">
        <f t="shared" si="14"/>
        <v>1.97</v>
      </c>
      <c r="V25">
        <f t="shared" si="14"/>
        <v>2.13</v>
      </c>
      <c r="W25">
        <f t="shared" si="14"/>
        <v>2.0299999999999998</v>
      </c>
      <c r="X25">
        <f t="shared" si="14"/>
        <v>1.96</v>
      </c>
      <c r="Y25">
        <f t="shared" si="14"/>
        <v>2.15</v>
      </c>
      <c r="Z25">
        <f t="shared" si="14"/>
        <v>2.15</v>
      </c>
      <c r="AA25">
        <f t="shared" ref="AA25:BY25" si="15">ROUNDDOWN((AA8-ROUNDUP(AA8*0.1,2)-ROUNDUP(AA8*0.05,2))*0.8,2)</f>
        <v>2.2000000000000002</v>
      </c>
      <c r="AB25">
        <f t="shared" si="15"/>
        <v>0</v>
      </c>
      <c r="AC25">
        <f t="shared" si="15"/>
        <v>0</v>
      </c>
      <c r="AD25">
        <f t="shared" si="15"/>
        <v>0</v>
      </c>
      <c r="AE25">
        <f t="shared" si="15"/>
        <v>0</v>
      </c>
      <c r="AF25">
        <f t="shared" si="15"/>
        <v>0</v>
      </c>
      <c r="AG25">
        <f t="shared" si="15"/>
        <v>0</v>
      </c>
      <c r="AH25">
        <f t="shared" si="15"/>
        <v>0</v>
      </c>
      <c r="AI25">
        <f t="shared" si="15"/>
        <v>0</v>
      </c>
      <c r="AJ25">
        <f t="shared" si="15"/>
        <v>0</v>
      </c>
      <c r="AK25">
        <f t="shared" si="15"/>
        <v>0</v>
      </c>
      <c r="AL25">
        <f t="shared" si="15"/>
        <v>0</v>
      </c>
      <c r="AM25">
        <f t="shared" si="15"/>
        <v>0</v>
      </c>
      <c r="AN25">
        <f t="shared" si="15"/>
        <v>0</v>
      </c>
      <c r="AO25">
        <f t="shared" si="15"/>
        <v>0</v>
      </c>
      <c r="AP25">
        <f t="shared" si="15"/>
        <v>0</v>
      </c>
      <c r="AQ25">
        <f t="shared" si="15"/>
        <v>0</v>
      </c>
      <c r="AR25">
        <f t="shared" si="15"/>
        <v>0</v>
      </c>
      <c r="AS25">
        <f t="shared" si="15"/>
        <v>0</v>
      </c>
      <c r="AT25">
        <f t="shared" si="15"/>
        <v>0</v>
      </c>
      <c r="AU25">
        <f t="shared" si="15"/>
        <v>0</v>
      </c>
      <c r="AV25">
        <f t="shared" si="15"/>
        <v>0</v>
      </c>
      <c r="AW25">
        <f t="shared" si="15"/>
        <v>0</v>
      </c>
      <c r="AX25">
        <f t="shared" si="15"/>
        <v>0</v>
      </c>
      <c r="AY25">
        <f t="shared" si="15"/>
        <v>0</v>
      </c>
      <c r="AZ25">
        <f t="shared" si="15"/>
        <v>0</v>
      </c>
      <c r="BA25">
        <f t="shared" si="15"/>
        <v>0</v>
      </c>
      <c r="BB25">
        <f t="shared" si="15"/>
        <v>0</v>
      </c>
      <c r="BC25">
        <f t="shared" si="15"/>
        <v>0</v>
      </c>
      <c r="BD25">
        <f t="shared" si="15"/>
        <v>0</v>
      </c>
      <c r="BE25">
        <f t="shared" si="15"/>
        <v>0</v>
      </c>
      <c r="BF25">
        <f t="shared" si="15"/>
        <v>0</v>
      </c>
      <c r="BG25">
        <f t="shared" si="15"/>
        <v>0</v>
      </c>
      <c r="BH25">
        <f t="shared" si="15"/>
        <v>0</v>
      </c>
      <c r="BI25">
        <f t="shared" si="15"/>
        <v>0</v>
      </c>
      <c r="BJ25">
        <f t="shared" si="15"/>
        <v>0</v>
      </c>
      <c r="BK25">
        <f t="shared" si="15"/>
        <v>0</v>
      </c>
      <c r="BL25">
        <f t="shared" si="15"/>
        <v>0</v>
      </c>
      <c r="BM25">
        <f t="shared" si="15"/>
        <v>0</v>
      </c>
      <c r="BN25">
        <f t="shared" si="15"/>
        <v>0</v>
      </c>
      <c r="BO25">
        <f t="shared" si="15"/>
        <v>0</v>
      </c>
      <c r="BP25">
        <f t="shared" si="15"/>
        <v>0</v>
      </c>
      <c r="BQ25">
        <f t="shared" si="15"/>
        <v>0</v>
      </c>
      <c r="BR25">
        <f t="shared" si="15"/>
        <v>0</v>
      </c>
      <c r="BS25">
        <f t="shared" si="15"/>
        <v>0</v>
      </c>
      <c r="BT25">
        <f t="shared" si="15"/>
        <v>0</v>
      </c>
      <c r="BU25">
        <f t="shared" si="15"/>
        <v>0</v>
      </c>
      <c r="BV25">
        <f t="shared" si="15"/>
        <v>0</v>
      </c>
      <c r="BW25">
        <f t="shared" si="15"/>
        <v>0</v>
      </c>
      <c r="BX25">
        <f t="shared" si="15"/>
        <v>0</v>
      </c>
      <c r="BY25">
        <f t="shared" si="15"/>
        <v>0</v>
      </c>
    </row>
    <row r="26" spans="1:77" x14ac:dyDescent="0.25">
      <c r="A26" s="2" t="s">
        <v>44</v>
      </c>
      <c r="B26">
        <f t="shared" si="9"/>
        <v>35.74</v>
      </c>
      <c r="C26">
        <f t="shared" si="9"/>
        <v>34.56</v>
      </c>
      <c r="D26">
        <f t="shared" si="9"/>
        <v>41.55</v>
      </c>
      <c r="E26">
        <f t="shared" si="9"/>
        <v>37.33</v>
      </c>
      <c r="F26">
        <f t="shared" si="9"/>
        <v>37.39</v>
      </c>
      <c r="G26">
        <f t="shared" si="9"/>
        <v>35.520000000000003</v>
      </c>
      <c r="H26">
        <f t="shared" si="9"/>
        <v>38.08</v>
      </c>
      <c r="I26">
        <f t="shared" si="9"/>
        <v>37.78</v>
      </c>
      <c r="J26">
        <f t="shared" si="9"/>
        <v>37.229999999999997</v>
      </c>
      <c r="K26">
        <f t="shared" si="9"/>
        <v>37.39</v>
      </c>
      <c r="L26">
        <f t="shared" si="9"/>
        <v>37.19</v>
      </c>
      <c r="M26">
        <f t="shared" ref="M26:Z26" si="16">ROUNDDOWN((M9-ROUNDUP(M9*0.1,2)-ROUNDUP(M9*0.05,2))*0.8,2)</f>
        <v>35.56</v>
      </c>
      <c r="N26">
        <f t="shared" si="16"/>
        <v>37.119999999999997</v>
      </c>
      <c r="O26">
        <f t="shared" si="16"/>
        <v>37.65</v>
      </c>
      <c r="P26">
        <f t="shared" si="16"/>
        <v>36.56</v>
      </c>
      <c r="Q26">
        <f t="shared" si="16"/>
        <v>38.119999999999997</v>
      </c>
      <c r="R26">
        <f t="shared" si="16"/>
        <v>38.119999999999997</v>
      </c>
      <c r="S26">
        <f t="shared" si="16"/>
        <v>39</v>
      </c>
      <c r="T26">
        <f t="shared" si="16"/>
        <v>37.67</v>
      </c>
      <c r="U26">
        <f t="shared" si="16"/>
        <v>37.57</v>
      </c>
      <c r="V26">
        <f t="shared" si="16"/>
        <v>36.83</v>
      </c>
      <c r="W26">
        <f t="shared" si="16"/>
        <v>37.24</v>
      </c>
      <c r="X26">
        <f t="shared" si="16"/>
        <v>37.6</v>
      </c>
      <c r="Y26">
        <f t="shared" si="16"/>
        <v>37.94</v>
      </c>
      <c r="Z26">
        <f t="shared" si="16"/>
        <v>37.76</v>
      </c>
      <c r="AA26">
        <f t="shared" ref="AA26:BY26" si="17">ROUNDDOWN((AA9-ROUNDUP(AA9*0.1,2)-ROUNDUP(AA9*0.05,2))*0.8,2)</f>
        <v>38.64</v>
      </c>
      <c r="AB26">
        <f t="shared" si="17"/>
        <v>0</v>
      </c>
      <c r="AC26">
        <f t="shared" si="17"/>
        <v>0</v>
      </c>
      <c r="AD26">
        <f t="shared" si="17"/>
        <v>0</v>
      </c>
      <c r="AE26">
        <f t="shared" si="17"/>
        <v>0</v>
      </c>
      <c r="AF26">
        <f t="shared" si="17"/>
        <v>0</v>
      </c>
      <c r="AG26">
        <f t="shared" si="17"/>
        <v>0</v>
      </c>
      <c r="AH26">
        <f t="shared" si="17"/>
        <v>0</v>
      </c>
      <c r="AI26">
        <f t="shared" si="17"/>
        <v>0</v>
      </c>
      <c r="AJ26">
        <f t="shared" si="17"/>
        <v>0</v>
      </c>
      <c r="AK26">
        <f t="shared" si="17"/>
        <v>0</v>
      </c>
      <c r="AL26">
        <f t="shared" si="17"/>
        <v>0</v>
      </c>
      <c r="AM26">
        <f t="shared" si="17"/>
        <v>0</v>
      </c>
      <c r="AN26">
        <f t="shared" si="17"/>
        <v>0</v>
      </c>
      <c r="AO26">
        <f t="shared" si="17"/>
        <v>0</v>
      </c>
      <c r="AP26">
        <f t="shared" si="17"/>
        <v>0</v>
      </c>
      <c r="AQ26">
        <f t="shared" si="17"/>
        <v>0</v>
      </c>
      <c r="AR26">
        <f t="shared" si="17"/>
        <v>0</v>
      </c>
      <c r="AS26">
        <f t="shared" si="17"/>
        <v>0</v>
      </c>
      <c r="AT26">
        <f t="shared" si="17"/>
        <v>0</v>
      </c>
      <c r="AU26">
        <f t="shared" si="17"/>
        <v>0</v>
      </c>
      <c r="AV26">
        <f t="shared" si="17"/>
        <v>0</v>
      </c>
      <c r="AW26">
        <f t="shared" si="17"/>
        <v>0</v>
      </c>
      <c r="AX26">
        <f t="shared" si="17"/>
        <v>0</v>
      </c>
      <c r="AY26">
        <f t="shared" si="17"/>
        <v>0</v>
      </c>
      <c r="AZ26">
        <f t="shared" si="17"/>
        <v>0</v>
      </c>
      <c r="BA26">
        <f t="shared" si="17"/>
        <v>0</v>
      </c>
      <c r="BB26">
        <f t="shared" si="17"/>
        <v>0</v>
      </c>
      <c r="BC26">
        <f t="shared" si="17"/>
        <v>0</v>
      </c>
      <c r="BD26">
        <f t="shared" si="17"/>
        <v>0</v>
      </c>
      <c r="BE26">
        <f t="shared" si="17"/>
        <v>0</v>
      </c>
      <c r="BF26">
        <f t="shared" si="17"/>
        <v>0</v>
      </c>
      <c r="BG26">
        <f t="shared" si="17"/>
        <v>0</v>
      </c>
      <c r="BH26">
        <f t="shared" si="17"/>
        <v>0</v>
      </c>
      <c r="BI26">
        <f t="shared" si="17"/>
        <v>0</v>
      </c>
      <c r="BJ26">
        <f t="shared" si="17"/>
        <v>0</v>
      </c>
      <c r="BK26">
        <f t="shared" si="17"/>
        <v>0</v>
      </c>
      <c r="BL26">
        <f t="shared" si="17"/>
        <v>0</v>
      </c>
      <c r="BM26">
        <f t="shared" si="17"/>
        <v>0</v>
      </c>
      <c r="BN26">
        <f t="shared" si="17"/>
        <v>0</v>
      </c>
      <c r="BO26">
        <f t="shared" si="17"/>
        <v>0</v>
      </c>
      <c r="BP26">
        <f t="shared" si="17"/>
        <v>0</v>
      </c>
      <c r="BQ26">
        <f t="shared" si="17"/>
        <v>0</v>
      </c>
      <c r="BR26">
        <f t="shared" si="17"/>
        <v>0</v>
      </c>
      <c r="BS26">
        <f t="shared" si="17"/>
        <v>0</v>
      </c>
      <c r="BT26">
        <f t="shared" si="17"/>
        <v>0</v>
      </c>
      <c r="BU26">
        <f t="shared" si="17"/>
        <v>0</v>
      </c>
      <c r="BV26">
        <f t="shared" si="17"/>
        <v>0</v>
      </c>
      <c r="BW26">
        <f t="shared" si="17"/>
        <v>0</v>
      </c>
      <c r="BX26">
        <f t="shared" si="17"/>
        <v>0</v>
      </c>
      <c r="BY26">
        <f t="shared" si="17"/>
        <v>0</v>
      </c>
    </row>
    <row r="27" spans="1:77" x14ac:dyDescent="0.25">
      <c r="A27" s="2" t="s">
        <v>45</v>
      </c>
      <c r="B27">
        <f t="shared" si="9"/>
        <v>31.96</v>
      </c>
      <c r="C27">
        <f t="shared" si="9"/>
        <v>31.22</v>
      </c>
      <c r="D27">
        <f t="shared" si="9"/>
        <v>30.28</v>
      </c>
      <c r="E27">
        <f t="shared" si="9"/>
        <v>30.93</v>
      </c>
      <c r="F27">
        <f t="shared" si="9"/>
        <v>31.3</v>
      </c>
      <c r="G27">
        <f t="shared" si="9"/>
        <v>31.32</v>
      </c>
      <c r="H27">
        <f t="shared" si="9"/>
        <v>31.66</v>
      </c>
      <c r="I27">
        <f t="shared" si="9"/>
        <v>32.42</v>
      </c>
      <c r="J27">
        <f t="shared" si="9"/>
        <v>29.98</v>
      </c>
      <c r="K27">
        <f t="shared" si="9"/>
        <v>29.91</v>
      </c>
      <c r="L27">
        <f t="shared" si="9"/>
        <v>30.73</v>
      </c>
      <c r="M27">
        <f t="shared" ref="M27:Z27" si="18">ROUNDDOWN((M10-ROUNDUP(M10*0.1,2)-ROUNDUP(M10*0.05,2))*0.8,2)</f>
        <v>31.64</v>
      </c>
      <c r="N27">
        <f t="shared" si="18"/>
        <v>31.94</v>
      </c>
      <c r="O27">
        <f t="shared" si="18"/>
        <v>29.87</v>
      </c>
      <c r="P27">
        <f t="shared" si="18"/>
        <v>31.54</v>
      </c>
      <c r="Q27">
        <f t="shared" si="18"/>
        <v>31.52</v>
      </c>
      <c r="R27">
        <f t="shared" si="18"/>
        <v>32.520000000000003</v>
      </c>
      <c r="S27">
        <f t="shared" si="18"/>
        <v>30.51</v>
      </c>
      <c r="T27">
        <f t="shared" si="18"/>
        <v>32.68</v>
      </c>
      <c r="U27">
        <f t="shared" si="18"/>
        <v>32.85</v>
      </c>
      <c r="V27">
        <f t="shared" si="18"/>
        <v>32.42</v>
      </c>
      <c r="W27">
        <f t="shared" si="18"/>
        <v>31.27</v>
      </c>
      <c r="X27">
        <f t="shared" si="18"/>
        <v>31.99</v>
      </c>
      <c r="Y27">
        <f t="shared" si="18"/>
        <v>30.78</v>
      </c>
      <c r="Z27">
        <f t="shared" si="18"/>
        <v>28.96</v>
      </c>
      <c r="AA27">
        <f t="shared" ref="AA27:BY27" si="19">ROUNDDOWN((AA10-ROUNDUP(AA10*0.1,2)-ROUNDUP(AA10*0.05,2))*0.8,2)</f>
        <v>31.6</v>
      </c>
      <c r="AB27">
        <f t="shared" si="19"/>
        <v>0</v>
      </c>
      <c r="AC27">
        <f t="shared" si="19"/>
        <v>0</v>
      </c>
      <c r="AD27">
        <f t="shared" si="19"/>
        <v>0</v>
      </c>
      <c r="AE27">
        <f t="shared" si="19"/>
        <v>0</v>
      </c>
      <c r="AF27">
        <f t="shared" si="19"/>
        <v>0</v>
      </c>
      <c r="AG27">
        <f t="shared" si="19"/>
        <v>0</v>
      </c>
      <c r="AH27">
        <f t="shared" si="19"/>
        <v>0</v>
      </c>
      <c r="AI27">
        <f t="shared" si="19"/>
        <v>0</v>
      </c>
      <c r="AJ27">
        <f t="shared" si="19"/>
        <v>0</v>
      </c>
      <c r="AK27">
        <f t="shared" si="19"/>
        <v>0</v>
      </c>
      <c r="AL27">
        <f t="shared" si="19"/>
        <v>0</v>
      </c>
      <c r="AM27">
        <f t="shared" si="19"/>
        <v>0</v>
      </c>
      <c r="AN27">
        <f t="shared" si="19"/>
        <v>0</v>
      </c>
      <c r="AO27">
        <f t="shared" si="19"/>
        <v>0</v>
      </c>
      <c r="AP27">
        <f t="shared" si="19"/>
        <v>0</v>
      </c>
      <c r="AQ27">
        <f t="shared" si="19"/>
        <v>0</v>
      </c>
      <c r="AR27">
        <f t="shared" si="19"/>
        <v>0</v>
      </c>
      <c r="AS27">
        <f t="shared" si="19"/>
        <v>0</v>
      </c>
      <c r="AT27">
        <f t="shared" si="19"/>
        <v>0</v>
      </c>
      <c r="AU27">
        <f t="shared" si="19"/>
        <v>0</v>
      </c>
      <c r="AV27">
        <f t="shared" si="19"/>
        <v>0</v>
      </c>
      <c r="AW27">
        <f t="shared" si="19"/>
        <v>0</v>
      </c>
      <c r="AX27">
        <f t="shared" si="19"/>
        <v>0</v>
      </c>
      <c r="AY27">
        <f t="shared" si="19"/>
        <v>0</v>
      </c>
      <c r="AZ27">
        <f t="shared" si="19"/>
        <v>0</v>
      </c>
      <c r="BA27">
        <f t="shared" si="19"/>
        <v>0</v>
      </c>
      <c r="BB27">
        <f t="shared" si="19"/>
        <v>0</v>
      </c>
      <c r="BC27">
        <f t="shared" si="19"/>
        <v>0</v>
      </c>
      <c r="BD27">
        <f t="shared" si="19"/>
        <v>0</v>
      </c>
      <c r="BE27">
        <f t="shared" si="19"/>
        <v>0</v>
      </c>
      <c r="BF27">
        <f t="shared" si="19"/>
        <v>0</v>
      </c>
      <c r="BG27">
        <f t="shared" si="19"/>
        <v>0</v>
      </c>
      <c r="BH27">
        <f t="shared" si="19"/>
        <v>0</v>
      </c>
      <c r="BI27">
        <f t="shared" si="19"/>
        <v>0</v>
      </c>
      <c r="BJ27">
        <f t="shared" si="19"/>
        <v>0</v>
      </c>
      <c r="BK27">
        <f t="shared" si="19"/>
        <v>0</v>
      </c>
      <c r="BL27">
        <f t="shared" si="19"/>
        <v>0</v>
      </c>
      <c r="BM27">
        <f t="shared" si="19"/>
        <v>0</v>
      </c>
      <c r="BN27">
        <f t="shared" si="19"/>
        <v>0</v>
      </c>
      <c r="BO27">
        <f t="shared" si="19"/>
        <v>0</v>
      </c>
      <c r="BP27">
        <f t="shared" si="19"/>
        <v>0</v>
      </c>
      <c r="BQ27">
        <f t="shared" si="19"/>
        <v>0</v>
      </c>
      <c r="BR27">
        <f t="shared" si="19"/>
        <v>0</v>
      </c>
      <c r="BS27">
        <f t="shared" si="19"/>
        <v>0</v>
      </c>
      <c r="BT27">
        <f t="shared" si="19"/>
        <v>0</v>
      </c>
      <c r="BU27">
        <f t="shared" si="19"/>
        <v>0</v>
      </c>
      <c r="BV27">
        <f t="shared" si="19"/>
        <v>0</v>
      </c>
      <c r="BW27">
        <f t="shared" si="19"/>
        <v>0</v>
      </c>
      <c r="BX27">
        <f t="shared" si="19"/>
        <v>0</v>
      </c>
      <c r="BY27">
        <f t="shared" si="19"/>
        <v>0</v>
      </c>
    </row>
    <row r="28" spans="1:77" x14ac:dyDescent="0.25">
      <c r="A28" s="2" t="s">
        <v>46</v>
      </c>
      <c r="B28">
        <f t="shared" si="9"/>
        <v>2.92</v>
      </c>
      <c r="C28">
        <f t="shared" si="9"/>
        <v>3.08</v>
      </c>
      <c r="D28">
        <f t="shared" si="9"/>
        <v>2.96</v>
      </c>
      <c r="E28">
        <f t="shared" si="9"/>
        <v>2.98</v>
      </c>
      <c r="F28">
        <f t="shared" si="9"/>
        <v>2.82</v>
      </c>
      <c r="G28">
        <f t="shared" si="9"/>
        <v>2.99</v>
      </c>
      <c r="H28">
        <f t="shared" si="9"/>
        <v>3.2</v>
      </c>
      <c r="I28">
        <f t="shared" si="9"/>
        <v>3.18</v>
      </c>
      <c r="J28">
        <f t="shared" si="9"/>
        <v>3.08</v>
      </c>
      <c r="K28">
        <f t="shared" si="9"/>
        <v>3.07</v>
      </c>
      <c r="L28">
        <f t="shared" si="9"/>
        <v>3.08</v>
      </c>
      <c r="M28">
        <f t="shared" ref="M28:Z28" si="20">ROUNDDOWN((M11-ROUNDUP(M11*0.1,2)-ROUNDUP(M11*0.05,2))*0.8,2)</f>
        <v>2.85</v>
      </c>
      <c r="N28">
        <f t="shared" si="20"/>
        <v>2.98</v>
      </c>
      <c r="O28">
        <f t="shared" si="20"/>
        <v>2.86</v>
      </c>
      <c r="P28">
        <f t="shared" si="20"/>
        <v>2.75</v>
      </c>
      <c r="Q28">
        <f t="shared" si="20"/>
        <v>2.86</v>
      </c>
      <c r="R28">
        <f t="shared" si="20"/>
        <v>3.12</v>
      </c>
      <c r="S28">
        <f t="shared" si="20"/>
        <v>2.76</v>
      </c>
      <c r="T28">
        <f t="shared" si="20"/>
        <v>2.92</v>
      </c>
      <c r="U28">
        <f t="shared" si="20"/>
        <v>2.86</v>
      </c>
      <c r="V28">
        <f t="shared" si="20"/>
        <v>2.84</v>
      </c>
      <c r="W28">
        <f t="shared" si="20"/>
        <v>2.88</v>
      </c>
      <c r="X28">
        <f t="shared" si="20"/>
        <v>2.88</v>
      </c>
      <c r="Y28">
        <f t="shared" si="20"/>
        <v>2.85</v>
      </c>
      <c r="Z28">
        <f t="shared" si="20"/>
        <v>2.89</v>
      </c>
      <c r="AA28">
        <f t="shared" ref="AA28:BY28" si="21">ROUNDDOWN((AA11-ROUNDUP(AA11*0.1,2)-ROUNDUP(AA11*0.05,2))*0.8,2)</f>
        <v>3</v>
      </c>
      <c r="AB28">
        <f t="shared" si="21"/>
        <v>0</v>
      </c>
      <c r="AC28">
        <f t="shared" si="21"/>
        <v>0</v>
      </c>
      <c r="AD28">
        <f t="shared" si="21"/>
        <v>0</v>
      </c>
      <c r="AE28">
        <f t="shared" si="21"/>
        <v>0</v>
      </c>
      <c r="AF28">
        <f t="shared" si="21"/>
        <v>0</v>
      </c>
      <c r="AG28">
        <f t="shared" si="21"/>
        <v>0</v>
      </c>
      <c r="AH28">
        <f t="shared" si="21"/>
        <v>0</v>
      </c>
      <c r="AI28">
        <f t="shared" si="21"/>
        <v>0</v>
      </c>
      <c r="AJ28">
        <f t="shared" si="21"/>
        <v>0</v>
      </c>
      <c r="AK28">
        <f t="shared" si="21"/>
        <v>0</v>
      </c>
      <c r="AL28">
        <f t="shared" si="21"/>
        <v>0</v>
      </c>
      <c r="AM28">
        <f t="shared" si="21"/>
        <v>0</v>
      </c>
      <c r="AN28">
        <f t="shared" si="21"/>
        <v>0</v>
      </c>
      <c r="AO28">
        <f t="shared" si="21"/>
        <v>0</v>
      </c>
      <c r="AP28">
        <f t="shared" si="21"/>
        <v>0</v>
      </c>
      <c r="AQ28">
        <f t="shared" si="21"/>
        <v>0</v>
      </c>
      <c r="AR28">
        <f t="shared" si="21"/>
        <v>0</v>
      </c>
      <c r="AS28">
        <f t="shared" si="21"/>
        <v>0</v>
      </c>
      <c r="AT28">
        <f t="shared" si="21"/>
        <v>0</v>
      </c>
      <c r="AU28">
        <f t="shared" si="21"/>
        <v>0</v>
      </c>
      <c r="AV28">
        <f t="shared" si="21"/>
        <v>0</v>
      </c>
      <c r="AW28">
        <f t="shared" si="21"/>
        <v>0</v>
      </c>
      <c r="AX28">
        <f t="shared" si="21"/>
        <v>0</v>
      </c>
      <c r="AY28">
        <f t="shared" si="21"/>
        <v>0</v>
      </c>
      <c r="AZ28">
        <f t="shared" si="21"/>
        <v>0</v>
      </c>
      <c r="BA28">
        <f t="shared" si="21"/>
        <v>0</v>
      </c>
      <c r="BB28">
        <f t="shared" si="21"/>
        <v>0</v>
      </c>
      <c r="BC28">
        <f t="shared" si="21"/>
        <v>0</v>
      </c>
      <c r="BD28">
        <f t="shared" si="21"/>
        <v>0</v>
      </c>
      <c r="BE28">
        <f t="shared" si="21"/>
        <v>0</v>
      </c>
      <c r="BF28">
        <f t="shared" si="21"/>
        <v>0</v>
      </c>
      <c r="BG28">
        <f t="shared" si="21"/>
        <v>0</v>
      </c>
      <c r="BH28">
        <f t="shared" si="21"/>
        <v>0</v>
      </c>
      <c r="BI28">
        <f t="shared" si="21"/>
        <v>0</v>
      </c>
      <c r="BJ28">
        <f t="shared" si="21"/>
        <v>0</v>
      </c>
      <c r="BK28">
        <f t="shared" si="21"/>
        <v>0</v>
      </c>
      <c r="BL28">
        <f t="shared" si="21"/>
        <v>0</v>
      </c>
      <c r="BM28">
        <f t="shared" si="21"/>
        <v>0</v>
      </c>
      <c r="BN28">
        <f t="shared" si="21"/>
        <v>0</v>
      </c>
      <c r="BO28">
        <f t="shared" si="21"/>
        <v>0</v>
      </c>
      <c r="BP28">
        <f t="shared" si="21"/>
        <v>0</v>
      </c>
      <c r="BQ28">
        <f t="shared" si="21"/>
        <v>0</v>
      </c>
      <c r="BR28">
        <f t="shared" si="21"/>
        <v>0</v>
      </c>
      <c r="BS28">
        <f t="shared" si="21"/>
        <v>0</v>
      </c>
      <c r="BT28">
        <f t="shared" si="21"/>
        <v>0</v>
      </c>
      <c r="BU28">
        <f t="shared" si="21"/>
        <v>0</v>
      </c>
      <c r="BV28">
        <f t="shared" si="21"/>
        <v>0</v>
      </c>
      <c r="BW28">
        <f t="shared" si="21"/>
        <v>0</v>
      </c>
      <c r="BX28">
        <f t="shared" si="21"/>
        <v>0</v>
      </c>
      <c r="BY28">
        <f t="shared" si="21"/>
        <v>0</v>
      </c>
    </row>
    <row r="30" spans="1:77" x14ac:dyDescent="0.25">
      <c r="B30" s="2">
        <f>SUM(B22:B28)</f>
        <v>132.84</v>
      </c>
      <c r="C30" s="2">
        <f t="shared" ref="C30:E30" si="22">SUM(C22:C28)</f>
        <v>129.48000000000002</v>
      </c>
      <c r="D30" s="2">
        <f t="shared" si="22"/>
        <v>135.91999999999999</v>
      </c>
      <c r="E30" s="2">
        <f t="shared" si="22"/>
        <v>131.34</v>
      </c>
      <c r="F30" s="2">
        <f t="shared" ref="F30:L30" si="23">SUM(F22:F28)</f>
        <v>131.30000000000001</v>
      </c>
      <c r="G30" s="2">
        <f t="shared" si="23"/>
        <v>126.00999999999998</v>
      </c>
      <c r="H30" s="2">
        <f t="shared" si="23"/>
        <v>134.62</v>
      </c>
      <c r="I30" s="2">
        <f t="shared" si="23"/>
        <v>135.38</v>
      </c>
      <c r="J30" s="2">
        <f t="shared" si="23"/>
        <v>131.88</v>
      </c>
      <c r="K30" s="2">
        <f t="shared" si="23"/>
        <v>139.54</v>
      </c>
      <c r="L30" s="2">
        <f t="shared" si="23"/>
        <v>139.76000000000002</v>
      </c>
      <c r="M30" s="2">
        <f t="shared" ref="M30:Z30" si="24">SUM(M22:M28)</f>
        <v>132.94</v>
      </c>
      <c r="N30" s="2">
        <f t="shared" si="24"/>
        <v>135.73999999999998</v>
      </c>
      <c r="O30" s="2">
        <f t="shared" si="24"/>
        <v>129.32000000000002</v>
      </c>
      <c r="P30" s="2">
        <f t="shared" si="24"/>
        <v>133.63</v>
      </c>
      <c r="Q30" s="2">
        <f t="shared" si="24"/>
        <v>136.01000000000002</v>
      </c>
      <c r="R30" s="2">
        <f t="shared" si="24"/>
        <v>142.19000000000003</v>
      </c>
      <c r="S30" s="2">
        <f t="shared" si="24"/>
        <v>137.6</v>
      </c>
      <c r="T30" s="2">
        <f t="shared" si="24"/>
        <v>138.29999999999998</v>
      </c>
      <c r="U30" s="2">
        <f t="shared" si="24"/>
        <v>138.18</v>
      </c>
      <c r="V30" s="2">
        <f t="shared" si="24"/>
        <v>136.35</v>
      </c>
      <c r="W30" s="2">
        <f t="shared" si="24"/>
        <v>137.31</v>
      </c>
      <c r="X30" s="2">
        <f t="shared" si="24"/>
        <v>142.82</v>
      </c>
      <c r="Y30" s="2">
        <f t="shared" si="24"/>
        <v>137.25</v>
      </c>
      <c r="Z30" s="2">
        <f t="shared" si="24"/>
        <v>132.30999999999997</v>
      </c>
      <c r="AA30" s="2">
        <f t="shared" ref="AA30:BY30" si="25">SUM(AA22:AA28)</f>
        <v>135.51000000000002</v>
      </c>
      <c r="AB30" s="2">
        <f t="shared" si="25"/>
        <v>0</v>
      </c>
      <c r="AC30" s="2">
        <f t="shared" si="25"/>
        <v>0</v>
      </c>
      <c r="AD30" s="2">
        <f t="shared" si="25"/>
        <v>0</v>
      </c>
      <c r="AE30" s="2">
        <f t="shared" si="25"/>
        <v>0</v>
      </c>
      <c r="AF30" s="2">
        <f t="shared" si="25"/>
        <v>0</v>
      </c>
      <c r="AG30" s="2">
        <f t="shared" si="25"/>
        <v>0</v>
      </c>
      <c r="AH30" s="2">
        <f t="shared" si="25"/>
        <v>0</v>
      </c>
      <c r="AI30" s="2">
        <f t="shared" si="25"/>
        <v>0</v>
      </c>
      <c r="AJ30" s="2">
        <f t="shared" si="25"/>
        <v>0</v>
      </c>
      <c r="AK30" s="2">
        <f t="shared" si="25"/>
        <v>0</v>
      </c>
      <c r="AL30" s="2">
        <f t="shared" si="25"/>
        <v>0</v>
      </c>
      <c r="AM30" s="2">
        <f t="shared" si="25"/>
        <v>0</v>
      </c>
      <c r="AN30" s="2">
        <f t="shared" si="25"/>
        <v>0</v>
      </c>
      <c r="AO30" s="2">
        <f t="shared" si="25"/>
        <v>0</v>
      </c>
      <c r="AP30" s="2">
        <f t="shared" si="25"/>
        <v>0</v>
      </c>
      <c r="AQ30" s="2">
        <f t="shared" si="25"/>
        <v>0</v>
      </c>
      <c r="AR30" s="2">
        <f t="shared" si="25"/>
        <v>0</v>
      </c>
      <c r="AS30" s="2">
        <f t="shared" si="25"/>
        <v>0</v>
      </c>
      <c r="AT30" s="2">
        <f t="shared" si="25"/>
        <v>0</v>
      </c>
      <c r="AU30" s="2">
        <f t="shared" si="25"/>
        <v>0</v>
      </c>
      <c r="AV30" s="2">
        <f t="shared" si="25"/>
        <v>0</v>
      </c>
      <c r="AW30" s="2">
        <f t="shared" si="25"/>
        <v>0</v>
      </c>
      <c r="AX30" s="2">
        <f t="shared" si="25"/>
        <v>0</v>
      </c>
      <c r="AY30" s="2">
        <f t="shared" si="25"/>
        <v>0</v>
      </c>
      <c r="AZ30" s="2">
        <f t="shared" si="25"/>
        <v>0</v>
      </c>
      <c r="BA30" s="2">
        <f t="shared" si="25"/>
        <v>0</v>
      </c>
      <c r="BB30" s="2">
        <f t="shared" si="25"/>
        <v>0</v>
      </c>
      <c r="BC30" s="2">
        <f t="shared" si="25"/>
        <v>0</v>
      </c>
      <c r="BD30" s="2">
        <f t="shared" si="25"/>
        <v>0</v>
      </c>
      <c r="BE30" s="2">
        <f t="shared" si="25"/>
        <v>0</v>
      </c>
      <c r="BF30" s="2">
        <f t="shared" si="25"/>
        <v>0</v>
      </c>
      <c r="BG30" s="2">
        <f t="shared" si="25"/>
        <v>0</v>
      </c>
      <c r="BH30" s="2">
        <f t="shared" si="25"/>
        <v>0</v>
      </c>
      <c r="BI30" s="2">
        <f t="shared" si="25"/>
        <v>0</v>
      </c>
      <c r="BJ30" s="2">
        <f t="shared" si="25"/>
        <v>0</v>
      </c>
      <c r="BK30" s="2">
        <f t="shared" si="25"/>
        <v>0</v>
      </c>
      <c r="BL30" s="2">
        <f t="shared" si="25"/>
        <v>0</v>
      </c>
      <c r="BM30" s="2">
        <f t="shared" si="25"/>
        <v>0</v>
      </c>
      <c r="BN30" s="2">
        <f t="shared" si="25"/>
        <v>0</v>
      </c>
      <c r="BO30" s="2">
        <f t="shared" si="25"/>
        <v>0</v>
      </c>
      <c r="BP30" s="2">
        <f t="shared" si="25"/>
        <v>0</v>
      </c>
      <c r="BQ30" s="2">
        <f t="shared" si="25"/>
        <v>0</v>
      </c>
      <c r="BR30" s="2">
        <f t="shared" si="25"/>
        <v>0</v>
      </c>
      <c r="BS30" s="2">
        <f t="shared" si="25"/>
        <v>0</v>
      </c>
      <c r="BT30" s="2">
        <f t="shared" si="25"/>
        <v>0</v>
      </c>
      <c r="BU30" s="2">
        <f t="shared" si="25"/>
        <v>0</v>
      </c>
      <c r="BV30" s="2">
        <f t="shared" si="25"/>
        <v>0</v>
      </c>
      <c r="BW30" s="2">
        <f t="shared" si="25"/>
        <v>0</v>
      </c>
      <c r="BX30" s="2">
        <f t="shared" si="25"/>
        <v>0</v>
      </c>
      <c r="BY30" s="2">
        <f t="shared" si="25"/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0316-5A52-48FE-A351-96D9FC691E83}">
  <dimension ref="A1:BY31"/>
  <sheetViews>
    <sheetView zoomScale="80" zoomScaleNormal="80" workbookViewId="0">
      <pane xSplit="1" topLeftCell="T1" activePane="topRight" state="frozen"/>
      <selection pane="topRight" activeCell="AA6" sqref="AA6"/>
    </sheetView>
  </sheetViews>
  <sheetFormatPr defaultRowHeight="15" x14ac:dyDescent="0.25"/>
  <cols>
    <col min="1" max="1" width="23" customWidth="1"/>
    <col min="2" max="50" width="12.85546875" customWidth="1"/>
    <col min="51" max="77" width="11.28515625" customWidth="1"/>
  </cols>
  <sheetData>
    <row r="1" spans="1:77" ht="31.5" x14ac:dyDescent="0.5">
      <c r="A1" s="4" t="s">
        <v>4</v>
      </c>
    </row>
    <row r="3" spans="1:77" x14ac:dyDescent="0.25">
      <c r="A3" t="s">
        <v>12</v>
      </c>
    </row>
    <row r="4" spans="1:77" x14ac:dyDescent="0.25">
      <c r="B4" s="1">
        <f>Knives!B4</f>
        <v>44331</v>
      </c>
      <c r="C4" s="1">
        <f>Knives!C4</f>
        <v>44332</v>
      </c>
      <c r="D4" s="1">
        <f>Knives!D4</f>
        <v>44334</v>
      </c>
      <c r="E4" s="1">
        <f>Knives!E4</f>
        <v>44336</v>
      </c>
      <c r="F4" s="1">
        <f>Knives!F4</f>
        <v>44337</v>
      </c>
      <c r="G4" s="1">
        <f>Knives!G4</f>
        <v>44338</v>
      </c>
      <c r="H4" s="1">
        <f>Knives!H4</f>
        <v>44339</v>
      </c>
      <c r="I4" s="1">
        <f>Knives!I4</f>
        <v>44340</v>
      </c>
      <c r="J4" s="1">
        <f>Knives!J4</f>
        <v>44341</v>
      </c>
      <c r="K4" s="1">
        <f>Knives!K4</f>
        <v>44342</v>
      </c>
      <c r="L4" s="1">
        <f>Knives!L4</f>
        <v>44343</v>
      </c>
      <c r="M4" s="1">
        <f>Knives!M4</f>
        <v>44344</v>
      </c>
      <c r="N4" s="1">
        <f>Knives!N4</f>
        <v>44345</v>
      </c>
      <c r="O4" s="1">
        <f>Knives!O4</f>
        <v>44346</v>
      </c>
      <c r="P4" s="1">
        <f>Knives!P4</f>
        <v>44347</v>
      </c>
      <c r="Q4" s="1">
        <f>Knives!Q4</f>
        <v>44348</v>
      </c>
      <c r="R4" s="1">
        <f>Knives!R4</f>
        <v>44349</v>
      </c>
      <c r="S4" s="1">
        <f>Knives!S4</f>
        <v>44350</v>
      </c>
      <c r="T4" s="1">
        <f>Knives!T4</f>
        <v>44351</v>
      </c>
      <c r="U4" s="1">
        <f>Knives!U4</f>
        <v>44352</v>
      </c>
      <c r="V4" s="1">
        <f>Knives!V4</f>
        <v>44353</v>
      </c>
      <c r="W4" s="1">
        <f>Knives!W4</f>
        <v>44354</v>
      </c>
      <c r="X4" s="1">
        <f>Knives!X4</f>
        <v>44355</v>
      </c>
      <c r="Y4" s="1">
        <f>Knives!Y4</f>
        <v>44356</v>
      </c>
      <c r="Z4" s="1">
        <f>Knives!Z4</f>
        <v>44357</v>
      </c>
      <c r="AA4" s="1">
        <f>Knives!AA4</f>
        <v>44358</v>
      </c>
      <c r="AB4" s="1">
        <f>Knives!AB4</f>
        <v>44359</v>
      </c>
      <c r="AC4" s="1">
        <f>Knives!AC4</f>
        <v>44360</v>
      </c>
      <c r="AD4" s="1">
        <f>Knives!AD4</f>
        <v>44361</v>
      </c>
      <c r="AE4" s="1">
        <f>Knives!AE4</f>
        <v>44362</v>
      </c>
      <c r="AF4" s="1">
        <f>Knives!AF4</f>
        <v>44363</v>
      </c>
      <c r="AG4" s="1">
        <f>Knives!AG4</f>
        <v>44364</v>
      </c>
      <c r="AH4" s="1">
        <f>Knives!AH4</f>
        <v>44365</v>
      </c>
      <c r="AI4" s="1">
        <f>Knives!AI4</f>
        <v>44366</v>
      </c>
      <c r="AJ4" s="1">
        <f>Knives!AJ4</f>
        <v>44367</v>
      </c>
      <c r="AK4" s="1">
        <f>Knives!AK4</f>
        <v>44368</v>
      </c>
      <c r="AL4" s="1">
        <f>Knives!AL4</f>
        <v>44369</v>
      </c>
      <c r="AM4" s="1">
        <f>Knives!AM4</f>
        <v>44370</v>
      </c>
      <c r="AN4" s="1">
        <f>Knives!AN4</f>
        <v>44371</v>
      </c>
      <c r="AO4" s="1">
        <f>Knives!AO4</f>
        <v>44372</v>
      </c>
      <c r="AP4" s="1">
        <f>Knives!AP4</f>
        <v>44373</v>
      </c>
      <c r="AQ4" s="1">
        <f>Knives!AQ4</f>
        <v>44374</v>
      </c>
      <c r="AR4" s="1">
        <f>Knives!AR4</f>
        <v>44375</v>
      </c>
      <c r="AS4" s="1">
        <f>Knives!AS4</f>
        <v>44376</v>
      </c>
      <c r="AT4" s="1">
        <f>Knives!AT4</f>
        <v>44377</v>
      </c>
      <c r="AU4" s="1">
        <f>Knives!AU4</f>
        <v>44378</v>
      </c>
      <c r="AV4" s="1">
        <f>Knives!AV4</f>
        <v>44379</v>
      </c>
      <c r="AW4" s="1">
        <f>Knives!AW4</f>
        <v>44380</v>
      </c>
      <c r="AX4" s="1">
        <f>Knives!AX4</f>
        <v>44381</v>
      </c>
      <c r="AY4" s="1">
        <f>Knives!AY4</f>
        <v>44382</v>
      </c>
      <c r="AZ4" s="1">
        <f>Knives!AZ4</f>
        <v>44383</v>
      </c>
      <c r="BA4" s="1">
        <f>Knives!BA4</f>
        <v>44384</v>
      </c>
      <c r="BB4" s="1">
        <f>Knives!BB4</f>
        <v>44385</v>
      </c>
      <c r="BC4" s="1">
        <f>Knives!BC4</f>
        <v>44386</v>
      </c>
      <c r="BD4" s="1">
        <f>Knives!BD4</f>
        <v>44387</v>
      </c>
      <c r="BE4" s="1">
        <f>Knives!BE4</f>
        <v>44388</v>
      </c>
      <c r="BF4" s="1">
        <f>Knives!BF4</f>
        <v>44389</v>
      </c>
      <c r="BG4" s="1">
        <f>Knives!BG4</f>
        <v>44390</v>
      </c>
      <c r="BH4" s="1">
        <f>Knives!BH4</f>
        <v>44391</v>
      </c>
      <c r="BI4" s="1">
        <f>Knives!BI4</f>
        <v>44392</v>
      </c>
      <c r="BJ4" s="1">
        <f>Knives!BJ4</f>
        <v>44393</v>
      </c>
      <c r="BK4" s="1">
        <f>Knives!BK4</f>
        <v>44394</v>
      </c>
      <c r="BL4" s="1">
        <f>Knives!BL4</f>
        <v>44395</v>
      </c>
      <c r="BM4" s="1">
        <f>Knives!BM4</f>
        <v>44396</v>
      </c>
      <c r="BN4" s="1">
        <f>Knives!BN4</f>
        <v>44397</v>
      </c>
      <c r="BO4" s="1">
        <f>Knives!BO4</f>
        <v>44398</v>
      </c>
      <c r="BP4" s="1">
        <f>Knives!BP4</f>
        <v>44399</v>
      </c>
      <c r="BQ4" s="1">
        <f>Knives!BQ4</f>
        <v>44400</v>
      </c>
      <c r="BR4" s="1">
        <f>Knives!BR4</f>
        <v>44401</v>
      </c>
      <c r="BS4" s="1">
        <f>Knives!BS4</f>
        <v>44402</v>
      </c>
      <c r="BT4" s="1">
        <f>Knives!BT4</f>
        <v>44403</v>
      </c>
      <c r="BU4" s="1">
        <f>Knives!BU4</f>
        <v>44404</v>
      </c>
      <c r="BV4" s="1">
        <f>Knives!BV4</f>
        <v>44405</v>
      </c>
      <c r="BW4" s="1">
        <f>Knives!BW4</f>
        <v>44406</v>
      </c>
      <c r="BX4" s="1">
        <f>Knives!BX4</f>
        <v>44407</v>
      </c>
      <c r="BY4" s="1">
        <f>Knives!BY4</f>
        <v>44408</v>
      </c>
    </row>
    <row r="5" spans="1:77" x14ac:dyDescent="0.25">
      <c r="A5" s="2" t="s">
        <v>47</v>
      </c>
      <c r="B5">
        <v>37.31</v>
      </c>
      <c r="C5">
        <v>36.880000000000003</v>
      </c>
      <c r="D5">
        <v>38.799999999999997</v>
      </c>
      <c r="E5">
        <v>37.92</v>
      </c>
      <c r="F5">
        <v>39.03</v>
      </c>
      <c r="G5">
        <v>38.35</v>
      </c>
      <c r="H5">
        <v>37.799999999999997</v>
      </c>
      <c r="I5">
        <v>36.909999999999997</v>
      </c>
      <c r="J5">
        <v>35.35</v>
      </c>
      <c r="K5">
        <v>38.06</v>
      </c>
      <c r="L5">
        <v>35.93</v>
      </c>
      <c r="M5">
        <v>36.22</v>
      </c>
      <c r="N5">
        <v>35.090000000000003</v>
      </c>
      <c r="O5">
        <v>36.14</v>
      </c>
      <c r="P5">
        <v>36.81</v>
      </c>
      <c r="Q5">
        <v>37.950000000000003</v>
      </c>
      <c r="R5">
        <v>39.409999999999997</v>
      </c>
      <c r="S5">
        <v>37.04</v>
      </c>
      <c r="T5">
        <v>39.44</v>
      </c>
      <c r="U5">
        <v>37.85</v>
      </c>
      <c r="V5">
        <v>36.15</v>
      </c>
      <c r="W5">
        <v>36.14</v>
      </c>
      <c r="X5">
        <v>36.14</v>
      </c>
      <c r="Y5">
        <v>37.04</v>
      </c>
      <c r="Z5">
        <v>36.04</v>
      </c>
      <c r="AA5">
        <v>38.33</v>
      </c>
    </row>
    <row r="6" spans="1:77" x14ac:dyDescent="0.25">
      <c r="A6" s="2" t="s">
        <v>48</v>
      </c>
      <c r="B6">
        <v>13.77</v>
      </c>
      <c r="C6">
        <v>14.43</v>
      </c>
      <c r="D6">
        <v>13.96</v>
      </c>
      <c r="E6">
        <v>13.19</v>
      </c>
      <c r="F6">
        <v>14.41</v>
      </c>
      <c r="G6">
        <v>14.08</v>
      </c>
      <c r="H6">
        <v>14.66</v>
      </c>
      <c r="I6">
        <v>13.65</v>
      </c>
      <c r="J6">
        <v>13.29</v>
      </c>
      <c r="K6">
        <v>13.64</v>
      </c>
      <c r="L6">
        <v>13.24</v>
      </c>
      <c r="M6">
        <v>13.22</v>
      </c>
      <c r="N6">
        <v>13.98</v>
      </c>
      <c r="O6">
        <v>13.53</v>
      </c>
      <c r="P6">
        <v>13.74</v>
      </c>
      <c r="Q6">
        <v>13.68</v>
      </c>
      <c r="R6">
        <v>13.85</v>
      </c>
      <c r="S6">
        <v>12.95</v>
      </c>
      <c r="T6">
        <v>13.12</v>
      </c>
      <c r="U6">
        <v>13.6</v>
      </c>
      <c r="V6">
        <v>13.04</v>
      </c>
      <c r="W6">
        <v>14</v>
      </c>
      <c r="X6">
        <v>13.51</v>
      </c>
      <c r="Y6">
        <v>13.59</v>
      </c>
      <c r="Z6">
        <v>13.03</v>
      </c>
      <c r="AA6">
        <v>12.55</v>
      </c>
    </row>
    <row r="7" spans="1:77" x14ac:dyDescent="0.25">
      <c r="A7" s="2" t="s">
        <v>49</v>
      </c>
      <c r="B7">
        <v>17.309999999999999</v>
      </c>
      <c r="C7">
        <v>16.39</v>
      </c>
      <c r="D7">
        <v>18.760000000000002</v>
      </c>
      <c r="E7">
        <v>18.239999999999998</v>
      </c>
      <c r="F7">
        <v>18.28</v>
      </c>
      <c r="G7">
        <v>17.510000000000002</v>
      </c>
      <c r="H7">
        <v>17.170000000000002</v>
      </c>
      <c r="I7">
        <v>18.43</v>
      </c>
      <c r="J7">
        <v>17.95</v>
      </c>
      <c r="K7">
        <v>18.690000000000001</v>
      </c>
      <c r="L7">
        <v>17.260000000000002</v>
      </c>
      <c r="M7">
        <v>18.41</v>
      </c>
      <c r="N7">
        <v>18.350000000000001</v>
      </c>
      <c r="O7">
        <v>18.91</v>
      </c>
      <c r="P7">
        <v>17.68</v>
      </c>
      <c r="Q7">
        <v>18.25</v>
      </c>
      <c r="R7">
        <v>18.32</v>
      </c>
      <c r="S7">
        <v>18.260000000000002</v>
      </c>
      <c r="T7">
        <v>17.87</v>
      </c>
      <c r="U7">
        <v>18.21</v>
      </c>
      <c r="V7">
        <v>18.78</v>
      </c>
      <c r="W7">
        <v>17.96</v>
      </c>
      <c r="X7">
        <v>16.98</v>
      </c>
      <c r="Y7">
        <v>17.059999999999999</v>
      </c>
      <c r="Z7">
        <v>17.260000000000002</v>
      </c>
      <c r="AA7">
        <v>17.79</v>
      </c>
    </row>
    <row r="8" spans="1:77" x14ac:dyDescent="0.25">
      <c r="A8" s="2" t="s">
        <v>50</v>
      </c>
      <c r="B8">
        <v>6.9</v>
      </c>
      <c r="C8">
        <v>7.37</v>
      </c>
      <c r="D8">
        <v>6.99</v>
      </c>
      <c r="E8">
        <v>6.87</v>
      </c>
      <c r="F8">
        <v>6.82</v>
      </c>
      <c r="G8">
        <v>7.06</v>
      </c>
      <c r="H8">
        <v>6.74</v>
      </c>
      <c r="I8">
        <v>7.04</v>
      </c>
      <c r="J8">
        <v>6.99</v>
      </c>
      <c r="K8">
        <v>7.14</v>
      </c>
      <c r="L8">
        <v>6.68</v>
      </c>
      <c r="M8">
        <v>6.85</v>
      </c>
      <c r="N8">
        <v>6.98</v>
      </c>
      <c r="O8">
        <v>7.03</v>
      </c>
      <c r="P8">
        <v>6.48</v>
      </c>
      <c r="Q8">
        <v>6.63</v>
      </c>
      <c r="R8">
        <v>6.64</v>
      </c>
      <c r="S8">
        <v>7.06</v>
      </c>
      <c r="T8">
        <v>6.58</v>
      </c>
      <c r="U8">
        <v>6.51</v>
      </c>
      <c r="V8">
        <v>6.59</v>
      </c>
      <c r="W8">
        <v>7.03</v>
      </c>
      <c r="X8">
        <v>6.6</v>
      </c>
      <c r="Y8">
        <v>6.98</v>
      </c>
      <c r="Z8">
        <v>6.76</v>
      </c>
      <c r="AA8">
        <v>6.75</v>
      </c>
    </row>
    <row r="9" spans="1:77" x14ac:dyDescent="0.25">
      <c r="A9" s="2" t="s">
        <v>51</v>
      </c>
      <c r="B9">
        <v>26.86</v>
      </c>
      <c r="C9">
        <v>25.93</v>
      </c>
      <c r="D9">
        <v>25.2</v>
      </c>
      <c r="E9">
        <v>26.25</v>
      </c>
      <c r="F9">
        <v>26.3</v>
      </c>
      <c r="G9">
        <v>26.9</v>
      </c>
      <c r="H9">
        <v>24.86</v>
      </c>
      <c r="I9">
        <v>27.3</v>
      </c>
      <c r="J9">
        <v>25.21</v>
      </c>
      <c r="K9">
        <v>26.11</v>
      </c>
      <c r="L9">
        <v>27.42</v>
      </c>
      <c r="M9">
        <v>27.34</v>
      </c>
      <c r="N9">
        <v>27.33</v>
      </c>
      <c r="O9">
        <v>28.52</v>
      </c>
      <c r="P9">
        <v>28.58</v>
      </c>
      <c r="Q9">
        <v>29.09</v>
      </c>
      <c r="R9">
        <v>29.49</v>
      </c>
      <c r="S9">
        <v>28.06</v>
      </c>
      <c r="T9">
        <v>32.92</v>
      </c>
      <c r="U9">
        <v>38.33</v>
      </c>
      <c r="V9">
        <v>35.700000000000003</v>
      </c>
      <c r="W9">
        <v>31.47</v>
      </c>
      <c r="X9">
        <v>31.14</v>
      </c>
      <c r="Y9">
        <v>31.54</v>
      </c>
      <c r="Z9">
        <v>31.16</v>
      </c>
      <c r="AA9">
        <v>30.56</v>
      </c>
    </row>
    <row r="10" spans="1:77" x14ac:dyDescent="0.25">
      <c r="A10" s="2" t="s">
        <v>52</v>
      </c>
      <c r="B10">
        <v>29.07</v>
      </c>
      <c r="C10">
        <v>29.37</v>
      </c>
      <c r="D10">
        <v>26.79</v>
      </c>
      <c r="E10">
        <v>27.5</v>
      </c>
      <c r="F10">
        <v>27.26</v>
      </c>
      <c r="G10">
        <v>28.86</v>
      </c>
      <c r="H10">
        <v>27.29</v>
      </c>
      <c r="I10">
        <v>25.83</v>
      </c>
      <c r="J10">
        <v>26.17</v>
      </c>
      <c r="K10">
        <v>25.72</v>
      </c>
      <c r="L10">
        <v>27.42</v>
      </c>
      <c r="M10">
        <v>25.94</v>
      </c>
      <c r="N10">
        <v>26.04</v>
      </c>
      <c r="O10">
        <v>25.26</v>
      </c>
      <c r="P10">
        <v>27.4</v>
      </c>
      <c r="Q10">
        <v>27.17</v>
      </c>
      <c r="R10">
        <v>26.02</v>
      </c>
      <c r="S10">
        <v>26.27</v>
      </c>
      <c r="T10">
        <v>27.83</v>
      </c>
      <c r="U10">
        <v>26.99</v>
      </c>
      <c r="V10">
        <v>25.85</v>
      </c>
      <c r="W10">
        <v>28.1</v>
      </c>
      <c r="X10">
        <v>26.37</v>
      </c>
      <c r="Y10">
        <v>26.59</v>
      </c>
      <c r="Z10">
        <v>25.22</v>
      </c>
      <c r="AA10">
        <v>24.19</v>
      </c>
    </row>
    <row r="11" spans="1:77" x14ac:dyDescent="0.25">
      <c r="A11" s="2" t="s">
        <v>53</v>
      </c>
      <c r="B11">
        <v>14.52</v>
      </c>
      <c r="C11">
        <v>13.27</v>
      </c>
      <c r="D11">
        <v>13.26</v>
      </c>
      <c r="E11">
        <v>14.11</v>
      </c>
      <c r="F11">
        <v>14.06</v>
      </c>
      <c r="G11">
        <v>14.27</v>
      </c>
      <c r="H11">
        <v>13.84</v>
      </c>
      <c r="I11">
        <v>13.34</v>
      </c>
      <c r="J11">
        <v>12.49</v>
      </c>
      <c r="K11">
        <v>12.85</v>
      </c>
      <c r="L11">
        <v>12.48</v>
      </c>
      <c r="M11">
        <v>13.5</v>
      </c>
      <c r="N11">
        <v>13.54</v>
      </c>
      <c r="O11">
        <v>13.54</v>
      </c>
      <c r="P11">
        <v>14.22</v>
      </c>
      <c r="Q11">
        <v>13.54</v>
      </c>
      <c r="R11">
        <v>13.19</v>
      </c>
      <c r="S11">
        <v>13.66</v>
      </c>
      <c r="T11">
        <v>12.69</v>
      </c>
      <c r="U11">
        <v>13.66</v>
      </c>
      <c r="V11">
        <v>13.27</v>
      </c>
      <c r="W11">
        <v>13.63</v>
      </c>
      <c r="X11">
        <v>13.64</v>
      </c>
      <c r="Y11">
        <v>13.66</v>
      </c>
      <c r="Z11">
        <v>13.69</v>
      </c>
      <c r="AA11">
        <v>13.68</v>
      </c>
    </row>
    <row r="12" spans="1:77" x14ac:dyDescent="0.25">
      <c r="A12" s="2" t="s">
        <v>54</v>
      </c>
      <c r="B12">
        <v>33.21</v>
      </c>
      <c r="C12">
        <v>31.65</v>
      </c>
      <c r="D12">
        <v>29.18</v>
      </c>
      <c r="E12">
        <v>31.74</v>
      </c>
      <c r="F12">
        <v>29.35</v>
      </c>
      <c r="G12">
        <v>30.3</v>
      </c>
      <c r="H12">
        <v>30.75</v>
      </c>
      <c r="I12">
        <v>28.8</v>
      </c>
      <c r="J12">
        <v>30.22</v>
      </c>
      <c r="K12">
        <v>28.81</v>
      </c>
      <c r="L12">
        <v>28.69</v>
      </c>
      <c r="M12">
        <v>27.92</v>
      </c>
      <c r="N12">
        <v>28.87</v>
      </c>
      <c r="O12">
        <v>29.99</v>
      </c>
      <c r="P12">
        <v>28.9</v>
      </c>
      <c r="Q12">
        <v>29.12</v>
      </c>
      <c r="R12">
        <v>29.62</v>
      </c>
      <c r="S12">
        <v>28.55</v>
      </c>
      <c r="T12">
        <v>29.16</v>
      </c>
      <c r="U12">
        <v>29.07</v>
      </c>
      <c r="V12">
        <v>29.04</v>
      </c>
      <c r="W12">
        <v>30.67</v>
      </c>
      <c r="X12">
        <v>28.92</v>
      </c>
      <c r="Y12">
        <v>29.44</v>
      </c>
      <c r="Z12">
        <v>30.41</v>
      </c>
      <c r="AA12">
        <v>29.82</v>
      </c>
    </row>
    <row r="14" spans="1:77" x14ac:dyDescent="0.25">
      <c r="B14" s="2">
        <f>SUM(B5:B12)</f>
        <v>178.95000000000002</v>
      </c>
      <c r="C14" s="2">
        <f t="shared" ref="C14:L14" si="0">SUM(C5:C12)</f>
        <v>175.29000000000002</v>
      </c>
      <c r="D14" s="2">
        <f t="shared" si="0"/>
        <v>172.94</v>
      </c>
      <c r="E14" s="2">
        <f t="shared" si="0"/>
        <v>175.82</v>
      </c>
      <c r="F14" s="2">
        <f t="shared" si="0"/>
        <v>175.51</v>
      </c>
      <c r="G14" s="2">
        <f t="shared" si="0"/>
        <v>177.33</v>
      </c>
      <c r="H14" s="2">
        <f t="shared" si="0"/>
        <v>173.10999999999999</v>
      </c>
      <c r="I14" s="2">
        <f t="shared" si="0"/>
        <v>171.3</v>
      </c>
      <c r="J14" s="2">
        <f t="shared" si="0"/>
        <v>167.67</v>
      </c>
      <c r="K14" s="2">
        <f t="shared" si="0"/>
        <v>171.02</v>
      </c>
      <c r="L14" s="2">
        <f t="shared" si="0"/>
        <v>169.12</v>
      </c>
      <c r="M14" s="2">
        <f t="shared" ref="M14:Z14" si="1">SUM(M5:M12)</f>
        <v>169.39999999999998</v>
      </c>
      <c r="N14" s="2">
        <f t="shared" si="1"/>
        <v>170.18</v>
      </c>
      <c r="O14" s="2">
        <f t="shared" si="1"/>
        <v>172.92</v>
      </c>
      <c r="P14" s="2">
        <f t="shared" si="1"/>
        <v>173.81</v>
      </c>
      <c r="Q14" s="2">
        <f t="shared" si="1"/>
        <v>175.42999999999998</v>
      </c>
      <c r="R14" s="2">
        <f t="shared" si="1"/>
        <v>176.54</v>
      </c>
      <c r="S14" s="2">
        <f t="shared" si="1"/>
        <v>171.85000000000002</v>
      </c>
      <c r="T14" s="2">
        <f t="shared" si="1"/>
        <v>179.60999999999999</v>
      </c>
      <c r="U14" s="2">
        <f t="shared" si="1"/>
        <v>184.22</v>
      </c>
      <c r="V14" s="2">
        <f t="shared" si="1"/>
        <v>178.42000000000002</v>
      </c>
      <c r="W14" s="2">
        <f t="shared" si="1"/>
        <v>179</v>
      </c>
      <c r="X14" s="2">
        <f t="shared" si="1"/>
        <v>173.3</v>
      </c>
      <c r="Y14" s="2">
        <f t="shared" si="1"/>
        <v>175.9</v>
      </c>
      <c r="Z14" s="2">
        <f t="shared" si="1"/>
        <v>173.57</v>
      </c>
      <c r="AA14" s="2">
        <f t="shared" ref="AA14:BY14" si="2">SUM(AA5:AA12)</f>
        <v>173.67</v>
      </c>
      <c r="AB14" s="2">
        <f t="shared" si="2"/>
        <v>0</v>
      </c>
      <c r="AC14" s="2">
        <f t="shared" si="2"/>
        <v>0</v>
      </c>
      <c r="AD14" s="2">
        <f t="shared" si="2"/>
        <v>0</v>
      </c>
      <c r="AE14" s="2">
        <f t="shared" si="2"/>
        <v>0</v>
      </c>
      <c r="AF14" s="2">
        <f t="shared" si="2"/>
        <v>0</v>
      </c>
      <c r="AG14" s="2">
        <f t="shared" si="2"/>
        <v>0</v>
      </c>
      <c r="AH14" s="2">
        <f t="shared" si="2"/>
        <v>0</v>
      </c>
      <c r="AI14" s="2">
        <f t="shared" si="2"/>
        <v>0</v>
      </c>
      <c r="AJ14" s="2">
        <f t="shared" si="2"/>
        <v>0</v>
      </c>
      <c r="AK14" s="2">
        <f t="shared" si="2"/>
        <v>0</v>
      </c>
      <c r="AL14" s="2">
        <f t="shared" si="2"/>
        <v>0</v>
      </c>
      <c r="AM14" s="2">
        <f t="shared" si="2"/>
        <v>0</v>
      </c>
      <c r="AN14" s="2">
        <f t="shared" si="2"/>
        <v>0</v>
      </c>
      <c r="AO14" s="2">
        <f t="shared" si="2"/>
        <v>0</v>
      </c>
      <c r="AP14" s="2">
        <f t="shared" si="2"/>
        <v>0</v>
      </c>
      <c r="AQ14" s="2">
        <f t="shared" si="2"/>
        <v>0</v>
      </c>
      <c r="AR14" s="2">
        <f t="shared" si="2"/>
        <v>0</v>
      </c>
      <c r="AS14" s="2">
        <f t="shared" si="2"/>
        <v>0</v>
      </c>
      <c r="AT14" s="2">
        <f t="shared" si="2"/>
        <v>0</v>
      </c>
      <c r="AU14" s="2">
        <f t="shared" si="2"/>
        <v>0</v>
      </c>
      <c r="AV14" s="2">
        <f t="shared" si="2"/>
        <v>0</v>
      </c>
      <c r="AW14" s="2">
        <f t="shared" si="2"/>
        <v>0</v>
      </c>
      <c r="AX14" s="2">
        <f t="shared" si="2"/>
        <v>0</v>
      </c>
      <c r="AY14" s="2">
        <f t="shared" si="2"/>
        <v>0</v>
      </c>
      <c r="AZ14" s="2">
        <f t="shared" si="2"/>
        <v>0</v>
      </c>
      <c r="BA14" s="2">
        <f t="shared" si="2"/>
        <v>0</v>
      </c>
      <c r="BB14" s="2">
        <f t="shared" si="2"/>
        <v>0</v>
      </c>
      <c r="BC14" s="2">
        <f t="shared" si="2"/>
        <v>0</v>
      </c>
      <c r="BD14" s="2">
        <f t="shared" si="2"/>
        <v>0</v>
      </c>
      <c r="BE14" s="2">
        <f t="shared" si="2"/>
        <v>0</v>
      </c>
      <c r="BF14" s="2">
        <f t="shared" si="2"/>
        <v>0</v>
      </c>
      <c r="BG14" s="2">
        <f t="shared" si="2"/>
        <v>0</v>
      </c>
      <c r="BH14" s="2">
        <f t="shared" si="2"/>
        <v>0</v>
      </c>
      <c r="BI14" s="2">
        <f t="shared" si="2"/>
        <v>0</v>
      </c>
      <c r="BJ14" s="2">
        <f t="shared" si="2"/>
        <v>0</v>
      </c>
      <c r="BK14" s="2">
        <f t="shared" si="2"/>
        <v>0</v>
      </c>
      <c r="BL14" s="2">
        <f t="shared" si="2"/>
        <v>0</v>
      </c>
      <c r="BM14" s="2">
        <f t="shared" si="2"/>
        <v>0</v>
      </c>
      <c r="BN14" s="2">
        <f t="shared" si="2"/>
        <v>0</v>
      </c>
      <c r="BO14" s="2">
        <f t="shared" si="2"/>
        <v>0</v>
      </c>
      <c r="BP14" s="2">
        <f t="shared" si="2"/>
        <v>0</v>
      </c>
      <c r="BQ14" s="2">
        <f t="shared" si="2"/>
        <v>0</v>
      </c>
      <c r="BR14" s="2">
        <f t="shared" si="2"/>
        <v>0</v>
      </c>
      <c r="BS14" s="2">
        <f t="shared" si="2"/>
        <v>0</v>
      </c>
      <c r="BT14" s="2">
        <f t="shared" si="2"/>
        <v>0</v>
      </c>
      <c r="BU14" s="2">
        <f t="shared" si="2"/>
        <v>0</v>
      </c>
      <c r="BV14" s="2">
        <f t="shared" si="2"/>
        <v>0</v>
      </c>
      <c r="BW14" s="2">
        <f t="shared" si="2"/>
        <v>0</v>
      </c>
      <c r="BX14" s="2">
        <f t="shared" si="2"/>
        <v>0</v>
      </c>
      <c r="BY14" s="2">
        <f t="shared" si="2"/>
        <v>0</v>
      </c>
    </row>
    <row r="18" spans="1:77" ht="21" x14ac:dyDescent="0.35">
      <c r="A18" s="5" t="s">
        <v>33</v>
      </c>
    </row>
    <row r="20" spans="1:77" x14ac:dyDescent="0.25">
      <c r="A20" t="s">
        <v>12</v>
      </c>
    </row>
    <row r="21" spans="1:77" x14ac:dyDescent="0.25">
      <c r="B21" s="1">
        <f>B4</f>
        <v>44331</v>
      </c>
      <c r="C21" s="1">
        <f t="shared" ref="C21:L21" si="3">C4</f>
        <v>44332</v>
      </c>
      <c r="D21" s="1">
        <f t="shared" si="3"/>
        <v>44334</v>
      </c>
      <c r="E21" s="1">
        <f t="shared" si="3"/>
        <v>44336</v>
      </c>
      <c r="F21" s="1">
        <f t="shared" si="3"/>
        <v>44337</v>
      </c>
      <c r="G21" s="1">
        <f t="shared" si="3"/>
        <v>44338</v>
      </c>
      <c r="H21" s="1">
        <f t="shared" si="3"/>
        <v>44339</v>
      </c>
      <c r="I21" s="1">
        <f t="shared" si="3"/>
        <v>44340</v>
      </c>
      <c r="J21" s="1">
        <f t="shared" si="3"/>
        <v>44341</v>
      </c>
      <c r="K21" s="1">
        <f t="shared" si="3"/>
        <v>44342</v>
      </c>
      <c r="L21" s="1">
        <f t="shared" si="3"/>
        <v>44343</v>
      </c>
      <c r="M21" s="1">
        <f t="shared" ref="M21:Z21" si="4">M4</f>
        <v>44344</v>
      </c>
      <c r="N21" s="1">
        <f t="shared" si="4"/>
        <v>44345</v>
      </c>
      <c r="O21" s="1">
        <f t="shared" si="4"/>
        <v>44346</v>
      </c>
      <c r="P21" s="1">
        <f t="shared" si="4"/>
        <v>44347</v>
      </c>
      <c r="Q21" s="1">
        <f t="shared" si="4"/>
        <v>44348</v>
      </c>
      <c r="R21" s="1">
        <f t="shared" si="4"/>
        <v>44349</v>
      </c>
      <c r="S21" s="1">
        <f t="shared" si="4"/>
        <v>44350</v>
      </c>
      <c r="T21" s="1">
        <f t="shared" si="4"/>
        <v>44351</v>
      </c>
      <c r="U21" s="1">
        <f t="shared" si="4"/>
        <v>44352</v>
      </c>
      <c r="V21" s="1">
        <f t="shared" si="4"/>
        <v>44353</v>
      </c>
      <c r="W21" s="1">
        <f t="shared" si="4"/>
        <v>44354</v>
      </c>
      <c r="X21" s="1">
        <f t="shared" si="4"/>
        <v>44355</v>
      </c>
      <c r="Y21" s="1">
        <f t="shared" si="4"/>
        <v>44356</v>
      </c>
      <c r="Z21" s="1">
        <f t="shared" si="4"/>
        <v>44357</v>
      </c>
      <c r="AA21" s="1">
        <f t="shared" ref="AA21:BY21" si="5">AA4</f>
        <v>44358</v>
      </c>
      <c r="AB21" s="1">
        <f t="shared" si="5"/>
        <v>44359</v>
      </c>
      <c r="AC21" s="1">
        <f t="shared" si="5"/>
        <v>44360</v>
      </c>
      <c r="AD21" s="1">
        <f t="shared" si="5"/>
        <v>44361</v>
      </c>
      <c r="AE21" s="1">
        <f t="shared" si="5"/>
        <v>44362</v>
      </c>
      <c r="AF21" s="1">
        <f t="shared" si="5"/>
        <v>44363</v>
      </c>
      <c r="AG21" s="1">
        <f t="shared" si="5"/>
        <v>44364</v>
      </c>
      <c r="AH21" s="1">
        <f t="shared" si="5"/>
        <v>44365</v>
      </c>
      <c r="AI21" s="1">
        <f t="shared" si="5"/>
        <v>44366</v>
      </c>
      <c r="AJ21" s="1">
        <f t="shared" si="5"/>
        <v>44367</v>
      </c>
      <c r="AK21" s="1">
        <f t="shared" si="5"/>
        <v>44368</v>
      </c>
      <c r="AL21" s="1">
        <f t="shared" si="5"/>
        <v>44369</v>
      </c>
      <c r="AM21" s="1">
        <f t="shared" si="5"/>
        <v>44370</v>
      </c>
      <c r="AN21" s="1">
        <f t="shared" si="5"/>
        <v>44371</v>
      </c>
      <c r="AO21" s="1">
        <f t="shared" si="5"/>
        <v>44372</v>
      </c>
      <c r="AP21" s="1">
        <f t="shared" si="5"/>
        <v>44373</v>
      </c>
      <c r="AQ21" s="1">
        <f t="shared" si="5"/>
        <v>44374</v>
      </c>
      <c r="AR21" s="1">
        <f t="shared" si="5"/>
        <v>44375</v>
      </c>
      <c r="AS21" s="1">
        <f t="shared" si="5"/>
        <v>44376</v>
      </c>
      <c r="AT21" s="1">
        <f t="shared" si="5"/>
        <v>44377</v>
      </c>
      <c r="AU21" s="1">
        <f t="shared" si="5"/>
        <v>44378</v>
      </c>
      <c r="AV21" s="1">
        <f t="shared" si="5"/>
        <v>44379</v>
      </c>
      <c r="AW21" s="1">
        <f t="shared" si="5"/>
        <v>44380</v>
      </c>
      <c r="AX21" s="1">
        <f t="shared" si="5"/>
        <v>44381</v>
      </c>
      <c r="AY21" s="1">
        <f t="shared" si="5"/>
        <v>44382</v>
      </c>
      <c r="AZ21" s="1">
        <f t="shared" si="5"/>
        <v>44383</v>
      </c>
      <c r="BA21" s="1">
        <f t="shared" si="5"/>
        <v>44384</v>
      </c>
      <c r="BB21" s="1">
        <f t="shared" si="5"/>
        <v>44385</v>
      </c>
      <c r="BC21" s="1">
        <f t="shared" si="5"/>
        <v>44386</v>
      </c>
      <c r="BD21" s="1">
        <f t="shared" si="5"/>
        <v>44387</v>
      </c>
      <c r="BE21" s="1">
        <f t="shared" si="5"/>
        <v>44388</v>
      </c>
      <c r="BF21" s="1">
        <f t="shared" si="5"/>
        <v>44389</v>
      </c>
      <c r="BG21" s="1">
        <f t="shared" si="5"/>
        <v>44390</v>
      </c>
      <c r="BH21" s="1">
        <f t="shared" si="5"/>
        <v>44391</v>
      </c>
      <c r="BI21" s="1">
        <f t="shared" si="5"/>
        <v>44392</v>
      </c>
      <c r="BJ21" s="1">
        <f t="shared" si="5"/>
        <v>44393</v>
      </c>
      <c r="BK21" s="1">
        <f t="shared" si="5"/>
        <v>44394</v>
      </c>
      <c r="BL21" s="1">
        <f t="shared" si="5"/>
        <v>44395</v>
      </c>
      <c r="BM21" s="1">
        <f t="shared" si="5"/>
        <v>44396</v>
      </c>
      <c r="BN21" s="1">
        <f t="shared" si="5"/>
        <v>44397</v>
      </c>
      <c r="BO21" s="1">
        <f t="shared" si="5"/>
        <v>44398</v>
      </c>
      <c r="BP21" s="1">
        <f t="shared" si="5"/>
        <v>44399</v>
      </c>
      <c r="BQ21" s="1">
        <f t="shared" si="5"/>
        <v>44400</v>
      </c>
      <c r="BR21" s="1">
        <f t="shared" si="5"/>
        <v>44401</v>
      </c>
      <c r="BS21" s="1">
        <f t="shared" si="5"/>
        <v>44402</v>
      </c>
      <c r="BT21" s="1">
        <f t="shared" si="5"/>
        <v>44403</v>
      </c>
      <c r="BU21" s="1">
        <f t="shared" si="5"/>
        <v>44404</v>
      </c>
      <c r="BV21" s="1">
        <f t="shared" si="5"/>
        <v>44405</v>
      </c>
      <c r="BW21" s="1">
        <f t="shared" si="5"/>
        <v>44406</v>
      </c>
      <c r="BX21" s="1">
        <f t="shared" si="5"/>
        <v>44407</v>
      </c>
      <c r="BY21" s="1">
        <f t="shared" si="5"/>
        <v>44408</v>
      </c>
    </row>
    <row r="22" spans="1:77" x14ac:dyDescent="0.25">
      <c r="A22" s="2" t="s">
        <v>47</v>
      </c>
      <c r="B22">
        <f>ROUNDDOWN((B5-ROUNDUP(B5*0.1,2)-ROUNDUP(B5*0.05,2))*0.8,2)</f>
        <v>25.36</v>
      </c>
      <c r="C22">
        <f t="shared" ref="C22:L22" si="6">ROUNDDOWN((C5-ROUNDUP(C5*0.1,2)-ROUNDUP(C5*0.05,2))*0.8,2)</f>
        <v>25.07</v>
      </c>
      <c r="D22">
        <f t="shared" si="6"/>
        <v>26.38</v>
      </c>
      <c r="E22">
        <f t="shared" si="6"/>
        <v>25.77</v>
      </c>
      <c r="F22">
        <f t="shared" si="6"/>
        <v>26.52</v>
      </c>
      <c r="G22">
        <f t="shared" si="6"/>
        <v>26.07</v>
      </c>
      <c r="H22">
        <f t="shared" si="6"/>
        <v>25.7</v>
      </c>
      <c r="I22">
        <f t="shared" si="6"/>
        <v>25.08</v>
      </c>
      <c r="J22">
        <f t="shared" si="6"/>
        <v>24.03</v>
      </c>
      <c r="K22">
        <f t="shared" si="6"/>
        <v>25.87</v>
      </c>
      <c r="L22">
        <f t="shared" si="6"/>
        <v>24.42</v>
      </c>
      <c r="M22">
        <f t="shared" ref="M22:Z22" si="7">ROUNDDOWN((M5-ROUNDUP(M5*0.1,2)-ROUNDUP(M5*0.05,2))*0.8,2)</f>
        <v>24.61</v>
      </c>
      <c r="N22">
        <f t="shared" si="7"/>
        <v>23.85</v>
      </c>
      <c r="O22">
        <f t="shared" si="7"/>
        <v>24.56</v>
      </c>
      <c r="P22">
        <f t="shared" si="7"/>
        <v>25.01</v>
      </c>
      <c r="Q22">
        <f t="shared" si="7"/>
        <v>25.8</v>
      </c>
      <c r="R22">
        <f t="shared" si="7"/>
        <v>26.78</v>
      </c>
      <c r="S22">
        <f t="shared" si="7"/>
        <v>25.17</v>
      </c>
      <c r="T22">
        <f t="shared" si="7"/>
        <v>26.8</v>
      </c>
      <c r="U22">
        <f t="shared" si="7"/>
        <v>25.72</v>
      </c>
      <c r="V22">
        <f t="shared" si="7"/>
        <v>24.57</v>
      </c>
      <c r="W22">
        <f t="shared" si="7"/>
        <v>24.56</v>
      </c>
      <c r="X22">
        <f t="shared" si="7"/>
        <v>24.56</v>
      </c>
      <c r="Y22">
        <f t="shared" si="7"/>
        <v>25.17</v>
      </c>
      <c r="Z22">
        <f t="shared" si="7"/>
        <v>24.49</v>
      </c>
      <c r="AA22">
        <f t="shared" ref="AA22:BY22" si="8">ROUNDDOWN((AA5-ROUNDUP(AA5*0.1,2)-ROUNDUP(AA5*0.05,2))*0.8,2)</f>
        <v>26.05</v>
      </c>
      <c r="AB22">
        <f t="shared" si="8"/>
        <v>0</v>
      </c>
      <c r="AC22">
        <f t="shared" si="8"/>
        <v>0</v>
      </c>
      <c r="AD22">
        <f t="shared" si="8"/>
        <v>0</v>
      </c>
      <c r="AE22">
        <f t="shared" si="8"/>
        <v>0</v>
      </c>
      <c r="AF22">
        <f t="shared" si="8"/>
        <v>0</v>
      </c>
      <c r="AG22">
        <f t="shared" si="8"/>
        <v>0</v>
      </c>
      <c r="AH22">
        <f t="shared" si="8"/>
        <v>0</v>
      </c>
      <c r="AI22">
        <f t="shared" si="8"/>
        <v>0</v>
      </c>
      <c r="AJ22">
        <f t="shared" si="8"/>
        <v>0</v>
      </c>
      <c r="AK22">
        <f t="shared" si="8"/>
        <v>0</v>
      </c>
      <c r="AL22">
        <f t="shared" si="8"/>
        <v>0</v>
      </c>
      <c r="AM22">
        <f t="shared" si="8"/>
        <v>0</v>
      </c>
      <c r="AN22">
        <f t="shared" si="8"/>
        <v>0</v>
      </c>
      <c r="AO22">
        <f t="shared" si="8"/>
        <v>0</v>
      </c>
      <c r="AP22">
        <f t="shared" si="8"/>
        <v>0</v>
      </c>
      <c r="AQ22">
        <f t="shared" si="8"/>
        <v>0</v>
      </c>
      <c r="AR22">
        <f t="shared" si="8"/>
        <v>0</v>
      </c>
      <c r="AS22">
        <f t="shared" si="8"/>
        <v>0</v>
      </c>
      <c r="AT22">
        <f t="shared" si="8"/>
        <v>0</v>
      </c>
      <c r="AU22">
        <f t="shared" si="8"/>
        <v>0</v>
      </c>
      <c r="AV22">
        <f t="shared" si="8"/>
        <v>0</v>
      </c>
      <c r="AW22">
        <f t="shared" si="8"/>
        <v>0</v>
      </c>
      <c r="AX22">
        <f t="shared" si="8"/>
        <v>0</v>
      </c>
      <c r="AY22">
        <f t="shared" si="8"/>
        <v>0</v>
      </c>
      <c r="AZ22">
        <f t="shared" si="8"/>
        <v>0</v>
      </c>
      <c r="BA22">
        <f t="shared" si="8"/>
        <v>0</v>
      </c>
      <c r="BB22">
        <f t="shared" si="8"/>
        <v>0</v>
      </c>
      <c r="BC22">
        <f t="shared" si="8"/>
        <v>0</v>
      </c>
      <c r="BD22">
        <f t="shared" si="8"/>
        <v>0</v>
      </c>
      <c r="BE22">
        <f t="shared" si="8"/>
        <v>0</v>
      </c>
      <c r="BF22">
        <f t="shared" si="8"/>
        <v>0</v>
      </c>
      <c r="BG22">
        <f t="shared" si="8"/>
        <v>0</v>
      </c>
      <c r="BH22">
        <f t="shared" si="8"/>
        <v>0</v>
      </c>
      <c r="BI22">
        <f t="shared" si="8"/>
        <v>0</v>
      </c>
      <c r="BJ22">
        <f t="shared" si="8"/>
        <v>0</v>
      </c>
      <c r="BK22">
        <f t="shared" si="8"/>
        <v>0</v>
      </c>
      <c r="BL22">
        <f t="shared" si="8"/>
        <v>0</v>
      </c>
      <c r="BM22">
        <f t="shared" si="8"/>
        <v>0</v>
      </c>
      <c r="BN22">
        <f t="shared" si="8"/>
        <v>0</v>
      </c>
      <c r="BO22">
        <f t="shared" si="8"/>
        <v>0</v>
      </c>
      <c r="BP22">
        <f t="shared" si="8"/>
        <v>0</v>
      </c>
      <c r="BQ22">
        <f t="shared" si="8"/>
        <v>0</v>
      </c>
      <c r="BR22">
        <f t="shared" si="8"/>
        <v>0</v>
      </c>
      <c r="BS22">
        <f t="shared" si="8"/>
        <v>0</v>
      </c>
      <c r="BT22">
        <f t="shared" si="8"/>
        <v>0</v>
      </c>
      <c r="BU22">
        <f t="shared" si="8"/>
        <v>0</v>
      </c>
      <c r="BV22">
        <f t="shared" si="8"/>
        <v>0</v>
      </c>
      <c r="BW22">
        <f t="shared" si="8"/>
        <v>0</v>
      </c>
      <c r="BX22">
        <f t="shared" si="8"/>
        <v>0</v>
      </c>
      <c r="BY22">
        <f t="shared" si="8"/>
        <v>0</v>
      </c>
    </row>
    <row r="23" spans="1:77" x14ac:dyDescent="0.25">
      <c r="A23" s="2" t="s">
        <v>48</v>
      </c>
      <c r="B23">
        <f t="shared" ref="B23:L29" si="9">ROUNDDOWN((B6-ROUNDUP(B6*0.1,2)-ROUNDUP(B6*0.05,2))*0.8,2)</f>
        <v>9.36</v>
      </c>
      <c r="C23">
        <f t="shared" si="9"/>
        <v>9.8000000000000007</v>
      </c>
      <c r="D23">
        <f t="shared" si="9"/>
        <v>9.48</v>
      </c>
      <c r="E23">
        <f t="shared" si="9"/>
        <v>8.9600000000000009</v>
      </c>
      <c r="F23">
        <f t="shared" si="9"/>
        <v>9.7799999999999994</v>
      </c>
      <c r="G23">
        <f t="shared" si="9"/>
        <v>9.56</v>
      </c>
      <c r="H23">
        <f t="shared" si="9"/>
        <v>9.9600000000000009</v>
      </c>
      <c r="I23">
        <f t="shared" si="9"/>
        <v>9.27</v>
      </c>
      <c r="J23">
        <f t="shared" si="9"/>
        <v>9.0299999999999994</v>
      </c>
      <c r="K23">
        <f t="shared" si="9"/>
        <v>9.26</v>
      </c>
      <c r="L23">
        <f t="shared" si="9"/>
        <v>8.99</v>
      </c>
      <c r="M23">
        <f t="shared" ref="M23:Z23" si="10">ROUNDDOWN((M6-ROUNDUP(M6*0.1,2)-ROUNDUP(M6*0.05,2))*0.8,2)</f>
        <v>8.9700000000000006</v>
      </c>
      <c r="N23">
        <f t="shared" si="10"/>
        <v>9.5</v>
      </c>
      <c r="O23">
        <f t="shared" si="10"/>
        <v>9.19</v>
      </c>
      <c r="P23">
        <f t="shared" si="10"/>
        <v>9.33</v>
      </c>
      <c r="Q23">
        <f t="shared" si="10"/>
        <v>9.2899999999999991</v>
      </c>
      <c r="R23">
        <f t="shared" si="10"/>
        <v>9.4</v>
      </c>
      <c r="S23">
        <f t="shared" si="10"/>
        <v>8.8000000000000007</v>
      </c>
      <c r="T23">
        <f t="shared" si="10"/>
        <v>8.91</v>
      </c>
      <c r="U23">
        <f t="shared" si="10"/>
        <v>9.24</v>
      </c>
      <c r="V23">
        <f t="shared" si="10"/>
        <v>8.85</v>
      </c>
      <c r="W23">
        <f t="shared" si="10"/>
        <v>9.52</v>
      </c>
      <c r="X23">
        <f t="shared" si="10"/>
        <v>9.17</v>
      </c>
      <c r="Y23">
        <f t="shared" si="10"/>
        <v>9.24</v>
      </c>
      <c r="Z23">
        <f t="shared" si="10"/>
        <v>8.84</v>
      </c>
      <c r="AA23">
        <f t="shared" ref="AA23:BY23" si="11">ROUNDDOWN((AA6-ROUNDUP(AA6*0.1,2)-ROUNDUP(AA6*0.05,2))*0.8,2)</f>
        <v>8.52</v>
      </c>
      <c r="AB23">
        <f t="shared" si="11"/>
        <v>0</v>
      </c>
      <c r="AC23">
        <f t="shared" si="11"/>
        <v>0</v>
      </c>
      <c r="AD23">
        <f t="shared" si="11"/>
        <v>0</v>
      </c>
      <c r="AE23">
        <f t="shared" si="11"/>
        <v>0</v>
      </c>
      <c r="AF23">
        <f t="shared" si="11"/>
        <v>0</v>
      </c>
      <c r="AG23">
        <f t="shared" si="11"/>
        <v>0</v>
      </c>
      <c r="AH23">
        <f t="shared" si="11"/>
        <v>0</v>
      </c>
      <c r="AI23">
        <f t="shared" si="11"/>
        <v>0</v>
      </c>
      <c r="AJ23">
        <f t="shared" si="11"/>
        <v>0</v>
      </c>
      <c r="AK23">
        <f t="shared" si="11"/>
        <v>0</v>
      </c>
      <c r="AL23">
        <f t="shared" si="11"/>
        <v>0</v>
      </c>
      <c r="AM23">
        <f t="shared" si="11"/>
        <v>0</v>
      </c>
      <c r="AN23">
        <f t="shared" si="11"/>
        <v>0</v>
      </c>
      <c r="AO23">
        <f t="shared" si="11"/>
        <v>0</v>
      </c>
      <c r="AP23">
        <f t="shared" si="11"/>
        <v>0</v>
      </c>
      <c r="AQ23">
        <f t="shared" si="11"/>
        <v>0</v>
      </c>
      <c r="AR23">
        <f t="shared" si="11"/>
        <v>0</v>
      </c>
      <c r="AS23">
        <f t="shared" si="11"/>
        <v>0</v>
      </c>
      <c r="AT23">
        <f t="shared" si="11"/>
        <v>0</v>
      </c>
      <c r="AU23">
        <f t="shared" si="11"/>
        <v>0</v>
      </c>
      <c r="AV23">
        <f t="shared" si="11"/>
        <v>0</v>
      </c>
      <c r="AW23">
        <f t="shared" si="11"/>
        <v>0</v>
      </c>
      <c r="AX23">
        <f t="shared" si="11"/>
        <v>0</v>
      </c>
      <c r="AY23">
        <f t="shared" si="11"/>
        <v>0</v>
      </c>
      <c r="AZ23">
        <f t="shared" si="11"/>
        <v>0</v>
      </c>
      <c r="BA23">
        <f t="shared" si="11"/>
        <v>0</v>
      </c>
      <c r="BB23">
        <f t="shared" si="11"/>
        <v>0</v>
      </c>
      <c r="BC23">
        <f t="shared" si="11"/>
        <v>0</v>
      </c>
      <c r="BD23">
        <f t="shared" si="11"/>
        <v>0</v>
      </c>
      <c r="BE23">
        <f t="shared" si="11"/>
        <v>0</v>
      </c>
      <c r="BF23">
        <f t="shared" si="11"/>
        <v>0</v>
      </c>
      <c r="BG23">
        <f t="shared" si="11"/>
        <v>0</v>
      </c>
      <c r="BH23">
        <f t="shared" si="11"/>
        <v>0</v>
      </c>
      <c r="BI23">
        <f t="shared" si="11"/>
        <v>0</v>
      </c>
      <c r="BJ23">
        <f t="shared" si="11"/>
        <v>0</v>
      </c>
      <c r="BK23">
        <f t="shared" si="11"/>
        <v>0</v>
      </c>
      <c r="BL23">
        <f t="shared" si="11"/>
        <v>0</v>
      </c>
      <c r="BM23">
        <f t="shared" si="11"/>
        <v>0</v>
      </c>
      <c r="BN23">
        <f t="shared" si="11"/>
        <v>0</v>
      </c>
      <c r="BO23">
        <f t="shared" si="11"/>
        <v>0</v>
      </c>
      <c r="BP23">
        <f t="shared" si="11"/>
        <v>0</v>
      </c>
      <c r="BQ23">
        <f t="shared" si="11"/>
        <v>0</v>
      </c>
      <c r="BR23">
        <f t="shared" si="11"/>
        <v>0</v>
      </c>
      <c r="BS23">
        <f t="shared" si="11"/>
        <v>0</v>
      </c>
      <c r="BT23">
        <f t="shared" si="11"/>
        <v>0</v>
      </c>
      <c r="BU23">
        <f t="shared" si="11"/>
        <v>0</v>
      </c>
      <c r="BV23">
        <f t="shared" si="11"/>
        <v>0</v>
      </c>
      <c r="BW23">
        <f t="shared" si="11"/>
        <v>0</v>
      </c>
      <c r="BX23">
        <f t="shared" si="11"/>
        <v>0</v>
      </c>
      <c r="BY23">
        <f t="shared" si="11"/>
        <v>0</v>
      </c>
    </row>
    <row r="24" spans="1:77" x14ac:dyDescent="0.25">
      <c r="A24" s="2" t="s">
        <v>49</v>
      </c>
      <c r="B24">
        <f t="shared" si="9"/>
        <v>11.76</v>
      </c>
      <c r="C24">
        <f t="shared" si="9"/>
        <v>11.14</v>
      </c>
      <c r="D24">
        <f t="shared" si="9"/>
        <v>12.75</v>
      </c>
      <c r="E24">
        <f t="shared" si="9"/>
        <v>12.39</v>
      </c>
      <c r="F24">
        <f t="shared" si="9"/>
        <v>12.42</v>
      </c>
      <c r="G24">
        <f t="shared" si="9"/>
        <v>11.89</v>
      </c>
      <c r="H24">
        <f t="shared" si="9"/>
        <v>11.67</v>
      </c>
      <c r="I24">
        <f t="shared" si="9"/>
        <v>12.52</v>
      </c>
      <c r="J24">
        <f t="shared" si="9"/>
        <v>12.2</v>
      </c>
      <c r="K24">
        <f t="shared" si="9"/>
        <v>12.7</v>
      </c>
      <c r="L24">
        <f t="shared" si="9"/>
        <v>11.72</v>
      </c>
      <c r="M24">
        <f t="shared" ref="M24:Z24" si="12">ROUNDDOWN((M7-ROUNDUP(M7*0.1,2)-ROUNDUP(M7*0.05,2))*0.8,2)</f>
        <v>12.5</v>
      </c>
      <c r="N24">
        <f t="shared" si="12"/>
        <v>12.47</v>
      </c>
      <c r="O24">
        <f t="shared" si="12"/>
        <v>12.84</v>
      </c>
      <c r="P24">
        <f t="shared" si="12"/>
        <v>12.01</v>
      </c>
      <c r="Q24">
        <f t="shared" si="12"/>
        <v>12.4</v>
      </c>
      <c r="R24">
        <f t="shared" si="12"/>
        <v>12.44</v>
      </c>
      <c r="S24">
        <f t="shared" si="12"/>
        <v>12.4</v>
      </c>
      <c r="T24">
        <f t="shared" si="12"/>
        <v>12.14</v>
      </c>
      <c r="U24">
        <f t="shared" si="12"/>
        <v>12.36</v>
      </c>
      <c r="V24">
        <f t="shared" si="12"/>
        <v>12.76</v>
      </c>
      <c r="W24">
        <f t="shared" si="12"/>
        <v>12.2</v>
      </c>
      <c r="X24">
        <f t="shared" si="12"/>
        <v>11.54</v>
      </c>
      <c r="Y24">
        <f t="shared" si="12"/>
        <v>11.59</v>
      </c>
      <c r="Z24">
        <f t="shared" si="12"/>
        <v>11.72</v>
      </c>
      <c r="AA24">
        <f t="shared" ref="AA24:BY24" si="13">ROUNDDOWN((AA7-ROUNDUP(AA7*0.1,2)-ROUNDUP(AA7*0.05,2))*0.8,2)</f>
        <v>12.09</v>
      </c>
      <c r="AB24">
        <f t="shared" si="13"/>
        <v>0</v>
      </c>
      <c r="AC24">
        <f t="shared" si="13"/>
        <v>0</v>
      </c>
      <c r="AD24">
        <f t="shared" si="13"/>
        <v>0</v>
      </c>
      <c r="AE24">
        <f t="shared" si="13"/>
        <v>0</v>
      </c>
      <c r="AF24">
        <f t="shared" si="13"/>
        <v>0</v>
      </c>
      <c r="AG24">
        <f t="shared" si="13"/>
        <v>0</v>
      </c>
      <c r="AH24">
        <f t="shared" si="13"/>
        <v>0</v>
      </c>
      <c r="AI24">
        <f t="shared" si="13"/>
        <v>0</v>
      </c>
      <c r="AJ24">
        <f t="shared" si="13"/>
        <v>0</v>
      </c>
      <c r="AK24">
        <f t="shared" si="13"/>
        <v>0</v>
      </c>
      <c r="AL24">
        <f t="shared" si="13"/>
        <v>0</v>
      </c>
      <c r="AM24">
        <f t="shared" si="13"/>
        <v>0</v>
      </c>
      <c r="AN24">
        <f t="shared" si="13"/>
        <v>0</v>
      </c>
      <c r="AO24">
        <f t="shared" si="13"/>
        <v>0</v>
      </c>
      <c r="AP24">
        <f t="shared" si="13"/>
        <v>0</v>
      </c>
      <c r="AQ24">
        <f t="shared" si="13"/>
        <v>0</v>
      </c>
      <c r="AR24">
        <f t="shared" si="13"/>
        <v>0</v>
      </c>
      <c r="AS24">
        <f t="shared" si="13"/>
        <v>0</v>
      </c>
      <c r="AT24">
        <f t="shared" si="13"/>
        <v>0</v>
      </c>
      <c r="AU24">
        <f t="shared" si="13"/>
        <v>0</v>
      </c>
      <c r="AV24">
        <f t="shared" si="13"/>
        <v>0</v>
      </c>
      <c r="AW24">
        <f t="shared" si="13"/>
        <v>0</v>
      </c>
      <c r="AX24">
        <f t="shared" si="13"/>
        <v>0</v>
      </c>
      <c r="AY24">
        <f t="shared" si="13"/>
        <v>0</v>
      </c>
      <c r="AZ24">
        <f t="shared" si="13"/>
        <v>0</v>
      </c>
      <c r="BA24">
        <f t="shared" si="13"/>
        <v>0</v>
      </c>
      <c r="BB24">
        <f t="shared" si="13"/>
        <v>0</v>
      </c>
      <c r="BC24">
        <f t="shared" si="13"/>
        <v>0</v>
      </c>
      <c r="BD24">
        <f t="shared" si="13"/>
        <v>0</v>
      </c>
      <c r="BE24">
        <f t="shared" si="13"/>
        <v>0</v>
      </c>
      <c r="BF24">
        <f t="shared" si="13"/>
        <v>0</v>
      </c>
      <c r="BG24">
        <f t="shared" si="13"/>
        <v>0</v>
      </c>
      <c r="BH24">
        <f t="shared" si="13"/>
        <v>0</v>
      </c>
      <c r="BI24">
        <f t="shared" si="13"/>
        <v>0</v>
      </c>
      <c r="BJ24">
        <f t="shared" si="13"/>
        <v>0</v>
      </c>
      <c r="BK24">
        <f t="shared" si="13"/>
        <v>0</v>
      </c>
      <c r="BL24">
        <f t="shared" si="13"/>
        <v>0</v>
      </c>
      <c r="BM24">
        <f t="shared" si="13"/>
        <v>0</v>
      </c>
      <c r="BN24">
        <f t="shared" si="13"/>
        <v>0</v>
      </c>
      <c r="BO24">
        <f t="shared" si="13"/>
        <v>0</v>
      </c>
      <c r="BP24">
        <f t="shared" si="13"/>
        <v>0</v>
      </c>
      <c r="BQ24">
        <f t="shared" si="13"/>
        <v>0</v>
      </c>
      <c r="BR24">
        <f t="shared" si="13"/>
        <v>0</v>
      </c>
      <c r="BS24">
        <f t="shared" si="13"/>
        <v>0</v>
      </c>
      <c r="BT24">
        <f t="shared" si="13"/>
        <v>0</v>
      </c>
      <c r="BU24">
        <f t="shared" si="13"/>
        <v>0</v>
      </c>
      <c r="BV24">
        <f t="shared" si="13"/>
        <v>0</v>
      </c>
      <c r="BW24">
        <f t="shared" si="13"/>
        <v>0</v>
      </c>
      <c r="BX24">
        <f t="shared" si="13"/>
        <v>0</v>
      </c>
      <c r="BY24">
        <f t="shared" si="13"/>
        <v>0</v>
      </c>
    </row>
    <row r="25" spans="1:77" x14ac:dyDescent="0.25">
      <c r="A25" s="2" t="s">
        <v>50</v>
      </c>
      <c r="B25">
        <f t="shared" si="9"/>
        <v>4.68</v>
      </c>
      <c r="C25">
        <f t="shared" si="9"/>
        <v>5</v>
      </c>
      <c r="D25">
        <f t="shared" si="9"/>
        <v>4.75</v>
      </c>
      <c r="E25">
        <f t="shared" si="9"/>
        <v>4.66</v>
      </c>
      <c r="F25">
        <f t="shared" si="9"/>
        <v>4.62</v>
      </c>
      <c r="G25">
        <f t="shared" si="9"/>
        <v>4.79</v>
      </c>
      <c r="H25">
        <f t="shared" si="9"/>
        <v>4.57</v>
      </c>
      <c r="I25">
        <f t="shared" si="9"/>
        <v>4.7699999999999996</v>
      </c>
      <c r="J25">
        <f t="shared" si="9"/>
        <v>4.75</v>
      </c>
      <c r="K25">
        <f t="shared" si="9"/>
        <v>4.84</v>
      </c>
      <c r="L25">
        <f t="shared" si="9"/>
        <v>4.53</v>
      </c>
      <c r="M25">
        <f t="shared" ref="M25:Z25" si="14">ROUNDDOWN((M8-ROUNDUP(M8*0.1,2)-ROUNDUP(M8*0.05,2))*0.8,2)</f>
        <v>4.6399999999999997</v>
      </c>
      <c r="N25">
        <f t="shared" si="14"/>
        <v>4.74</v>
      </c>
      <c r="O25">
        <f t="shared" si="14"/>
        <v>4.76</v>
      </c>
      <c r="P25">
        <f t="shared" si="14"/>
        <v>4.4000000000000004</v>
      </c>
      <c r="Q25">
        <f t="shared" si="14"/>
        <v>4.49</v>
      </c>
      <c r="R25">
        <f t="shared" si="14"/>
        <v>4.5</v>
      </c>
      <c r="S25">
        <f t="shared" si="14"/>
        <v>4.79</v>
      </c>
      <c r="T25">
        <f t="shared" si="14"/>
        <v>4.47</v>
      </c>
      <c r="U25">
        <f t="shared" si="14"/>
        <v>4.41</v>
      </c>
      <c r="V25">
        <f t="shared" si="14"/>
        <v>4.4800000000000004</v>
      </c>
      <c r="W25">
        <f t="shared" si="14"/>
        <v>4.76</v>
      </c>
      <c r="X25">
        <f t="shared" si="14"/>
        <v>4.4800000000000004</v>
      </c>
      <c r="Y25">
        <f t="shared" si="14"/>
        <v>4.74</v>
      </c>
      <c r="Z25">
        <f t="shared" si="14"/>
        <v>4.59</v>
      </c>
      <c r="AA25">
        <f t="shared" ref="AA25:BY25" si="15">ROUNDDOWN((AA8-ROUNDUP(AA8*0.1,2)-ROUNDUP(AA8*0.05,2))*0.8,2)</f>
        <v>4.58</v>
      </c>
      <c r="AB25">
        <f t="shared" si="15"/>
        <v>0</v>
      </c>
      <c r="AC25">
        <f t="shared" si="15"/>
        <v>0</v>
      </c>
      <c r="AD25">
        <f t="shared" si="15"/>
        <v>0</v>
      </c>
      <c r="AE25">
        <f t="shared" si="15"/>
        <v>0</v>
      </c>
      <c r="AF25">
        <f t="shared" si="15"/>
        <v>0</v>
      </c>
      <c r="AG25">
        <f t="shared" si="15"/>
        <v>0</v>
      </c>
      <c r="AH25">
        <f t="shared" si="15"/>
        <v>0</v>
      </c>
      <c r="AI25">
        <f t="shared" si="15"/>
        <v>0</v>
      </c>
      <c r="AJ25">
        <f t="shared" si="15"/>
        <v>0</v>
      </c>
      <c r="AK25">
        <f t="shared" si="15"/>
        <v>0</v>
      </c>
      <c r="AL25">
        <f t="shared" si="15"/>
        <v>0</v>
      </c>
      <c r="AM25">
        <f t="shared" si="15"/>
        <v>0</v>
      </c>
      <c r="AN25">
        <f t="shared" si="15"/>
        <v>0</v>
      </c>
      <c r="AO25">
        <f t="shared" si="15"/>
        <v>0</v>
      </c>
      <c r="AP25">
        <f t="shared" si="15"/>
        <v>0</v>
      </c>
      <c r="AQ25">
        <f t="shared" si="15"/>
        <v>0</v>
      </c>
      <c r="AR25">
        <f t="shared" si="15"/>
        <v>0</v>
      </c>
      <c r="AS25">
        <f t="shared" si="15"/>
        <v>0</v>
      </c>
      <c r="AT25">
        <f t="shared" si="15"/>
        <v>0</v>
      </c>
      <c r="AU25">
        <f t="shared" si="15"/>
        <v>0</v>
      </c>
      <c r="AV25">
        <f t="shared" si="15"/>
        <v>0</v>
      </c>
      <c r="AW25">
        <f t="shared" si="15"/>
        <v>0</v>
      </c>
      <c r="AX25">
        <f t="shared" si="15"/>
        <v>0</v>
      </c>
      <c r="AY25">
        <f t="shared" si="15"/>
        <v>0</v>
      </c>
      <c r="AZ25">
        <f t="shared" si="15"/>
        <v>0</v>
      </c>
      <c r="BA25">
        <f t="shared" si="15"/>
        <v>0</v>
      </c>
      <c r="BB25">
        <f t="shared" si="15"/>
        <v>0</v>
      </c>
      <c r="BC25">
        <f t="shared" si="15"/>
        <v>0</v>
      </c>
      <c r="BD25">
        <f t="shared" si="15"/>
        <v>0</v>
      </c>
      <c r="BE25">
        <f t="shared" si="15"/>
        <v>0</v>
      </c>
      <c r="BF25">
        <f t="shared" si="15"/>
        <v>0</v>
      </c>
      <c r="BG25">
        <f t="shared" si="15"/>
        <v>0</v>
      </c>
      <c r="BH25">
        <f t="shared" si="15"/>
        <v>0</v>
      </c>
      <c r="BI25">
        <f t="shared" si="15"/>
        <v>0</v>
      </c>
      <c r="BJ25">
        <f t="shared" si="15"/>
        <v>0</v>
      </c>
      <c r="BK25">
        <f t="shared" si="15"/>
        <v>0</v>
      </c>
      <c r="BL25">
        <f t="shared" si="15"/>
        <v>0</v>
      </c>
      <c r="BM25">
        <f t="shared" si="15"/>
        <v>0</v>
      </c>
      <c r="BN25">
        <f t="shared" si="15"/>
        <v>0</v>
      </c>
      <c r="BO25">
        <f t="shared" si="15"/>
        <v>0</v>
      </c>
      <c r="BP25">
        <f t="shared" si="15"/>
        <v>0</v>
      </c>
      <c r="BQ25">
        <f t="shared" si="15"/>
        <v>0</v>
      </c>
      <c r="BR25">
        <f t="shared" si="15"/>
        <v>0</v>
      </c>
      <c r="BS25">
        <f t="shared" si="15"/>
        <v>0</v>
      </c>
      <c r="BT25">
        <f t="shared" si="15"/>
        <v>0</v>
      </c>
      <c r="BU25">
        <f t="shared" si="15"/>
        <v>0</v>
      </c>
      <c r="BV25">
        <f t="shared" si="15"/>
        <v>0</v>
      </c>
      <c r="BW25">
        <f t="shared" si="15"/>
        <v>0</v>
      </c>
      <c r="BX25">
        <f t="shared" si="15"/>
        <v>0</v>
      </c>
      <c r="BY25">
        <f t="shared" si="15"/>
        <v>0</v>
      </c>
    </row>
    <row r="26" spans="1:77" x14ac:dyDescent="0.25">
      <c r="A26" s="2" t="s">
        <v>51</v>
      </c>
      <c r="B26">
        <f t="shared" si="9"/>
        <v>18.25</v>
      </c>
      <c r="C26">
        <f t="shared" si="9"/>
        <v>17.62</v>
      </c>
      <c r="D26">
        <f t="shared" si="9"/>
        <v>17.13</v>
      </c>
      <c r="E26">
        <f t="shared" si="9"/>
        <v>17.84</v>
      </c>
      <c r="F26">
        <f t="shared" si="9"/>
        <v>17.88</v>
      </c>
      <c r="G26">
        <f t="shared" si="9"/>
        <v>18.28</v>
      </c>
      <c r="H26">
        <f t="shared" si="9"/>
        <v>16.89</v>
      </c>
      <c r="I26">
        <f t="shared" si="9"/>
        <v>18.559999999999999</v>
      </c>
      <c r="J26">
        <f t="shared" si="9"/>
        <v>17.12</v>
      </c>
      <c r="K26">
        <f t="shared" si="9"/>
        <v>17.739999999999998</v>
      </c>
      <c r="L26">
        <f t="shared" si="9"/>
        <v>18.63</v>
      </c>
      <c r="M26">
        <f t="shared" ref="M26:Z26" si="16">ROUNDDOWN((M9-ROUNDUP(M9*0.1,2)-ROUNDUP(M9*0.05,2))*0.8,2)</f>
        <v>18.579999999999998</v>
      </c>
      <c r="N26">
        <f t="shared" si="16"/>
        <v>18.57</v>
      </c>
      <c r="O26">
        <f t="shared" si="16"/>
        <v>19.38</v>
      </c>
      <c r="P26">
        <f t="shared" si="16"/>
        <v>19.43</v>
      </c>
      <c r="Q26">
        <f t="shared" si="16"/>
        <v>19.77</v>
      </c>
      <c r="R26">
        <f t="shared" si="16"/>
        <v>20.04</v>
      </c>
      <c r="S26">
        <f t="shared" si="16"/>
        <v>19.07</v>
      </c>
      <c r="T26">
        <f t="shared" si="16"/>
        <v>22.37</v>
      </c>
      <c r="U26">
        <f t="shared" si="16"/>
        <v>26.05</v>
      </c>
      <c r="V26">
        <f t="shared" si="16"/>
        <v>24.27</v>
      </c>
      <c r="W26">
        <f t="shared" si="16"/>
        <v>21.39</v>
      </c>
      <c r="X26">
        <f t="shared" si="16"/>
        <v>21.16</v>
      </c>
      <c r="Y26">
        <f t="shared" si="16"/>
        <v>21.44</v>
      </c>
      <c r="Z26">
        <f t="shared" si="16"/>
        <v>21.18</v>
      </c>
      <c r="AA26">
        <f t="shared" ref="AA26:BY26" si="17">ROUNDDOWN((AA9-ROUNDUP(AA9*0.1,2)-ROUNDUP(AA9*0.05,2))*0.8,2)</f>
        <v>20.77</v>
      </c>
      <c r="AB26">
        <f t="shared" si="17"/>
        <v>0</v>
      </c>
      <c r="AC26">
        <f t="shared" si="17"/>
        <v>0</v>
      </c>
      <c r="AD26">
        <f t="shared" si="17"/>
        <v>0</v>
      </c>
      <c r="AE26">
        <f t="shared" si="17"/>
        <v>0</v>
      </c>
      <c r="AF26">
        <f t="shared" si="17"/>
        <v>0</v>
      </c>
      <c r="AG26">
        <f t="shared" si="17"/>
        <v>0</v>
      </c>
      <c r="AH26">
        <f t="shared" si="17"/>
        <v>0</v>
      </c>
      <c r="AI26">
        <f t="shared" si="17"/>
        <v>0</v>
      </c>
      <c r="AJ26">
        <f t="shared" si="17"/>
        <v>0</v>
      </c>
      <c r="AK26">
        <f t="shared" si="17"/>
        <v>0</v>
      </c>
      <c r="AL26">
        <f t="shared" si="17"/>
        <v>0</v>
      </c>
      <c r="AM26">
        <f t="shared" si="17"/>
        <v>0</v>
      </c>
      <c r="AN26">
        <f t="shared" si="17"/>
        <v>0</v>
      </c>
      <c r="AO26">
        <f t="shared" si="17"/>
        <v>0</v>
      </c>
      <c r="AP26">
        <f t="shared" si="17"/>
        <v>0</v>
      </c>
      <c r="AQ26">
        <f t="shared" si="17"/>
        <v>0</v>
      </c>
      <c r="AR26">
        <f t="shared" si="17"/>
        <v>0</v>
      </c>
      <c r="AS26">
        <f t="shared" si="17"/>
        <v>0</v>
      </c>
      <c r="AT26">
        <f t="shared" si="17"/>
        <v>0</v>
      </c>
      <c r="AU26">
        <f t="shared" si="17"/>
        <v>0</v>
      </c>
      <c r="AV26">
        <f t="shared" si="17"/>
        <v>0</v>
      </c>
      <c r="AW26">
        <f t="shared" si="17"/>
        <v>0</v>
      </c>
      <c r="AX26">
        <f t="shared" si="17"/>
        <v>0</v>
      </c>
      <c r="AY26">
        <f t="shared" si="17"/>
        <v>0</v>
      </c>
      <c r="AZ26">
        <f t="shared" si="17"/>
        <v>0</v>
      </c>
      <c r="BA26">
        <f t="shared" si="17"/>
        <v>0</v>
      </c>
      <c r="BB26">
        <f t="shared" si="17"/>
        <v>0</v>
      </c>
      <c r="BC26">
        <f t="shared" si="17"/>
        <v>0</v>
      </c>
      <c r="BD26">
        <f t="shared" si="17"/>
        <v>0</v>
      </c>
      <c r="BE26">
        <f t="shared" si="17"/>
        <v>0</v>
      </c>
      <c r="BF26">
        <f t="shared" si="17"/>
        <v>0</v>
      </c>
      <c r="BG26">
        <f t="shared" si="17"/>
        <v>0</v>
      </c>
      <c r="BH26">
        <f t="shared" si="17"/>
        <v>0</v>
      </c>
      <c r="BI26">
        <f t="shared" si="17"/>
        <v>0</v>
      </c>
      <c r="BJ26">
        <f t="shared" si="17"/>
        <v>0</v>
      </c>
      <c r="BK26">
        <f t="shared" si="17"/>
        <v>0</v>
      </c>
      <c r="BL26">
        <f t="shared" si="17"/>
        <v>0</v>
      </c>
      <c r="BM26">
        <f t="shared" si="17"/>
        <v>0</v>
      </c>
      <c r="BN26">
        <f t="shared" si="17"/>
        <v>0</v>
      </c>
      <c r="BO26">
        <f t="shared" si="17"/>
        <v>0</v>
      </c>
      <c r="BP26">
        <f t="shared" si="17"/>
        <v>0</v>
      </c>
      <c r="BQ26">
        <f t="shared" si="17"/>
        <v>0</v>
      </c>
      <c r="BR26">
        <f t="shared" si="17"/>
        <v>0</v>
      </c>
      <c r="BS26">
        <f t="shared" si="17"/>
        <v>0</v>
      </c>
      <c r="BT26">
        <f t="shared" si="17"/>
        <v>0</v>
      </c>
      <c r="BU26">
        <f t="shared" si="17"/>
        <v>0</v>
      </c>
      <c r="BV26">
        <f t="shared" si="17"/>
        <v>0</v>
      </c>
      <c r="BW26">
        <f t="shared" si="17"/>
        <v>0</v>
      </c>
      <c r="BX26">
        <f t="shared" si="17"/>
        <v>0</v>
      </c>
      <c r="BY26">
        <f t="shared" si="17"/>
        <v>0</v>
      </c>
    </row>
    <row r="27" spans="1:77" x14ac:dyDescent="0.25">
      <c r="A27" s="2" t="s">
        <v>52</v>
      </c>
      <c r="B27">
        <f t="shared" si="9"/>
        <v>19.760000000000002</v>
      </c>
      <c r="C27">
        <f t="shared" si="9"/>
        <v>19.96</v>
      </c>
      <c r="D27">
        <f t="shared" si="9"/>
        <v>18.21</v>
      </c>
      <c r="E27">
        <f t="shared" si="9"/>
        <v>18.690000000000001</v>
      </c>
      <c r="F27">
        <f t="shared" si="9"/>
        <v>18.52</v>
      </c>
      <c r="G27">
        <f t="shared" si="9"/>
        <v>19.61</v>
      </c>
      <c r="H27">
        <f t="shared" si="9"/>
        <v>18.55</v>
      </c>
      <c r="I27">
        <f t="shared" si="9"/>
        <v>17.55</v>
      </c>
      <c r="J27">
        <f t="shared" si="9"/>
        <v>17.79</v>
      </c>
      <c r="K27">
        <f t="shared" si="9"/>
        <v>17.48</v>
      </c>
      <c r="L27">
        <f t="shared" si="9"/>
        <v>18.63</v>
      </c>
      <c r="M27">
        <f t="shared" ref="M27:Z27" si="18">ROUNDDOWN((M10-ROUNDUP(M10*0.1,2)-ROUNDUP(M10*0.05,2))*0.8,2)</f>
        <v>17.63</v>
      </c>
      <c r="N27">
        <f t="shared" si="18"/>
        <v>17.690000000000001</v>
      </c>
      <c r="O27">
        <f t="shared" si="18"/>
        <v>17.16</v>
      </c>
      <c r="P27">
        <f t="shared" si="18"/>
        <v>18.63</v>
      </c>
      <c r="Q27">
        <f t="shared" si="18"/>
        <v>18.47</v>
      </c>
      <c r="R27">
        <f t="shared" si="18"/>
        <v>17.68</v>
      </c>
      <c r="S27">
        <f t="shared" si="18"/>
        <v>17.850000000000001</v>
      </c>
      <c r="T27">
        <f t="shared" si="18"/>
        <v>18.91</v>
      </c>
      <c r="U27">
        <f t="shared" si="18"/>
        <v>18.350000000000001</v>
      </c>
      <c r="V27">
        <f t="shared" si="18"/>
        <v>17.559999999999999</v>
      </c>
      <c r="W27">
        <f t="shared" si="18"/>
        <v>19.100000000000001</v>
      </c>
      <c r="X27">
        <f t="shared" si="18"/>
        <v>17.920000000000002</v>
      </c>
      <c r="Y27">
        <f t="shared" si="18"/>
        <v>18.079999999999998</v>
      </c>
      <c r="Z27">
        <f t="shared" si="18"/>
        <v>17.13</v>
      </c>
      <c r="AA27">
        <f t="shared" ref="AA27:BY27" si="19">ROUNDDOWN((AA10-ROUNDUP(AA10*0.1,2)-ROUNDUP(AA10*0.05,2))*0.8,2)</f>
        <v>16.440000000000001</v>
      </c>
      <c r="AB27">
        <f t="shared" si="19"/>
        <v>0</v>
      </c>
      <c r="AC27">
        <f t="shared" si="19"/>
        <v>0</v>
      </c>
      <c r="AD27">
        <f t="shared" si="19"/>
        <v>0</v>
      </c>
      <c r="AE27">
        <f t="shared" si="19"/>
        <v>0</v>
      </c>
      <c r="AF27">
        <f t="shared" si="19"/>
        <v>0</v>
      </c>
      <c r="AG27">
        <f t="shared" si="19"/>
        <v>0</v>
      </c>
      <c r="AH27">
        <f t="shared" si="19"/>
        <v>0</v>
      </c>
      <c r="AI27">
        <f t="shared" si="19"/>
        <v>0</v>
      </c>
      <c r="AJ27">
        <f t="shared" si="19"/>
        <v>0</v>
      </c>
      <c r="AK27">
        <f t="shared" si="19"/>
        <v>0</v>
      </c>
      <c r="AL27">
        <f t="shared" si="19"/>
        <v>0</v>
      </c>
      <c r="AM27">
        <f t="shared" si="19"/>
        <v>0</v>
      </c>
      <c r="AN27">
        <f t="shared" si="19"/>
        <v>0</v>
      </c>
      <c r="AO27">
        <f t="shared" si="19"/>
        <v>0</v>
      </c>
      <c r="AP27">
        <f t="shared" si="19"/>
        <v>0</v>
      </c>
      <c r="AQ27">
        <f t="shared" si="19"/>
        <v>0</v>
      </c>
      <c r="AR27">
        <f t="shared" si="19"/>
        <v>0</v>
      </c>
      <c r="AS27">
        <f t="shared" si="19"/>
        <v>0</v>
      </c>
      <c r="AT27">
        <f t="shared" si="19"/>
        <v>0</v>
      </c>
      <c r="AU27">
        <f t="shared" si="19"/>
        <v>0</v>
      </c>
      <c r="AV27">
        <f t="shared" si="19"/>
        <v>0</v>
      </c>
      <c r="AW27">
        <f t="shared" si="19"/>
        <v>0</v>
      </c>
      <c r="AX27">
        <f t="shared" si="19"/>
        <v>0</v>
      </c>
      <c r="AY27">
        <f t="shared" si="19"/>
        <v>0</v>
      </c>
      <c r="AZ27">
        <f t="shared" si="19"/>
        <v>0</v>
      </c>
      <c r="BA27">
        <f t="shared" si="19"/>
        <v>0</v>
      </c>
      <c r="BB27">
        <f t="shared" si="19"/>
        <v>0</v>
      </c>
      <c r="BC27">
        <f t="shared" si="19"/>
        <v>0</v>
      </c>
      <c r="BD27">
        <f t="shared" si="19"/>
        <v>0</v>
      </c>
      <c r="BE27">
        <f t="shared" si="19"/>
        <v>0</v>
      </c>
      <c r="BF27">
        <f t="shared" si="19"/>
        <v>0</v>
      </c>
      <c r="BG27">
        <f t="shared" si="19"/>
        <v>0</v>
      </c>
      <c r="BH27">
        <f t="shared" si="19"/>
        <v>0</v>
      </c>
      <c r="BI27">
        <f t="shared" si="19"/>
        <v>0</v>
      </c>
      <c r="BJ27">
        <f t="shared" si="19"/>
        <v>0</v>
      </c>
      <c r="BK27">
        <f t="shared" si="19"/>
        <v>0</v>
      </c>
      <c r="BL27">
        <f t="shared" si="19"/>
        <v>0</v>
      </c>
      <c r="BM27">
        <f t="shared" si="19"/>
        <v>0</v>
      </c>
      <c r="BN27">
        <f t="shared" si="19"/>
        <v>0</v>
      </c>
      <c r="BO27">
        <f t="shared" si="19"/>
        <v>0</v>
      </c>
      <c r="BP27">
        <f t="shared" si="19"/>
        <v>0</v>
      </c>
      <c r="BQ27">
        <f t="shared" si="19"/>
        <v>0</v>
      </c>
      <c r="BR27">
        <f t="shared" si="19"/>
        <v>0</v>
      </c>
      <c r="BS27">
        <f t="shared" si="19"/>
        <v>0</v>
      </c>
      <c r="BT27">
        <f t="shared" si="19"/>
        <v>0</v>
      </c>
      <c r="BU27">
        <f t="shared" si="19"/>
        <v>0</v>
      </c>
      <c r="BV27">
        <f t="shared" si="19"/>
        <v>0</v>
      </c>
      <c r="BW27">
        <f t="shared" si="19"/>
        <v>0</v>
      </c>
      <c r="BX27">
        <f t="shared" si="19"/>
        <v>0</v>
      </c>
      <c r="BY27">
        <f t="shared" si="19"/>
        <v>0</v>
      </c>
    </row>
    <row r="28" spans="1:77" x14ac:dyDescent="0.25">
      <c r="A28" s="2" t="s">
        <v>53</v>
      </c>
      <c r="B28">
        <f t="shared" si="9"/>
        <v>9.86</v>
      </c>
      <c r="C28">
        <f t="shared" si="9"/>
        <v>9.01</v>
      </c>
      <c r="D28">
        <f t="shared" si="9"/>
        <v>9</v>
      </c>
      <c r="E28">
        <f t="shared" si="9"/>
        <v>9.58</v>
      </c>
      <c r="F28">
        <f t="shared" si="9"/>
        <v>9.5500000000000007</v>
      </c>
      <c r="G28">
        <f t="shared" si="9"/>
        <v>9.69</v>
      </c>
      <c r="H28">
        <f t="shared" si="9"/>
        <v>9.4</v>
      </c>
      <c r="I28">
        <f t="shared" si="9"/>
        <v>9.06</v>
      </c>
      <c r="J28">
        <f t="shared" si="9"/>
        <v>8.48</v>
      </c>
      <c r="K28">
        <f t="shared" si="9"/>
        <v>8.7200000000000006</v>
      </c>
      <c r="L28">
        <f t="shared" si="9"/>
        <v>8.48</v>
      </c>
      <c r="M28">
        <f t="shared" ref="M28:Z28" si="20">ROUNDDOWN((M11-ROUNDUP(M11*0.1,2)-ROUNDUP(M11*0.05,2))*0.8,2)</f>
        <v>9.17</v>
      </c>
      <c r="N28">
        <f t="shared" si="20"/>
        <v>9.1999999999999993</v>
      </c>
      <c r="O28">
        <f t="shared" si="20"/>
        <v>9.1999999999999993</v>
      </c>
      <c r="P28">
        <f t="shared" si="20"/>
        <v>9.65</v>
      </c>
      <c r="Q28">
        <f t="shared" si="20"/>
        <v>9.1999999999999993</v>
      </c>
      <c r="R28">
        <f t="shared" si="20"/>
        <v>8.9600000000000009</v>
      </c>
      <c r="S28">
        <f t="shared" si="20"/>
        <v>9.2799999999999994</v>
      </c>
      <c r="T28">
        <f t="shared" si="20"/>
        <v>8.6199999999999992</v>
      </c>
      <c r="U28">
        <f t="shared" si="20"/>
        <v>9.2799999999999994</v>
      </c>
      <c r="V28">
        <f t="shared" si="20"/>
        <v>9.01</v>
      </c>
      <c r="W28">
        <f t="shared" si="20"/>
        <v>9.25</v>
      </c>
      <c r="X28">
        <f t="shared" si="20"/>
        <v>9.26</v>
      </c>
      <c r="Y28">
        <f t="shared" si="20"/>
        <v>9.2799999999999994</v>
      </c>
      <c r="Z28">
        <f t="shared" si="20"/>
        <v>9.3000000000000007</v>
      </c>
      <c r="AA28">
        <f t="shared" ref="AA28:BY28" si="21">ROUNDDOWN((AA11-ROUNDUP(AA11*0.1,2)-ROUNDUP(AA11*0.05,2))*0.8,2)</f>
        <v>9.2899999999999991</v>
      </c>
      <c r="AB28">
        <f t="shared" si="21"/>
        <v>0</v>
      </c>
      <c r="AC28">
        <f t="shared" si="21"/>
        <v>0</v>
      </c>
      <c r="AD28">
        <f t="shared" si="21"/>
        <v>0</v>
      </c>
      <c r="AE28">
        <f t="shared" si="21"/>
        <v>0</v>
      </c>
      <c r="AF28">
        <f t="shared" si="21"/>
        <v>0</v>
      </c>
      <c r="AG28">
        <f t="shared" si="21"/>
        <v>0</v>
      </c>
      <c r="AH28">
        <f t="shared" si="21"/>
        <v>0</v>
      </c>
      <c r="AI28">
        <f t="shared" si="21"/>
        <v>0</v>
      </c>
      <c r="AJ28">
        <f t="shared" si="21"/>
        <v>0</v>
      </c>
      <c r="AK28">
        <f t="shared" si="21"/>
        <v>0</v>
      </c>
      <c r="AL28">
        <f t="shared" si="21"/>
        <v>0</v>
      </c>
      <c r="AM28">
        <f t="shared" si="21"/>
        <v>0</v>
      </c>
      <c r="AN28">
        <f t="shared" si="21"/>
        <v>0</v>
      </c>
      <c r="AO28">
        <f t="shared" si="21"/>
        <v>0</v>
      </c>
      <c r="AP28">
        <f t="shared" si="21"/>
        <v>0</v>
      </c>
      <c r="AQ28">
        <f t="shared" si="21"/>
        <v>0</v>
      </c>
      <c r="AR28">
        <f t="shared" si="21"/>
        <v>0</v>
      </c>
      <c r="AS28">
        <f t="shared" si="21"/>
        <v>0</v>
      </c>
      <c r="AT28">
        <f t="shared" si="21"/>
        <v>0</v>
      </c>
      <c r="AU28">
        <f t="shared" si="21"/>
        <v>0</v>
      </c>
      <c r="AV28">
        <f t="shared" si="21"/>
        <v>0</v>
      </c>
      <c r="AW28">
        <f t="shared" si="21"/>
        <v>0</v>
      </c>
      <c r="AX28">
        <f t="shared" si="21"/>
        <v>0</v>
      </c>
      <c r="AY28">
        <f t="shared" si="21"/>
        <v>0</v>
      </c>
      <c r="AZ28">
        <f t="shared" si="21"/>
        <v>0</v>
      </c>
      <c r="BA28">
        <f t="shared" si="21"/>
        <v>0</v>
      </c>
      <c r="BB28">
        <f t="shared" si="21"/>
        <v>0</v>
      </c>
      <c r="BC28">
        <f t="shared" si="21"/>
        <v>0</v>
      </c>
      <c r="BD28">
        <f t="shared" si="21"/>
        <v>0</v>
      </c>
      <c r="BE28">
        <f t="shared" si="21"/>
        <v>0</v>
      </c>
      <c r="BF28">
        <f t="shared" si="21"/>
        <v>0</v>
      </c>
      <c r="BG28">
        <f t="shared" si="21"/>
        <v>0</v>
      </c>
      <c r="BH28">
        <f t="shared" si="21"/>
        <v>0</v>
      </c>
      <c r="BI28">
        <f t="shared" si="21"/>
        <v>0</v>
      </c>
      <c r="BJ28">
        <f t="shared" si="21"/>
        <v>0</v>
      </c>
      <c r="BK28">
        <f t="shared" si="21"/>
        <v>0</v>
      </c>
      <c r="BL28">
        <f t="shared" si="21"/>
        <v>0</v>
      </c>
      <c r="BM28">
        <f t="shared" si="21"/>
        <v>0</v>
      </c>
      <c r="BN28">
        <f t="shared" si="21"/>
        <v>0</v>
      </c>
      <c r="BO28">
        <f t="shared" si="21"/>
        <v>0</v>
      </c>
      <c r="BP28">
        <f t="shared" si="21"/>
        <v>0</v>
      </c>
      <c r="BQ28">
        <f t="shared" si="21"/>
        <v>0</v>
      </c>
      <c r="BR28">
        <f t="shared" si="21"/>
        <v>0</v>
      </c>
      <c r="BS28">
        <f t="shared" si="21"/>
        <v>0</v>
      </c>
      <c r="BT28">
        <f t="shared" si="21"/>
        <v>0</v>
      </c>
      <c r="BU28">
        <f t="shared" si="21"/>
        <v>0</v>
      </c>
      <c r="BV28">
        <f t="shared" si="21"/>
        <v>0</v>
      </c>
      <c r="BW28">
        <f t="shared" si="21"/>
        <v>0</v>
      </c>
      <c r="BX28">
        <f t="shared" si="21"/>
        <v>0</v>
      </c>
      <c r="BY28">
        <f t="shared" si="21"/>
        <v>0</v>
      </c>
    </row>
    <row r="29" spans="1:77" x14ac:dyDescent="0.25">
      <c r="A29" s="2" t="s">
        <v>54</v>
      </c>
      <c r="B29">
        <f t="shared" si="9"/>
        <v>22.56</v>
      </c>
      <c r="C29">
        <f t="shared" si="9"/>
        <v>21.51</v>
      </c>
      <c r="D29">
        <f t="shared" si="9"/>
        <v>19.84</v>
      </c>
      <c r="E29">
        <f t="shared" si="9"/>
        <v>21.57</v>
      </c>
      <c r="F29">
        <f t="shared" si="9"/>
        <v>19.95</v>
      </c>
      <c r="G29">
        <f t="shared" si="9"/>
        <v>20.6</v>
      </c>
      <c r="H29">
        <f t="shared" si="9"/>
        <v>20.9</v>
      </c>
      <c r="I29">
        <f t="shared" si="9"/>
        <v>19.579999999999998</v>
      </c>
      <c r="J29">
        <f t="shared" si="9"/>
        <v>20.53</v>
      </c>
      <c r="K29">
        <f t="shared" si="9"/>
        <v>19.57</v>
      </c>
      <c r="L29">
        <f t="shared" si="9"/>
        <v>19.5</v>
      </c>
      <c r="M29">
        <f t="shared" ref="M29:Z29" si="22">ROUNDDOWN((M12-ROUNDUP(M12*0.1,2)-ROUNDUP(M12*0.05,2))*0.8,2)</f>
        <v>18.97</v>
      </c>
      <c r="N29">
        <f t="shared" si="22"/>
        <v>19.62</v>
      </c>
      <c r="O29">
        <f t="shared" si="22"/>
        <v>20.39</v>
      </c>
      <c r="P29">
        <f t="shared" si="22"/>
        <v>19.64</v>
      </c>
      <c r="Q29">
        <f t="shared" si="22"/>
        <v>19.79</v>
      </c>
      <c r="R29">
        <f t="shared" si="22"/>
        <v>20.12</v>
      </c>
      <c r="S29">
        <f t="shared" si="22"/>
        <v>19.399999999999999</v>
      </c>
      <c r="T29">
        <f t="shared" si="22"/>
        <v>19.82</v>
      </c>
      <c r="U29">
        <f t="shared" si="22"/>
        <v>19.760000000000002</v>
      </c>
      <c r="V29">
        <f t="shared" si="22"/>
        <v>19.73</v>
      </c>
      <c r="W29">
        <f t="shared" si="22"/>
        <v>20.84</v>
      </c>
      <c r="X29">
        <f t="shared" si="22"/>
        <v>19.649999999999999</v>
      </c>
      <c r="Y29">
        <f t="shared" si="22"/>
        <v>20</v>
      </c>
      <c r="Z29">
        <f t="shared" si="22"/>
        <v>20.66</v>
      </c>
      <c r="AA29">
        <f t="shared" ref="AA29:BY29" si="23">ROUNDDOWN((AA12-ROUNDUP(AA12*0.1,2)-ROUNDUP(AA12*0.05,2))*0.8,2)</f>
        <v>20.260000000000002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 t="shared" si="23"/>
        <v>0</v>
      </c>
      <c r="AF29">
        <f t="shared" si="23"/>
        <v>0</v>
      </c>
      <c r="AG29">
        <f t="shared" si="23"/>
        <v>0</v>
      </c>
      <c r="AH29">
        <f t="shared" si="23"/>
        <v>0</v>
      </c>
      <c r="AI29">
        <f t="shared" si="23"/>
        <v>0</v>
      </c>
      <c r="AJ29">
        <f t="shared" si="23"/>
        <v>0</v>
      </c>
      <c r="AK29">
        <f t="shared" si="23"/>
        <v>0</v>
      </c>
      <c r="AL29">
        <f t="shared" si="23"/>
        <v>0</v>
      </c>
      <c r="AM29">
        <f t="shared" si="23"/>
        <v>0</v>
      </c>
      <c r="AN29">
        <f t="shared" si="23"/>
        <v>0</v>
      </c>
      <c r="AO29">
        <f t="shared" si="23"/>
        <v>0</v>
      </c>
      <c r="AP29">
        <f t="shared" si="23"/>
        <v>0</v>
      </c>
      <c r="AQ29">
        <f t="shared" si="23"/>
        <v>0</v>
      </c>
      <c r="AR29">
        <f t="shared" si="23"/>
        <v>0</v>
      </c>
      <c r="AS29">
        <f t="shared" si="23"/>
        <v>0</v>
      </c>
      <c r="AT29">
        <f t="shared" si="23"/>
        <v>0</v>
      </c>
      <c r="AU29">
        <f t="shared" si="23"/>
        <v>0</v>
      </c>
      <c r="AV29">
        <f t="shared" si="23"/>
        <v>0</v>
      </c>
      <c r="AW29">
        <f t="shared" si="23"/>
        <v>0</v>
      </c>
      <c r="AX29">
        <f t="shared" si="23"/>
        <v>0</v>
      </c>
      <c r="AY29">
        <f t="shared" si="23"/>
        <v>0</v>
      </c>
      <c r="AZ29">
        <f t="shared" si="23"/>
        <v>0</v>
      </c>
      <c r="BA29">
        <f t="shared" si="23"/>
        <v>0</v>
      </c>
      <c r="BB29">
        <f t="shared" si="23"/>
        <v>0</v>
      </c>
      <c r="BC29">
        <f t="shared" si="23"/>
        <v>0</v>
      </c>
      <c r="BD29">
        <f t="shared" si="23"/>
        <v>0</v>
      </c>
      <c r="BE29">
        <f t="shared" si="23"/>
        <v>0</v>
      </c>
      <c r="BF29">
        <f t="shared" si="23"/>
        <v>0</v>
      </c>
      <c r="BG29">
        <f t="shared" si="23"/>
        <v>0</v>
      </c>
      <c r="BH29">
        <f t="shared" si="23"/>
        <v>0</v>
      </c>
      <c r="BI29">
        <f t="shared" si="23"/>
        <v>0</v>
      </c>
      <c r="BJ29">
        <f t="shared" si="23"/>
        <v>0</v>
      </c>
      <c r="BK29">
        <f t="shared" si="23"/>
        <v>0</v>
      </c>
      <c r="BL29">
        <f t="shared" si="23"/>
        <v>0</v>
      </c>
      <c r="BM29">
        <f t="shared" si="23"/>
        <v>0</v>
      </c>
      <c r="BN29">
        <f t="shared" si="23"/>
        <v>0</v>
      </c>
      <c r="BO29">
        <f t="shared" si="23"/>
        <v>0</v>
      </c>
      <c r="BP29">
        <f t="shared" si="23"/>
        <v>0</v>
      </c>
      <c r="BQ29">
        <f t="shared" si="23"/>
        <v>0</v>
      </c>
      <c r="BR29">
        <f t="shared" si="23"/>
        <v>0</v>
      </c>
      <c r="BS29">
        <f t="shared" si="23"/>
        <v>0</v>
      </c>
      <c r="BT29">
        <f t="shared" si="23"/>
        <v>0</v>
      </c>
      <c r="BU29">
        <f t="shared" si="23"/>
        <v>0</v>
      </c>
      <c r="BV29">
        <f t="shared" si="23"/>
        <v>0</v>
      </c>
      <c r="BW29">
        <f t="shared" si="23"/>
        <v>0</v>
      </c>
      <c r="BX29">
        <f t="shared" si="23"/>
        <v>0</v>
      </c>
      <c r="BY29">
        <f t="shared" si="23"/>
        <v>0</v>
      </c>
    </row>
    <row r="31" spans="1:77" x14ac:dyDescent="0.25">
      <c r="B31" s="2">
        <f>SUM(B22:B29)</f>
        <v>121.59</v>
      </c>
      <c r="C31" s="2">
        <f t="shared" ref="C31:E31" si="24">SUM(C22:C29)</f>
        <v>119.11000000000001</v>
      </c>
      <c r="D31" s="2">
        <f t="shared" si="24"/>
        <v>117.53999999999999</v>
      </c>
      <c r="E31" s="2">
        <f t="shared" si="24"/>
        <v>119.46000000000001</v>
      </c>
      <c r="F31" s="2">
        <f t="shared" ref="F31:L31" si="25">SUM(F22:F29)</f>
        <v>119.24</v>
      </c>
      <c r="G31" s="2">
        <f t="shared" si="25"/>
        <v>120.49000000000001</v>
      </c>
      <c r="H31" s="2">
        <f t="shared" si="25"/>
        <v>117.63999999999999</v>
      </c>
      <c r="I31" s="2">
        <f t="shared" si="25"/>
        <v>116.38999999999999</v>
      </c>
      <c r="J31" s="2">
        <f t="shared" si="25"/>
        <v>113.93000000000002</v>
      </c>
      <c r="K31" s="2">
        <f t="shared" si="25"/>
        <v>116.18</v>
      </c>
      <c r="L31" s="2">
        <f t="shared" si="25"/>
        <v>114.9</v>
      </c>
      <c r="M31" s="2">
        <f t="shared" ref="M31:Z31" si="26">SUM(M22:M29)</f>
        <v>115.07</v>
      </c>
      <c r="N31" s="2">
        <f t="shared" si="26"/>
        <v>115.64</v>
      </c>
      <c r="O31" s="2">
        <f t="shared" si="26"/>
        <v>117.48</v>
      </c>
      <c r="P31" s="2">
        <f t="shared" si="26"/>
        <v>118.10000000000001</v>
      </c>
      <c r="Q31" s="2">
        <f t="shared" si="26"/>
        <v>119.21000000000001</v>
      </c>
      <c r="R31" s="2">
        <f t="shared" si="26"/>
        <v>119.92000000000002</v>
      </c>
      <c r="S31" s="2">
        <f t="shared" si="26"/>
        <v>116.75999999999999</v>
      </c>
      <c r="T31" s="2">
        <f t="shared" si="26"/>
        <v>122.03999999999999</v>
      </c>
      <c r="U31" s="2">
        <f t="shared" si="26"/>
        <v>125.17</v>
      </c>
      <c r="V31" s="2">
        <f t="shared" si="26"/>
        <v>121.23</v>
      </c>
      <c r="W31" s="2">
        <f t="shared" si="26"/>
        <v>121.62</v>
      </c>
      <c r="X31" s="2">
        <f t="shared" si="26"/>
        <v>117.74000000000001</v>
      </c>
      <c r="Y31" s="2">
        <f t="shared" si="26"/>
        <v>119.54</v>
      </c>
      <c r="Z31" s="2">
        <f t="shared" si="26"/>
        <v>117.90999999999998</v>
      </c>
      <c r="AA31" s="2">
        <f t="shared" ref="AA31:BY31" si="27">SUM(AA22:AA29)</f>
        <v>117.99999999999999</v>
      </c>
      <c r="AB31" s="2">
        <f t="shared" si="27"/>
        <v>0</v>
      </c>
      <c r="AC31" s="2">
        <f t="shared" si="27"/>
        <v>0</v>
      </c>
      <c r="AD31" s="2">
        <f t="shared" si="27"/>
        <v>0</v>
      </c>
      <c r="AE31" s="2">
        <f t="shared" si="27"/>
        <v>0</v>
      </c>
      <c r="AF31" s="2">
        <f t="shared" si="27"/>
        <v>0</v>
      </c>
      <c r="AG31" s="2">
        <f t="shared" si="27"/>
        <v>0</v>
      </c>
      <c r="AH31" s="2">
        <f t="shared" si="27"/>
        <v>0</v>
      </c>
      <c r="AI31" s="2">
        <f t="shared" si="27"/>
        <v>0</v>
      </c>
      <c r="AJ31" s="2">
        <f t="shared" si="27"/>
        <v>0</v>
      </c>
      <c r="AK31" s="2">
        <f t="shared" si="27"/>
        <v>0</v>
      </c>
      <c r="AL31" s="2">
        <f t="shared" si="27"/>
        <v>0</v>
      </c>
      <c r="AM31" s="2">
        <f t="shared" si="27"/>
        <v>0</v>
      </c>
      <c r="AN31" s="2">
        <f t="shared" si="27"/>
        <v>0</v>
      </c>
      <c r="AO31" s="2">
        <f t="shared" si="27"/>
        <v>0</v>
      </c>
      <c r="AP31" s="2">
        <f t="shared" si="27"/>
        <v>0</v>
      </c>
      <c r="AQ31" s="2">
        <f t="shared" si="27"/>
        <v>0</v>
      </c>
      <c r="AR31" s="2">
        <f t="shared" si="27"/>
        <v>0</v>
      </c>
      <c r="AS31" s="2">
        <f t="shared" si="27"/>
        <v>0</v>
      </c>
      <c r="AT31" s="2">
        <f t="shared" si="27"/>
        <v>0</v>
      </c>
      <c r="AU31" s="2">
        <f t="shared" si="27"/>
        <v>0</v>
      </c>
      <c r="AV31" s="2">
        <f t="shared" si="27"/>
        <v>0</v>
      </c>
      <c r="AW31" s="2">
        <f t="shared" si="27"/>
        <v>0</v>
      </c>
      <c r="AX31" s="2">
        <f t="shared" si="27"/>
        <v>0</v>
      </c>
      <c r="AY31" s="2">
        <f t="shared" si="27"/>
        <v>0</v>
      </c>
      <c r="AZ31" s="2">
        <f t="shared" si="27"/>
        <v>0</v>
      </c>
      <c r="BA31" s="2">
        <f t="shared" si="27"/>
        <v>0</v>
      </c>
      <c r="BB31" s="2">
        <f t="shared" si="27"/>
        <v>0</v>
      </c>
      <c r="BC31" s="2">
        <f t="shared" si="27"/>
        <v>0</v>
      </c>
      <c r="BD31" s="2">
        <f t="shared" si="27"/>
        <v>0</v>
      </c>
      <c r="BE31" s="2">
        <f t="shared" si="27"/>
        <v>0</v>
      </c>
      <c r="BF31" s="2">
        <f t="shared" si="27"/>
        <v>0</v>
      </c>
      <c r="BG31" s="2">
        <f t="shared" si="27"/>
        <v>0</v>
      </c>
      <c r="BH31" s="2">
        <f t="shared" si="27"/>
        <v>0</v>
      </c>
      <c r="BI31" s="2">
        <f t="shared" si="27"/>
        <v>0</v>
      </c>
      <c r="BJ31" s="2">
        <f t="shared" si="27"/>
        <v>0</v>
      </c>
      <c r="BK31" s="2">
        <f t="shared" si="27"/>
        <v>0</v>
      </c>
      <c r="BL31" s="2">
        <f t="shared" si="27"/>
        <v>0</v>
      </c>
      <c r="BM31" s="2">
        <f t="shared" si="27"/>
        <v>0</v>
      </c>
      <c r="BN31" s="2">
        <f t="shared" si="27"/>
        <v>0</v>
      </c>
      <c r="BO31" s="2">
        <f t="shared" si="27"/>
        <v>0</v>
      </c>
      <c r="BP31" s="2">
        <f t="shared" si="27"/>
        <v>0</v>
      </c>
      <c r="BQ31" s="2">
        <f t="shared" si="27"/>
        <v>0</v>
      </c>
      <c r="BR31" s="2">
        <f t="shared" si="27"/>
        <v>0</v>
      </c>
      <c r="BS31" s="2">
        <f t="shared" si="27"/>
        <v>0</v>
      </c>
      <c r="BT31" s="2">
        <f t="shared" si="27"/>
        <v>0</v>
      </c>
      <c r="BU31" s="2">
        <f t="shared" si="27"/>
        <v>0</v>
      </c>
      <c r="BV31" s="2">
        <f t="shared" si="27"/>
        <v>0</v>
      </c>
      <c r="BW31" s="2">
        <f t="shared" si="27"/>
        <v>0</v>
      </c>
      <c r="BX31" s="2">
        <f t="shared" si="27"/>
        <v>0</v>
      </c>
      <c r="BY31" s="2">
        <f t="shared" si="27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A888-88B1-4FC5-8A04-B48A76BE76EB}">
  <dimension ref="A1:BY25"/>
  <sheetViews>
    <sheetView zoomScale="80" zoomScaleNormal="80" workbookViewId="0">
      <pane xSplit="1" topLeftCell="T1" activePane="topRight" state="frozen"/>
      <selection pane="topRight" activeCell="AA9" sqref="AA9"/>
    </sheetView>
  </sheetViews>
  <sheetFormatPr defaultRowHeight="15" x14ac:dyDescent="0.25"/>
  <cols>
    <col min="1" max="1" width="23.7109375" customWidth="1"/>
    <col min="2" max="46" width="12" customWidth="1"/>
    <col min="47" max="77" width="12.28515625" customWidth="1"/>
  </cols>
  <sheetData>
    <row r="1" spans="1:77" ht="31.5" x14ac:dyDescent="0.5">
      <c r="A1" s="4" t="s">
        <v>5</v>
      </c>
    </row>
    <row r="3" spans="1:77" x14ac:dyDescent="0.25">
      <c r="A3" t="s">
        <v>12</v>
      </c>
    </row>
    <row r="4" spans="1:77" x14ac:dyDescent="0.25">
      <c r="B4" s="1">
        <f>Totals!B4</f>
        <v>44331</v>
      </c>
      <c r="C4" s="1">
        <f>Totals!C4</f>
        <v>44332</v>
      </c>
      <c r="D4" s="1">
        <f>Totals!D4</f>
        <v>44334</v>
      </c>
      <c r="E4" s="1">
        <f>Totals!E4</f>
        <v>44336</v>
      </c>
      <c r="F4" s="1">
        <f>Totals!F4</f>
        <v>44337</v>
      </c>
      <c r="G4" s="1">
        <f>Totals!G4</f>
        <v>44338</v>
      </c>
      <c r="H4" s="1">
        <f>Totals!H4</f>
        <v>44339</v>
      </c>
      <c r="I4" s="1">
        <f>Totals!I4</f>
        <v>44340</v>
      </c>
      <c r="J4" s="1">
        <f>Totals!J4</f>
        <v>44341</v>
      </c>
      <c r="K4" s="1">
        <f>Totals!K4</f>
        <v>44342</v>
      </c>
      <c r="L4" s="1">
        <f>Totals!L4</f>
        <v>44343</v>
      </c>
      <c r="M4" s="1">
        <f>Totals!M4</f>
        <v>44344</v>
      </c>
      <c r="N4" s="1">
        <f>Totals!N4</f>
        <v>44345</v>
      </c>
      <c r="O4" s="1">
        <f>Totals!O4</f>
        <v>44346</v>
      </c>
      <c r="P4" s="1">
        <f>Totals!P4</f>
        <v>44347</v>
      </c>
      <c r="Q4" s="1">
        <f>Totals!Q4</f>
        <v>44348</v>
      </c>
      <c r="R4" s="1">
        <f>Totals!R4</f>
        <v>44349</v>
      </c>
      <c r="S4" s="1">
        <f>Totals!S4</f>
        <v>44350</v>
      </c>
      <c r="T4" s="1">
        <f>Totals!T4</f>
        <v>44351</v>
      </c>
      <c r="U4" s="1">
        <f>Totals!U4</f>
        <v>44352</v>
      </c>
      <c r="V4" s="1">
        <f>Totals!V4</f>
        <v>44353</v>
      </c>
      <c r="W4" s="1">
        <f>Totals!W4</f>
        <v>44354</v>
      </c>
      <c r="X4" s="1">
        <f>Totals!X4</f>
        <v>44355</v>
      </c>
      <c r="Y4" s="1">
        <f>Totals!Y4</f>
        <v>44356</v>
      </c>
      <c r="Z4" s="1">
        <f>Totals!Z4</f>
        <v>44357</v>
      </c>
      <c r="AA4" s="1">
        <f>Totals!AA4</f>
        <v>44358</v>
      </c>
      <c r="AB4" s="1">
        <f>Totals!AB4</f>
        <v>44359</v>
      </c>
      <c r="AC4" s="1">
        <f>Totals!AC4</f>
        <v>44360</v>
      </c>
      <c r="AD4" s="1">
        <f>Totals!AD4</f>
        <v>44361</v>
      </c>
      <c r="AE4" s="1">
        <f>Totals!AE4</f>
        <v>44362</v>
      </c>
      <c r="AF4" s="1">
        <f>Totals!AF4</f>
        <v>44363</v>
      </c>
      <c r="AG4" s="1">
        <f>Totals!AG4</f>
        <v>44364</v>
      </c>
      <c r="AH4" s="1">
        <f>Totals!AH4</f>
        <v>44365</v>
      </c>
      <c r="AI4" s="1">
        <f>Totals!AI4</f>
        <v>44366</v>
      </c>
      <c r="AJ4" s="1">
        <f>Totals!AJ4</f>
        <v>44367</v>
      </c>
      <c r="AK4" s="1">
        <f>Totals!AK4</f>
        <v>44368</v>
      </c>
      <c r="AL4" s="1">
        <f>Totals!AL4</f>
        <v>44369</v>
      </c>
      <c r="AM4" s="1">
        <f>Totals!AM4</f>
        <v>44370</v>
      </c>
      <c r="AN4" s="1">
        <f>Totals!AN4</f>
        <v>44371</v>
      </c>
      <c r="AO4" s="1">
        <f>Totals!AO4</f>
        <v>44372</v>
      </c>
      <c r="AP4" s="1">
        <f>Totals!AP4</f>
        <v>44373</v>
      </c>
      <c r="AQ4" s="1">
        <f>Totals!AQ4</f>
        <v>44374</v>
      </c>
      <c r="AR4" s="1">
        <f>Totals!AR4</f>
        <v>44375</v>
      </c>
      <c r="AS4" s="1">
        <f>Totals!AS4</f>
        <v>44376</v>
      </c>
      <c r="AT4" s="1">
        <f>Totals!AT4</f>
        <v>44377</v>
      </c>
      <c r="AU4" s="1">
        <f>Totals!AU4</f>
        <v>44378</v>
      </c>
      <c r="AV4" s="1">
        <f>Totals!AV4</f>
        <v>44379</v>
      </c>
      <c r="AW4" s="1">
        <f>Totals!AW4</f>
        <v>44380</v>
      </c>
      <c r="AX4" s="1">
        <f>Totals!AX4</f>
        <v>44381</v>
      </c>
      <c r="AY4" s="1">
        <f>Totals!AY4</f>
        <v>44382</v>
      </c>
      <c r="AZ4" s="1">
        <f>Totals!AZ4</f>
        <v>44383</v>
      </c>
      <c r="BA4" s="1">
        <f>Totals!BA4</f>
        <v>44384</v>
      </c>
      <c r="BB4" s="1">
        <f>Totals!BB4</f>
        <v>44385</v>
      </c>
      <c r="BC4" s="1">
        <f>Totals!BC4</f>
        <v>44386</v>
      </c>
      <c r="BD4" s="1">
        <f>Totals!BD4</f>
        <v>44387</v>
      </c>
      <c r="BE4" s="1">
        <f>Totals!BE4</f>
        <v>44388</v>
      </c>
      <c r="BF4" s="1">
        <f>Totals!BF4</f>
        <v>44389</v>
      </c>
      <c r="BG4" s="1">
        <f>Totals!BG4</f>
        <v>44390</v>
      </c>
      <c r="BH4" s="1">
        <f>Totals!BH4</f>
        <v>44391</v>
      </c>
      <c r="BI4" s="1">
        <f>Totals!BI4</f>
        <v>44392</v>
      </c>
      <c r="BJ4" s="1">
        <f>Totals!BJ4</f>
        <v>44393</v>
      </c>
      <c r="BK4" s="1">
        <f>Totals!BK4</f>
        <v>44394</v>
      </c>
      <c r="BL4" s="1">
        <f>Totals!BL4</f>
        <v>44395</v>
      </c>
      <c r="BM4" s="1">
        <f>Totals!BM4</f>
        <v>44396</v>
      </c>
      <c r="BN4" s="1">
        <f>Totals!BN4</f>
        <v>44397</v>
      </c>
      <c r="BO4" s="1">
        <f>Totals!BO4</f>
        <v>44398</v>
      </c>
      <c r="BP4" s="1">
        <f>Totals!BP4</f>
        <v>44399</v>
      </c>
      <c r="BQ4" s="1">
        <f>Totals!BQ4</f>
        <v>44400</v>
      </c>
      <c r="BR4" s="1">
        <f>Totals!BR4</f>
        <v>44401</v>
      </c>
      <c r="BS4" s="1">
        <f>Totals!BS4</f>
        <v>44402</v>
      </c>
      <c r="BT4" s="1">
        <f>Totals!BT4</f>
        <v>44403</v>
      </c>
      <c r="BU4" s="1">
        <f>Totals!BU4</f>
        <v>44404</v>
      </c>
      <c r="BV4" s="1">
        <f>Totals!BV4</f>
        <v>44405</v>
      </c>
      <c r="BW4" s="1">
        <f>Totals!BW4</f>
        <v>44406</v>
      </c>
      <c r="BX4" s="1">
        <f>Totals!BX4</f>
        <v>44407</v>
      </c>
      <c r="BY4" s="1">
        <f>Totals!BY4</f>
        <v>44408</v>
      </c>
    </row>
    <row r="5" spans="1:77" x14ac:dyDescent="0.25">
      <c r="A5" s="2" t="s">
        <v>55</v>
      </c>
      <c r="B5">
        <v>15.54</v>
      </c>
      <c r="C5">
        <v>15.25</v>
      </c>
      <c r="D5">
        <v>15.81</v>
      </c>
      <c r="E5">
        <v>15.02</v>
      </c>
      <c r="F5">
        <v>15.8</v>
      </c>
      <c r="G5">
        <v>15.47</v>
      </c>
      <c r="H5">
        <v>15.35</v>
      </c>
      <c r="I5">
        <v>15.48</v>
      </c>
      <c r="J5">
        <v>15.22</v>
      </c>
      <c r="K5">
        <v>14.51</v>
      </c>
      <c r="L5">
        <v>15.48</v>
      </c>
      <c r="M5">
        <v>14.67</v>
      </c>
      <c r="N5">
        <v>14.07</v>
      </c>
      <c r="O5">
        <v>14.65</v>
      </c>
      <c r="P5">
        <v>14.89</v>
      </c>
      <c r="Q5">
        <v>14.91</v>
      </c>
      <c r="R5">
        <v>15.3</v>
      </c>
      <c r="S5">
        <v>15.45</v>
      </c>
      <c r="T5">
        <v>14.51</v>
      </c>
      <c r="U5">
        <v>14.75</v>
      </c>
      <c r="V5">
        <v>15.68</v>
      </c>
      <c r="W5">
        <v>15.31</v>
      </c>
      <c r="X5">
        <v>14.89</v>
      </c>
      <c r="Y5">
        <v>14.49</v>
      </c>
      <c r="Z5">
        <v>15.93</v>
      </c>
      <c r="AA5">
        <v>14.09</v>
      </c>
    </row>
    <row r="6" spans="1:77" x14ac:dyDescent="0.25">
      <c r="A6" s="2" t="s">
        <v>56</v>
      </c>
      <c r="B6">
        <v>21.98</v>
      </c>
      <c r="C6">
        <v>21.05</v>
      </c>
      <c r="D6">
        <v>20.67</v>
      </c>
      <c r="E6">
        <v>19.8</v>
      </c>
      <c r="F6">
        <v>21.22</v>
      </c>
      <c r="G6">
        <v>21.31</v>
      </c>
      <c r="H6">
        <v>21.25</v>
      </c>
      <c r="I6">
        <v>21.06</v>
      </c>
      <c r="J6">
        <v>20.420000000000002</v>
      </c>
      <c r="K6">
        <v>20.03</v>
      </c>
      <c r="L6">
        <v>20.100000000000001</v>
      </c>
      <c r="M6">
        <v>19.739999999999998</v>
      </c>
      <c r="N6">
        <v>20.52</v>
      </c>
      <c r="O6">
        <v>21.08</v>
      </c>
      <c r="P6">
        <v>21.17</v>
      </c>
      <c r="Q6">
        <v>21.44</v>
      </c>
      <c r="R6">
        <v>19.41</v>
      </c>
      <c r="S6">
        <v>19.41</v>
      </c>
      <c r="T6">
        <v>20.84</v>
      </c>
      <c r="U6">
        <v>20.7</v>
      </c>
      <c r="V6">
        <v>21.47</v>
      </c>
      <c r="W6">
        <v>20.059999999999999</v>
      </c>
      <c r="X6">
        <v>19.809999999999999</v>
      </c>
      <c r="Y6">
        <v>20.55</v>
      </c>
      <c r="Z6">
        <v>20.6</v>
      </c>
      <c r="AA6">
        <v>20.93</v>
      </c>
    </row>
    <row r="7" spans="1:77" x14ac:dyDescent="0.25">
      <c r="A7" s="2" t="s">
        <v>57</v>
      </c>
      <c r="B7">
        <v>36.200000000000003</v>
      </c>
      <c r="C7">
        <v>34.799999999999997</v>
      </c>
      <c r="D7">
        <v>33.229999999999997</v>
      </c>
      <c r="E7">
        <v>33.31</v>
      </c>
      <c r="F7">
        <v>34.51</v>
      </c>
      <c r="G7">
        <v>33.049999999999997</v>
      </c>
      <c r="H7">
        <v>31.31</v>
      </c>
      <c r="I7">
        <v>33.380000000000003</v>
      </c>
      <c r="J7">
        <v>33.380000000000003</v>
      </c>
      <c r="K7">
        <v>33.01</v>
      </c>
      <c r="L7">
        <v>30.97</v>
      </c>
      <c r="M7">
        <v>34.409999999999997</v>
      </c>
      <c r="N7">
        <v>34.11</v>
      </c>
      <c r="O7">
        <v>41.12</v>
      </c>
      <c r="P7">
        <v>36.270000000000003</v>
      </c>
      <c r="Q7">
        <v>35.090000000000003</v>
      </c>
      <c r="R7">
        <v>35.93</v>
      </c>
      <c r="S7">
        <v>33.97</v>
      </c>
      <c r="T7">
        <v>35.33</v>
      </c>
      <c r="U7">
        <v>32.56</v>
      </c>
      <c r="V7">
        <v>31.05</v>
      </c>
      <c r="W7">
        <v>31.98</v>
      </c>
      <c r="X7">
        <v>32.85</v>
      </c>
      <c r="Y7">
        <v>33.24</v>
      </c>
      <c r="Z7">
        <v>33.86</v>
      </c>
      <c r="AA7">
        <v>34.56</v>
      </c>
    </row>
    <row r="8" spans="1:77" x14ac:dyDescent="0.25">
      <c r="A8" s="2" t="s">
        <v>58</v>
      </c>
      <c r="B8">
        <v>2.92</v>
      </c>
      <c r="C8">
        <v>3.01</v>
      </c>
      <c r="D8">
        <v>2.89</v>
      </c>
      <c r="E8">
        <v>2.81</v>
      </c>
      <c r="F8">
        <v>2.82</v>
      </c>
      <c r="G8">
        <v>2.91</v>
      </c>
      <c r="H8">
        <v>2.84</v>
      </c>
      <c r="I8">
        <v>2.78</v>
      </c>
      <c r="J8">
        <v>2.71</v>
      </c>
      <c r="K8">
        <v>2.68</v>
      </c>
      <c r="L8">
        <v>2.81</v>
      </c>
      <c r="M8">
        <v>2.54</v>
      </c>
      <c r="N8">
        <v>2.64</v>
      </c>
      <c r="O8">
        <v>2.77</v>
      </c>
      <c r="P8">
        <v>2.5</v>
      </c>
      <c r="Q8">
        <v>2.5299999999999998</v>
      </c>
      <c r="R8">
        <v>2.4500000000000002</v>
      </c>
      <c r="S8">
        <v>2.5</v>
      </c>
      <c r="T8">
        <v>2.4500000000000002</v>
      </c>
      <c r="U8">
        <v>2.4700000000000002</v>
      </c>
      <c r="V8">
        <v>2.5299999999999998</v>
      </c>
      <c r="W8">
        <v>2.36</v>
      </c>
      <c r="X8">
        <v>2.5299999999999998</v>
      </c>
      <c r="Y8">
        <v>2.5</v>
      </c>
      <c r="Z8">
        <v>2.5299999999999998</v>
      </c>
      <c r="AA8">
        <v>2.46</v>
      </c>
    </row>
    <row r="10" spans="1:77" x14ac:dyDescent="0.25">
      <c r="B10" s="2">
        <f>SUM(B5:B8)</f>
        <v>76.64</v>
      </c>
      <c r="C10" s="2">
        <f t="shared" ref="C10:L10" si="0">SUM(C5:C8)</f>
        <v>74.11</v>
      </c>
      <c r="D10" s="2">
        <f t="shared" si="0"/>
        <v>72.600000000000009</v>
      </c>
      <c r="E10" s="2">
        <f t="shared" si="0"/>
        <v>70.94</v>
      </c>
      <c r="F10" s="2">
        <f t="shared" si="0"/>
        <v>74.349999999999994</v>
      </c>
      <c r="G10" s="2">
        <f t="shared" si="0"/>
        <v>72.739999999999995</v>
      </c>
      <c r="H10" s="2">
        <f t="shared" si="0"/>
        <v>70.75</v>
      </c>
      <c r="I10" s="2">
        <f t="shared" si="0"/>
        <v>72.7</v>
      </c>
      <c r="J10" s="2">
        <f t="shared" si="0"/>
        <v>71.73</v>
      </c>
      <c r="K10" s="2">
        <f t="shared" si="0"/>
        <v>70.23</v>
      </c>
      <c r="L10" s="2">
        <f t="shared" si="0"/>
        <v>69.36</v>
      </c>
      <c r="M10" s="2">
        <f t="shared" ref="M10:Z10" si="1">SUM(M5:M8)</f>
        <v>71.36</v>
      </c>
      <c r="N10" s="2">
        <f t="shared" si="1"/>
        <v>71.34</v>
      </c>
      <c r="O10" s="2">
        <f t="shared" si="1"/>
        <v>79.61999999999999</v>
      </c>
      <c r="P10" s="2">
        <f t="shared" si="1"/>
        <v>74.830000000000013</v>
      </c>
      <c r="Q10" s="2">
        <f t="shared" si="1"/>
        <v>73.97</v>
      </c>
      <c r="R10" s="2">
        <f t="shared" si="1"/>
        <v>73.09</v>
      </c>
      <c r="S10" s="2">
        <f t="shared" si="1"/>
        <v>71.33</v>
      </c>
      <c r="T10" s="2">
        <f t="shared" si="1"/>
        <v>73.13000000000001</v>
      </c>
      <c r="U10" s="2">
        <f t="shared" si="1"/>
        <v>70.48</v>
      </c>
      <c r="V10" s="2">
        <f t="shared" si="1"/>
        <v>70.73</v>
      </c>
      <c r="W10" s="2">
        <f t="shared" si="1"/>
        <v>69.709999999999994</v>
      </c>
      <c r="X10" s="2">
        <f t="shared" si="1"/>
        <v>70.080000000000013</v>
      </c>
      <c r="Y10" s="2">
        <f t="shared" si="1"/>
        <v>70.78</v>
      </c>
      <c r="Z10" s="2">
        <f t="shared" si="1"/>
        <v>72.92</v>
      </c>
      <c r="AA10" s="2">
        <f t="shared" ref="AA10:BY10" si="2">SUM(AA5:AA8)</f>
        <v>72.039999999999992</v>
      </c>
      <c r="AB10" s="2">
        <f t="shared" si="2"/>
        <v>0</v>
      </c>
      <c r="AC10" s="2">
        <f t="shared" si="2"/>
        <v>0</v>
      </c>
      <c r="AD10" s="2">
        <f t="shared" si="2"/>
        <v>0</v>
      </c>
      <c r="AE10" s="2">
        <f t="shared" si="2"/>
        <v>0</v>
      </c>
      <c r="AF10" s="2">
        <f t="shared" si="2"/>
        <v>0</v>
      </c>
      <c r="AG10" s="2">
        <f t="shared" si="2"/>
        <v>0</v>
      </c>
      <c r="AH10" s="2">
        <f t="shared" si="2"/>
        <v>0</v>
      </c>
      <c r="AI10" s="2">
        <f t="shared" si="2"/>
        <v>0</v>
      </c>
      <c r="AJ10" s="2">
        <f t="shared" si="2"/>
        <v>0</v>
      </c>
      <c r="AK10" s="2">
        <f t="shared" si="2"/>
        <v>0</v>
      </c>
      <c r="AL10" s="2">
        <f t="shared" si="2"/>
        <v>0</v>
      </c>
      <c r="AM10" s="2">
        <f t="shared" si="2"/>
        <v>0</v>
      </c>
      <c r="AN10" s="2">
        <f t="shared" si="2"/>
        <v>0</v>
      </c>
      <c r="AO10" s="2">
        <f t="shared" si="2"/>
        <v>0</v>
      </c>
      <c r="AP10" s="2">
        <f t="shared" si="2"/>
        <v>0</v>
      </c>
      <c r="AQ10" s="2">
        <f t="shared" si="2"/>
        <v>0</v>
      </c>
      <c r="AR10" s="2">
        <f t="shared" si="2"/>
        <v>0</v>
      </c>
      <c r="AS10" s="2">
        <f t="shared" si="2"/>
        <v>0</v>
      </c>
      <c r="AT10" s="2">
        <f t="shared" si="2"/>
        <v>0</v>
      </c>
      <c r="AU10" s="2">
        <f t="shared" si="2"/>
        <v>0</v>
      </c>
      <c r="AV10" s="2">
        <f t="shared" si="2"/>
        <v>0</v>
      </c>
      <c r="AW10" s="2">
        <f t="shared" si="2"/>
        <v>0</v>
      </c>
      <c r="AX10" s="2">
        <f t="shared" si="2"/>
        <v>0</v>
      </c>
      <c r="AY10" s="2">
        <f t="shared" si="2"/>
        <v>0</v>
      </c>
      <c r="AZ10" s="2">
        <f t="shared" si="2"/>
        <v>0</v>
      </c>
      <c r="BA10" s="2">
        <f t="shared" si="2"/>
        <v>0</v>
      </c>
      <c r="BB10" s="2">
        <f t="shared" si="2"/>
        <v>0</v>
      </c>
      <c r="BC10" s="2">
        <f t="shared" si="2"/>
        <v>0</v>
      </c>
      <c r="BD10" s="2">
        <f t="shared" si="2"/>
        <v>0</v>
      </c>
      <c r="BE10" s="2">
        <f t="shared" si="2"/>
        <v>0</v>
      </c>
      <c r="BF10" s="2">
        <f t="shared" si="2"/>
        <v>0</v>
      </c>
      <c r="BG10" s="2">
        <f t="shared" si="2"/>
        <v>0</v>
      </c>
      <c r="BH10" s="2">
        <f t="shared" si="2"/>
        <v>0</v>
      </c>
      <c r="BI10" s="2">
        <f t="shared" si="2"/>
        <v>0</v>
      </c>
      <c r="BJ10" s="2">
        <f t="shared" si="2"/>
        <v>0</v>
      </c>
      <c r="BK10" s="2">
        <f t="shared" si="2"/>
        <v>0</v>
      </c>
      <c r="BL10" s="2">
        <f t="shared" si="2"/>
        <v>0</v>
      </c>
      <c r="BM10" s="2">
        <f t="shared" si="2"/>
        <v>0</v>
      </c>
      <c r="BN10" s="2">
        <f t="shared" si="2"/>
        <v>0</v>
      </c>
      <c r="BO10" s="2">
        <f t="shared" si="2"/>
        <v>0</v>
      </c>
      <c r="BP10" s="2">
        <f t="shared" si="2"/>
        <v>0</v>
      </c>
      <c r="BQ10" s="2">
        <f t="shared" si="2"/>
        <v>0</v>
      </c>
      <c r="BR10" s="2">
        <f t="shared" si="2"/>
        <v>0</v>
      </c>
      <c r="BS10" s="2">
        <f t="shared" si="2"/>
        <v>0</v>
      </c>
      <c r="BT10" s="2">
        <f t="shared" si="2"/>
        <v>0</v>
      </c>
      <c r="BU10" s="2">
        <f t="shared" si="2"/>
        <v>0</v>
      </c>
      <c r="BV10" s="2">
        <f t="shared" si="2"/>
        <v>0</v>
      </c>
      <c r="BW10" s="2">
        <f t="shared" si="2"/>
        <v>0</v>
      </c>
      <c r="BX10" s="2">
        <f t="shared" si="2"/>
        <v>0</v>
      </c>
      <c r="BY10" s="2">
        <f t="shared" si="2"/>
        <v>0</v>
      </c>
    </row>
    <row r="16" spans="1:77" ht="21" x14ac:dyDescent="0.35">
      <c r="A16" s="5" t="s">
        <v>33</v>
      </c>
    </row>
    <row r="18" spans="1:77" x14ac:dyDescent="0.25">
      <c r="A18" t="s">
        <v>12</v>
      </c>
    </row>
    <row r="19" spans="1:77" x14ac:dyDescent="0.25">
      <c r="B19" s="1">
        <f>B4</f>
        <v>44331</v>
      </c>
      <c r="C19" s="1">
        <f t="shared" ref="C19:L19" si="3">C4</f>
        <v>44332</v>
      </c>
      <c r="D19" s="1">
        <f t="shared" si="3"/>
        <v>44334</v>
      </c>
      <c r="E19" s="1">
        <f t="shared" si="3"/>
        <v>44336</v>
      </c>
      <c r="F19" s="1">
        <f t="shared" si="3"/>
        <v>44337</v>
      </c>
      <c r="G19" s="1">
        <f t="shared" si="3"/>
        <v>44338</v>
      </c>
      <c r="H19" s="1">
        <f t="shared" si="3"/>
        <v>44339</v>
      </c>
      <c r="I19" s="1">
        <f t="shared" si="3"/>
        <v>44340</v>
      </c>
      <c r="J19" s="1">
        <f t="shared" si="3"/>
        <v>44341</v>
      </c>
      <c r="K19" s="1">
        <f t="shared" si="3"/>
        <v>44342</v>
      </c>
      <c r="L19" s="1">
        <f t="shared" si="3"/>
        <v>44343</v>
      </c>
      <c r="M19" s="1">
        <f t="shared" ref="M19:Z19" si="4">M4</f>
        <v>44344</v>
      </c>
      <c r="N19" s="1">
        <f t="shared" si="4"/>
        <v>44345</v>
      </c>
      <c r="O19" s="1">
        <f t="shared" si="4"/>
        <v>44346</v>
      </c>
      <c r="P19" s="1">
        <f t="shared" si="4"/>
        <v>44347</v>
      </c>
      <c r="Q19" s="1">
        <f t="shared" si="4"/>
        <v>44348</v>
      </c>
      <c r="R19" s="1">
        <f t="shared" si="4"/>
        <v>44349</v>
      </c>
      <c r="S19" s="1">
        <f t="shared" si="4"/>
        <v>44350</v>
      </c>
      <c r="T19" s="1">
        <f t="shared" si="4"/>
        <v>44351</v>
      </c>
      <c r="U19" s="1">
        <f t="shared" si="4"/>
        <v>44352</v>
      </c>
      <c r="V19" s="1">
        <f t="shared" si="4"/>
        <v>44353</v>
      </c>
      <c r="W19" s="1">
        <f t="shared" si="4"/>
        <v>44354</v>
      </c>
      <c r="X19" s="1">
        <f t="shared" si="4"/>
        <v>44355</v>
      </c>
      <c r="Y19" s="1">
        <f t="shared" si="4"/>
        <v>44356</v>
      </c>
      <c r="Z19" s="1">
        <f t="shared" si="4"/>
        <v>44357</v>
      </c>
      <c r="AA19" s="1">
        <f t="shared" ref="AA19:BY19" si="5">AA4</f>
        <v>44358</v>
      </c>
      <c r="AB19" s="1">
        <f t="shared" si="5"/>
        <v>44359</v>
      </c>
      <c r="AC19" s="1">
        <f t="shared" si="5"/>
        <v>44360</v>
      </c>
      <c r="AD19" s="1">
        <f t="shared" si="5"/>
        <v>44361</v>
      </c>
      <c r="AE19" s="1">
        <f t="shared" si="5"/>
        <v>44362</v>
      </c>
      <c r="AF19" s="1">
        <f t="shared" si="5"/>
        <v>44363</v>
      </c>
      <c r="AG19" s="1">
        <f t="shared" si="5"/>
        <v>44364</v>
      </c>
      <c r="AH19" s="1">
        <f t="shared" si="5"/>
        <v>44365</v>
      </c>
      <c r="AI19" s="1">
        <f t="shared" si="5"/>
        <v>44366</v>
      </c>
      <c r="AJ19" s="1">
        <f t="shared" si="5"/>
        <v>44367</v>
      </c>
      <c r="AK19" s="1">
        <f t="shared" si="5"/>
        <v>44368</v>
      </c>
      <c r="AL19" s="1">
        <f t="shared" si="5"/>
        <v>44369</v>
      </c>
      <c r="AM19" s="1">
        <f t="shared" si="5"/>
        <v>44370</v>
      </c>
      <c r="AN19" s="1">
        <f t="shared" si="5"/>
        <v>44371</v>
      </c>
      <c r="AO19" s="1">
        <f t="shared" si="5"/>
        <v>44372</v>
      </c>
      <c r="AP19" s="1">
        <f t="shared" si="5"/>
        <v>44373</v>
      </c>
      <c r="AQ19" s="1">
        <f t="shared" si="5"/>
        <v>44374</v>
      </c>
      <c r="AR19" s="1">
        <f t="shared" si="5"/>
        <v>44375</v>
      </c>
      <c r="AS19" s="1">
        <f t="shared" si="5"/>
        <v>44376</v>
      </c>
      <c r="AT19" s="1">
        <f t="shared" si="5"/>
        <v>44377</v>
      </c>
      <c r="AU19" s="1">
        <f t="shared" si="5"/>
        <v>44378</v>
      </c>
      <c r="AV19" s="1">
        <f t="shared" si="5"/>
        <v>44379</v>
      </c>
      <c r="AW19" s="1">
        <f t="shared" si="5"/>
        <v>44380</v>
      </c>
      <c r="AX19" s="1">
        <f t="shared" si="5"/>
        <v>44381</v>
      </c>
      <c r="AY19" s="1">
        <f t="shared" si="5"/>
        <v>44382</v>
      </c>
      <c r="AZ19" s="1">
        <f t="shared" si="5"/>
        <v>44383</v>
      </c>
      <c r="BA19" s="1">
        <f t="shared" si="5"/>
        <v>44384</v>
      </c>
      <c r="BB19" s="1">
        <f t="shared" si="5"/>
        <v>44385</v>
      </c>
      <c r="BC19" s="1">
        <f t="shared" si="5"/>
        <v>44386</v>
      </c>
      <c r="BD19" s="1">
        <f t="shared" si="5"/>
        <v>44387</v>
      </c>
      <c r="BE19" s="1">
        <f t="shared" si="5"/>
        <v>44388</v>
      </c>
      <c r="BF19" s="1">
        <f t="shared" si="5"/>
        <v>44389</v>
      </c>
      <c r="BG19" s="1">
        <f t="shared" si="5"/>
        <v>44390</v>
      </c>
      <c r="BH19" s="1">
        <f t="shared" si="5"/>
        <v>44391</v>
      </c>
      <c r="BI19" s="1">
        <f t="shared" si="5"/>
        <v>44392</v>
      </c>
      <c r="BJ19" s="1">
        <f t="shared" si="5"/>
        <v>44393</v>
      </c>
      <c r="BK19" s="1">
        <f t="shared" si="5"/>
        <v>44394</v>
      </c>
      <c r="BL19" s="1">
        <f t="shared" si="5"/>
        <v>44395</v>
      </c>
      <c r="BM19" s="1">
        <f t="shared" si="5"/>
        <v>44396</v>
      </c>
      <c r="BN19" s="1">
        <f t="shared" si="5"/>
        <v>44397</v>
      </c>
      <c r="BO19" s="1">
        <f t="shared" si="5"/>
        <v>44398</v>
      </c>
      <c r="BP19" s="1">
        <f t="shared" si="5"/>
        <v>44399</v>
      </c>
      <c r="BQ19" s="1">
        <f t="shared" si="5"/>
        <v>44400</v>
      </c>
      <c r="BR19" s="1">
        <f t="shared" si="5"/>
        <v>44401</v>
      </c>
      <c r="BS19" s="1">
        <f t="shared" si="5"/>
        <v>44402</v>
      </c>
      <c r="BT19" s="1">
        <f t="shared" si="5"/>
        <v>44403</v>
      </c>
      <c r="BU19" s="1">
        <f t="shared" si="5"/>
        <v>44404</v>
      </c>
      <c r="BV19" s="1">
        <f t="shared" si="5"/>
        <v>44405</v>
      </c>
      <c r="BW19" s="1">
        <f t="shared" si="5"/>
        <v>44406</v>
      </c>
      <c r="BX19" s="1">
        <f t="shared" si="5"/>
        <v>44407</v>
      </c>
      <c r="BY19" s="1">
        <f t="shared" si="5"/>
        <v>44408</v>
      </c>
    </row>
    <row r="20" spans="1:77" x14ac:dyDescent="0.25">
      <c r="A20" s="2" t="s">
        <v>55</v>
      </c>
      <c r="B20">
        <f>ROUNDDOWN((B5-ROUNDUP(B5*0.1,2)-ROUNDUP(B5*0.05,2))*0.8,2)</f>
        <v>10.56</v>
      </c>
      <c r="C20">
        <f t="shared" ref="C20:L20" si="6">ROUNDDOWN((C5-ROUNDUP(C5*0.1,2)-ROUNDUP(C5*0.05,2))*0.8,2)</f>
        <v>10.36</v>
      </c>
      <c r="D20">
        <f t="shared" si="6"/>
        <v>10.73</v>
      </c>
      <c r="E20">
        <f t="shared" si="6"/>
        <v>10.199999999999999</v>
      </c>
      <c r="F20">
        <f t="shared" si="6"/>
        <v>10.74</v>
      </c>
      <c r="G20">
        <f t="shared" si="6"/>
        <v>10.51</v>
      </c>
      <c r="H20">
        <f t="shared" si="6"/>
        <v>10.43</v>
      </c>
      <c r="I20">
        <f t="shared" si="6"/>
        <v>10.52</v>
      </c>
      <c r="J20">
        <f t="shared" si="6"/>
        <v>10.33</v>
      </c>
      <c r="K20">
        <f t="shared" si="6"/>
        <v>9.85</v>
      </c>
      <c r="L20">
        <f t="shared" si="6"/>
        <v>10.52</v>
      </c>
      <c r="M20">
        <f t="shared" ref="M20:Z20" si="7">ROUNDDOWN((M5-ROUNDUP(M5*0.1,2)-ROUNDUP(M5*0.05,2))*0.8,2)</f>
        <v>9.9600000000000009</v>
      </c>
      <c r="N20">
        <f t="shared" si="7"/>
        <v>9.56</v>
      </c>
      <c r="O20">
        <f t="shared" si="7"/>
        <v>9.9499999999999993</v>
      </c>
      <c r="P20">
        <f t="shared" si="7"/>
        <v>10.119999999999999</v>
      </c>
      <c r="Q20">
        <f t="shared" si="7"/>
        <v>10.119999999999999</v>
      </c>
      <c r="R20">
        <f t="shared" si="7"/>
        <v>10.4</v>
      </c>
      <c r="S20">
        <f t="shared" si="7"/>
        <v>10.49</v>
      </c>
      <c r="T20">
        <f t="shared" si="7"/>
        <v>9.85</v>
      </c>
      <c r="U20">
        <f t="shared" si="7"/>
        <v>10.02</v>
      </c>
      <c r="V20">
        <f t="shared" si="7"/>
        <v>10.65</v>
      </c>
      <c r="W20">
        <f t="shared" si="7"/>
        <v>10.4</v>
      </c>
      <c r="X20">
        <f t="shared" si="7"/>
        <v>10.119999999999999</v>
      </c>
      <c r="Y20">
        <f t="shared" si="7"/>
        <v>9.84</v>
      </c>
      <c r="Z20">
        <f t="shared" si="7"/>
        <v>10.82</v>
      </c>
      <c r="AA20">
        <f t="shared" ref="AA20:BY20" si="8">ROUNDDOWN((AA5-ROUNDUP(AA5*0.1,2)-ROUNDUP(AA5*0.05,2))*0.8,2)</f>
        <v>9.57</v>
      </c>
      <c r="AB20">
        <f t="shared" si="8"/>
        <v>0</v>
      </c>
      <c r="AC20">
        <f t="shared" si="8"/>
        <v>0</v>
      </c>
      <c r="AD20">
        <f t="shared" si="8"/>
        <v>0</v>
      </c>
      <c r="AE20">
        <f t="shared" si="8"/>
        <v>0</v>
      </c>
      <c r="AF20">
        <f t="shared" si="8"/>
        <v>0</v>
      </c>
      <c r="AG20">
        <f t="shared" si="8"/>
        <v>0</v>
      </c>
      <c r="AH20">
        <f t="shared" si="8"/>
        <v>0</v>
      </c>
      <c r="AI20">
        <f t="shared" si="8"/>
        <v>0</v>
      </c>
      <c r="AJ20">
        <f t="shared" si="8"/>
        <v>0</v>
      </c>
      <c r="AK20">
        <f t="shared" si="8"/>
        <v>0</v>
      </c>
      <c r="AL20">
        <f t="shared" si="8"/>
        <v>0</v>
      </c>
      <c r="AM20">
        <f t="shared" si="8"/>
        <v>0</v>
      </c>
      <c r="AN20">
        <f t="shared" si="8"/>
        <v>0</v>
      </c>
      <c r="AO20">
        <f t="shared" si="8"/>
        <v>0</v>
      </c>
      <c r="AP20">
        <f t="shared" si="8"/>
        <v>0</v>
      </c>
      <c r="AQ20">
        <f t="shared" si="8"/>
        <v>0</v>
      </c>
      <c r="AR20">
        <f t="shared" si="8"/>
        <v>0</v>
      </c>
      <c r="AS20">
        <f t="shared" si="8"/>
        <v>0</v>
      </c>
      <c r="AT20">
        <f t="shared" si="8"/>
        <v>0</v>
      </c>
      <c r="AU20">
        <f t="shared" si="8"/>
        <v>0</v>
      </c>
      <c r="AV20">
        <f t="shared" si="8"/>
        <v>0</v>
      </c>
      <c r="AW20">
        <f t="shared" si="8"/>
        <v>0</v>
      </c>
      <c r="AX20">
        <f t="shared" si="8"/>
        <v>0</v>
      </c>
      <c r="AY20">
        <f t="shared" si="8"/>
        <v>0</v>
      </c>
      <c r="AZ20">
        <f t="shared" si="8"/>
        <v>0</v>
      </c>
      <c r="BA20">
        <f t="shared" si="8"/>
        <v>0</v>
      </c>
      <c r="BB20">
        <f t="shared" si="8"/>
        <v>0</v>
      </c>
      <c r="BC20">
        <f t="shared" si="8"/>
        <v>0</v>
      </c>
      <c r="BD20">
        <f t="shared" si="8"/>
        <v>0</v>
      </c>
      <c r="BE20">
        <f t="shared" si="8"/>
        <v>0</v>
      </c>
      <c r="BF20">
        <f t="shared" si="8"/>
        <v>0</v>
      </c>
      <c r="BG20">
        <f t="shared" si="8"/>
        <v>0</v>
      </c>
      <c r="BH20">
        <f t="shared" si="8"/>
        <v>0</v>
      </c>
      <c r="BI20">
        <f t="shared" si="8"/>
        <v>0</v>
      </c>
      <c r="BJ20">
        <f t="shared" si="8"/>
        <v>0</v>
      </c>
      <c r="BK20">
        <f t="shared" si="8"/>
        <v>0</v>
      </c>
      <c r="BL20">
        <f t="shared" si="8"/>
        <v>0</v>
      </c>
      <c r="BM20">
        <f t="shared" si="8"/>
        <v>0</v>
      </c>
      <c r="BN20">
        <f t="shared" si="8"/>
        <v>0</v>
      </c>
      <c r="BO20">
        <f t="shared" si="8"/>
        <v>0</v>
      </c>
      <c r="BP20">
        <f t="shared" si="8"/>
        <v>0</v>
      </c>
      <c r="BQ20">
        <f t="shared" si="8"/>
        <v>0</v>
      </c>
      <c r="BR20">
        <f t="shared" si="8"/>
        <v>0</v>
      </c>
      <c r="BS20">
        <f t="shared" si="8"/>
        <v>0</v>
      </c>
      <c r="BT20">
        <f t="shared" si="8"/>
        <v>0</v>
      </c>
      <c r="BU20">
        <f t="shared" si="8"/>
        <v>0</v>
      </c>
      <c r="BV20">
        <f t="shared" si="8"/>
        <v>0</v>
      </c>
      <c r="BW20">
        <f t="shared" si="8"/>
        <v>0</v>
      </c>
      <c r="BX20">
        <f t="shared" si="8"/>
        <v>0</v>
      </c>
      <c r="BY20">
        <f t="shared" si="8"/>
        <v>0</v>
      </c>
    </row>
    <row r="21" spans="1:77" x14ac:dyDescent="0.25">
      <c r="A21" s="2" t="s">
        <v>56</v>
      </c>
      <c r="B21">
        <f t="shared" ref="B21:L23" si="9">ROUNDDOWN((B6-ROUNDUP(B6*0.1,2)-ROUNDUP(B6*0.05,2))*0.8,2)</f>
        <v>14.94</v>
      </c>
      <c r="C21">
        <f t="shared" si="9"/>
        <v>14.3</v>
      </c>
      <c r="D21">
        <f t="shared" si="9"/>
        <v>14.04</v>
      </c>
      <c r="E21">
        <f t="shared" si="9"/>
        <v>13.46</v>
      </c>
      <c r="F21">
        <f t="shared" si="9"/>
        <v>14.41</v>
      </c>
      <c r="G21">
        <f t="shared" si="9"/>
        <v>14.48</v>
      </c>
      <c r="H21">
        <f t="shared" si="9"/>
        <v>14.44</v>
      </c>
      <c r="I21">
        <f t="shared" si="9"/>
        <v>14.31</v>
      </c>
      <c r="J21">
        <f t="shared" si="9"/>
        <v>13.87</v>
      </c>
      <c r="K21">
        <f t="shared" si="9"/>
        <v>13.6</v>
      </c>
      <c r="L21">
        <f t="shared" si="9"/>
        <v>13.66</v>
      </c>
      <c r="M21">
        <f t="shared" ref="M21:Z21" si="10">ROUNDDOWN((M6-ROUNDUP(M6*0.1,2)-ROUNDUP(M6*0.05,2))*0.8,2)</f>
        <v>13.41</v>
      </c>
      <c r="N21">
        <f t="shared" si="10"/>
        <v>13.94</v>
      </c>
      <c r="O21">
        <f t="shared" si="10"/>
        <v>14.32</v>
      </c>
      <c r="P21">
        <f t="shared" si="10"/>
        <v>14.39</v>
      </c>
      <c r="Q21">
        <f t="shared" si="10"/>
        <v>14.56</v>
      </c>
      <c r="R21">
        <f t="shared" si="10"/>
        <v>13.18</v>
      </c>
      <c r="S21">
        <f t="shared" si="10"/>
        <v>13.18</v>
      </c>
      <c r="T21">
        <f t="shared" si="10"/>
        <v>14.16</v>
      </c>
      <c r="U21">
        <f t="shared" si="10"/>
        <v>14.07</v>
      </c>
      <c r="V21">
        <f t="shared" si="10"/>
        <v>14.59</v>
      </c>
      <c r="W21">
        <f t="shared" si="10"/>
        <v>13.63</v>
      </c>
      <c r="X21">
        <f t="shared" si="10"/>
        <v>13.45</v>
      </c>
      <c r="Y21">
        <f t="shared" si="10"/>
        <v>13.96</v>
      </c>
      <c r="Z21">
        <f t="shared" si="10"/>
        <v>14</v>
      </c>
      <c r="AA21">
        <f t="shared" ref="AA21:BY21" si="11">ROUNDDOWN((AA6-ROUNDUP(AA6*0.1,2)-ROUNDUP(AA6*0.05,2))*0.8,2)</f>
        <v>14.22</v>
      </c>
      <c r="AB21">
        <f t="shared" si="11"/>
        <v>0</v>
      </c>
      <c r="AC21">
        <f t="shared" si="11"/>
        <v>0</v>
      </c>
      <c r="AD21">
        <f t="shared" si="11"/>
        <v>0</v>
      </c>
      <c r="AE21">
        <f t="shared" si="11"/>
        <v>0</v>
      </c>
      <c r="AF21">
        <f t="shared" si="11"/>
        <v>0</v>
      </c>
      <c r="AG21">
        <f t="shared" si="11"/>
        <v>0</v>
      </c>
      <c r="AH21">
        <f t="shared" si="11"/>
        <v>0</v>
      </c>
      <c r="AI21">
        <f t="shared" si="11"/>
        <v>0</v>
      </c>
      <c r="AJ21">
        <f t="shared" si="11"/>
        <v>0</v>
      </c>
      <c r="AK21">
        <f t="shared" si="11"/>
        <v>0</v>
      </c>
      <c r="AL21">
        <f t="shared" si="11"/>
        <v>0</v>
      </c>
      <c r="AM21">
        <f t="shared" si="11"/>
        <v>0</v>
      </c>
      <c r="AN21">
        <f t="shared" si="11"/>
        <v>0</v>
      </c>
      <c r="AO21">
        <f t="shared" si="11"/>
        <v>0</v>
      </c>
      <c r="AP21">
        <f t="shared" si="11"/>
        <v>0</v>
      </c>
      <c r="AQ21">
        <f t="shared" si="11"/>
        <v>0</v>
      </c>
      <c r="AR21">
        <f t="shared" si="11"/>
        <v>0</v>
      </c>
      <c r="AS21">
        <f t="shared" si="11"/>
        <v>0</v>
      </c>
      <c r="AT21">
        <f t="shared" si="11"/>
        <v>0</v>
      </c>
      <c r="AU21">
        <f t="shared" si="11"/>
        <v>0</v>
      </c>
      <c r="AV21">
        <f t="shared" si="11"/>
        <v>0</v>
      </c>
      <c r="AW21">
        <f t="shared" si="11"/>
        <v>0</v>
      </c>
      <c r="AX21">
        <f t="shared" si="11"/>
        <v>0</v>
      </c>
      <c r="AY21">
        <f t="shared" si="11"/>
        <v>0</v>
      </c>
      <c r="AZ21">
        <f t="shared" si="11"/>
        <v>0</v>
      </c>
      <c r="BA21">
        <f t="shared" si="11"/>
        <v>0</v>
      </c>
      <c r="BB21">
        <f t="shared" si="11"/>
        <v>0</v>
      </c>
      <c r="BC21">
        <f t="shared" si="11"/>
        <v>0</v>
      </c>
      <c r="BD21">
        <f t="shared" si="11"/>
        <v>0</v>
      </c>
      <c r="BE21">
        <f t="shared" si="11"/>
        <v>0</v>
      </c>
      <c r="BF21">
        <f t="shared" si="11"/>
        <v>0</v>
      </c>
      <c r="BG21">
        <f t="shared" si="11"/>
        <v>0</v>
      </c>
      <c r="BH21">
        <f t="shared" si="11"/>
        <v>0</v>
      </c>
      <c r="BI21">
        <f t="shared" si="11"/>
        <v>0</v>
      </c>
      <c r="BJ21">
        <f t="shared" si="11"/>
        <v>0</v>
      </c>
      <c r="BK21">
        <f t="shared" si="11"/>
        <v>0</v>
      </c>
      <c r="BL21">
        <f t="shared" si="11"/>
        <v>0</v>
      </c>
      <c r="BM21">
        <f t="shared" si="11"/>
        <v>0</v>
      </c>
      <c r="BN21">
        <f t="shared" si="11"/>
        <v>0</v>
      </c>
      <c r="BO21">
        <f t="shared" si="11"/>
        <v>0</v>
      </c>
      <c r="BP21">
        <f t="shared" si="11"/>
        <v>0</v>
      </c>
      <c r="BQ21">
        <f t="shared" si="11"/>
        <v>0</v>
      </c>
      <c r="BR21">
        <f t="shared" si="11"/>
        <v>0</v>
      </c>
      <c r="BS21">
        <f t="shared" si="11"/>
        <v>0</v>
      </c>
      <c r="BT21">
        <f t="shared" si="11"/>
        <v>0</v>
      </c>
      <c r="BU21">
        <f t="shared" si="11"/>
        <v>0</v>
      </c>
      <c r="BV21">
        <f t="shared" si="11"/>
        <v>0</v>
      </c>
      <c r="BW21">
        <f t="shared" si="11"/>
        <v>0</v>
      </c>
      <c r="BX21">
        <f t="shared" si="11"/>
        <v>0</v>
      </c>
      <c r="BY21">
        <f t="shared" si="11"/>
        <v>0</v>
      </c>
    </row>
    <row r="22" spans="1:77" x14ac:dyDescent="0.25">
      <c r="A22" s="2" t="s">
        <v>57</v>
      </c>
      <c r="B22">
        <f t="shared" si="9"/>
        <v>24.61</v>
      </c>
      <c r="C22">
        <f t="shared" si="9"/>
        <v>23.66</v>
      </c>
      <c r="D22">
        <f t="shared" si="9"/>
        <v>22.58</v>
      </c>
      <c r="E22">
        <f t="shared" si="9"/>
        <v>22.64</v>
      </c>
      <c r="F22">
        <f t="shared" si="9"/>
        <v>23.45</v>
      </c>
      <c r="G22">
        <f t="shared" si="9"/>
        <v>22.46</v>
      </c>
      <c r="H22">
        <f t="shared" si="9"/>
        <v>21.28</v>
      </c>
      <c r="I22">
        <f t="shared" si="9"/>
        <v>22.69</v>
      </c>
      <c r="J22">
        <f t="shared" si="9"/>
        <v>22.69</v>
      </c>
      <c r="K22">
        <f t="shared" si="9"/>
        <v>22.43</v>
      </c>
      <c r="L22">
        <f t="shared" si="9"/>
        <v>21.05</v>
      </c>
      <c r="M22">
        <f t="shared" ref="M22:Z22" si="12">ROUNDDOWN((M7-ROUNDUP(M7*0.1,2)-ROUNDUP(M7*0.05,2))*0.8,2)</f>
        <v>23.38</v>
      </c>
      <c r="N22">
        <f t="shared" si="12"/>
        <v>23.18</v>
      </c>
      <c r="O22">
        <f t="shared" si="12"/>
        <v>27.95</v>
      </c>
      <c r="P22">
        <f t="shared" si="12"/>
        <v>24.65</v>
      </c>
      <c r="Q22">
        <f t="shared" si="12"/>
        <v>23.85</v>
      </c>
      <c r="R22">
        <f t="shared" si="12"/>
        <v>24.42</v>
      </c>
      <c r="S22">
        <f t="shared" si="12"/>
        <v>23.09</v>
      </c>
      <c r="T22">
        <f t="shared" si="12"/>
        <v>24.01</v>
      </c>
      <c r="U22">
        <f t="shared" si="12"/>
        <v>22.13</v>
      </c>
      <c r="V22">
        <f t="shared" si="12"/>
        <v>21.1</v>
      </c>
      <c r="W22">
        <f t="shared" si="12"/>
        <v>21.74</v>
      </c>
      <c r="X22">
        <f t="shared" si="12"/>
        <v>22.32</v>
      </c>
      <c r="Y22">
        <f t="shared" si="12"/>
        <v>22.59</v>
      </c>
      <c r="Z22">
        <f t="shared" si="12"/>
        <v>23.01</v>
      </c>
      <c r="AA22">
        <f t="shared" ref="AA22:BY22" si="13">ROUNDDOWN((AA7-ROUNDUP(AA7*0.1,2)-ROUNDUP(AA7*0.05,2))*0.8,2)</f>
        <v>23.49</v>
      </c>
      <c r="AB22">
        <f t="shared" si="13"/>
        <v>0</v>
      </c>
      <c r="AC22">
        <f t="shared" si="13"/>
        <v>0</v>
      </c>
      <c r="AD22">
        <f t="shared" si="13"/>
        <v>0</v>
      </c>
      <c r="AE22">
        <f t="shared" si="13"/>
        <v>0</v>
      </c>
      <c r="AF22">
        <f t="shared" si="13"/>
        <v>0</v>
      </c>
      <c r="AG22">
        <f t="shared" si="13"/>
        <v>0</v>
      </c>
      <c r="AH22">
        <f t="shared" si="13"/>
        <v>0</v>
      </c>
      <c r="AI22">
        <f t="shared" si="13"/>
        <v>0</v>
      </c>
      <c r="AJ22">
        <f t="shared" si="13"/>
        <v>0</v>
      </c>
      <c r="AK22">
        <f t="shared" si="13"/>
        <v>0</v>
      </c>
      <c r="AL22">
        <f t="shared" si="13"/>
        <v>0</v>
      </c>
      <c r="AM22">
        <f t="shared" si="13"/>
        <v>0</v>
      </c>
      <c r="AN22">
        <f t="shared" si="13"/>
        <v>0</v>
      </c>
      <c r="AO22">
        <f t="shared" si="13"/>
        <v>0</v>
      </c>
      <c r="AP22">
        <f t="shared" si="13"/>
        <v>0</v>
      </c>
      <c r="AQ22">
        <f t="shared" si="13"/>
        <v>0</v>
      </c>
      <c r="AR22">
        <f t="shared" si="13"/>
        <v>0</v>
      </c>
      <c r="AS22">
        <f t="shared" si="13"/>
        <v>0</v>
      </c>
      <c r="AT22">
        <f t="shared" si="13"/>
        <v>0</v>
      </c>
      <c r="AU22">
        <f t="shared" si="13"/>
        <v>0</v>
      </c>
      <c r="AV22">
        <f t="shared" si="13"/>
        <v>0</v>
      </c>
      <c r="AW22">
        <f t="shared" si="13"/>
        <v>0</v>
      </c>
      <c r="AX22">
        <f t="shared" si="13"/>
        <v>0</v>
      </c>
      <c r="AY22">
        <f t="shared" si="13"/>
        <v>0</v>
      </c>
      <c r="AZ22">
        <f t="shared" si="13"/>
        <v>0</v>
      </c>
      <c r="BA22">
        <f t="shared" si="13"/>
        <v>0</v>
      </c>
      <c r="BB22">
        <f t="shared" si="13"/>
        <v>0</v>
      </c>
      <c r="BC22">
        <f t="shared" si="13"/>
        <v>0</v>
      </c>
      <c r="BD22">
        <f t="shared" si="13"/>
        <v>0</v>
      </c>
      <c r="BE22">
        <f t="shared" si="13"/>
        <v>0</v>
      </c>
      <c r="BF22">
        <f t="shared" si="13"/>
        <v>0</v>
      </c>
      <c r="BG22">
        <f t="shared" si="13"/>
        <v>0</v>
      </c>
      <c r="BH22">
        <f t="shared" si="13"/>
        <v>0</v>
      </c>
      <c r="BI22">
        <f t="shared" si="13"/>
        <v>0</v>
      </c>
      <c r="BJ22">
        <f t="shared" si="13"/>
        <v>0</v>
      </c>
      <c r="BK22">
        <f t="shared" si="13"/>
        <v>0</v>
      </c>
      <c r="BL22">
        <f t="shared" si="13"/>
        <v>0</v>
      </c>
      <c r="BM22">
        <f t="shared" si="13"/>
        <v>0</v>
      </c>
      <c r="BN22">
        <f t="shared" si="13"/>
        <v>0</v>
      </c>
      <c r="BO22">
        <f t="shared" si="13"/>
        <v>0</v>
      </c>
      <c r="BP22">
        <f t="shared" si="13"/>
        <v>0</v>
      </c>
      <c r="BQ22">
        <f t="shared" si="13"/>
        <v>0</v>
      </c>
      <c r="BR22">
        <f t="shared" si="13"/>
        <v>0</v>
      </c>
      <c r="BS22">
        <f t="shared" si="13"/>
        <v>0</v>
      </c>
      <c r="BT22">
        <f t="shared" si="13"/>
        <v>0</v>
      </c>
      <c r="BU22">
        <f t="shared" si="13"/>
        <v>0</v>
      </c>
      <c r="BV22">
        <f t="shared" si="13"/>
        <v>0</v>
      </c>
      <c r="BW22">
        <f t="shared" si="13"/>
        <v>0</v>
      </c>
      <c r="BX22">
        <f t="shared" si="13"/>
        <v>0</v>
      </c>
      <c r="BY22">
        <f t="shared" si="13"/>
        <v>0</v>
      </c>
    </row>
    <row r="23" spans="1:77" x14ac:dyDescent="0.25">
      <c r="A23" s="2" t="s">
        <v>58</v>
      </c>
      <c r="B23">
        <f t="shared" si="9"/>
        <v>1.97</v>
      </c>
      <c r="C23">
        <f t="shared" si="9"/>
        <v>2.0299999999999998</v>
      </c>
      <c r="D23">
        <f t="shared" si="9"/>
        <v>1.96</v>
      </c>
      <c r="E23">
        <f t="shared" si="9"/>
        <v>1.89</v>
      </c>
      <c r="F23">
        <f t="shared" si="9"/>
        <v>1.9</v>
      </c>
      <c r="G23">
        <f t="shared" si="9"/>
        <v>1.96</v>
      </c>
      <c r="H23">
        <f t="shared" si="9"/>
        <v>1.92</v>
      </c>
      <c r="I23">
        <f t="shared" si="9"/>
        <v>1.88</v>
      </c>
      <c r="J23">
        <f t="shared" si="9"/>
        <v>1.83</v>
      </c>
      <c r="K23">
        <f t="shared" si="9"/>
        <v>1.81</v>
      </c>
      <c r="L23">
        <f t="shared" si="9"/>
        <v>1.89</v>
      </c>
      <c r="M23">
        <f t="shared" ref="M23:Z23" si="14">ROUNDDOWN((M8-ROUNDUP(M8*0.1,2)-ROUNDUP(M8*0.05,2))*0.8,2)</f>
        <v>1.72</v>
      </c>
      <c r="N23">
        <f t="shared" si="14"/>
        <v>1.78</v>
      </c>
      <c r="O23">
        <f t="shared" si="14"/>
        <v>1.88</v>
      </c>
      <c r="P23">
        <f t="shared" si="14"/>
        <v>1.69</v>
      </c>
      <c r="Q23">
        <f t="shared" si="14"/>
        <v>1.71</v>
      </c>
      <c r="R23">
        <f t="shared" si="14"/>
        <v>1.65</v>
      </c>
      <c r="S23">
        <f t="shared" si="14"/>
        <v>1.69</v>
      </c>
      <c r="T23">
        <f t="shared" si="14"/>
        <v>1.65</v>
      </c>
      <c r="U23">
        <f t="shared" si="14"/>
        <v>1.67</v>
      </c>
      <c r="V23">
        <f t="shared" si="14"/>
        <v>1.71</v>
      </c>
      <c r="W23">
        <f t="shared" si="14"/>
        <v>1.6</v>
      </c>
      <c r="X23">
        <f t="shared" si="14"/>
        <v>1.71</v>
      </c>
      <c r="Y23">
        <f t="shared" si="14"/>
        <v>1.69</v>
      </c>
      <c r="Z23">
        <f t="shared" si="14"/>
        <v>1.71</v>
      </c>
      <c r="AA23">
        <f t="shared" ref="AA23:BY23" si="15">ROUNDDOWN((AA8-ROUNDUP(AA8*0.1,2)-ROUNDUP(AA8*0.05,2))*0.8,2)</f>
        <v>1.66</v>
      </c>
      <c r="AB23">
        <f t="shared" si="15"/>
        <v>0</v>
      </c>
      <c r="AC23">
        <f t="shared" si="15"/>
        <v>0</v>
      </c>
      <c r="AD23">
        <f t="shared" si="15"/>
        <v>0</v>
      </c>
      <c r="AE23">
        <f t="shared" si="15"/>
        <v>0</v>
      </c>
      <c r="AF23">
        <f t="shared" si="15"/>
        <v>0</v>
      </c>
      <c r="AG23">
        <f t="shared" si="15"/>
        <v>0</v>
      </c>
      <c r="AH23">
        <f t="shared" si="15"/>
        <v>0</v>
      </c>
      <c r="AI23">
        <f t="shared" si="15"/>
        <v>0</v>
      </c>
      <c r="AJ23">
        <f t="shared" si="15"/>
        <v>0</v>
      </c>
      <c r="AK23">
        <f t="shared" si="15"/>
        <v>0</v>
      </c>
      <c r="AL23">
        <f t="shared" si="15"/>
        <v>0</v>
      </c>
      <c r="AM23">
        <f t="shared" si="15"/>
        <v>0</v>
      </c>
      <c r="AN23">
        <f t="shared" si="15"/>
        <v>0</v>
      </c>
      <c r="AO23">
        <f t="shared" si="15"/>
        <v>0</v>
      </c>
      <c r="AP23">
        <f t="shared" si="15"/>
        <v>0</v>
      </c>
      <c r="AQ23">
        <f t="shared" si="15"/>
        <v>0</v>
      </c>
      <c r="AR23">
        <f t="shared" si="15"/>
        <v>0</v>
      </c>
      <c r="AS23">
        <f t="shared" si="15"/>
        <v>0</v>
      </c>
      <c r="AT23">
        <f t="shared" si="15"/>
        <v>0</v>
      </c>
      <c r="AU23">
        <f t="shared" si="15"/>
        <v>0</v>
      </c>
      <c r="AV23">
        <f t="shared" si="15"/>
        <v>0</v>
      </c>
      <c r="AW23">
        <f t="shared" si="15"/>
        <v>0</v>
      </c>
      <c r="AX23">
        <f t="shared" si="15"/>
        <v>0</v>
      </c>
      <c r="AY23">
        <f t="shared" si="15"/>
        <v>0</v>
      </c>
      <c r="AZ23">
        <f t="shared" si="15"/>
        <v>0</v>
      </c>
      <c r="BA23">
        <f t="shared" si="15"/>
        <v>0</v>
      </c>
      <c r="BB23">
        <f t="shared" si="15"/>
        <v>0</v>
      </c>
      <c r="BC23">
        <f t="shared" si="15"/>
        <v>0</v>
      </c>
      <c r="BD23">
        <f t="shared" si="15"/>
        <v>0</v>
      </c>
      <c r="BE23">
        <f t="shared" si="15"/>
        <v>0</v>
      </c>
      <c r="BF23">
        <f t="shared" si="15"/>
        <v>0</v>
      </c>
      <c r="BG23">
        <f t="shared" si="15"/>
        <v>0</v>
      </c>
      <c r="BH23">
        <f t="shared" si="15"/>
        <v>0</v>
      </c>
      <c r="BI23">
        <f t="shared" si="15"/>
        <v>0</v>
      </c>
      <c r="BJ23">
        <f t="shared" si="15"/>
        <v>0</v>
      </c>
      <c r="BK23">
        <f t="shared" si="15"/>
        <v>0</v>
      </c>
      <c r="BL23">
        <f t="shared" si="15"/>
        <v>0</v>
      </c>
      <c r="BM23">
        <f t="shared" si="15"/>
        <v>0</v>
      </c>
      <c r="BN23">
        <f t="shared" si="15"/>
        <v>0</v>
      </c>
      <c r="BO23">
        <f t="shared" si="15"/>
        <v>0</v>
      </c>
      <c r="BP23">
        <f t="shared" si="15"/>
        <v>0</v>
      </c>
      <c r="BQ23">
        <f t="shared" si="15"/>
        <v>0</v>
      </c>
      <c r="BR23">
        <f t="shared" si="15"/>
        <v>0</v>
      </c>
      <c r="BS23">
        <f t="shared" si="15"/>
        <v>0</v>
      </c>
      <c r="BT23">
        <f t="shared" si="15"/>
        <v>0</v>
      </c>
      <c r="BU23">
        <f t="shared" si="15"/>
        <v>0</v>
      </c>
      <c r="BV23">
        <f t="shared" si="15"/>
        <v>0</v>
      </c>
      <c r="BW23">
        <f t="shared" si="15"/>
        <v>0</v>
      </c>
      <c r="BX23">
        <f t="shared" si="15"/>
        <v>0</v>
      </c>
      <c r="BY23">
        <f t="shared" si="15"/>
        <v>0</v>
      </c>
    </row>
    <row r="25" spans="1:77" x14ac:dyDescent="0.25">
      <c r="B25" s="2">
        <f>SUM(B20:B23)</f>
        <v>52.08</v>
      </c>
      <c r="C25" s="2">
        <f t="shared" ref="C25:E25" si="16">SUM(C20:C23)</f>
        <v>50.35</v>
      </c>
      <c r="D25" s="2">
        <f t="shared" si="16"/>
        <v>49.309999999999995</v>
      </c>
      <c r="E25" s="2">
        <f t="shared" si="16"/>
        <v>48.19</v>
      </c>
      <c r="F25" s="2">
        <f t="shared" ref="F25:L25" si="17">SUM(F20:F23)</f>
        <v>50.499999999999993</v>
      </c>
      <c r="G25" s="2">
        <f t="shared" si="17"/>
        <v>49.410000000000004</v>
      </c>
      <c r="H25" s="2">
        <f t="shared" si="17"/>
        <v>48.07</v>
      </c>
      <c r="I25" s="2">
        <f t="shared" si="17"/>
        <v>49.4</v>
      </c>
      <c r="J25" s="2">
        <f t="shared" si="17"/>
        <v>48.72</v>
      </c>
      <c r="K25" s="2">
        <f t="shared" si="17"/>
        <v>47.69</v>
      </c>
      <c r="L25" s="2">
        <f t="shared" si="17"/>
        <v>47.120000000000005</v>
      </c>
      <c r="M25" s="2">
        <f t="shared" ref="M25:Z25" si="18">SUM(M20:M23)</f>
        <v>48.47</v>
      </c>
      <c r="N25" s="2">
        <f t="shared" si="18"/>
        <v>48.46</v>
      </c>
      <c r="O25" s="2">
        <f t="shared" si="18"/>
        <v>54.1</v>
      </c>
      <c r="P25" s="2">
        <f t="shared" si="18"/>
        <v>50.849999999999994</v>
      </c>
      <c r="Q25" s="2">
        <f t="shared" si="18"/>
        <v>50.24</v>
      </c>
      <c r="R25" s="2">
        <f t="shared" si="18"/>
        <v>49.65</v>
      </c>
      <c r="S25" s="2">
        <f t="shared" si="18"/>
        <v>48.45</v>
      </c>
      <c r="T25" s="2">
        <f t="shared" si="18"/>
        <v>49.669999999999995</v>
      </c>
      <c r="U25" s="2">
        <f t="shared" si="18"/>
        <v>47.89</v>
      </c>
      <c r="V25" s="2">
        <f t="shared" si="18"/>
        <v>48.050000000000004</v>
      </c>
      <c r="W25" s="2">
        <f t="shared" si="18"/>
        <v>47.37</v>
      </c>
      <c r="X25" s="2">
        <f t="shared" si="18"/>
        <v>47.6</v>
      </c>
      <c r="Y25" s="2">
        <f t="shared" si="18"/>
        <v>48.08</v>
      </c>
      <c r="Z25" s="2">
        <f t="shared" si="18"/>
        <v>49.54</v>
      </c>
      <c r="AA25" s="2">
        <f t="shared" ref="AA25:BY25" si="19">SUM(AA20:AA23)</f>
        <v>48.94</v>
      </c>
      <c r="AB25" s="2">
        <f t="shared" si="19"/>
        <v>0</v>
      </c>
      <c r="AC25" s="2">
        <f t="shared" si="19"/>
        <v>0</v>
      </c>
      <c r="AD25" s="2">
        <f t="shared" si="19"/>
        <v>0</v>
      </c>
      <c r="AE25" s="2">
        <f t="shared" si="19"/>
        <v>0</v>
      </c>
      <c r="AF25" s="2">
        <f t="shared" si="19"/>
        <v>0</v>
      </c>
      <c r="AG25" s="2">
        <f t="shared" si="19"/>
        <v>0</v>
      </c>
      <c r="AH25" s="2">
        <f t="shared" si="19"/>
        <v>0</v>
      </c>
      <c r="AI25" s="2">
        <f t="shared" si="19"/>
        <v>0</v>
      </c>
      <c r="AJ25" s="2">
        <f t="shared" si="19"/>
        <v>0</v>
      </c>
      <c r="AK25" s="2">
        <f t="shared" si="19"/>
        <v>0</v>
      </c>
      <c r="AL25" s="2">
        <f t="shared" si="19"/>
        <v>0</v>
      </c>
      <c r="AM25" s="2">
        <f t="shared" si="19"/>
        <v>0</v>
      </c>
      <c r="AN25" s="2">
        <f t="shared" si="19"/>
        <v>0</v>
      </c>
      <c r="AO25" s="2">
        <f t="shared" si="19"/>
        <v>0</v>
      </c>
      <c r="AP25" s="2">
        <f t="shared" si="19"/>
        <v>0</v>
      </c>
      <c r="AQ25" s="2">
        <f t="shared" si="19"/>
        <v>0</v>
      </c>
      <c r="AR25" s="2">
        <f t="shared" si="19"/>
        <v>0</v>
      </c>
      <c r="AS25" s="2">
        <f t="shared" si="19"/>
        <v>0</v>
      </c>
      <c r="AT25" s="2">
        <f t="shared" si="19"/>
        <v>0</v>
      </c>
      <c r="AU25" s="2">
        <f t="shared" si="19"/>
        <v>0</v>
      </c>
      <c r="AV25" s="2">
        <f t="shared" si="19"/>
        <v>0</v>
      </c>
      <c r="AW25" s="2">
        <f t="shared" si="19"/>
        <v>0</v>
      </c>
      <c r="AX25" s="2">
        <f t="shared" si="19"/>
        <v>0</v>
      </c>
      <c r="AY25" s="2">
        <f t="shared" si="19"/>
        <v>0</v>
      </c>
      <c r="AZ25" s="2">
        <f t="shared" si="19"/>
        <v>0</v>
      </c>
      <c r="BA25" s="2">
        <f t="shared" si="19"/>
        <v>0</v>
      </c>
      <c r="BB25" s="2">
        <f t="shared" si="19"/>
        <v>0</v>
      </c>
      <c r="BC25" s="2">
        <f t="shared" si="19"/>
        <v>0</v>
      </c>
      <c r="BD25" s="2">
        <f t="shared" si="19"/>
        <v>0</v>
      </c>
      <c r="BE25" s="2">
        <f t="shared" si="19"/>
        <v>0</v>
      </c>
      <c r="BF25" s="2">
        <f t="shared" si="19"/>
        <v>0</v>
      </c>
      <c r="BG25" s="2">
        <f t="shared" si="19"/>
        <v>0</v>
      </c>
      <c r="BH25" s="2">
        <f t="shared" si="19"/>
        <v>0</v>
      </c>
      <c r="BI25" s="2">
        <f t="shared" si="19"/>
        <v>0</v>
      </c>
      <c r="BJ25" s="2">
        <f t="shared" si="19"/>
        <v>0</v>
      </c>
      <c r="BK25" s="2">
        <f t="shared" si="19"/>
        <v>0</v>
      </c>
      <c r="BL25" s="2">
        <f t="shared" si="19"/>
        <v>0</v>
      </c>
      <c r="BM25" s="2">
        <f t="shared" si="19"/>
        <v>0</v>
      </c>
      <c r="BN25" s="2">
        <f t="shared" si="19"/>
        <v>0</v>
      </c>
      <c r="BO25" s="2">
        <f t="shared" si="19"/>
        <v>0</v>
      </c>
      <c r="BP25" s="2">
        <f t="shared" si="19"/>
        <v>0</v>
      </c>
      <c r="BQ25" s="2">
        <f t="shared" si="19"/>
        <v>0</v>
      </c>
      <c r="BR25" s="2">
        <f t="shared" si="19"/>
        <v>0</v>
      </c>
      <c r="BS25" s="2">
        <f t="shared" si="19"/>
        <v>0</v>
      </c>
      <c r="BT25" s="2">
        <f t="shared" si="19"/>
        <v>0</v>
      </c>
      <c r="BU25" s="2">
        <f t="shared" si="19"/>
        <v>0</v>
      </c>
      <c r="BV25" s="2">
        <f t="shared" si="19"/>
        <v>0</v>
      </c>
      <c r="BW25" s="2">
        <f t="shared" si="19"/>
        <v>0</v>
      </c>
      <c r="BX25" s="2">
        <f t="shared" si="19"/>
        <v>0</v>
      </c>
      <c r="BY25" s="2">
        <f t="shared" si="1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018E-4586-44D4-87BE-4BE0DA446686}">
  <dimension ref="A1:BY27"/>
  <sheetViews>
    <sheetView zoomScale="80" zoomScaleNormal="80" workbookViewId="0">
      <pane xSplit="1" topLeftCell="V1" activePane="topRight" state="frozen"/>
      <selection pane="topRight" activeCell="AA6" sqref="AA6"/>
    </sheetView>
  </sheetViews>
  <sheetFormatPr defaultRowHeight="15" x14ac:dyDescent="0.25"/>
  <cols>
    <col min="1" max="1" width="27.85546875" customWidth="1"/>
    <col min="2" max="46" width="12" customWidth="1"/>
    <col min="47" max="77" width="12.42578125" customWidth="1"/>
  </cols>
  <sheetData>
    <row r="1" spans="1:77" ht="31.5" x14ac:dyDescent="0.5">
      <c r="A1" s="4" t="s">
        <v>59</v>
      </c>
    </row>
    <row r="3" spans="1:77" x14ac:dyDescent="0.25">
      <c r="A3" t="s">
        <v>12</v>
      </c>
    </row>
    <row r="4" spans="1:77" x14ac:dyDescent="0.25">
      <c r="B4" s="1">
        <f>Totals!B4</f>
        <v>44331</v>
      </c>
      <c r="C4" s="1">
        <f>Totals!C4</f>
        <v>44332</v>
      </c>
      <c r="D4" s="1">
        <f>Totals!D4</f>
        <v>44334</v>
      </c>
      <c r="E4" s="1">
        <f>Totals!E4</f>
        <v>44336</v>
      </c>
      <c r="F4" s="1">
        <f>Totals!F4</f>
        <v>44337</v>
      </c>
      <c r="G4" s="1">
        <f>Totals!G4</f>
        <v>44338</v>
      </c>
      <c r="H4" s="1">
        <f>Totals!H4</f>
        <v>44339</v>
      </c>
      <c r="I4" s="1">
        <f>Totals!I4</f>
        <v>44340</v>
      </c>
      <c r="J4" s="1">
        <f>Totals!J4</f>
        <v>44341</v>
      </c>
      <c r="K4" s="1">
        <f>Totals!K4</f>
        <v>44342</v>
      </c>
      <c r="L4" s="1">
        <f>Totals!L4</f>
        <v>44343</v>
      </c>
      <c r="M4" s="1">
        <f>Totals!M4</f>
        <v>44344</v>
      </c>
      <c r="N4" s="1">
        <f>Totals!N4</f>
        <v>44345</v>
      </c>
      <c r="O4" s="1">
        <f>Totals!O4</f>
        <v>44346</v>
      </c>
      <c r="P4" s="1">
        <f>Totals!P4</f>
        <v>44347</v>
      </c>
      <c r="Q4" s="1">
        <f>Totals!Q4</f>
        <v>44348</v>
      </c>
      <c r="R4" s="1">
        <f>Totals!R4</f>
        <v>44349</v>
      </c>
      <c r="S4" s="1">
        <f>Totals!S4</f>
        <v>44350</v>
      </c>
      <c r="T4" s="1">
        <f>Totals!T4</f>
        <v>44351</v>
      </c>
      <c r="U4" s="1">
        <f>Totals!U4</f>
        <v>44352</v>
      </c>
      <c r="V4" s="1">
        <f>Totals!V4</f>
        <v>44353</v>
      </c>
      <c r="W4" s="1">
        <f>Totals!W4</f>
        <v>44354</v>
      </c>
      <c r="X4" s="1">
        <f>Totals!X4</f>
        <v>44355</v>
      </c>
      <c r="Y4" s="1">
        <f>Totals!Y4</f>
        <v>44356</v>
      </c>
      <c r="Z4" s="1">
        <f>Totals!Z4</f>
        <v>44357</v>
      </c>
      <c r="AA4" s="1">
        <f>Totals!AA4</f>
        <v>44358</v>
      </c>
      <c r="AB4" s="1">
        <f>Totals!AB4</f>
        <v>44359</v>
      </c>
      <c r="AC4" s="1">
        <f>Totals!AC4</f>
        <v>44360</v>
      </c>
      <c r="AD4" s="1">
        <f>Totals!AD4</f>
        <v>44361</v>
      </c>
      <c r="AE4" s="1">
        <f>Totals!AE4</f>
        <v>44362</v>
      </c>
      <c r="AF4" s="1">
        <f>Totals!AF4</f>
        <v>44363</v>
      </c>
      <c r="AG4" s="1">
        <f>Totals!AG4</f>
        <v>44364</v>
      </c>
      <c r="AH4" s="1">
        <f>Totals!AH4</f>
        <v>44365</v>
      </c>
      <c r="AI4" s="1">
        <f>Totals!AI4</f>
        <v>44366</v>
      </c>
      <c r="AJ4" s="1">
        <f>Totals!AJ4</f>
        <v>44367</v>
      </c>
      <c r="AK4" s="1">
        <f>Totals!AK4</f>
        <v>44368</v>
      </c>
      <c r="AL4" s="1">
        <f>Totals!AL4</f>
        <v>44369</v>
      </c>
      <c r="AM4" s="1">
        <f>Totals!AM4</f>
        <v>44370</v>
      </c>
      <c r="AN4" s="1">
        <f>Totals!AN4</f>
        <v>44371</v>
      </c>
      <c r="AO4" s="1">
        <f>Totals!AO4</f>
        <v>44372</v>
      </c>
      <c r="AP4" s="1">
        <f>Totals!AP4</f>
        <v>44373</v>
      </c>
      <c r="AQ4" s="1">
        <f>Totals!AQ4</f>
        <v>44374</v>
      </c>
      <c r="AR4" s="1">
        <f>Totals!AR4</f>
        <v>44375</v>
      </c>
      <c r="AS4" s="1">
        <f>Totals!AS4</f>
        <v>44376</v>
      </c>
      <c r="AT4" s="1">
        <f>Totals!AT4</f>
        <v>44377</v>
      </c>
      <c r="AU4" s="1">
        <f>Totals!AU4</f>
        <v>44378</v>
      </c>
      <c r="AV4" s="1">
        <f>Totals!AV4</f>
        <v>44379</v>
      </c>
      <c r="AW4" s="1">
        <f>Totals!AW4</f>
        <v>44380</v>
      </c>
      <c r="AX4" s="1">
        <f>Totals!AX4</f>
        <v>44381</v>
      </c>
      <c r="AY4" s="1">
        <f>Totals!AY4</f>
        <v>44382</v>
      </c>
      <c r="AZ4" s="1">
        <f>Totals!AZ4</f>
        <v>44383</v>
      </c>
      <c r="BA4" s="1">
        <f>Totals!BA4</f>
        <v>44384</v>
      </c>
      <c r="BB4" s="1">
        <f>Totals!BB4</f>
        <v>44385</v>
      </c>
      <c r="BC4" s="1">
        <f>Totals!BC4</f>
        <v>44386</v>
      </c>
      <c r="BD4" s="1">
        <f>Totals!BD4</f>
        <v>44387</v>
      </c>
      <c r="BE4" s="1">
        <f>Totals!BE4</f>
        <v>44388</v>
      </c>
      <c r="BF4" s="1">
        <f>Totals!BF4</f>
        <v>44389</v>
      </c>
      <c r="BG4" s="1">
        <f>Totals!BG4</f>
        <v>44390</v>
      </c>
      <c r="BH4" s="1">
        <f>Totals!BH4</f>
        <v>44391</v>
      </c>
      <c r="BI4" s="1">
        <f>Totals!BI4</f>
        <v>44392</v>
      </c>
      <c r="BJ4" s="1">
        <f>Totals!BJ4</f>
        <v>44393</v>
      </c>
      <c r="BK4" s="1">
        <f>Totals!BK4</f>
        <v>44394</v>
      </c>
      <c r="BL4" s="1">
        <f>Totals!BL4</f>
        <v>44395</v>
      </c>
      <c r="BM4" s="1">
        <f>Totals!BM4</f>
        <v>44396</v>
      </c>
      <c r="BN4" s="1">
        <f>Totals!BN4</f>
        <v>44397</v>
      </c>
      <c r="BO4" s="1">
        <f>Totals!BO4</f>
        <v>44398</v>
      </c>
      <c r="BP4" s="1">
        <f>Totals!BP4</f>
        <v>44399</v>
      </c>
      <c r="BQ4" s="1">
        <f>Totals!BQ4</f>
        <v>44400</v>
      </c>
      <c r="BR4" s="1">
        <f>Totals!BR4</f>
        <v>44401</v>
      </c>
      <c r="BS4" s="1">
        <f>Totals!BS4</f>
        <v>44402</v>
      </c>
      <c r="BT4" s="1">
        <f>Totals!BT4</f>
        <v>44403</v>
      </c>
      <c r="BU4" s="1">
        <f>Totals!BU4</f>
        <v>44404</v>
      </c>
      <c r="BV4" s="1">
        <f>Totals!BV4</f>
        <v>44405</v>
      </c>
      <c r="BW4" s="1">
        <f>Totals!BW4</f>
        <v>44406</v>
      </c>
      <c r="BX4" s="1">
        <f>Totals!BX4</f>
        <v>44407</v>
      </c>
      <c r="BY4" s="1">
        <f>Totals!BY4</f>
        <v>44408</v>
      </c>
    </row>
    <row r="5" spans="1:77" x14ac:dyDescent="0.25">
      <c r="A5" s="2" t="s">
        <v>60</v>
      </c>
      <c r="B5">
        <v>18.21</v>
      </c>
      <c r="C5">
        <v>18.21</v>
      </c>
      <c r="D5">
        <v>18.36</v>
      </c>
      <c r="E5">
        <v>18.21</v>
      </c>
      <c r="F5">
        <v>18.2</v>
      </c>
      <c r="G5">
        <v>18.899999999999999</v>
      </c>
      <c r="H5">
        <v>17.899999999999999</v>
      </c>
      <c r="I5">
        <v>18.010000000000002</v>
      </c>
      <c r="J5">
        <v>18.05</v>
      </c>
      <c r="K5">
        <v>18.100000000000001</v>
      </c>
      <c r="L5">
        <v>18.11</v>
      </c>
      <c r="M5">
        <v>17.559999999999999</v>
      </c>
      <c r="N5">
        <v>18.05</v>
      </c>
      <c r="O5">
        <v>17.829999999999998</v>
      </c>
      <c r="P5">
        <v>17.53</v>
      </c>
      <c r="Q5">
        <v>17.329999999999998</v>
      </c>
      <c r="R5">
        <v>17.55</v>
      </c>
      <c r="S5">
        <v>17.43</v>
      </c>
      <c r="T5">
        <v>17.559999999999999</v>
      </c>
      <c r="U5">
        <v>17.63</v>
      </c>
      <c r="V5">
        <v>17.88</v>
      </c>
      <c r="W5">
        <v>17.63</v>
      </c>
      <c r="X5">
        <v>17.45</v>
      </c>
      <c r="Y5">
        <v>17.34</v>
      </c>
      <c r="Z5">
        <v>17.190000000000001</v>
      </c>
      <c r="AA5">
        <v>17.07</v>
      </c>
    </row>
    <row r="6" spans="1:77" x14ac:dyDescent="0.25">
      <c r="A6" s="2" t="s">
        <v>61</v>
      </c>
      <c r="B6">
        <v>192.99</v>
      </c>
      <c r="C6">
        <v>203.36</v>
      </c>
      <c r="D6">
        <v>210.82</v>
      </c>
      <c r="E6">
        <v>201.42</v>
      </c>
      <c r="F6">
        <v>212.4</v>
      </c>
      <c r="G6">
        <v>197.46</v>
      </c>
      <c r="H6">
        <v>200.73</v>
      </c>
      <c r="I6">
        <v>207.88</v>
      </c>
      <c r="J6">
        <v>194.84</v>
      </c>
      <c r="K6">
        <v>215.86</v>
      </c>
      <c r="L6">
        <v>215.62</v>
      </c>
      <c r="M6">
        <v>213.15</v>
      </c>
      <c r="N6">
        <v>195.27</v>
      </c>
      <c r="O6">
        <v>206.84</v>
      </c>
      <c r="P6">
        <v>206.2</v>
      </c>
      <c r="Q6">
        <v>217.85</v>
      </c>
      <c r="R6">
        <v>214.41</v>
      </c>
      <c r="S6">
        <v>219.34</v>
      </c>
      <c r="T6">
        <v>226.95</v>
      </c>
      <c r="U6">
        <v>265.85000000000002</v>
      </c>
      <c r="V6">
        <v>250.41</v>
      </c>
      <c r="W6">
        <v>246.91</v>
      </c>
      <c r="X6">
        <v>251.75</v>
      </c>
      <c r="Y6">
        <v>287.68</v>
      </c>
      <c r="Z6">
        <v>239.75</v>
      </c>
      <c r="AA6">
        <v>239.15</v>
      </c>
    </row>
    <row r="7" spans="1:77" x14ac:dyDescent="0.25">
      <c r="A7" s="2" t="s">
        <v>62</v>
      </c>
      <c r="B7">
        <v>62.15</v>
      </c>
      <c r="C7">
        <v>61.77</v>
      </c>
      <c r="D7">
        <v>62.83</v>
      </c>
      <c r="E7">
        <v>62.69</v>
      </c>
      <c r="F7">
        <v>59.41</v>
      </c>
      <c r="G7">
        <v>62.97</v>
      </c>
      <c r="H7">
        <v>61.22</v>
      </c>
      <c r="I7">
        <v>59.28</v>
      </c>
      <c r="J7">
        <v>60</v>
      </c>
      <c r="K7">
        <v>61.12</v>
      </c>
      <c r="L7">
        <v>60.26</v>
      </c>
      <c r="M7">
        <v>60.03</v>
      </c>
      <c r="N7">
        <v>60.1</v>
      </c>
      <c r="O7">
        <v>61.83</v>
      </c>
      <c r="P7">
        <v>63.61</v>
      </c>
      <c r="Q7">
        <v>59.98</v>
      </c>
      <c r="R7">
        <v>60.1</v>
      </c>
      <c r="S7">
        <v>61.21</v>
      </c>
      <c r="T7">
        <v>60.3</v>
      </c>
      <c r="U7">
        <v>60</v>
      </c>
      <c r="V7">
        <v>61.55</v>
      </c>
      <c r="W7">
        <v>64.63</v>
      </c>
      <c r="X7">
        <v>60.98</v>
      </c>
      <c r="Y7">
        <v>60.11</v>
      </c>
      <c r="Z7">
        <v>58.2</v>
      </c>
      <c r="AA7">
        <v>59.95</v>
      </c>
    </row>
    <row r="8" spans="1:77" x14ac:dyDescent="0.25">
      <c r="A8" s="2" t="s">
        <v>63</v>
      </c>
      <c r="B8">
        <v>37.770000000000003</v>
      </c>
      <c r="C8">
        <v>40.4</v>
      </c>
      <c r="D8">
        <v>39.340000000000003</v>
      </c>
      <c r="E8">
        <v>38.5</v>
      </c>
      <c r="F8">
        <v>40.049999999999997</v>
      </c>
      <c r="G8">
        <v>39.93</v>
      </c>
      <c r="H8">
        <v>38.409999999999997</v>
      </c>
      <c r="I8">
        <v>38.11</v>
      </c>
      <c r="J8">
        <v>37.81</v>
      </c>
      <c r="K8">
        <v>37.83</v>
      </c>
      <c r="L8">
        <v>39.6</v>
      </c>
      <c r="M8">
        <v>39.72</v>
      </c>
      <c r="N8">
        <v>39.450000000000003</v>
      </c>
      <c r="O8">
        <v>35.369999999999997</v>
      </c>
      <c r="P8">
        <v>38.56</v>
      </c>
      <c r="Q8">
        <v>37.049999999999997</v>
      </c>
      <c r="R8">
        <v>38.83</v>
      </c>
      <c r="S8">
        <v>39.65</v>
      </c>
      <c r="T8">
        <v>35.33</v>
      </c>
      <c r="U8">
        <v>34.11</v>
      </c>
      <c r="V8">
        <v>35.04</v>
      </c>
      <c r="W8">
        <v>36.93</v>
      </c>
      <c r="X8">
        <v>35.82</v>
      </c>
      <c r="Y8">
        <v>36.630000000000003</v>
      </c>
      <c r="Z8">
        <v>37.69</v>
      </c>
      <c r="AA8">
        <v>36.58</v>
      </c>
    </row>
    <row r="9" spans="1:77" x14ac:dyDescent="0.25">
      <c r="A9" s="2" t="s">
        <v>64</v>
      </c>
      <c r="B9">
        <v>26.57</v>
      </c>
      <c r="C9">
        <v>27.42</v>
      </c>
      <c r="D9">
        <v>27.83</v>
      </c>
      <c r="E9">
        <v>27.26</v>
      </c>
      <c r="F9">
        <v>25.67</v>
      </c>
      <c r="G9">
        <v>25.26</v>
      </c>
      <c r="H9">
        <v>25.26</v>
      </c>
      <c r="I9">
        <v>25.88</v>
      </c>
      <c r="J9">
        <v>26.82</v>
      </c>
      <c r="K9">
        <v>25.54</v>
      </c>
      <c r="L9">
        <v>24.7</v>
      </c>
      <c r="M9">
        <v>25.46</v>
      </c>
      <c r="N9">
        <v>25.22</v>
      </c>
      <c r="O9">
        <v>25.89</v>
      </c>
      <c r="P9">
        <v>25.22</v>
      </c>
      <c r="Q9">
        <v>27.19</v>
      </c>
      <c r="R9">
        <v>26.35</v>
      </c>
      <c r="S9">
        <v>26</v>
      </c>
      <c r="T9">
        <v>25.71</v>
      </c>
      <c r="U9">
        <v>26.46</v>
      </c>
      <c r="V9">
        <v>26.13</v>
      </c>
      <c r="W9">
        <v>26.29</v>
      </c>
      <c r="X9">
        <v>27.39</v>
      </c>
      <c r="Y9">
        <v>26.62</v>
      </c>
      <c r="Z9">
        <v>26.37</v>
      </c>
      <c r="AA9">
        <v>25.81</v>
      </c>
    </row>
    <row r="10" spans="1:77" x14ac:dyDescent="0.25">
      <c r="A10" s="2" t="s">
        <v>65</v>
      </c>
      <c r="B10">
        <v>47.51</v>
      </c>
      <c r="C10">
        <v>47.17</v>
      </c>
      <c r="D10">
        <v>49.37</v>
      </c>
      <c r="E10">
        <v>48.37</v>
      </c>
      <c r="F10">
        <v>46.08</v>
      </c>
      <c r="G10">
        <v>44.96</v>
      </c>
      <c r="H10">
        <v>46.07</v>
      </c>
      <c r="I10">
        <v>45.89</v>
      </c>
      <c r="J10">
        <v>44.94</v>
      </c>
      <c r="K10">
        <v>45.49</v>
      </c>
      <c r="L10">
        <v>46.09</v>
      </c>
      <c r="M10">
        <v>45.74</v>
      </c>
      <c r="N10">
        <v>45.73</v>
      </c>
      <c r="O10">
        <v>44.74</v>
      </c>
      <c r="P10">
        <v>44.91</v>
      </c>
      <c r="Q10">
        <v>46.13</v>
      </c>
      <c r="R10">
        <v>46.46</v>
      </c>
      <c r="S10">
        <v>45.58</v>
      </c>
      <c r="T10">
        <v>45.39</v>
      </c>
      <c r="U10">
        <v>43.55</v>
      </c>
      <c r="V10">
        <v>46.01</v>
      </c>
      <c r="W10">
        <v>44.97</v>
      </c>
      <c r="X10">
        <v>44.91</v>
      </c>
      <c r="Y10">
        <v>44.62</v>
      </c>
      <c r="Z10">
        <v>45.55</v>
      </c>
      <c r="AA10">
        <v>45.62</v>
      </c>
    </row>
    <row r="12" spans="1:77" x14ac:dyDescent="0.25">
      <c r="B12" s="2">
        <f>SUM(B5:B10)</f>
        <v>385.2</v>
      </c>
      <c r="C12" s="2">
        <f t="shared" ref="C12:L12" si="0">SUM(C5:C10)</f>
        <v>398.33000000000004</v>
      </c>
      <c r="D12" s="2">
        <f t="shared" si="0"/>
        <v>408.55</v>
      </c>
      <c r="E12" s="2">
        <f t="shared" si="0"/>
        <v>396.45</v>
      </c>
      <c r="F12" s="2">
        <f t="shared" si="0"/>
        <v>401.81</v>
      </c>
      <c r="G12" s="2">
        <f t="shared" si="0"/>
        <v>389.48</v>
      </c>
      <c r="H12" s="2">
        <f t="shared" si="0"/>
        <v>389.59</v>
      </c>
      <c r="I12" s="2">
        <f t="shared" si="0"/>
        <v>395.04999999999995</v>
      </c>
      <c r="J12" s="2">
        <f t="shared" si="0"/>
        <v>382.46</v>
      </c>
      <c r="K12" s="2">
        <f t="shared" si="0"/>
        <v>403.94</v>
      </c>
      <c r="L12" s="2">
        <f t="shared" si="0"/>
        <v>404.38</v>
      </c>
      <c r="M12" s="2">
        <f t="shared" ref="M12:Z12" si="1">SUM(M5:M10)</f>
        <v>401.66</v>
      </c>
      <c r="N12" s="2">
        <f t="shared" si="1"/>
        <v>383.82000000000005</v>
      </c>
      <c r="O12" s="2">
        <f t="shared" si="1"/>
        <v>392.5</v>
      </c>
      <c r="P12" s="2">
        <f t="shared" si="1"/>
        <v>396.03</v>
      </c>
      <c r="Q12" s="2">
        <f t="shared" si="1"/>
        <v>405.53000000000003</v>
      </c>
      <c r="R12" s="2">
        <f t="shared" si="1"/>
        <v>403.7</v>
      </c>
      <c r="S12" s="2">
        <f t="shared" si="1"/>
        <v>409.21</v>
      </c>
      <c r="T12" s="2">
        <f t="shared" si="1"/>
        <v>411.23999999999995</v>
      </c>
      <c r="U12" s="2">
        <f t="shared" si="1"/>
        <v>447.6</v>
      </c>
      <c r="V12" s="2">
        <f t="shared" si="1"/>
        <v>437.02000000000004</v>
      </c>
      <c r="W12" s="2">
        <f t="shared" si="1"/>
        <v>437.36</v>
      </c>
      <c r="X12" s="2">
        <f t="shared" si="1"/>
        <v>438.29999999999995</v>
      </c>
      <c r="Y12" s="2">
        <f t="shared" si="1"/>
        <v>473</v>
      </c>
      <c r="Z12" s="2">
        <f t="shared" si="1"/>
        <v>424.75</v>
      </c>
      <c r="AA12" s="2">
        <f t="shared" ref="AA12:BY12" si="2">SUM(AA5:AA10)</f>
        <v>424.18</v>
      </c>
      <c r="AB12" s="2">
        <f t="shared" si="2"/>
        <v>0</v>
      </c>
      <c r="AC12" s="2">
        <f t="shared" si="2"/>
        <v>0</v>
      </c>
      <c r="AD12" s="2">
        <f t="shared" si="2"/>
        <v>0</v>
      </c>
      <c r="AE12" s="2">
        <f t="shared" si="2"/>
        <v>0</v>
      </c>
      <c r="AF12" s="2">
        <f t="shared" si="2"/>
        <v>0</v>
      </c>
      <c r="AG12" s="2">
        <f t="shared" si="2"/>
        <v>0</v>
      </c>
      <c r="AH12" s="2">
        <f t="shared" si="2"/>
        <v>0</v>
      </c>
      <c r="AI12" s="2">
        <f t="shared" si="2"/>
        <v>0</v>
      </c>
      <c r="AJ12" s="2">
        <f t="shared" si="2"/>
        <v>0</v>
      </c>
      <c r="AK12" s="2">
        <f t="shared" si="2"/>
        <v>0</v>
      </c>
      <c r="AL12" s="2">
        <f t="shared" si="2"/>
        <v>0</v>
      </c>
      <c r="AM12" s="2">
        <f t="shared" si="2"/>
        <v>0</v>
      </c>
      <c r="AN12" s="2">
        <f t="shared" si="2"/>
        <v>0</v>
      </c>
      <c r="AO12" s="2">
        <f t="shared" si="2"/>
        <v>0</v>
      </c>
      <c r="AP12" s="2">
        <f t="shared" si="2"/>
        <v>0</v>
      </c>
      <c r="AQ12" s="2">
        <f t="shared" si="2"/>
        <v>0</v>
      </c>
      <c r="AR12" s="2">
        <f t="shared" si="2"/>
        <v>0</v>
      </c>
      <c r="AS12" s="2">
        <f t="shared" si="2"/>
        <v>0</v>
      </c>
      <c r="AT12" s="2">
        <f t="shared" si="2"/>
        <v>0</v>
      </c>
      <c r="AU12" s="2">
        <f t="shared" si="2"/>
        <v>0</v>
      </c>
      <c r="AV12" s="2">
        <f t="shared" si="2"/>
        <v>0</v>
      </c>
      <c r="AW12" s="2">
        <f t="shared" si="2"/>
        <v>0</v>
      </c>
      <c r="AX12" s="2">
        <f t="shared" si="2"/>
        <v>0</v>
      </c>
      <c r="AY12" s="2">
        <f t="shared" si="2"/>
        <v>0</v>
      </c>
      <c r="AZ12" s="2">
        <f t="shared" si="2"/>
        <v>0</v>
      </c>
      <c r="BA12" s="2">
        <f t="shared" si="2"/>
        <v>0</v>
      </c>
      <c r="BB12" s="2">
        <f t="shared" si="2"/>
        <v>0</v>
      </c>
      <c r="BC12" s="2">
        <f t="shared" si="2"/>
        <v>0</v>
      </c>
      <c r="BD12" s="2">
        <f t="shared" si="2"/>
        <v>0</v>
      </c>
      <c r="BE12" s="2">
        <f t="shared" si="2"/>
        <v>0</v>
      </c>
      <c r="BF12" s="2">
        <f t="shared" si="2"/>
        <v>0</v>
      </c>
      <c r="BG12" s="2">
        <f t="shared" si="2"/>
        <v>0</v>
      </c>
      <c r="BH12" s="2">
        <f t="shared" si="2"/>
        <v>0</v>
      </c>
      <c r="BI12" s="2">
        <f t="shared" si="2"/>
        <v>0</v>
      </c>
      <c r="BJ12" s="2">
        <f t="shared" si="2"/>
        <v>0</v>
      </c>
      <c r="BK12" s="2">
        <f t="shared" si="2"/>
        <v>0</v>
      </c>
      <c r="BL12" s="2">
        <f t="shared" si="2"/>
        <v>0</v>
      </c>
      <c r="BM12" s="2">
        <f t="shared" si="2"/>
        <v>0</v>
      </c>
      <c r="BN12" s="2">
        <f t="shared" si="2"/>
        <v>0</v>
      </c>
      <c r="BO12" s="2">
        <f t="shared" si="2"/>
        <v>0</v>
      </c>
      <c r="BP12" s="2">
        <f t="shared" si="2"/>
        <v>0</v>
      </c>
      <c r="BQ12" s="2">
        <f t="shared" si="2"/>
        <v>0</v>
      </c>
      <c r="BR12" s="2">
        <f t="shared" si="2"/>
        <v>0</v>
      </c>
      <c r="BS12" s="2">
        <f t="shared" si="2"/>
        <v>0</v>
      </c>
      <c r="BT12" s="2">
        <f t="shared" si="2"/>
        <v>0</v>
      </c>
      <c r="BU12" s="2">
        <f t="shared" si="2"/>
        <v>0</v>
      </c>
      <c r="BV12" s="2">
        <f t="shared" si="2"/>
        <v>0</v>
      </c>
      <c r="BW12" s="2">
        <f t="shared" si="2"/>
        <v>0</v>
      </c>
      <c r="BX12" s="2">
        <f t="shared" si="2"/>
        <v>0</v>
      </c>
      <c r="BY12" s="2">
        <f t="shared" si="2"/>
        <v>0</v>
      </c>
    </row>
    <row r="16" spans="1:77" ht="21" x14ac:dyDescent="0.35">
      <c r="A16" s="5" t="s">
        <v>33</v>
      </c>
    </row>
    <row r="18" spans="1:77" x14ac:dyDescent="0.25">
      <c r="A18" t="s">
        <v>12</v>
      </c>
    </row>
    <row r="19" spans="1:77" x14ac:dyDescent="0.25">
      <c r="B19" s="1">
        <f>B4</f>
        <v>44331</v>
      </c>
      <c r="C19" s="1">
        <f t="shared" ref="C19:L19" si="3">C4</f>
        <v>44332</v>
      </c>
      <c r="D19" s="1">
        <f t="shared" si="3"/>
        <v>44334</v>
      </c>
      <c r="E19" s="1">
        <f t="shared" si="3"/>
        <v>44336</v>
      </c>
      <c r="F19" s="1">
        <f t="shared" si="3"/>
        <v>44337</v>
      </c>
      <c r="G19" s="1">
        <f t="shared" si="3"/>
        <v>44338</v>
      </c>
      <c r="H19" s="1">
        <f t="shared" si="3"/>
        <v>44339</v>
      </c>
      <c r="I19" s="1">
        <f t="shared" si="3"/>
        <v>44340</v>
      </c>
      <c r="J19" s="1">
        <f t="shared" si="3"/>
        <v>44341</v>
      </c>
      <c r="K19" s="1">
        <f t="shared" si="3"/>
        <v>44342</v>
      </c>
      <c r="L19" s="1">
        <f t="shared" si="3"/>
        <v>44343</v>
      </c>
      <c r="M19" s="1">
        <f t="shared" ref="M19:Z19" si="4">M4</f>
        <v>44344</v>
      </c>
      <c r="N19" s="1">
        <f t="shared" si="4"/>
        <v>44345</v>
      </c>
      <c r="O19" s="1">
        <f t="shared" si="4"/>
        <v>44346</v>
      </c>
      <c r="P19" s="1">
        <f t="shared" si="4"/>
        <v>44347</v>
      </c>
      <c r="Q19" s="1">
        <f t="shared" si="4"/>
        <v>44348</v>
      </c>
      <c r="R19" s="1">
        <f t="shared" si="4"/>
        <v>44349</v>
      </c>
      <c r="S19" s="1">
        <f t="shared" si="4"/>
        <v>44350</v>
      </c>
      <c r="T19" s="1">
        <f t="shared" si="4"/>
        <v>44351</v>
      </c>
      <c r="U19" s="1">
        <f t="shared" si="4"/>
        <v>44352</v>
      </c>
      <c r="V19" s="1">
        <f t="shared" si="4"/>
        <v>44353</v>
      </c>
      <c r="W19" s="1">
        <f t="shared" si="4"/>
        <v>44354</v>
      </c>
      <c r="X19" s="1">
        <f t="shared" si="4"/>
        <v>44355</v>
      </c>
      <c r="Y19" s="1">
        <f t="shared" si="4"/>
        <v>44356</v>
      </c>
      <c r="Z19" s="1">
        <f t="shared" si="4"/>
        <v>44357</v>
      </c>
      <c r="AA19" s="1">
        <f t="shared" ref="AA19:BY19" si="5">AA4</f>
        <v>44358</v>
      </c>
      <c r="AB19" s="1">
        <f t="shared" si="5"/>
        <v>44359</v>
      </c>
      <c r="AC19" s="1">
        <f t="shared" si="5"/>
        <v>44360</v>
      </c>
      <c r="AD19" s="1">
        <f t="shared" si="5"/>
        <v>44361</v>
      </c>
      <c r="AE19" s="1">
        <f t="shared" si="5"/>
        <v>44362</v>
      </c>
      <c r="AF19" s="1">
        <f t="shared" si="5"/>
        <v>44363</v>
      </c>
      <c r="AG19" s="1">
        <f t="shared" si="5"/>
        <v>44364</v>
      </c>
      <c r="AH19" s="1">
        <f t="shared" si="5"/>
        <v>44365</v>
      </c>
      <c r="AI19" s="1">
        <f t="shared" si="5"/>
        <v>44366</v>
      </c>
      <c r="AJ19" s="1">
        <f t="shared" si="5"/>
        <v>44367</v>
      </c>
      <c r="AK19" s="1">
        <f t="shared" si="5"/>
        <v>44368</v>
      </c>
      <c r="AL19" s="1">
        <f t="shared" si="5"/>
        <v>44369</v>
      </c>
      <c r="AM19" s="1">
        <f t="shared" si="5"/>
        <v>44370</v>
      </c>
      <c r="AN19" s="1">
        <f t="shared" si="5"/>
        <v>44371</v>
      </c>
      <c r="AO19" s="1">
        <f t="shared" si="5"/>
        <v>44372</v>
      </c>
      <c r="AP19" s="1">
        <f t="shared" si="5"/>
        <v>44373</v>
      </c>
      <c r="AQ19" s="1">
        <f t="shared" si="5"/>
        <v>44374</v>
      </c>
      <c r="AR19" s="1">
        <f t="shared" si="5"/>
        <v>44375</v>
      </c>
      <c r="AS19" s="1">
        <f t="shared" si="5"/>
        <v>44376</v>
      </c>
      <c r="AT19" s="1">
        <f t="shared" si="5"/>
        <v>44377</v>
      </c>
      <c r="AU19" s="1">
        <f t="shared" si="5"/>
        <v>44378</v>
      </c>
      <c r="AV19" s="1">
        <f t="shared" si="5"/>
        <v>44379</v>
      </c>
      <c r="AW19" s="1">
        <f t="shared" si="5"/>
        <v>44380</v>
      </c>
      <c r="AX19" s="1">
        <f t="shared" si="5"/>
        <v>44381</v>
      </c>
      <c r="AY19" s="1">
        <f t="shared" si="5"/>
        <v>44382</v>
      </c>
      <c r="AZ19" s="1">
        <f t="shared" si="5"/>
        <v>44383</v>
      </c>
      <c r="BA19" s="1">
        <f t="shared" si="5"/>
        <v>44384</v>
      </c>
      <c r="BB19" s="1">
        <f t="shared" si="5"/>
        <v>44385</v>
      </c>
      <c r="BC19" s="1">
        <f t="shared" si="5"/>
        <v>44386</v>
      </c>
      <c r="BD19" s="1">
        <f t="shared" si="5"/>
        <v>44387</v>
      </c>
      <c r="BE19" s="1">
        <f t="shared" si="5"/>
        <v>44388</v>
      </c>
      <c r="BF19" s="1">
        <f t="shared" si="5"/>
        <v>44389</v>
      </c>
      <c r="BG19" s="1">
        <f t="shared" si="5"/>
        <v>44390</v>
      </c>
      <c r="BH19" s="1">
        <f t="shared" si="5"/>
        <v>44391</v>
      </c>
      <c r="BI19" s="1">
        <f t="shared" si="5"/>
        <v>44392</v>
      </c>
      <c r="BJ19" s="1">
        <f t="shared" si="5"/>
        <v>44393</v>
      </c>
      <c r="BK19" s="1">
        <f t="shared" si="5"/>
        <v>44394</v>
      </c>
      <c r="BL19" s="1">
        <f t="shared" si="5"/>
        <v>44395</v>
      </c>
      <c r="BM19" s="1">
        <f t="shared" si="5"/>
        <v>44396</v>
      </c>
      <c r="BN19" s="1">
        <f t="shared" si="5"/>
        <v>44397</v>
      </c>
      <c r="BO19" s="1">
        <f t="shared" si="5"/>
        <v>44398</v>
      </c>
      <c r="BP19" s="1">
        <f t="shared" si="5"/>
        <v>44399</v>
      </c>
      <c r="BQ19" s="1">
        <f t="shared" si="5"/>
        <v>44400</v>
      </c>
      <c r="BR19" s="1">
        <f t="shared" si="5"/>
        <v>44401</v>
      </c>
      <c r="BS19" s="1">
        <f t="shared" si="5"/>
        <v>44402</v>
      </c>
      <c r="BT19" s="1">
        <f t="shared" si="5"/>
        <v>44403</v>
      </c>
      <c r="BU19" s="1">
        <f t="shared" si="5"/>
        <v>44404</v>
      </c>
      <c r="BV19" s="1">
        <f t="shared" si="5"/>
        <v>44405</v>
      </c>
      <c r="BW19" s="1">
        <f t="shared" si="5"/>
        <v>44406</v>
      </c>
      <c r="BX19" s="1">
        <f t="shared" si="5"/>
        <v>44407</v>
      </c>
      <c r="BY19" s="1">
        <f t="shared" si="5"/>
        <v>44408</v>
      </c>
    </row>
    <row r="20" spans="1:77" x14ac:dyDescent="0.25">
      <c r="A20" s="2" t="s">
        <v>60</v>
      </c>
      <c r="B20">
        <f>ROUNDDOWN((B5-ROUNDUP(B5*0.1,2)-ROUNDUP(B5*0.05,2))*0.8,2)</f>
        <v>12.36</v>
      </c>
      <c r="C20">
        <f t="shared" ref="C20:L20" si="6">ROUNDDOWN((C5-ROUNDUP(C5*0.1,2)-ROUNDUP(C5*0.05,2))*0.8,2)</f>
        <v>12.36</v>
      </c>
      <c r="D20">
        <f t="shared" si="6"/>
        <v>12.48</v>
      </c>
      <c r="E20">
        <f t="shared" si="6"/>
        <v>12.36</v>
      </c>
      <c r="F20">
        <f t="shared" si="6"/>
        <v>12.37</v>
      </c>
      <c r="G20">
        <f t="shared" si="6"/>
        <v>12.84</v>
      </c>
      <c r="H20">
        <f t="shared" si="6"/>
        <v>12.16</v>
      </c>
      <c r="I20">
        <f t="shared" si="6"/>
        <v>12.23</v>
      </c>
      <c r="J20">
        <f t="shared" si="6"/>
        <v>12.26</v>
      </c>
      <c r="K20">
        <f t="shared" si="6"/>
        <v>12.3</v>
      </c>
      <c r="L20">
        <f t="shared" si="6"/>
        <v>12.3</v>
      </c>
      <c r="M20">
        <f t="shared" ref="M20:Z20" si="7">ROUNDDOWN((M5-ROUNDUP(M5*0.1,2)-ROUNDUP(M5*0.05,2))*0.8,2)</f>
        <v>11.93</v>
      </c>
      <c r="N20">
        <f t="shared" si="7"/>
        <v>12.26</v>
      </c>
      <c r="O20">
        <f t="shared" si="7"/>
        <v>12.11</v>
      </c>
      <c r="P20">
        <f t="shared" si="7"/>
        <v>11.91</v>
      </c>
      <c r="Q20">
        <f t="shared" si="7"/>
        <v>11.77</v>
      </c>
      <c r="R20">
        <f t="shared" si="7"/>
        <v>11.92</v>
      </c>
      <c r="S20">
        <f t="shared" si="7"/>
        <v>11.84</v>
      </c>
      <c r="T20">
        <f t="shared" si="7"/>
        <v>11.93</v>
      </c>
      <c r="U20">
        <f t="shared" si="7"/>
        <v>11.97</v>
      </c>
      <c r="V20">
        <f t="shared" si="7"/>
        <v>12.15</v>
      </c>
      <c r="W20">
        <f t="shared" si="7"/>
        <v>11.97</v>
      </c>
      <c r="X20">
        <f t="shared" si="7"/>
        <v>11.85</v>
      </c>
      <c r="Y20">
        <f t="shared" si="7"/>
        <v>11.78</v>
      </c>
      <c r="Z20">
        <f t="shared" si="7"/>
        <v>11.68</v>
      </c>
      <c r="AA20">
        <f t="shared" ref="AA20:BY20" si="8">ROUNDDOWN((AA5-ROUNDUP(AA5*0.1,2)-ROUNDUP(AA5*0.05,2))*0.8,2)</f>
        <v>11.6</v>
      </c>
      <c r="AB20">
        <f t="shared" si="8"/>
        <v>0</v>
      </c>
      <c r="AC20">
        <f t="shared" si="8"/>
        <v>0</v>
      </c>
      <c r="AD20">
        <f t="shared" si="8"/>
        <v>0</v>
      </c>
      <c r="AE20">
        <f t="shared" si="8"/>
        <v>0</v>
      </c>
      <c r="AF20">
        <f t="shared" si="8"/>
        <v>0</v>
      </c>
      <c r="AG20">
        <f t="shared" si="8"/>
        <v>0</v>
      </c>
      <c r="AH20">
        <f t="shared" si="8"/>
        <v>0</v>
      </c>
      <c r="AI20">
        <f t="shared" si="8"/>
        <v>0</v>
      </c>
      <c r="AJ20">
        <f t="shared" si="8"/>
        <v>0</v>
      </c>
      <c r="AK20">
        <f t="shared" si="8"/>
        <v>0</v>
      </c>
      <c r="AL20">
        <f t="shared" si="8"/>
        <v>0</v>
      </c>
      <c r="AM20">
        <f t="shared" si="8"/>
        <v>0</v>
      </c>
      <c r="AN20">
        <f t="shared" si="8"/>
        <v>0</v>
      </c>
      <c r="AO20">
        <f t="shared" si="8"/>
        <v>0</v>
      </c>
      <c r="AP20">
        <f t="shared" si="8"/>
        <v>0</v>
      </c>
      <c r="AQ20">
        <f t="shared" si="8"/>
        <v>0</v>
      </c>
      <c r="AR20">
        <f t="shared" si="8"/>
        <v>0</v>
      </c>
      <c r="AS20">
        <f t="shared" si="8"/>
        <v>0</v>
      </c>
      <c r="AT20">
        <f t="shared" si="8"/>
        <v>0</v>
      </c>
      <c r="AU20">
        <f t="shared" si="8"/>
        <v>0</v>
      </c>
      <c r="AV20">
        <f t="shared" si="8"/>
        <v>0</v>
      </c>
      <c r="AW20">
        <f t="shared" si="8"/>
        <v>0</v>
      </c>
      <c r="AX20">
        <f t="shared" si="8"/>
        <v>0</v>
      </c>
      <c r="AY20">
        <f t="shared" si="8"/>
        <v>0</v>
      </c>
      <c r="AZ20">
        <f t="shared" si="8"/>
        <v>0</v>
      </c>
      <c r="BA20">
        <f t="shared" si="8"/>
        <v>0</v>
      </c>
      <c r="BB20">
        <f t="shared" si="8"/>
        <v>0</v>
      </c>
      <c r="BC20">
        <f t="shared" si="8"/>
        <v>0</v>
      </c>
      <c r="BD20">
        <f t="shared" si="8"/>
        <v>0</v>
      </c>
      <c r="BE20">
        <f t="shared" si="8"/>
        <v>0</v>
      </c>
      <c r="BF20">
        <f t="shared" si="8"/>
        <v>0</v>
      </c>
      <c r="BG20">
        <f t="shared" si="8"/>
        <v>0</v>
      </c>
      <c r="BH20">
        <f t="shared" si="8"/>
        <v>0</v>
      </c>
      <c r="BI20">
        <f t="shared" si="8"/>
        <v>0</v>
      </c>
      <c r="BJ20">
        <f t="shared" si="8"/>
        <v>0</v>
      </c>
      <c r="BK20">
        <f t="shared" si="8"/>
        <v>0</v>
      </c>
      <c r="BL20">
        <f t="shared" si="8"/>
        <v>0</v>
      </c>
      <c r="BM20">
        <f t="shared" si="8"/>
        <v>0</v>
      </c>
      <c r="BN20">
        <f t="shared" si="8"/>
        <v>0</v>
      </c>
      <c r="BO20">
        <f t="shared" si="8"/>
        <v>0</v>
      </c>
      <c r="BP20">
        <f t="shared" si="8"/>
        <v>0</v>
      </c>
      <c r="BQ20">
        <f t="shared" si="8"/>
        <v>0</v>
      </c>
      <c r="BR20">
        <f t="shared" si="8"/>
        <v>0</v>
      </c>
      <c r="BS20">
        <f t="shared" si="8"/>
        <v>0</v>
      </c>
      <c r="BT20">
        <f t="shared" si="8"/>
        <v>0</v>
      </c>
      <c r="BU20">
        <f t="shared" si="8"/>
        <v>0</v>
      </c>
      <c r="BV20">
        <f t="shared" si="8"/>
        <v>0</v>
      </c>
      <c r="BW20">
        <f t="shared" si="8"/>
        <v>0</v>
      </c>
      <c r="BX20">
        <f t="shared" si="8"/>
        <v>0</v>
      </c>
      <c r="BY20">
        <f t="shared" si="8"/>
        <v>0</v>
      </c>
    </row>
    <row r="21" spans="1:77" x14ac:dyDescent="0.25">
      <c r="A21" s="2" t="s">
        <v>61</v>
      </c>
      <c r="B21">
        <f t="shared" ref="B21:L25" si="9">ROUNDDOWN((B6-ROUNDUP(B6*0.1,2)-ROUNDUP(B6*0.05,2))*0.8,2)</f>
        <v>131.22999999999999</v>
      </c>
      <c r="C21">
        <f t="shared" si="9"/>
        <v>138.28</v>
      </c>
      <c r="D21">
        <f t="shared" si="9"/>
        <v>143.34</v>
      </c>
      <c r="E21">
        <f t="shared" si="9"/>
        <v>136.94999999999999</v>
      </c>
      <c r="F21">
        <f t="shared" si="9"/>
        <v>144.43</v>
      </c>
      <c r="G21">
        <f t="shared" si="9"/>
        <v>134.26</v>
      </c>
      <c r="H21">
        <f t="shared" si="9"/>
        <v>136.47999999999999</v>
      </c>
      <c r="I21">
        <f t="shared" si="9"/>
        <v>141.35</v>
      </c>
      <c r="J21">
        <f t="shared" si="9"/>
        <v>132.47999999999999</v>
      </c>
      <c r="K21">
        <f t="shared" si="9"/>
        <v>146.77000000000001</v>
      </c>
      <c r="L21">
        <f t="shared" si="9"/>
        <v>146.6</v>
      </c>
      <c r="M21">
        <f t="shared" ref="M21:Z21" si="10">ROUNDDOWN((M6-ROUNDUP(M6*0.1,2)-ROUNDUP(M6*0.05,2))*0.8,2)</f>
        <v>144.93</v>
      </c>
      <c r="N21">
        <f t="shared" si="10"/>
        <v>132.77000000000001</v>
      </c>
      <c r="O21">
        <f t="shared" si="10"/>
        <v>140.63999999999999</v>
      </c>
      <c r="P21">
        <f t="shared" si="10"/>
        <v>140.21</v>
      </c>
      <c r="Q21">
        <f t="shared" si="10"/>
        <v>148.12</v>
      </c>
      <c r="R21">
        <f t="shared" si="10"/>
        <v>145.78</v>
      </c>
      <c r="S21">
        <f t="shared" si="10"/>
        <v>149.13999999999999</v>
      </c>
      <c r="T21">
        <f t="shared" si="10"/>
        <v>154.32</v>
      </c>
      <c r="U21">
        <f t="shared" si="10"/>
        <v>180.76</v>
      </c>
      <c r="V21">
        <f t="shared" si="10"/>
        <v>170.26</v>
      </c>
      <c r="W21">
        <f t="shared" si="10"/>
        <v>167.88</v>
      </c>
      <c r="X21">
        <f t="shared" si="10"/>
        <v>171.18</v>
      </c>
      <c r="Y21">
        <f t="shared" si="10"/>
        <v>195.61</v>
      </c>
      <c r="Z21">
        <f t="shared" si="10"/>
        <v>163.02000000000001</v>
      </c>
      <c r="AA21">
        <f t="shared" ref="AA21:BY21" si="11">ROUNDDOWN((AA6-ROUNDUP(AA6*0.1,2)-ROUNDUP(AA6*0.05,2))*0.8,2)</f>
        <v>162.61000000000001</v>
      </c>
      <c r="AB21">
        <f t="shared" si="11"/>
        <v>0</v>
      </c>
      <c r="AC21">
        <f t="shared" si="11"/>
        <v>0</v>
      </c>
      <c r="AD21">
        <f t="shared" si="11"/>
        <v>0</v>
      </c>
      <c r="AE21">
        <f t="shared" si="11"/>
        <v>0</v>
      </c>
      <c r="AF21">
        <f t="shared" si="11"/>
        <v>0</v>
      </c>
      <c r="AG21">
        <f t="shared" si="11"/>
        <v>0</v>
      </c>
      <c r="AH21">
        <f t="shared" si="11"/>
        <v>0</v>
      </c>
      <c r="AI21">
        <f t="shared" si="11"/>
        <v>0</v>
      </c>
      <c r="AJ21">
        <f t="shared" si="11"/>
        <v>0</v>
      </c>
      <c r="AK21">
        <f t="shared" si="11"/>
        <v>0</v>
      </c>
      <c r="AL21">
        <f t="shared" si="11"/>
        <v>0</v>
      </c>
      <c r="AM21">
        <f t="shared" si="11"/>
        <v>0</v>
      </c>
      <c r="AN21">
        <f t="shared" si="11"/>
        <v>0</v>
      </c>
      <c r="AO21">
        <f t="shared" si="11"/>
        <v>0</v>
      </c>
      <c r="AP21">
        <f t="shared" si="11"/>
        <v>0</v>
      </c>
      <c r="AQ21">
        <f t="shared" si="11"/>
        <v>0</v>
      </c>
      <c r="AR21">
        <f t="shared" si="11"/>
        <v>0</v>
      </c>
      <c r="AS21">
        <f t="shared" si="11"/>
        <v>0</v>
      </c>
      <c r="AT21">
        <f t="shared" si="11"/>
        <v>0</v>
      </c>
      <c r="AU21">
        <f t="shared" si="11"/>
        <v>0</v>
      </c>
      <c r="AV21">
        <f t="shared" si="11"/>
        <v>0</v>
      </c>
      <c r="AW21">
        <f t="shared" si="11"/>
        <v>0</v>
      </c>
      <c r="AX21">
        <f t="shared" si="11"/>
        <v>0</v>
      </c>
      <c r="AY21">
        <f t="shared" si="11"/>
        <v>0</v>
      </c>
      <c r="AZ21">
        <f t="shared" si="11"/>
        <v>0</v>
      </c>
      <c r="BA21">
        <f t="shared" si="11"/>
        <v>0</v>
      </c>
      <c r="BB21">
        <f t="shared" si="11"/>
        <v>0</v>
      </c>
      <c r="BC21">
        <f t="shared" si="11"/>
        <v>0</v>
      </c>
      <c r="BD21">
        <f t="shared" si="11"/>
        <v>0</v>
      </c>
      <c r="BE21">
        <f t="shared" si="11"/>
        <v>0</v>
      </c>
      <c r="BF21">
        <f t="shared" si="11"/>
        <v>0</v>
      </c>
      <c r="BG21">
        <f t="shared" si="11"/>
        <v>0</v>
      </c>
      <c r="BH21">
        <f t="shared" si="11"/>
        <v>0</v>
      </c>
      <c r="BI21">
        <f t="shared" si="11"/>
        <v>0</v>
      </c>
      <c r="BJ21">
        <f t="shared" si="11"/>
        <v>0</v>
      </c>
      <c r="BK21">
        <f t="shared" si="11"/>
        <v>0</v>
      </c>
      <c r="BL21">
        <f t="shared" si="11"/>
        <v>0</v>
      </c>
      <c r="BM21">
        <f t="shared" si="11"/>
        <v>0</v>
      </c>
      <c r="BN21">
        <f t="shared" si="11"/>
        <v>0</v>
      </c>
      <c r="BO21">
        <f t="shared" si="11"/>
        <v>0</v>
      </c>
      <c r="BP21">
        <f t="shared" si="11"/>
        <v>0</v>
      </c>
      <c r="BQ21">
        <f t="shared" si="11"/>
        <v>0</v>
      </c>
      <c r="BR21">
        <f t="shared" si="11"/>
        <v>0</v>
      </c>
      <c r="BS21">
        <f t="shared" si="11"/>
        <v>0</v>
      </c>
      <c r="BT21">
        <f t="shared" si="11"/>
        <v>0</v>
      </c>
      <c r="BU21">
        <f t="shared" si="11"/>
        <v>0</v>
      </c>
      <c r="BV21">
        <f t="shared" si="11"/>
        <v>0</v>
      </c>
      <c r="BW21">
        <f t="shared" si="11"/>
        <v>0</v>
      </c>
      <c r="BX21">
        <f t="shared" si="11"/>
        <v>0</v>
      </c>
      <c r="BY21">
        <f t="shared" si="11"/>
        <v>0</v>
      </c>
    </row>
    <row r="22" spans="1:77" x14ac:dyDescent="0.25">
      <c r="A22" s="2" t="s">
        <v>62</v>
      </c>
      <c r="B22">
        <f t="shared" si="9"/>
        <v>42.25</v>
      </c>
      <c r="C22">
        <f t="shared" si="9"/>
        <v>42</v>
      </c>
      <c r="D22">
        <f t="shared" si="9"/>
        <v>42.71</v>
      </c>
      <c r="E22">
        <f t="shared" si="9"/>
        <v>42.62</v>
      </c>
      <c r="F22">
        <f t="shared" si="9"/>
        <v>40.380000000000003</v>
      </c>
      <c r="G22">
        <f t="shared" si="9"/>
        <v>42.81</v>
      </c>
      <c r="H22">
        <f t="shared" si="9"/>
        <v>41.61</v>
      </c>
      <c r="I22">
        <f t="shared" si="9"/>
        <v>40.299999999999997</v>
      </c>
      <c r="J22">
        <f t="shared" si="9"/>
        <v>40.799999999999997</v>
      </c>
      <c r="K22">
        <f t="shared" si="9"/>
        <v>41.55</v>
      </c>
      <c r="L22">
        <f t="shared" si="9"/>
        <v>40.96</v>
      </c>
      <c r="M22">
        <f t="shared" ref="M22:Z22" si="12">ROUNDDOWN((M7-ROUNDUP(M7*0.1,2)-ROUNDUP(M7*0.05,2))*0.8,2)</f>
        <v>40.799999999999997</v>
      </c>
      <c r="N22">
        <f t="shared" si="12"/>
        <v>40.86</v>
      </c>
      <c r="O22">
        <f t="shared" si="12"/>
        <v>42.03</v>
      </c>
      <c r="P22">
        <f t="shared" si="12"/>
        <v>43.24</v>
      </c>
      <c r="Q22">
        <f t="shared" si="12"/>
        <v>40.78</v>
      </c>
      <c r="R22">
        <f t="shared" si="12"/>
        <v>40.86</v>
      </c>
      <c r="S22">
        <f t="shared" si="12"/>
        <v>41.6</v>
      </c>
      <c r="T22">
        <f t="shared" si="12"/>
        <v>41</v>
      </c>
      <c r="U22">
        <f t="shared" si="12"/>
        <v>40.799999999999997</v>
      </c>
      <c r="V22">
        <f t="shared" si="12"/>
        <v>41.84</v>
      </c>
      <c r="W22">
        <f t="shared" si="12"/>
        <v>43.93</v>
      </c>
      <c r="X22">
        <f t="shared" si="12"/>
        <v>41.46</v>
      </c>
      <c r="Y22">
        <f t="shared" si="12"/>
        <v>40.86</v>
      </c>
      <c r="Z22">
        <f t="shared" si="12"/>
        <v>39.57</v>
      </c>
      <c r="AA22">
        <f t="shared" ref="AA22:BY22" si="13">ROUNDDOWN((AA7-ROUNDUP(AA7*0.1,2)-ROUNDUP(AA7*0.05,2))*0.8,2)</f>
        <v>40.76</v>
      </c>
      <c r="AB22">
        <f t="shared" si="13"/>
        <v>0</v>
      </c>
      <c r="AC22">
        <f t="shared" si="13"/>
        <v>0</v>
      </c>
      <c r="AD22">
        <f t="shared" si="13"/>
        <v>0</v>
      </c>
      <c r="AE22">
        <f t="shared" si="13"/>
        <v>0</v>
      </c>
      <c r="AF22">
        <f t="shared" si="13"/>
        <v>0</v>
      </c>
      <c r="AG22">
        <f t="shared" si="13"/>
        <v>0</v>
      </c>
      <c r="AH22">
        <f t="shared" si="13"/>
        <v>0</v>
      </c>
      <c r="AI22">
        <f t="shared" si="13"/>
        <v>0</v>
      </c>
      <c r="AJ22">
        <f t="shared" si="13"/>
        <v>0</v>
      </c>
      <c r="AK22">
        <f t="shared" si="13"/>
        <v>0</v>
      </c>
      <c r="AL22">
        <f t="shared" si="13"/>
        <v>0</v>
      </c>
      <c r="AM22">
        <f t="shared" si="13"/>
        <v>0</v>
      </c>
      <c r="AN22">
        <f t="shared" si="13"/>
        <v>0</v>
      </c>
      <c r="AO22">
        <f t="shared" si="13"/>
        <v>0</v>
      </c>
      <c r="AP22">
        <f t="shared" si="13"/>
        <v>0</v>
      </c>
      <c r="AQ22">
        <f t="shared" si="13"/>
        <v>0</v>
      </c>
      <c r="AR22">
        <f t="shared" si="13"/>
        <v>0</v>
      </c>
      <c r="AS22">
        <f t="shared" si="13"/>
        <v>0</v>
      </c>
      <c r="AT22">
        <f t="shared" si="13"/>
        <v>0</v>
      </c>
      <c r="AU22">
        <f t="shared" si="13"/>
        <v>0</v>
      </c>
      <c r="AV22">
        <f t="shared" si="13"/>
        <v>0</v>
      </c>
      <c r="AW22">
        <f t="shared" si="13"/>
        <v>0</v>
      </c>
      <c r="AX22">
        <f t="shared" si="13"/>
        <v>0</v>
      </c>
      <c r="AY22">
        <f t="shared" si="13"/>
        <v>0</v>
      </c>
      <c r="AZ22">
        <f t="shared" si="13"/>
        <v>0</v>
      </c>
      <c r="BA22">
        <f t="shared" si="13"/>
        <v>0</v>
      </c>
      <c r="BB22">
        <f t="shared" si="13"/>
        <v>0</v>
      </c>
      <c r="BC22">
        <f t="shared" si="13"/>
        <v>0</v>
      </c>
      <c r="BD22">
        <f t="shared" si="13"/>
        <v>0</v>
      </c>
      <c r="BE22">
        <f t="shared" si="13"/>
        <v>0</v>
      </c>
      <c r="BF22">
        <f t="shared" si="13"/>
        <v>0</v>
      </c>
      <c r="BG22">
        <f t="shared" si="13"/>
        <v>0</v>
      </c>
      <c r="BH22">
        <f t="shared" si="13"/>
        <v>0</v>
      </c>
      <c r="BI22">
        <f t="shared" si="13"/>
        <v>0</v>
      </c>
      <c r="BJ22">
        <f t="shared" si="13"/>
        <v>0</v>
      </c>
      <c r="BK22">
        <f t="shared" si="13"/>
        <v>0</v>
      </c>
      <c r="BL22">
        <f t="shared" si="13"/>
        <v>0</v>
      </c>
      <c r="BM22">
        <f t="shared" si="13"/>
        <v>0</v>
      </c>
      <c r="BN22">
        <f t="shared" si="13"/>
        <v>0</v>
      </c>
      <c r="BO22">
        <f t="shared" si="13"/>
        <v>0</v>
      </c>
      <c r="BP22">
        <f t="shared" si="13"/>
        <v>0</v>
      </c>
      <c r="BQ22">
        <f t="shared" si="13"/>
        <v>0</v>
      </c>
      <c r="BR22">
        <f t="shared" si="13"/>
        <v>0</v>
      </c>
      <c r="BS22">
        <f t="shared" si="13"/>
        <v>0</v>
      </c>
      <c r="BT22">
        <f t="shared" si="13"/>
        <v>0</v>
      </c>
      <c r="BU22">
        <f t="shared" si="13"/>
        <v>0</v>
      </c>
      <c r="BV22">
        <f t="shared" si="13"/>
        <v>0</v>
      </c>
      <c r="BW22">
        <f t="shared" si="13"/>
        <v>0</v>
      </c>
      <c r="BX22">
        <f t="shared" si="13"/>
        <v>0</v>
      </c>
      <c r="BY22">
        <f t="shared" si="13"/>
        <v>0</v>
      </c>
    </row>
    <row r="23" spans="1:77" x14ac:dyDescent="0.25">
      <c r="A23" s="2" t="s">
        <v>63</v>
      </c>
      <c r="B23">
        <f t="shared" si="9"/>
        <v>25.68</v>
      </c>
      <c r="C23">
        <f t="shared" si="9"/>
        <v>27.47</v>
      </c>
      <c r="D23">
        <f t="shared" si="9"/>
        <v>26.74</v>
      </c>
      <c r="E23">
        <f t="shared" si="9"/>
        <v>26.17</v>
      </c>
      <c r="F23">
        <f t="shared" si="9"/>
        <v>27.22</v>
      </c>
      <c r="G23">
        <f t="shared" si="9"/>
        <v>27.14</v>
      </c>
      <c r="H23">
        <f t="shared" si="9"/>
        <v>26.1</v>
      </c>
      <c r="I23">
        <f t="shared" si="9"/>
        <v>25.9</v>
      </c>
      <c r="J23">
        <f t="shared" si="9"/>
        <v>25.69</v>
      </c>
      <c r="K23">
        <f t="shared" si="9"/>
        <v>25.71</v>
      </c>
      <c r="L23">
        <f t="shared" si="9"/>
        <v>26.92</v>
      </c>
      <c r="M23">
        <f t="shared" ref="M23:Z23" si="14">ROUNDDOWN((M8-ROUNDUP(M8*0.1,2)-ROUNDUP(M8*0.05,2))*0.8,2)</f>
        <v>27</v>
      </c>
      <c r="N23">
        <f t="shared" si="14"/>
        <v>26.81</v>
      </c>
      <c r="O23">
        <f t="shared" si="14"/>
        <v>24.04</v>
      </c>
      <c r="P23">
        <f t="shared" si="14"/>
        <v>26.21</v>
      </c>
      <c r="Q23">
        <f t="shared" si="14"/>
        <v>25.18</v>
      </c>
      <c r="R23">
        <f t="shared" si="14"/>
        <v>26.39</v>
      </c>
      <c r="S23">
        <f t="shared" si="14"/>
        <v>26.95</v>
      </c>
      <c r="T23">
        <f t="shared" si="14"/>
        <v>24.01</v>
      </c>
      <c r="U23">
        <f t="shared" si="14"/>
        <v>23.18</v>
      </c>
      <c r="V23">
        <f t="shared" si="14"/>
        <v>23.81</v>
      </c>
      <c r="W23">
        <f t="shared" si="14"/>
        <v>25.1</v>
      </c>
      <c r="X23">
        <f t="shared" si="14"/>
        <v>24.34</v>
      </c>
      <c r="Y23">
        <f t="shared" si="14"/>
        <v>24.89</v>
      </c>
      <c r="Z23">
        <f t="shared" si="14"/>
        <v>25.62</v>
      </c>
      <c r="AA23">
        <f t="shared" ref="AA23:BY23" si="15">ROUNDDOWN((AA8-ROUNDUP(AA8*0.1,2)-ROUNDUP(AA8*0.05,2))*0.8,2)</f>
        <v>24.87</v>
      </c>
      <c r="AB23">
        <f t="shared" si="15"/>
        <v>0</v>
      </c>
      <c r="AC23">
        <f t="shared" si="15"/>
        <v>0</v>
      </c>
      <c r="AD23">
        <f t="shared" si="15"/>
        <v>0</v>
      </c>
      <c r="AE23">
        <f t="shared" si="15"/>
        <v>0</v>
      </c>
      <c r="AF23">
        <f t="shared" si="15"/>
        <v>0</v>
      </c>
      <c r="AG23">
        <f t="shared" si="15"/>
        <v>0</v>
      </c>
      <c r="AH23">
        <f t="shared" si="15"/>
        <v>0</v>
      </c>
      <c r="AI23">
        <f t="shared" si="15"/>
        <v>0</v>
      </c>
      <c r="AJ23">
        <f t="shared" si="15"/>
        <v>0</v>
      </c>
      <c r="AK23">
        <f t="shared" si="15"/>
        <v>0</v>
      </c>
      <c r="AL23">
        <f t="shared" si="15"/>
        <v>0</v>
      </c>
      <c r="AM23">
        <f t="shared" si="15"/>
        <v>0</v>
      </c>
      <c r="AN23">
        <f t="shared" si="15"/>
        <v>0</v>
      </c>
      <c r="AO23">
        <f t="shared" si="15"/>
        <v>0</v>
      </c>
      <c r="AP23">
        <f t="shared" si="15"/>
        <v>0</v>
      </c>
      <c r="AQ23">
        <f t="shared" si="15"/>
        <v>0</v>
      </c>
      <c r="AR23">
        <f t="shared" si="15"/>
        <v>0</v>
      </c>
      <c r="AS23">
        <f t="shared" si="15"/>
        <v>0</v>
      </c>
      <c r="AT23">
        <f t="shared" si="15"/>
        <v>0</v>
      </c>
      <c r="AU23">
        <f t="shared" si="15"/>
        <v>0</v>
      </c>
      <c r="AV23">
        <f t="shared" si="15"/>
        <v>0</v>
      </c>
      <c r="AW23">
        <f t="shared" si="15"/>
        <v>0</v>
      </c>
      <c r="AX23">
        <f t="shared" si="15"/>
        <v>0</v>
      </c>
      <c r="AY23">
        <f t="shared" si="15"/>
        <v>0</v>
      </c>
      <c r="AZ23">
        <f t="shared" si="15"/>
        <v>0</v>
      </c>
      <c r="BA23">
        <f t="shared" si="15"/>
        <v>0</v>
      </c>
      <c r="BB23">
        <f t="shared" si="15"/>
        <v>0</v>
      </c>
      <c r="BC23">
        <f t="shared" si="15"/>
        <v>0</v>
      </c>
      <c r="BD23">
        <f t="shared" si="15"/>
        <v>0</v>
      </c>
      <c r="BE23">
        <f t="shared" si="15"/>
        <v>0</v>
      </c>
      <c r="BF23">
        <f t="shared" si="15"/>
        <v>0</v>
      </c>
      <c r="BG23">
        <f t="shared" si="15"/>
        <v>0</v>
      </c>
      <c r="BH23">
        <f t="shared" si="15"/>
        <v>0</v>
      </c>
      <c r="BI23">
        <f t="shared" si="15"/>
        <v>0</v>
      </c>
      <c r="BJ23">
        <f t="shared" si="15"/>
        <v>0</v>
      </c>
      <c r="BK23">
        <f t="shared" si="15"/>
        <v>0</v>
      </c>
      <c r="BL23">
        <f t="shared" si="15"/>
        <v>0</v>
      </c>
      <c r="BM23">
        <f t="shared" si="15"/>
        <v>0</v>
      </c>
      <c r="BN23">
        <f t="shared" si="15"/>
        <v>0</v>
      </c>
      <c r="BO23">
        <f t="shared" si="15"/>
        <v>0</v>
      </c>
      <c r="BP23">
        <f t="shared" si="15"/>
        <v>0</v>
      </c>
      <c r="BQ23">
        <f t="shared" si="15"/>
        <v>0</v>
      </c>
      <c r="BR23">
        <f t="shared" si="15"/>
        <v>0</v>
      </c>
      <c r="BS23">
        <f t="shared" si="15"/>
        <v>0</v>
      </c>
      <c r="BT23">
        <f t="shared" si="15"/>
        <v>0</v>
      </c>
      <c r="BU23">
        <f t="shared" si="15"/>
        <v>0</v>
      </c>
      <c r="BV23">
        <f t="shared" si="15"/>
        <v>0</v>
      </c>
      <c r="BW23">
        <f t="shared" si="15"/>
        <v>0</v>
      </c>
      <c r="BX23">
        <f t="shared" si="15"/>
        <v>0</v>
      </c>
      <c r="BY23">
        <f t="shared" si="15"/>
        <v>0</v>
      </c>
    </row>
    <row r="24" spans="1:77" x14ac:dyDescent="0.25">
      <c r="A24" s="2" t="s">
        <v>64</v>
      </c>
      <c r="B24">
        <f t="shared" si="9"/>
        <v>18.059999999999999</v>
      </c>
      <c r="C24">
        <f t="shared" si="9"/>
        <v>18.63</v>
      </c>
      <c r="D24">
        <f t="shared" si="9"/>
        <v>18.91</v>
      </c>
      <c r="E24">
        <f t="shared" si="9"/>
        <v>18.52</v>
      </c>
      <c r="F24">
        <f t="shared" si="9"/>
        <v>17.440000000000001</v>
      </c>
      <c r="G24">
        <f t="shared" si="9"/>
        <v>17.16</v>
      </c>
      <c r="H24">
        <f t="shared" si="9"/>
        <v>17.16</v>
      </c>
      <c r="I24">
        <f t="shared" si="9"/>
        <v>17.59</v>
      </c>
      <c r="J24">
        <f t="shared" si="9"/>
        <v>18.22</v>
      </c>
      <c r="K24">
        <f t="shared" si="9"/>
        <v>17.36</v>
      </c>
      <c r="L24">
        <f t="shared" si="9"/>
        <v>16.79</v>
      </c>
      <c r="M24">
        <f t="shared" ref="M24:Z24" si="16">ROUNDDOWN((M9-ROUNDUP(M9*0.1,2)-ROUNDUP(M9*0.05,2))*0.8,2)</f>
        <v>17.3</v>
      </c>
      <c r="N24">
        <f t="shared" si="16"/>
        <v>17.13</v>
      </c>
      <c r="O24">
        <f t="shared" si="16"/>
        <v>17.600000000000001</v>
      </c>
      <c r="P24">
        <f t="shared" si="16"/>
        <v>17.13</v>
      </c>
      <c r="Q24">
        <f t="shared" si="16"/>
        <v>18.48</v>
      </c>
      <c r="R24">
        <f t="shared" si="16"/>
        <v>17.91</v>
      </c>
      <c r="S24">
        <f t="shared" si="16"/>
        <v>17.68</v>
      </c>
      <c r="T24">
        <f t="shared" si="16"/>
        <v>17.47</v>
      </c>
      <c r="U24">
        <f t="shared" si="16"/>
        <v>17.98</v>
      </c>
      <c r="V24">
        <f t="shared" si="16"/>
        <v>17.760000000000002</v>
      </c>
      <c r="W24">
        <f t="shared" si="16"/>
        <v>17.87</v>
      </c>
      <c r="X24">
        <f t="shared" si="16"/>
        <v>18.62</v>
      </c>
      <c r="Y24">
        <f t="shared" si="16"/>
        <v>18.079999999999998</v>
      </c>
      <c r="Z24">
        <f t="shared" si="16"/>
        <v>17.920000000000002</v>
      </c>
      <c r="AA24">
        <f t="shared" ref="AA24:BY24" si="17">ROUNDDOWN((AA9-ROUNDUP(AA9*0.1,2)-ROUNDUP(AA9*0.05,2))*0.8,2)</f>
        <v>17.53</v>
      </c>
      <c r="AB24">
        <f t="shared" si="17"/>
        <v>0</v>
      </c>
      <c r="AC24">
        <f t="shared" si="17"/>
        <v>0</v>
      </c>
      <c r="AD24">
        <f t="shared" si="17"/>
        <v>0</v>
      </c>
      <c r="AE24">
        <f t="shared" si="17"/>
        <v>0</v>
      </c>
      <c r="AF24">
        <f t="shared" si="17"/>
        <v>0</v>
      </c>
      <c r="AG24">
        <f t="shared" si="17"/>
        <v>0</v>
      </c>
      <c r="AH24">
        <f t="shared" si="17"/>
        <v>0</v>
      </c>
      <c r="AI24">
        <f t="shared" si="17"/>
        <v>0</v>
      </c>
      <c r="AJ24">
        <f t="shared" si="17"/>
        <v>0</v>
      </c>
      <c r="AK24">
        <f t="shared" si="17"/>
        <v>0</v>
      </c>
      <c r="AL24">
        <f t="shared" si="17"/>
        <v>0</v>
      </c>
      <c r="AM24">
        <f t="shared" si="17"/>
        <v>0</v>
      </c>
      <c r="AN24">
        <f t="shared" si="17"/>
        <v>0</v>
      </c>
      <c r="AO24">
        <f t="shared" si="17"/>
        <v>0</v>
      </c>
      <c r="AP24">
        <f t="shared" si="17"/>
        <v>0</v>
      </c>
      <c r="AQ24">
        <f t="shared" si="17"/>
        <v>0</v>
      </c>
      <c r="AR24">
        <f t="shared" si="17"/>
        <v>0</v>
      </c>
      <c r="AS24">
        <f t="shared" si="17"/>
        <v>0</v>
      </c>
      <c r="AT24">
        <f t="shared" si="17"/>
        <v>0</v>
      </c>
      <c r="AU24">
        <f t="shared" si="17"/>
        <v>0</v>
      </c>
      <c r="AV24">
        <f t="shared" si="17"/>
        <v>0</v>
      </c>
      <c r="AW24">
        <f t="shared" si="17"/>
        <v>0</v>
      </c>
      <c r="AX24">
        <f t="shared" si="17"/>
        <v>0</v>
      </c>
      <c r="AY24">
        <f t="shared" si="17"/>
        <v>0</v>
      </c>
      <c r="AZ24">
        <f t="shared" si="17"/>
        <v>0</v>
      </c>
      <c r="BA24">
        <f t="shared" si="17"/>
        <v>0</v>
      </c>
      <c r="BB24">
        <f t="shared" si="17"/>
        <v>0</v>
      </c>
      <c r="BC24">
        <f t="shared" si="17"/>
        <v>0</v>
      </c>
      <c r="BD24">
        <f t="shared" si="17"/>
        <v>0</v>
      </c>
      <c r="BE24">
        <f t="shared" si="17"/>
        <v>0</v>
      </c>
      <c r="BF24">
        <f t="shared" si="17"/>
        <v>0</v>
      </c>
      <c r="BG24">
        <f t="shared" si="17"/>
        <v>0</v>
      </c>
      <c r="BH24">
        <f t="shared" si="17"/>
        <v>0</v>
      </c>
      <c r="BI24">
        <f t="shared" si="17"/>
        <v>0</v>
      </c>
      <c r="BJ24">
        <f t="shared" si="17"/>
        <v>0</v>
      </c>
      <c r="BK24">
        <f t="shared" si="17"/>
        <v>0</v>
      </c>
      <c r="BL24">
        <f t="shared" si="17"/>
        <v>0</v>
      </c>
      <c r="BM24">
        <f t="shared" si="17"/>
        <v>0</v>
      </c>
      <c r="BN24">
        <f t="shared" si="17"/>
        <v>0</v>
      </c>
      <c r="BO24">
        <f t="shared" si="17"/>
        <v>0</v>
      </c>
      <c r="BP24">
        <f t="shared" si="17"/>
        <v>0</v>
      </c>
      <c r="BQ24">
        <f t="shared" si="17"/>
        <v>0</v>
      </c>
      <c r="BR24">
        <f t="shared" si="17"/>
        <v>0</v>
      </c>
      <c r="BS24">
        <f t="shared" si="17"/>
        <v>0</v>
      </c>
      <c r="BT24">
        <f t="shared" si="17"/>
        <v>0</v>
      </c>
      <c r="BU24">
        <f t="shared" si="17"/>
        <v>0</v>
      </c>
      <c r="BV24">
        <f t="shared" si="17"/>
        <v>0</v>
      </c>
      <c r="BW24">
        <f t="shared" si="17"/>
        <v>0</v>
      </c>
      <c r="BX24">
        <f t="shared" si="17"/>
        <v>0</v>
      </c>
      <c r="BY24">
        <f t="shared" si="17"/>
        <v>0</v>
      </c>
    </row>
    <row r="25" spans="1:77" x14ac:dyDescent="0.25">
      <c r="A25" s="2" t="s">
        <v>65</v>
      </c>
      <c r="B25">
        <f t="shared" si="9"/>
        <v>32.29</v>
      </c>
      <c r="C25">
        <f t="shared" si="9"/>
        <v>32.07</v>
      </c>
      <c r="D25">
        <f t="shared" si="9"/>
        <v>33.56</v>
      </c>
      <c r="E25">
        <f t="shared" si="9"/>
        <v>32.880000000000003</v>
      </c>
      <c r="F25">
        <f t="shared" si="9"/>
        <v>31.32</v>
      </c>
      <c r="G25">
        <f t="shared" si="9"/>
        <v>30.56</v>
      </c>
      <c r="H25">
        <f t="shared" si="9"/>
        <v>31.32</v>
      </c>
      <c r="I25">
        <f t="shared" si="9"/>
        <v>31.2</v>
      </c>
      <c r="J25">
        <f t="shared" si="9"/>
        <v>30.55</v>
      </c>
      <c r="K25">
        <f t="shared" si="9"/>
        <v>30.92</v>
      </c>
      <c r="L25">
        <f t="shared" si="9"/>
        <v>31.33</v>
      </c>
      <c r="M25">
        <f t="shared" ref="M25:Z25" si="18">ROUNDDOWN((M10-ROUNDUP(M10*0.1,2)-ROUNDUP(M10*0.05,2))*0.8,2)</f>
        <v>31.09</v>
      </c>
      <c r="N25">
        <f t="shared" si="18"/>
        <v>31.08</v>
      </c>
      <c r="O25">
        <f t="shared" si="18"/>
        <v>30.41</v>
      </c>
      <c r="P25">
        <f t="shared" si="18"/>
        <v>30.52</v>
      </c>
      <c r="Q25">
        <f t="shared" si="18"/>
        <v>31.36</v>
      </c>
      <c r="R25">
        <f t="shared" si="18"/>
        <v>31.58</v>
      </c>
      <c r="S25">
        <f t="shared" si="18"/>
        <v>30.99</v>
      </c>
      <c r="T25">
        <f t="shared" si="18"/>
        <v>30.86</v>
      </c>
      <c r="U25">
        <f t="shared" si="18"/>
        <v>29.6</v>
      </c>
      <c r="V25">
        <f t="shared" si="18"/>
        <v>31.27</v>
      </c>
      <c r="W25">
        <f t="shared" si="18"/>
        <v>30.57</v>
      </c>
      <c r="X25">
        <f t="shared" si="18"/>
        <v>30.52</v>
      </c>
      <c r="Y25">
        <f t="shared" si="18"/>
        <v>30.32</v>
      </c>
      <c r="Z25">
        <f t="shared" si="18"/>
        <v>30.96</v>
      </c>
      <c r="AA25">
        <f t="shared" ref="AA25:BY25" si="19">ROUNDDOWN((AA10-ROUNDUP(AA10*0.1,2)-ROUNDUP(AA10*0.05,2))*0.8,2)</f>
        <v>31</v>
      </c>
      <c r="AB25">
        <f t="shared" si="19"/>
        <v>0</v>
      </c>
      <c r="AC25">
        <f t="shared" si="19"/>
        <v>0</v>
      </c>
      <c r="AD25">
        <f t="shared" si="19"/>
        <v>0</v>
      </c>
      <c r="AE25">
        <f t="shared" si="19"/>
        <v>0</v>
      </c>
      <c r="AF25">
        <f t="shared" si="19"/>
        <v>0</v>
      </c>
      <c r="AG25">
        <f t="shared" si="19"/>
        <v>0</v>
      </c>
      <c r="AH25">
        <f t="shared" si="19"/>
        <v>0</v>
      </c>
      <c r="AI25">
        <f t="shared" si="19"/>
        <v>0</v>
      </c>
      <c r="AJ25">
        <f t="shared" si="19"/>
        <v>0</v>
      </c>
      <c r="AK25">
        <f t="shared" si="19"/>
        <v>0</v>
      </c>
      <c r="AL25">
        <f t="shared" si="19"/>
        <v>0</v>
      </c>
      <c r="AM25">
        <f t="shared" si="19"/>
        <v>0</v>
      </c>
      <c r="AN25">
        <f t="shared" si="19"/>
        <v>0</v>
      </c>
      <c r="AO25">
        <f t="shared" si="19"/>
        <v>0</v>
      </c>
      <c r="AP25">
        <f t="shared" si="19"/>
        <v>0</v>
      </c>
      <c r="AQ25">
        <f t="shared" si="19"/>
        <v>0</v>
      </c>
      <c r="AR25">
        <f t="shared" si="19"/>
        <v>0</v>
      </c>
      <c r="AS25">
        <f t="shared" si="19"/>
        <v>0</v>
      </c>
      <c r="AT25">
        <f t="shared" si="19"/>
        <v>0</v>
      </c>
      <c r="AU25">
        <f t="shared" si="19"/>
        <v>0</v>
      </c>
      <c r="AV25">
        <f t="shared" si="19"/>
        <v>0</v>
      </c>
      <c r="AW25">
        <f t="shared" si="19"/>
        <v>0</v>
      </c>
      <c r="AX25">
        <f t="shared" si="19"/>
        <v>0</v>
      </c>
      <c r="AY25">
        <f t="shared" si="19"/>
        <v>0</v>
      </c>
      <c r="AZ25">
        <f t="shared" si="19"/>
        <v>0</v>
      </c>
      <c r="BA25">
        <f t="shared" si="19"/>
        <v>0</v>
      </c>
      <c r="BB25">
        <f t="shared" si="19"/>
        <v>0</v>
      </c>
      <c r="BC25">
        <f t="shared" si="19"/>
        <v>0</v>
      </c>
      <c r="BD25">
        <f t="shared" si="19"/>
        <v>0</v>
      </c>
      <c r="BE25">
        <f t="shared" si="19"/>
        <v>0</v>
      </c>
      <c r="BF25">
        <f t="shared" si="19"/>
        <v>0</v>
      </c>
      <c r="BG25">
        <f t="shared" si="19"/>
        <v>0</v>
      </c>
      <c r="BH25">
        <f t="shared" si="19"/>
        <v>0</v>
      </c>
      <c r="BI25">
        <f t="shared" si="19"/>
        <v>0</v>
      </c>
      <c r="BJ25">
        <f t="shared" si="19"/>
        <v>0</v>
      </c>
      <c r="BK25">
        <f t="shared" si="19"/>
        <v>0</v>
      </c>
      <c r="BL25">
        <f t="shared" si="19"/>
        <v>0</v>
      </c>
      <c r="BM25">
        <f t="shared" si="19"/>
        <v>0</v>
      </c>
      <c r="BN25">
        <f t="shared" si="19"/>
        <v>0</v>
      </c>
      <c r="BO25">
        <f t="shared" si="19"/>
        <v>0</v>
      </c>
      <c r="BP25">
        <f t="shared" si="19"/>
        <v>0</v>
      </c>
      <c r="BQ25">
        <f t="shared" si="19"/>
        <v>0</v>
      </c>
      <c r="BR25">
        <f t="shared" si="19"/>
        <v>0</v>
      </c>
      <c r="BS25">
        <f t="shared" si="19"/>
        <v>0</v>
      </c>
      <c r="BT25">
        <f t="shared" si="19"/>
        <v>0</v>
      </c>
      <c r="BU25">
        <f t="shared" si="19"/>
        <v>0</v>
      </c>
      <c r="BV25">
        <f t="shared" si="19"/>
        <v>0</v>
      </c>
      <c r="BW25">
        <f t="shared" si="19"/>
        <v>0</v>
      </c>
      <c r="BX25">
        <f t="shared" si="19"/>
        <v>0</v>
      </c>
      <c r="BY25">
        <f t="shared" si="19"/>
        <v>0</v>
      </c>
    </row>
    <row r="27" spans="1:77" x14ac:dyDescent="0.25">
      <c r="B27" s="2">
        <f>SUM(B20:B25)</f>
        <v>261.87</v>
      </c>
      <c r="C27" s="2">
        <f t="shared" ref="C27:E27" si="20">SUM(C20:C25)</f>
        <v>270.81</v>
      </c>
      <c r="D27" s="2">
        <f t="shared" si="20"/>
        <v>277.74</v>
      </c>
      <c r="E27" s="2">
        <f t="shared" si="20"/>
        <v>269.50000000000006</v>
      </c>
      <c r="F27" s="2">
        <f t="shared" ref="F27:L27" si="21">SUM(F20:F25)</f>
        <v>273.16000000000003</v>
      </c>
      <c r="G27" s="2">
        <f t="shared" si="21"/>
        <v>264.77</v>
      </c>
      <c r="H27" s="2">
        <f t="shared" si="21"/>
        <v>264.83</v>
      </c>
      <c r="I27" s="2">
        <f t="shared" si="21"/>
        <v>268.57</v>
      </c>
      <c r="J27" s="2">
        <f t="shared" si="21"/>
        <v>259.99999999999994</v>
      </c>
      <c r="K27" s="2">
        <f t="shared" si="21"/>
        <v>274.61</v>
      </c>
      <c r="L27" s="2">
        <f t="shared" si="21"/>
        <v>274.90000000000003</v>
      </c>
      <c r="M27" s="2">
        <f t="shared" ref="M27:Z27" si="22">SUM(M20:M25)</f>
        <v>273.05</v>
      </c>
      <c r="N27" s="2">
        <f t="shared" si="22"/>
        <v>260.90999999999997</v>
      </c>
      <c r="O27" s="2">
        <f t="shared" si="22"/>
        <v>266.83</v>
      </c>
      <c r="P27" s="2">
        <f t="shared" si="22"/>
        <v>269.22000000000003</v>
      </c>
      <c r="Q27" s="2">
        <f t="shared" si="22"/>
        <v>275.69</v>
      </c>
      <c r="R27" s="2">
        <f t="shared" si="22"/>
        <v>274.44</v>
      </c>
      <c r="S27" s="2">
        <f t="shared" si="22"/>
        <v>278.2</v>
      </c>
      <c r="T27" s="2">
        <f t="shared" si="22"/>
        <v>279.58999999999997</v>
      </c>
      <c r="U27" s="2">
        <f t="shared" si="22"/>
        <v>304.29000000000002</v>
      </c>
      <c r="V27" s="2">
        <f t="shared" si="22"/>
        <v>297.08999999999997</v>
      </c>
      <c r="W27" s="2">
        <f t="shared" si="22"/>
        <v>297.32</v>
      </c>
      <c r="X27" s="2">
        <f t="shared" si="22"/>
        <v>297.96999999999997</v>
      </c>
      <c r="Y27" s="2">
        <f t="shared" si="22"/>
        <v>321.53999999999996</v>
      </c>
      <c r="Z27" s="2">
        <f t="shared" si="22"/>
        <v>288.77</v>
      </c>
      <c r="AA27" s="2">
        <f t="shared" ref="AA27:BY27" si="23">SUM(AA20:AA25)</f>
        <v>288.37</v>
      </c>
      <c r="AB27" s="2">
        <f t="shared" si="23"/>
        <v>0</v>
      </c>
      <c r="AC27" s="2">
        <f t="shared" si="23"/>
        <v>0</v>
      </c>
      <c r="AD27" s="2">
        <f t="shared" si="23"/>
        <v>0</v>
      </c>
      <c r="AE27" s="2">
        <f t="shared" si="23"/>
        <v>0</v>
      </c>
      <c r="AF27" s="2">
        <f t="shared" si="23"/>
        <v>0</v>
      </c>
      <c r="AG27" s="2">
        <f t="shared" si="23"/>
        <v>0</v>
      </c>
      <c r="AH27" s="2">
        <f t="shared" si="23"/>
        <v>0</v>
      </c>
      <c r="AI27" s="2">
        <f t="shared" si="23"/>
        <v>0</v>
      </c>
      <c r="AJ27" s="2">
        <f t="shared" si="23"/>
        <v>0</v>
      </c>
      <c r="AK27" s="2">
        <f t="shared" si="23"/>
        <v>0</v>
      </c>
      <c r="AL27" s="2">
        <f t="shared" si="23"/>
        <v>0</v>
      </c>
      <c r="AM27" s="2">
        <f t="shared" si="23"/>
        <v>0</v>
      </c>
      <c r="AN27" s="2">
        <f t="shared" si="23"/>
        <v>0</v>
      </c>
      <c r="AO27" s="2">
        <f t="shared" si="23"/>
        <v>0</v>
      </c>
      <c r="AP27" s="2">
        <f t="shared" si="23"/>
        <v>0</v>
      </c>
      <c r="AQ27" s="2">
        <f t="shared" si="23"/>
        <v>0</v>
      </c>
      <c r="AR27" s="2">
        <f t="shared" si="23"/>
        <v>0</v>
      </c>
      <c r="AS27" s="2">
        <f t="shared" si="23"/>
        <v>0</v>
      </c>
      <c r="AT27" s="2">
        <f t="shared" si="23"/>
        <v>0</v>
      </c>
      <c r="AU27" s="2">
        <f t="shared" si="23"/>
        <v>0</v>
      </c>
      <c r="AV27" s="2">
        <f t="shared" si="23"/>
        <v>0</v>
      </c>
      <c r="AW27" s="2">
        <f t="shared" si="23"/>
        <v>0</v>
      </c>
      <c r="AX27" s="2">
        <f t="shared" si="23"/>
        <v>0</v>
      </c>
      <c r="AY27" s="2">
        <f t="shared" si="23"/>
        <v>0</v>
      </c>
      <c r="AZ27" s="2">
        <f t="shared" si="23"/>
        <v>0</v>
      </c>
      <c r="BA27" s="2">
        <f t="shared" si="23"/>
        <v>0</v>
      </c>
      <c r="BB27" s="2">
        <f t="shared" si="23"/>
        <v>0</v>
      </c>
      <c r="BC27" s="2">
        <f t="shared" si="23"/>
        <v>0</v>
      </c>
      <c r="BD27" s="2">
        <f t="shared" si="23"/>
        <v>0</v>
      </c>
      <c r="BE27" s="2">
        <f t="shared" si="23"/>
        <v>0</v>
      </c>
      <c r="BF27" s="2">
        <f t="shared" si="23"/>
        <v>0</v>
      </c>
      <c r="BG27" s="2">
        <f t="shared" si="23"/>
        <v>0</v>
      </c>
      <c r="BH27" s="2">
        <f t="shared" si="23"/>
        <v>0</v>
      </c>
      <c r="BI27" s="2">
        <f t="shared" si="23"/>
        <v>0</v>
      </c>
      <c r="BJ27" s="2">
        <f t="shared" si="23"/>
        <v>0</v>
      </c>
      <c r="BK27" s="2">
        <f t="shared" si="23"/>
        <v>0</v>
      </c>
      <c r="BL27" s="2">
        <f t="shared" si="23"/>
        <v>0</v>
      </c>
      <c r="BM27" s="2">
        <f t="shared" si="23"/>
        <v>0</v>
      </c>
      <c r="BN27" s="2">
        <f t="shared" si="23"/>
        <v>0</v>
      </c>
      <c r="BO27" s="2">
        <f t="shared" si="23"/>
        <v>0</v>
      </c>
      <c r="BP27" s="2">
        <f t="shared" si="23"/>
        <v>0</v>
      </c>
      <c r="BQ27" s="2">
        <f t="shared" si="23"/>
        <v>0</v>
      </c>
      <c r="BR27" s="2">
        <f t="shared" si="23"/>
        <v>0</v>
      </c>
      <c r="BS27" s="2">
        <f t="shared" si="23"/>
        <v>0</v>
      </c>
      <c r="BT27" s="2">
        <f t="shared" si="23"/>
        <v>0</v>
      </c>
      <c r="BU27" s="2">
        <f t="shared" si="23"/>
        <v>0</v>
      </c>
      <c r="BV27" s="2">
        <f t="shared" si="23"/>
        <v>0</v>
      </c>
      <c r="BW27" s="2">
        <f t="shared" si="23"/>
        <v>0</v>
      </c>
      <c r="BX27" s="2">
        <f t="shared" si="23"/>
        <v>0</v>
      </c>
      <c r="BY27" s="2">
        <f t="shared" si="2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0677-C76D-4C59-BC1D-910D8DD5D35F}">
  <dimension ref="A1:BY43"/>
  <sheetViews>
    <sheetView zoomScale="80" zoomScaleNormal="80" workbookViewId="0">
      <pane xSplit="1" topLeftCell="U1" activePane="topRight" state="frozen"/>
      <selection activeCell="A4" sqref="A4"/>
      <selection pane="topRight" activeCell="AA19" sqref="AA19"/>
    </sheetView>
  </sheetViews>
  <sheetFormatPr defaultRowHeight="15" x14ac:dyDescent="0.25"/>
  <cols>
    <col min="1" max="1" width="34.28515625" customWidth="1"/>
    <col min="2" max="46" width="12" customWidth="1"/>
    <col min="47" max="77" width="11.28515625" customWidth="1"/>
  </cols>
  <sheetData>
    <row r="1" spans="1:77" ht="31.5" x14ac:dyDescent="0.5">
      <c r="A1" s="4" t="s">
        <v>7</v>
      </c>
    </row>
    <row r="3" spans="1:77" x14ac:dyDescent="0.25">
      <c r="A3" t="s">
        <v>12</v>
      </c>
    </row>
    <row r="4" spans="1:77" x14ac:dyDescent="0.25">
      <c r="B4" s="1">
        <f>Totals!B4</f>
        <v>44331</v>
      </c>
      <c r="C4" s="1">
        <f>Totals!C4</f>
        <v>44332</v>
      </c>
      <c r="D4" s="1">
        <f>Totals!D4</f>
        <v>44334</v>
      </c>
      <c r="E4" s="1">
        <f>Totals!E4</f>
        <v>44336</v>
      </c>
      <c r="F4" s="1">
        <f>Totals!F4</f>
        <v>44337</v>
      </c>
      <c r="G4" s="1">
        <f>Totals!G4</f>
        <v>44338</v>
      </c>
      <c r="H4" s="1">
        <f>Totals!H4</f>
        <v>44339</v>
      </c>
      <c r="I4" s="1">
        <f>Totals!I4</f>
        <v>44340</v>
      </c>
      <c r="J4" s="1">
        <f>Totals!J4</f>
        <v>44341</v>
      </c>
      <c r="K4" s="1">
        <f>Totals!K4</f>
        <v>44342</v>
      </c>
      <c r="L4" s="1">
        <f>Totals!L4</f>
        <v>44343</v>
      </c>
      <c r="M4" s="1">
        <f>Totals!M4</f>
        <v>44344</v>
      </c>
      <c r="N4" s="1">
        <f>Totals!N4</f>
        <v>44345</v>
      </c>
      <c r="O4" s="1">
        <f>Totals!O4</f>
        <v>44346</v>
      </c>
      <c r="P4" s="1">
        <f>Totals!P4</f>
        <v>44347</v>
      </c>
      <c r="Q4" s="1">
        <f>Totals!Q4</f>
        <v>44348</v>
      </c>
      <c r="R4" s="1">
        <f>Totals!R4</f>
        <v>44349</v>
      </c>
      <c r="S4" s="1">
        <f>Totals!S4</f>
        <v>44350</v>
      </c>
      <c r="T4" s="1">
        <f>Totals!T4</f>
        <v>44351</v>
      </c>
      <c r="U4" s="1">
        <f>Totals!U4</f>
        <v>44352</v>
      </c>
      <c r="V4" s="1">
        <f>Totals!V4</f>
        <v>44353</v>
      </c>
      <c r="W4" s="1">
        <f>Totals!W4</f>
        <v>44354</v>
      </c>
      <c r="X4" s="1">
        <f>Totals!X4</f>
        <v>44355</v>
      </c>
      <c r="Y4" s="1">
        <f>Totals!Y4</f>
        <v>44356</v>
      </c>
      <c r="Z4" s="1">
        <f>Totals!Z4</f>
        <v>44357</v>
      </c>
      <c r="AA4" s="1">
        <f>Totals!AA4</f>
        <v>44358</v>
      </c>
      <c r="AB4" s="1">
        <f>Totals!AB4</f>
        <v>44359</v>
      </c>
      <c r="AC4" s="1">
        <f>Totals!AC4</f>
        <v>44360</v>
      </c>
      <c r="AD4" s="1">
        <f>Totals!AD4</f>
        <v>44361</v>
      </c>
      <c r="AE4" s="1">
        <f>Totals!AE4</f>
        <v>44362</v>
      </c>
      <c r="AF4" s="1">
        <f>Totals!AF4</f>
        <v>44363</v>
      </c>
      <c r="AG4" s="1">
        <f>Totals!AG4</f>
        <v>44364</v>
      </c>
      <c r="AH4" s="1">
        <f>Totals!AH4</f>
        <v>44365</v>
      </c>
      <c r="AI4" s="1">
        <f>Totals!AI4</f>
        <v>44366</v>
      </c>
      <c r="AJ4" s="1">
        <f>Totals!AJ4</f>
        <v>44367</v>
      </c>
      <c r="AK4" s="1">
        <f>Totals!AK4</f>
        <v>44368</v>
      </c>
      <c r="AL4" s="1">
        <f>Totals!AL4</f>
        <v>44369</v>
      </c>
      <c r="AM4" s="1">
        <f>Totals!AM4</f>
        <v>44370</v>
      </c>
      <c r="AN4" s="1">
        <f>Totals!AN4</f>
        <v>44371</v>
      </c>
      <c r="AO4" s="1">
        <f>Totals!AO4</f>
        <v>44372</v>
      </c>
      <c r="AP4" s="1">
        <f>Totals!AP4</f>
        <v>44373</v>
      </c>
      <c r="AQ4" s="1">
        <f>Totals!AQ4</f>
        <v>44374</v>
      </c>
      <c r="AR4" s="1">
        <f>Totals!AR4</f>
        <v>44375</v>
      </c>
      <c r="AS4" s="1">
        <f>Totals!AS4</f>
        <v>44376</v>
      </c>
      <c r="AT4" s="1">
        <f>Totals!AT4</f>
        <v>44377</v>
      </c>
      <c r="AU4" s="1">
        <f>Totals!AU4</f>
        <v>44378</v>
      </c>
      <c r="AV4" s="1">
        <f>Totals!AV4</f>
        <v>44379</v>
      </c>
      <c r="AW4" s="1">
        <f>Totals!AW4</f>
        <v>44380</v>
      </c>
      <c r="AX4" s="1">
        <f>Totals!AX4</f>
        <v>44381</v>
      </c>
      <c r="AY4" s="1">
        <f>Totals!AY4</f>
        <v>44382</v>
      </c>
      <c r="AZ4" s="1">
        <f>Totals!AZ4</f>
        <v>44383</v>
      </c>
      <c r="BA4" s="1">
        <f>Totals!BA4</f>
        <v>44384</v>
      </c>
      <c r="BB4" s="1">
        <f>Totals!BB4</f>
        <v>44385</v>
      </c>
      <c r="BC4" s="1">
        <f>Totals!BC4</f>
        <v>44386</v>
      </c>
      <c r="BD4" s="1">
        <f>Totals!BD4</f>
        <v>44387</v>
      </c>
      <c r="BE4" s="1">
        <f>Totals!BE4</f>
        <v>44388</v>
      </c>
      <c r="BF4" s="1">
        <f>Totals!BF4</f>
        <v>44389</v>
      </c>
      <c r="BG4" s="1">
        <f>Totals!BG4</f>
        <v>44390</v>
      </c>
      <c r="BH4" s="1">
        <f>Totals!BH4</f>
        <v>44391</v>
      </c>
      <c r="BI4" s="1">
        <f>Totals!BI4</f>
        <v>44392</v>
      </c>
      <c r="BJ4" s="1">
        <f>Totals!BJ4</f>
        <v>44393</v>
      </c>
      <c r="BK4" s="1">
        <f>Totals!BK4</f>
        <v>44394</v>
      </c>
      <c r="BL4" s="1">
        <f>Totals!BL4</f>
        <v>44395</v>
      </c>
      <c r="BM4" s="1">
        <f>Totals!BM4</f>
        <v>44396</v>
      </c>
      <c r="BN4" s="1">
        <f>Totals!BN4</f>
        <v>44397</v>
      </c>
      <c r="BO4" s="1">
        <f>Totals!BO4</f>
        <v>44398</v>
      </c>
      <c r="BP4" s="1">
        <f>Totals!BP4</f>
        <v>44399</v>
      </c>
      <c r="BQ4" s="1">
        <f>Totals!BQ4</f>
        <v>44400</v>
      </c>
      <c r="BR4" s="1">
        <f>Totals!BR4</f>
        <v>44401</v>
      </c>
      <c r="BS4" s="1">
        <f>Totals!BS4</f>
        <v>44402</v>
      </c>
      <c r="BT4" s="1">
        <f>Totals!BT4</f>
        <v>44403</v>
      </c>
      <c r="BU4" s="1">
        <f>Totals!BU4</f>
        <v>44404</v>
      </c>
      <c r="BV4" s="1">
        <f>Totals!BV4</f>
        <v>44405</v>
      </c>
      <c r="BW4" s="1">
        <f>Totals!BW4</f>
        <v>44406</v>
      </c>
      <c r="BX4" s="1">
        <f>Totals!BX4</f>
        <v>44407</v>
      </c>
      <c r="BY4" s="1">
        <f>Totals!BY4</f>
        <v>44408</v>
      </c>
    </row>
    <row r="5" spans="1:77" x14ac:dyDescent="0.25">
      <c r="A5" s="2" t="s">
        <v>66</v>
      </c>
      <c r="B5">
        <v>1.46</v>
      </c>
      <c r="C5">
        <v>1.44</v>
      </c>
      <c r="D5">
        <v>1.44</v>
      </c>
      <c r="E5">
        <v>1.39</v>
      </c>
      <c r="F5">
        <v>1.47</v>
      </c>
      <c r="G5">
        <v>1.44</v>
      </c>
      <c r="H5">
        <v>1.43</v>
      </c>
      <c r="I5">
        <v>1.39</v>
      </c>
      <c r="J5">
        <v>1.43</v>
      </c>
      <c r="K5">
        <v>1.53</v>
      </c>
      <c r="L5">
        <v>1.54</v>
      </c>
      <c r="M5">
        <v>1.57</v>
      </c>
      <c r="N5">
        <v>1.65</v>
      </c>
      <c r="O5">
        <v>1.61</v>
      </c>
      <c r="P5">
        <v>1.61</v>
      </c>
      <c r="Q5">
        <v>1.65</v>
      </c>
      <c r="R5">
        <v>1.58</v>
      </c>
      <c r="S5">
        <v>1.49</v>
      </c>
      <c r="T5">
        <v>1.46</v>
      </c>
      <c r="U5">
        <v>1.44</v>
      </c>
      <c r="V5">
        <v>1.52</v>
      </c>
      <c r="W5">
        <v>1.44</v>
      </c>
      <c r="X5">
        <v>1.44</v>
      </c>
      <c r="Y5">
        <v>1.41</v>
      </c>
      <c r="Z5">
        <v>1.4</v>
      </c>
      <c r="AA5">
        <v>1.4</v>
      </c>
    </row>
    <row r="6" spans="1:77" x14ac:dyDescent="0.25">
      <c r="A6" s="2" t="s">
        <v>67</v>
      </c>
      <c r="B6">
        <v>8.36</v>
      </c>
      <c r="C6">
        <v>8.0500000000000007</v>
      </c>
      <c r="D6">
        <v>7.84</v>
      </c>
      <c r="E6">
        <v>8.07</v>
      </c>
      <c r="F6">
        <v>8.6999999999999993</v>
      </c>
      <c r="G6">
        <v>8.58</v>
      </c>
      <c r="H6">
        <v>8.42</v>
      </c>
      <c r="I6">
        <v>7.84</v>
      </c>
      <c r="J6">
        <v>8.1</v>
      </c>
      <c r="K6">
        <v>7.68</v>
      </c>
      <c r="L6">
        <v>8.07</v>
      </c>
      <c r="M6">
        <v>8.23</v>
      </c>
      <c r="N6">
        <v>8.7799999999999994</v>
      </c>
      <c r="O6">
        <v>7.94</v>
      </c>
      <c r="P6">
        <v>8.4600000000000009</v>
      </c>
      <c r="Q6">
        <v>8.58</v>
      </c>
      <c r="R6">
        <v>7.98</v>
      </c>
      <c r="S6">
        <v>8.35</v>
      </c>
      <c r="T6">
        <v>8.6300000000000008</v>
      </c>
      <c r="U6">
        <v>7.56</v>
      </c>
      <c r="V6">
        <v>7.71</v>
      </c>
      <c r="W6">
        <v>8.59</v>
      </c>
      <c r="X6">
        <v>7.82</v>
      </c>
      <c r="Y6">
        <v>7.7</v>
      </c>
      <c r="Z6">
        <v>8.24</v>
      </c>
      <c r="AA6">
        <v>8.3000000000000007</v>
      </c>
    </row>
    <row r="7" spans="1:77" x14ac:dyDescent="0.25">
      <c r="A7" s="2" t="s">
        <v>68</v>
      </c>
      <c r="B7">
        <v>1.73</v>
      </c>
      <c r="C7">
        <v>1.74</v>
      </c>
      <c r="D7">
        <v>1.61</v>
      </c>
      <c r="E7">
        <v>1.72</v>
      </c>
      <c r="F7">
        <v>1.73</v>
      </c>
      <c r="G7">
        <v>1.65</v>
      </c>
      <c r="H7">
        <v>1.69</v>
      </c>
      <c r="I7">
        <v>1.75</v>
      </c>
      <c r="J7">
        <v>2.09</v>
      </c>
      <c r="K7">
        <v>1.77</v>
      </c>
      <c r="L7">
        <v>1.72</v>
      </c>
      <c r="M7">
        <v>1.69</v>
      </c>
      <c r="N7">
        <v>1.63</v>
      </c>
      <c r="O7">
        <v>1.49</v>
      </c>
      <c r="P7">
        <v>1.75</v>
      </c>
      <c r="Q7">
        <v>1.7</v>
      </c>
      <c r="R7">
        <v>1.69</v>
      </c>
      <c r="S7">
        <v>1.69</v>
      </c>
      <c r="T7">
        <v>1.72</v>
      </c>
      <c r="U7">
        <v>1.51</v>
      </c>
      <c r="V7">
        <v>1.76</v>
      </c>
      <c r="W7">
        <v>1.49</v>
      </c>
      <c r="X7">
        <v>1.74</v>
      </c>
      <c r="Y7">
        <v>1.66</v>
      </c>
      <c r="Z7">
        <v>1.67</v>
      </c>
      <c r="AA7">
        <v>1.66</v>
      </c>
    </row>
    <row r="8" spans="1:77" x14ac:dyDescent="0.25">
      <c r="A8" s="2" t="s">
        <v>69</v>
      </c>
      <c r="B8">
        <v>4.41</v>
      </c>
      <c r="C8">
        <v>4.16</v>
      </c>
      <c r="D8">
        <v>4.37</v>
      </c>
      <c r="E8">
        <v>4.34</v>
      </c>
      <c r="F8">
        <v>3.77</v>
      </c>
      <c r="G8">
        <v>4.34</v>
      </c>
      <c r="H8">
        <v>3.96</v>
      </c>
      <c r="I8">
        <v>4.2699999999999996</v>
      </c>
      <c r="J8">
        <v>4.05</v>
      </c>
      <c r="K8">
        <v>3.79</v>
      </c>
      <c r="L8">
        <v>3.93</v>
      </c>
      <c r="M8">
        <v>3.88</v>
      </c>
      <c r="N8">
        <v>4.2300000000000004</v>
      </c>
      <c r="O8">
        <v>3.91</v>
      </c>
      <c r="P8">
        <v>4.33</v>
      </c>
      <c r="Q8">
        <v>3.93</v>
      </c>
      <c r="R8">
        <v>4.08</v>
      </c>
      <c r="S8">
        <v>3.75</v>
      </c>
      <c r="T8">
        <v>4.1900000000000004</v>
      </c>
      <c r="U8">
        <v>3.74</v>
      </c>
      <c r="V8">
        <v>3.62</v>
      </c>
      <c r="W8">
        <v>3.54</v>
      </c>
      <c r="X8">
        <v>3.74</v>
      </c>
      <c r="Y8">
        <v>3.72</v>
      </c>
      <c r="Z8">
        <v>3.8</v>
      </c>
      <c r="AA8">
        <v>3.88</v>
      </c>
    </row>
    <row r="9" spans="1:77" x14ac:dyDescent="0.25">
      <c r="A9" s="2" t="s">
        <v>147</v>
      </c>
      <c r="B9">
        <v>5.33</v>
      </c>
      <c r="C9">
        <v>5.67</v>
      </c>
      <c r="D9">
        <v>5.86</v>
      </c>
      <c r="E9">
        <v>5.63</v>
      </c>
      <c r="F9">
        <v>5.79</v>
      </c>
      <c r="G9">
        <v>5.22</v>
      </c>
      <c r="H9">
        <v>5.4</v>
      </c>
      <c r="I9">
        <v>5.59</v>
      </c>
      <c r="J9">
        <v>5.26</v>
      </c>
      <c r="K9">
        <v>6.57</v>
      </c>
      <c r="L9">
        <v>5.89</v>
      </c>
      <c r="M9">
        <v>5.25</v>
      </c>
      <c r="N9">
        <v>5.48</v>
      </c>
      <c r="O9">
        <v>5.58</v>
      </c>
      <c r="P9">
        <v>5.88</v>
      </c>
      <c r="Q9">
        <v>5.53</v>
      </c>
      <c r="R9">
        <v>5.66</v>
      </c>
      <c r="S9">
        <v>5.03</v>
      </c>
      <c r="T9">
        <v>5.91</v>
      </c>
      <c r="U9">
        <v>5.42</v>
      </c>
      <c r="V9">
        <v>5.63</v>
      </c>
      <c r="W9">
        <v>5.48</v>
      </c>
      <c r="X9">
        <v>5.52</v>
      </c>
      <c r="Y9">
        <v>5.61</v>
      </c>
      <c r="Z9">
        <v>5.48</v>
      </c>
      <c r="AA9">
        <v>5.46</v>
      </c>
    </row>
    <row r="10" spans="1:77" x14ac:dyDescent="0.25">
      <c r="A10" s="2" t="s">
        <v>70</v>
      </c>
      <c r="B10">
        <v>3.63</v>
      </c>
      <c r="C10">
        <v>3.61</v>
      </c>
      <c r="D10">
        <v>3.63</v>
      </c>
      <c r="E10">
        <v>3.49</v>
      </c>
      <c r="F10">
        <v>3.84</v>
      </c>
      <c r="G10">
        <v>3.54</v>
      </c>
      <c r="H10">
        <v>3.57</v>
      </c>
      <c r="I10">
        <v>3.54</v>
      </c>
      <c r="J10">
        <v>3.75</v>
      </c>
      <c r="K10">
        <v>3.79</v>
      </c>
      <c r="L10">
        <v>3.49</v>
      </c>
      <c r="M10">
        <v>3.61</v>
      </c>
      <c r="N10">
        <v>3.39</v>
      </c>
      <c r="O10">
        <v>3.53</v>
      </c>
      <c r="P10">
        <v>3.4</v>
      </c>
      <c r="Q10">
        <v>3.49</v>
      </c>
      <c r="R10">
        <v>3.41</v>
      </c>
      <c r="S10">
        <v>3.64</v>
      </c>
      <c r="T10">
        <v>3.64</v>
      </c>
      <c r="U10">
        <v>3.23</v>
      </c>
      <c r="V10">
        <v>3.28</v>
      </c>
      <c r="W10">
        <v>3.5</v>
      </c>
      <c r="X10">
        <v>3.49</v>
      </c>
      <c r="Y10">
        <v>3.45</v>
      </c>
      <c r="Z10">
        <v>3.27</v>
      </c>
      <c r="AA10">
        <v>3.36</v>
      </c>
    </row>
    <row r="11" spans="1:77" x14ac:dyDescent="0.25">
      <c r="A11" s="2" t="s">
        <v>71</v>
      </c>
      <c r="B11">
        <v>7.79</v>
      </c>
      <c r="C11">
        <v>8.19</v>
      </c>
      <c r="D11">
        <v>7.47</v>
      </c>
      <c r="E11">
        <v>7.59</v>
      </c>
      <c r="F11">
        <v>7.85</v>
      </c>
      <c r="G11">
        <v>7.68</v>
      </c>
      <c r="H11">
        <v>7.31</v>
      </c>
      <c r="I11">
        <v>7.53</v>
      </c>
      <c r="J11">
        <v>7.43</v>
      </c>
      <c r="K11">
        <v>7.4</v>
      </c>
      <c r="L11">
        <v>7.98</v>
      </c>
      <c r="M11">
        <v>7.1</v>
      </c>
      <c r="N11">
        <v>7.31</v>
      </c>
      <c r="O11">
        <v>7.64</v>
      </c>
      <c r="P11">
        <v>7.47</v>
      </c>
      <c r="Q11">
        <v>7.42</v>
      </c>
      <c r="R11">
        <v>7.47</v>
      </c>
      <c r="S11">
        <v>7.62</v>
      </c>
      <c r="T11">
        <v>7.9</v>
      </c>
      <c r="U11">
        <v>7.95</v>
      </c>
      <c r="V11">
        <v>7.67</v>
      </c>
      <c r="W11">
        <v>8.4600000000000009</v>
      </c>
      <c r="X11">
        <v>7.47</v>
      </c>
      <c r="Y11">
        <v>7.65</v>
      </c>
      <c r="Z11">
        <v>7.15</v>
      </c>
      <c r="AA11">
        <v>8.16</v>
      </c>
    </row>
    <row r="12" spans="1:77" x14ac:dyDescent="0.25">
      <c r="A12" s="2" t="s">
        <v>72</v>
      </c>
      <c r="B12">
        <v>22.48</v>
      </c>
      <c r="C12">
        <v>23.47</v>
      </c>
      <c r="D12">
        <v>20.71</v>
      </c>
      <c r="E12">
        <v>19.8</v>
      </c>
      <c r="F12">
        <v>21.98</v>
      </c>
      <c r="G12">
        <v>23.47</v>
      </c>
      <c r="H12">
        <v>23.57</v>
      </c>
      <c r="I12">
        <v>22.65</v>
      </c>
      <c r="J12">
        <v>23.03</v>
      </c>
      <c r="K12">
        <v>23.07</v>
      </c>
      <c r="L12">
        <v>22.67</v>
      </c>
      <c r="M12">
        <v>22.71</v>
      </c>
      <c r="N12">
        <v>21.96</v>
      </c>
      <c r="O12">
        <v>21.29</v>
      </c>
      <c r="P12">
        <v>22.8</v>
      </c>
      <c r="Q12">
        <v>22.7</v>
      </c>
      <c r="R12">
        <v>22.81</v>
      </c>
      <c r="S12">
        <v>22.88</v>
      </c>
      <c r="T12">
        <v>21.67</v>
      </c>
      <c r="U12">
        <v>22.85</v>
      </c>
      <c r="V12">
        <v>21.98</v>
      </c>
      <c r="W12">
        <v>21.91</v>
      </c>
      <c r="X12">
        <v>20.52</v>
      </c>
      <c r="Y12">
        <v>21.57</v>
      </c>
      <c r="Z12">
        <v>20.88</v>
      </c>
      <c r="AA12">
        <v>21.27</v>
      </c>
    </row>
    <row r="13" spans="1:77" x14ac:dyDescent="0.25">
      <c r="A13" s="2" t="s">
        <v>73</v>
      </c>
      <c r="B13">
        <v>0.52</v>
      </c>
      <c r="C13">
        <v>0.48</v>
      </c>
      <c r="D13">
        <v>0.54</v>
      </c>
      <c r="E13">
        <v>0.55000000000000004</v>
      </c>
      <c r="F13">
        <v>0.53</v>
      </c>
      <c r="G13">
        <v>0.61</v>
      </c>
      <c r="H13">
        <v>0.76</v>
      </c>
      <c r="I13">
        <v>0.78</v>
      </c>
      <c r="J13">
        <v>0.83</v>
      </c>
      <c r="K13">
        <v>1.06</v>
      </c>
      <c r="L13">
        <v>1.29</v>
      </c>
      <c r="M13">
        <v>1.21</v>
      </c>
      <c r="N13">
        <v>1.0900000000000001</v>
      </c>
      <c r="O13">
        <v>1.04</v>
      </c>
      <c r="P13">
        <v>0.98</v>
      </c>
      <c r="Q13">
        <v>0.93</v>
      </c>
      <c r="R13">
        <v>1.01</v>
      </c>
      <c r="S13">
        <v>1.08</v>
      </c>
      <c r="T13">
        <v>1.23</v>
      </c>
      <c r="U13">
        <v>1.41</v>
      </c>
      <c r="V13">
        <v>1.31</v>
      </c>
      <c r="W13">
        <v>1.18</v>
      </c>
      <c r="X13">
        <v>1.26</v>
      </c>
      <c r="Y13">
        <v>1.18</v>
      </c>
      <c r="Z13">
        <v>1.19</v>
      </c>
      <c r="AA13">
        <v>1.21</v>
      </c>
    </row>
    <row r="14" spans="1:77" x14ac:dyDescent="0.25">
      <c r="A14" s="2" t="s">
        <v>74</v>
      </c>
      <c r="B14">
        <v>1.5</v>
      </c>
      <c r="C14">
        <v>1.45</v>
      </c>
      <c r="D14">
        <v>1.4</v>
      </c>
      <c r="E14">
        <v>1.39</v>
      </c>
      <c r="F14">
        <v>1.51</v>
      </c>
      <c r="G14">
        <v>1.54</v>
      </c>
      <c r="H14">
        <v>1.46</v>
      </c>
      <c r="I14">
        <v>1.55</v>
      </c>
      <c r="J14">
        <v>1.55</v>
      </c>
      <c r="K14">
        <v>1.51</v>
      </c>
      <c r="L14">
        <v>1.49</v>
      </c>
      <c r="M14">
        <v>1.5</v>
      </c>
      <c r="N14">
        <v>1.51</v>
      </c>
      <c r="O14">
        <v>1.54</v>
      </c>
      <c r="P14">
        <v>1.54</v>
      </c>
      <c r="Q14">
        <v>1.55</v>
      </c>
      <c r="R14">
        <v>1.56</v>
      </c>
      <c r="S14">
        <v>1.52</v>
      </c>
      <c r="T14">
        <v>1.46</v>
      </c>
      <c r="U14">
        <v>1.51</v>
      </c>
      <c r="V14">
        <v>1.52</v>
      </c>
      <c r="W14">
        <v>1.43</v>
      </c>
      <c r="X14">
        <v>1.46</v>
      </c>
      <c r="Y14">
        <v>1.43</v>
      </c>
      <c r="Z14">
        <v>1.45</v>
      </c>
      <c r="AA14">
        <v>1.44</v>
      </c>
    </row>
    <row r="15" spans="1:77" x14ac:dyDescent="0.25">
      <c r="A15" s="2" t="s">
        <v>75</v>
      </c>
      <c r="B15">
        <v>1.46</v>
      </c>
      <c r="C15">
        <v>1.44</v>
      </c>
      <c r="D15">
        <v>1.49</v>
      </c>
      <c r="E15">
        <v>1.46</v>
      </c>
      <c r="F15">
        <v>1.53</v>
      </c>
      <c r="G15">
        <v>1.53</v>
      </c>
      <c r="H15">
        <v>1.45</v>
      </c>
      <c r="I15">
        <v>1.53</v>
      </c>
      <c r="J15">
        <v>1.46</v>
      </c>
      <c r="K15">
        <v>1.49</v>
      </c>
      <c r="L15">
        <v>1.52</v>
      </c>
      <c r="M15">
        <v>1.51</v>
      </c>
      <c r="N15">
        <v>1.56</v>
      </c>
      <c r="O15">
        <v>1.54</v>
      </c>
      <c r="P15">
        <v>1.41</v>
      </c>
      <c r="Q15">
        <v>1.51</v>
      </c>
      <c r="R15">
        <v>1.45</v>
      </c>
      <c r="S15">
        <v>1.51</v>
      </c>
      <c r="T15">
        <v>1.41</v>
      </c>
      <c r="U15">
        <v>1.46</v>
      </c>
      <c r="V15">
        <v>1.38</v>
      </c>
      <c r="W15">
        <v>1.57</v>
      </c>
      <c r="X15">
        <v>1.67</v>
      </c>
      <c r="Y15">
        <v>1.64</v>
      </c>
      <c r="Z15">
        <v>1.65</v>
      </c>
      <c r="AA15">
        <v>1.68</v>
      </c>
    </row>
    <row r="16" spans="1:77" x14ac:dyDescent="0.25">
      <c r="A16" s="2" t="s">
        <v>76</v>
      </c>
      <c r="B16">
        <v>6.38</v>
      </c>
      <c r="C16">
        <v>5.63</v>
      </c>
      <c r="D16">
        <v>5.7</v>
      </c>
      <c r="E16">
        <v>5.94</v>
      </c>
      <c r="F16">
        <v>5.87</v>
      </c>
      <c r="G16">
        <v>6.21</v>
      </c>
      <c r="H16">
        <v>5.92</v>
      </c>
      <c r="I16">
        <v>6.18</v>
      </c>
      <c r="J16">
        <v>5.84</v>
      </c>
      <c r="K16">
        <v>5.87</v>
      </c>
      <c r="L16">
        <v>6.07</v>
      </c>
      <c r="M16">
        <v>5.77</v>
      </c>
      <c r="N16">
        <v>5.94</v>
      </c>
      <c r="O16">
        <v>5.78</v>
      </c>
      <c r="P16">
        <v>6.27</v>
      </c>
      <c r="Q16">
        <v>6.04</v>
      </c>
      <c r="R16">
        <v>6.14</v>
      </c>
      <c r="S16">
        <v>5.75</v>
      </c>
      <c r="T16">
        <v>5.92</v>
      </c>
      <c r="U16">
        <v>5.93</v>
      </c>
      <c r="V16">
        <v>5.93</v>
      </c>
      <c r="W16">
        <v>6</v>
      </c>
      <c r="X16">
        <v>5.99</v>
      </c>
      <c r="Y16">
        <v>6.03</v>
      </c>
      <c r="Z16">
        <v>6.26</v>
      </c>
      <c r="AA16">
        <v>5.99</v>
      </c>
    </row>
    <row r="17" spans="1:77" x14ac:dyDescent="0.25">
      <c r="A17" s="2" t="s">
        <v>77</v>
      </c>
      <c r="B17">
        <v>1.1000000000000001</v>
      </c>
      <c r="C17">
        <v>1.04</v>
      </c>
      <c r="D17">
        <v>0.98</v>
      </c>
      <c r="E17">
        <v>0.93</v>
      </c>
      <c r="F17">
        <v>0.88</v>
      </c>
      <c r="G17">
        <v>0.98</v>
      </c>
      <c r="H17">
        <v>0.94</v>
      </c>
      <c r="I17">
        <v>0.93</v>
      </c>
      <c r="J17">
        <v>0.96</v>
      </c>
      <c r="K17">
        <v>0.93</v>
      </c>
      <c r="L17">
        <v>0.98</v>
      </c>
      <c r="M17">
        <v>0.98</v>
      </c>
      <c r="N17">
        <v>0.88</v>
      </c>
      <c r="O17">
        <v>0.87</v>
      </c>
      <c r="P17">
        <v>0.85</v>
      </c>
      <c r="Q17">
        <v>0.84</v>
      </c>
      <c r="R17">
        <v>0.92</v>
      </c>
      <c r="S17">
        <v>0.86</v>
      </c>
      <c r="T17">
        <v>0.89</v>
      </c>
      <c r="U17">
        <v>0.85</v>
      </c>
      <c r="V17">
        <v>0.86</v>
      </c>
      <c r="W17">
        <v>0.86</v>
      </c>
      <c r="X17">
        <v>0.84</v>
      </c>
      <c r="Y17">
        <v>0.83</v>
      </c>
      <c r="Z17">
        <v>0.85</v>
      </c>
      <c r="AA17">
        <v>0.83</v>
      </c>
    </row>
    <row r="18" spans="1:77" x14ac:dyDescent="0.25">
      <c r="A18" s="2" t="s">
        <v>78</v>
      </c>
      <c r="B18">
        <v>0.8</v>
      </c>
      <c r="C18">
        <v>0.83</v>
      </c>
      <c r="D18">
        <v>0.82</v>
      </c>
      <c r="E18">
        <v>0.76</v>
      </c>
      <c r="F18">
        <v>0.82</v>
      </c>
      <c r="G18">
        <v>0.83</v>
      </c>
      <c r="H18">
        <v>0.84</v>
      </c>
      <c r="I18">
        <v>0.84</v>
      </c>
      <c r="J18">
        <v>0.84</v>
      </c>
      <c r="K18">
        <v>0.83</v>
      </c>
      <c r="L18">
        <v>0.85</v>
      </c>
      <c r="M18">
        <v>0.85</v>
      </c>
      <c r="N18">
        <v>0.87</v>
      </c>
      <c r="O18">
        <v>0.85</v>
      </c>
      <c r="P18">
        <v>0.83</v>
      </c>
      <c r="Q18">
        <v>0.84</v>
      </c>
      <c r="R18">
        <v>0.83</v>
      </c>
      <c r="S18">
        <v>0.75</v>
      </c>
      <c r="T18">
        <v>0.81</v>
      </c>
      <c r="U18">
        <v>0.82</v>
      </c>
      <c r="V18">
        <v>0.82</v>
      </c>
      <c r="W18">
        <v>0.82</v>
      </c>
      <c r="X18">
        <v>0.83</v>
      </c>
      <c r="Y18">
        <v>0.81</v>
      </c>
      <c r="Z18">
        <v>0.82</v>
      </c>
      <c r="AA18">
        <v>0.8</v>
      </c>
    </row>
    <row r="20" spans="1:77" x14ac:dyDescent="0.25">
      <c r="B20" s="2">
        <f>SUM(B5:B18)</f>
        <v>66.949999999999989</v>
      </c>
      <c r="C20" s="2">
        <f t="shared" ref="C20:L20" si="0">SUM(C5:C18)</f>
        <v>67.2</v>
      </c>
      <c r="D20" s="2">
        <f t="shared" si="0"/>
        <v>63.86</v>
      </c>
      <c r="E20" s="2">
        <f t="shared" si="0"/>
        <v>63.059999999999995</v>
      </c>
      <c r="F20" s="2">
        <f t="shared" si="0"/>
        <v>66.269999999999982</v>
      </c>
      <c r="G20" s="2">
        <f t="shared" si="0"/>
        <v>67.61999999999999</v>
      </c>
      <c r="H20" s="2">
        <f t="shared" si="0"/>
        <v>66.72</v>
      </c>
      <c r="I20" s="2">
        <f t="shared" si="0"/>
        <v>66.37</v>
      </c>
      <c r="J20" s="2">
        <f t="shared" si="0"/>
        <v>66.61999999999999</v>
      </c>
      <c r="K20" s="2">
        <f t="shared" si="0"/>
        <v>67.290000000000006</v>
      </c>
      <c r="L20" s="2">
        <f t="shared" si="0"/>
        <v>67.490000000000009</v>
      </c>
      <c r="M20" s="2">
        <f t="shared" ref="M20:Z20" si="1">SUM(M5:M18)</f>
        <v>65.86</v>
      </c>
      <c r="N20" s="2">
        <f t="shared" si="1"/>
        <v>66.28</v>
      </c>
      <c r="O20" s="2">
        <f t="shared" si="1"/>
        <v>64.61</v>
      </c>
      <c r="P20" s="2">
        <f t="shared" si="1"/>
        <v>67.579999999999984</v>
      </c>
      <c r="Q20" s="2">
        <f t="shared" si="1"/>
        <v>66.710000000000008</v>
      </c>
      <c r="R20" s="2">
        <f t="shared" si="1"/>
        <v>66.59</v>
      </c>
      <c r="S20" s="2">
        <f t="shared" si="1"/>
        <v>65.92</v>
      </c>
      <c r="T20" s="2">
        <f t="shared" si="1"/>
        <v>66.84</v>
      </c>
      <c r="U20" s="2">
        <f t="shared" si="1"/>
        <v>65.679999999999978</v>
      </c>
      <c r="V20" s="2">
        <f t="shared" si="1"/>
        <v>64.990000000000009</v>
      </c>
      <c r="W20" s="2">
        <f t="shared" si="1"/>
        <v>66.27</v>
      </c>
      <c r="X20" s="2">
        <f t="shared" si="1"/>
        <v>63.79</v>
      </c>
      <c r="Y20" s="2">
        <f t="shared" si="1"/>
        <v>64.69</v>
      </c>
      <c r="Z20" s="2">
        <f t="shared" si="1"/>
        <v>64.11</v>
      </c>
      <c r="AA20" s="2">
        <f t="shared" ref="AA20:BY20" si="2">SUM(AA5:AA18)</f>
        <v>65.44</v>
      </c>
      <c r="AB20" s="2">
        <f t="shared" si="2"/>
        <v>0</v>
      </c>
      <c r="AC20" s="2">
        <f t="shared" si="2"/>
        <v>0</v>
      </c>
      <c r="AD20" s="2">
        <f t="shared" si="2"/>
        <v>0</v>
      </c>
      <c r="AE20" s="2">
        <f t="shared" si="2"/>
        <v>0</v>
      </c>
      <c r="AF20" s="2">
        <f t="shared" si="2"/>
        <v>0</v>
      </c>
      <c r="AG20" s="2">
        <f t="shared" si="2"/>
        <v>0</v>
      </c>
      <c r="AH20" s="2">
        <f t="shared" si="2"/>
        <v>0</v>
      </c>
      <c r="AI20" s="2">
        <f t="shared" si="2"/>
        <v>0</v>
      </c>
      <c r="AJ20" s="2">
        <f t="shared" si="2"/>
        <v>0</v>
      </c>
      <c r="AK20" s="2">
        <f t="shared" si="2"/>
        <v>0</v>
      </c>
      <c r="AL20" s="2">
        <f t="shared" si="2"/>
        <v>0</v>
      </c>
      <c r="AM20" s="2">
        <f t="shared" si="2"/>
        <v>0</v>
      </c>
      <c r="AN20" s="2">
        <f t="shared" si="2"/>
        <v>0</v>
      </c>
      <c r="AO20" s="2">
        <f t="shared" si="2"/>
        <v>0</v>
      </c>
      <c r="AP20" s="2">
        <f t="shared" si="2"/>
        <v>0</v>
      </c>
      <c r="AQ20" s="2">
        <f t="shared" si="2"/>
        <v>0</v>
      </c>
      <c r="AR20" s="2">
        <f t="shared" si="2"/>
        <v>0</v>
      </c>
      <c r="AS20" s="2">
        <f t="shared" si="2"/>
        <v>0</v>
      </c>
      <c r="AT20" s="2">
        <f t="shared" si="2"/>
        <v>0</v>
      </c>
      <c r="AU20" s="2">
        <f t="shared" si="2"/>
        <v>0</v>
      </c>
      <c r="AV20" s="2">
        <f t="shared" si="2"/>
        <v>0</v>
      </c>
      <c r="AW20" s="2">
        <f t="shared" si="2"/>
        <v>0</v>
      </c>
      <c r="AX20" s="2">
        <f t="shared" si="2"/>
        <v>0</v>
      </c>
      <c r="AY20" s="2">
        <f t="shared" si="2"/>
        <v>0</v>
      </c>
      <c r="AZ20" s="2">
        <f t="shared" si="2"/>
        <v>0</v>
      </c>
      <c r="BA20" s="2">
        <f t="shared" si="2"/>
        <v>0</v>
      </c>
      <c r="BB20" s="2">
        <f t="shared" si="2"/>
        <v>0</v>
      </c>
      <c r="BC20" s="2">
        <f t="shared" si="2"/>
        <v>0</v>
      </c>
      <c r="BD20" s="2">
        <f t="shared" si="2"/>
        <v>0</v>
      </c>
      <c r="BE20" s="2">
        <f t="shared" si="2"/>
        <v>0</v>
      </c>
      <c r="BF20" s="2">
        <f t="shared" si="2"/>
        <v>0</v>
      </c>
      <c r="BG20" s="2">
        <f t="shared" si="2"/>
        <v>0</v>
      </c>
      <c r="BH20" s="2">
        <f t="shared" si="2"/>
        <v>0</v>
      </c>
      <c r="BI20" s="2">
        <f t="shared" si="2"/>
        <v>0</v>
      </c>
      <c r="BJ20" s="2">
        <f t="shared" si="2"/>
        <v>0</v>
      </c>
      <c r="BK20" s="2">
        <f t="shared" si="2"/>
        <v>0</v>
      </c>
      <c r="BL20" s="2">
        <f t="shared" si="2"/>
        <v>0</v>
      </c>
      <c r="BM20" s="2">
        <f t="shared" si="2"/>
        <v>0</v>
      </c>
      <c r="BN20" s="2">
        <f t="shared" si="2"/>
        <v>0</v>
      </c>
      <c r="BO20" s="2">
        <f t="shared" si="2"/>
        <v>0</v>
      </c>
      <c r="BP20" s="2">
        <f t="shared" si="2"/>
        <v>0</v>
      </c>
      <c r="BQ20" s="2">
        <f t="shared" si="2"/>
        <v>0</v>
      </c>
      <c r="BR20" s="2">
        <f t="shared" si="2"/>
        <v>0</v>
      </c>
      <c r="BS20" s="2">
        <f t="shared" si="2"/>
        <v>0</v>
      </c>
      <c r="BT20" s="2">
        <f t="shared" si="2"/>
        <v>0</v>
      </c>
      <c r="BU20" s="2">
        <f t="shared" si="2"/>
        <v>0</v>
      </c>
      <c r="BV20" s="2">
        <f t="shared" si="2"/>
        <v>0</v>
      </c>
      <c r="BW20" s="2">
        <f t="shared" si="2"/>
        <v>0</v>
      </c>
      <c r="BX20" s="2">
        <f t="shared" si="2"/>
        <v>0</v>
      </c>
      <c r="BY20" s="2">
        <f t="shared" si="2"/>
        <v>0</v>
      </c>
    </row>
    <row r="24" spans="1:77" ht="21" x14ac:dyDescent="0.35">
      <c r="A24" s="5" t="s">
        <v>33</v>
      </c>
    </row>
    <row r="26" spans="1:77" x14ac:dyDescent="0.25">
      <c r="A26" t="s">
        <v>12</v>
      </c>
    </row>
    <row r="27" spans="1:77" x14ac:dyDescent="0.25">
      <c r="B27" s="1">
        <f>B4</f>
        <v>44331</v>
      </c>
      <c r="C27" s="1">
        <f t="shared" ref="C27:L27" si="3">C4</f>
        <v>44332</v>
      </c>
      <c r="D27" s="1">
        <f t="shared" si="3"/>
        <v>44334</v>
      </c>
      <c r="E27" s="1">
        <f t="shared" si="3"/>
        <v>44336</v>
      </c>
      <c r="F27" s="1">
        <f t="shared" si="3"/>
        <v>44337</v>
      </c>
      <c r="G27" s="1">
        <f t="shared" si="3"/>
        <v>44338</v>
      </c>
      <c r="H27" s="1">
        <f t="shared" si="3"/>
        <v>44339</v>
      </c>
      <c r="I27" s="1">
        <f t="shared" si="3"/>
        <v>44340</v>
      </c>
      <c r="J27" s="1">
        <f t="shared" si="3"/>
        <v>44341</v>
      </c>
      <c r="K27" s="1">
        <f t="shared" si="3"/>
        <v>44342</v>
      </c>
      <c r="L27" s="1">
        <f t="shared" si="3"/>
        <v>44343</v>
      </c>
      <c r="M27" s="1">
        <f t="shared" ref="M27:Z27" si="4">M4</f>
        <v>44344</v>
      </c>
      <c r="N27" s="1">
        <f t="shared" si="4"/>
        <v>44345</v>
      </c>
      <c r="O27" s="1">
        <f t="shared" si="4"/>
        <v>44346</v>
      </c>
      <c r="P27" s="1">
        <f t="shared" si="4"/>
        <v>44347</v>
      </c>
      <c r="Q27" s="1">
        <f t="shared" si="4"/>
        <v>44348</v>
      </c>
      <c r="R27" s="1">
        <f t="shared" si="4"/>
        <v>44349</v>
      </c>
      <c r="S27" s="1">
        <f t="shared" si="4"/>
        <v>44350</v>
      </c>
      <c r="T27" s="1">
        <f t="shared" si="4"/>
        <v>44351</v>
      </c>
      <c r="U27" s="1">
        <f t="shared" si="4"/>
        <v>44352</v>
      </c>
      <c r="V27" s="1">
        <f t="shared" si="4"/>
        <v>44353</v>
      </c>
      <c r="W27" s="1">
        <f t="shared" si="4"/>
        <v>44354</v>
      </c>
      <c r="X27" s="1">
        <f t="shared" si="4"/>
        <v>44355</v>
      </c>
      <c r="Y27" s="1">
        <f t="shared" si="4"/>
        <v>44356</v>
      </c>
      <c r="Z27" s="1">
        <f t="shared" si="4"/>
        <v>44357</v>
      </c>
      <c r="AA27" s="1">
        <f t="shared" ref="AA27:BY27" si="5">AA4</f>
        <v>44358</v>
      </c>
      <c r="AB27" s="1">
        <f t="shared" si="5"/>
        <v>44359</v>
      </c>
      <c r="AC27" s="1">
        <f t="shared" si="5"/>
        <v>44360</v>
      </c>
      <c r="AD27" s="1">
        <f t="shared" si="5"/>
        <v>44361</v>
      </c>
      <c r="AE27" s="1">
        <f t="shared" si="5"/>
        <v>44362</v>
      </c>
      <c r="AF27" s="1">
        <f t="shared" si="5"/>
        <v>44363</v>
      </c>
      <c r="AG27" s="1">
        <f t="shared" si="5"/>
        <v>44364</v>
      </c>
      <c r="AH27" s="1">
        <f t="shared" si="5"/>
        <v>44365</v>
      </c>
      <c r="AI27" s="1">
        <f t="shared" si="5"/>
        <v>44366</v>
      </c>
      <c r="AJ27" s="1">
        <f t="shared" si="5"/>
        <v>44367</v>
      </c>
      <c r="AK27" s="1">
        <f t="shared" si="5"/>
        <v>44368</v>
      </c>
      <c r="AL27" s="1">
        <f t="shared" si="5"/>
        <v>44369</v>
      </c>
      <c r="AM27" s="1">
        <f t="shared" si="5"/>
        <v>44370</v>
      </c>
      <c r="AN27" s="1">
        <f t="shared" si="5"/>
        <v>44371</v>
      </c>
      <c r="AO27" s="1">
        <f t="shared" si="5"/>
        <v>44372</v>
      </c>
      <c r="AP27" s="1">
        <f t="shared" si="5"/>
        <v>44373</v>
      </c>
      <c r="AQ27" s="1">
        <f t="shared" si="5"/>
        <v>44374</v>
      </c>
      <c r="AR27" s="1">
        <f t="shared" si="5"/>
        <v>44375</v>
      </c>
      <c r="AS27" s="1">
        <f t="shared" si="5"/>
        <v>44376</v>
      </c>
      <c r="AT27" s="1">
        <f t="shared" si="5"/>
        <v>44377</v>
      </c>
      <c r="AU27" s="1">
        <f t="shared" si="5"/>
        <v>44378</v>
      </c>
      <c r="AV27" s="1">
        <f t="shared" si="5"/>
        <v>44379</v>
      </c>
      <c r="AW27" s="1">
        <f t="shared" si="5"/>
        <v>44380</v>
      </c>
      <c r="AX27" s="1">
        <f t="shared" si="5"/>
        <v>44381</v>
      </c>
      <c r="AY27" s="1">
        <f t="shared" si="5"/>
        <v>44382</v>
      </c>
      <c r="AZ27" s="1">
        <f t="shared" si="5"/>
        <v>44383</v>
      </c>
      <c r="BA27" s="1">
        <f t="shared" si="5"/>
        <v>44384</v>
      </c>
      <c r="BB27" s="1">
        <f t="shared" si="5"/>
        <v>44385</v>
      </c>
      <c r="BC27" s="1">
        <f t="shared" si="5"/>
        <v>44386</v>
      </c>
      <c r="BD27" s="1">
        <f t="shared" si="5"/>
        <v>44387</v>
      </c>
      <c r="BE27" s="1">
        <f t="shared" si="5"/>
        <v>44388</v>
      </c>
      <c r="BF27" s="1">
        <f t="shared" si="5"/>
        <v>44389</v>
      </c>
      <c r="BG27" s="1">
        <f t="shared" si="5"/>
        <v>44390</v>
      </c>
      <c r="BH27" s="1">
        <f t="shared" si="5"/>
        <v>44391</v>
      </c>
      <c r="BI27" s="1">
        <f t="shared" si="5"/>
        <v>44392</v>
      </c>
      <c r="BJ27" s="1">
        <f t="shared" si="5"/>
        <v>44393</v>
      </c>
      <c r="BK27" s="1">
        <f t="shared" si="5"/>
        <v>44394</v>
      </c>
      <c r="BL27" s="1">
        <f t="shared" si="5"/>
        <v>44395</v>
      </c>
      <c r="BM27" s="1">
        <f t="shared" si="5"/>
        <v>44396</v>
      </c>
      <c r="BN27" s="1">
        <f t="shared" si="5"/>
        <v>44397</v>
      </c>
      <c r="BO27" s="1">
        <f t="shared" si="5"/>
        <v>44398</v>
      </c>
      <c r="BP27" s="1">
        <f t="shared" si="5"/>
        <v>44399</v>
      </c>
      <c r="BQ27" s="1">
        <f t="shared" si="5"/>
        <v>44400</v>
      </c>
      <c r="BR27" s="1">
        <f t="shared" si="5"/>
        <v>44401</v>
      </c>
      <c r="BS27" s="1">
        <f t="shared" si="5"/>
        <v>44402</v>
      </c>
      <c r="BT27" s="1">
        <f t="shared" si="5"/>
        <v>44403</v>
      </c>
      <c r="BU27" s="1">
        <f t="shared" si="5"/>
        <v>44404</v>
      </c>
      <c r="BV27" s="1">
        <f t="shared" si="5"/>
        <v>44405</v>
      </c>
      <c r="BW27" s="1">
        <f t="shared" si="5"/>
        <v>44406</v>
      </c>
      <c r="BX27" s="1">
        <f t="shared" si="5"/>
        <v>44407</v>
      </c>
      <c r="BY27" s="1">
        <f t="shared" si="5"/>
        <v>44408</v>
      </c>
    </row>
    <row r="28" spans="1:77" x14ac:dyDescent="0.25">
      <c r="A28" s="2" t="s">
        <v>66</v>
      </c>
      <c r="B28">
        <f>ROUNDDOWN((B5-ROUNDUP(B5*0.1,2)-ROUNDUP(B5*0.05,2))*0.8,2)</f>
        <v>0.98</v>
      </c>
      <c r="C28">
        <f t="shared" ref="C28:L28" si="6">ROUNDDOWN((C5-ROUNDUP(C5*0.1,2)-ROUNDUP(C5*0.05,2))*0.8,2)</f>
        <v>0.96</v>
      </c>
      <c r="D28">
        <f t="shared" si="6"/>
        <v>0.96</v>
      </c>
      <c r="E28">
        <f t="shared" si="6"/>
        <v>0.94</v>
      </c>
      <c r="F28">
        <f t="shared" si="6"/>
        <v>0.99</v>
      </c>
      <c r="G28">
        <f t="shared" si="6"/>
        <v>0.96</v>
      </c>
      <c r="H28">
        <f t="shared" si="6"/>
        <v>0.96</v>
      </c>
      <c r="I28">
        <f t="shared" si="6"/>
        <v>0.94</v>
      </c>
      <c r="J28">
        <f t="shared" si="6"/>
        <v>0.96</v>
      </c>
      <c r="K28">
        <f t="shared" si="6"/>
        <v>1.03</v>
      </c>
      <c r="L28">
        <f t="shared" si="6"/>
        <v>1.04</v>
      </c>
      <c r="M28">
        <f t="shared" ref="M28:Z28" si="7">ROUNDDOWN((M5-ROUNDUP(M5*0.1,2)-ROUNDUP(M5*0.05,2))*0.8,2)</f>
        <v>1.06</v>
      </c>
      <c r="N28">
        <f t="shared" si="7"/>
        <v>1.1100000000000001</v>
      </c>
      <c r="O28">
        <f t="shared" si="7"/>
        <v>1.08</v>
      </c>
      <c r="P28">
        <f t="shared" si="7"/>
        <v>1.08</v>
      </c>
      <c r="Q28">
        <f t="shared" si="7"/>
        <v>1.1100000000000001</v>
      </c>
      <c r="R28">
        <f t="shared" si="7"/>
        <v>1.07</v>
      </c>
      <c r="S28">
        <f t="shared" si="7"/>
        <v>1</v>
      </c>
      <c r="T28">
        <f t="shared" si="7"/>
        <v>0.98</v>
      </c>
      <c r="U28">
        <f t="shared" si="7"/>
        <v>0.96</v>
      </c>
      <c r="V28">
        <f t="shared" si="7"/>
        <v>1.02</v>
      </c>
      <c r="W28">
        <f t="shared" si="7"/>
        <v>0.96</v>
      </c>
      <c r="X28">
        <f t="shared" si="7"/>
        <v>0.96</v>
      </c>
      <c r="Y28">
        <f t="shared" si="7"/>
        <v>0.94</v>
      </c>
      <c r="Z28">
        <f t="shared" si="7"/>
        <v>0.95</v>
      </c>
      <c r="AA28">
        <f t="shared" ref="AA28:BY28" si="8">ROUNDDOWN((AA5-ROUNDUP(AA5*0.1,2)-ROUNDUP(AA5*0.05,2))*0.8,2)</f>
        <v>0.95</v>
      </c>
      <c r="AB28">
        <f t="shared" si="8"/>
        <v>0</v>
      </c>
      <c r="AC28">
        <f t="shared" si="8"/>
        <v>0</v>
      </c>
      <c r="AD28">
        <f t="shared" si="8"/>
        <v>0</v>
      </c>
      <c r="AE28">
        <f t="shared" si="8"/>
        <v>0</v>
      </c>
      <c r="AF28">
        <f t="shared" si="8"/>
        <v>0</v>
      </c>
      <c r="AG28">
        <f t="shared" si="8"/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  <c r="AM28">
        <f t="shared" si="8"/>
        <v>0</v>
      </c>
      <c r="AN28">
        <f t="shared" si="8"/>
        <v>0</v>
      </c>
      <c r="AO28">
        <f t="shared" si="8"/>
        <v>0</v>
      </c>
      <c r="AP28">
        <f t="shared" si="8"/>
        <v>0</v>
      </c>
      <c r="AQ28">
        <f t="shared" si="8"/>
        <v>0</v>
      </c>
      <c r="AR28">
        <f t="shared" si="8"/>
        <v>0</v>
      </c>
      <c r="AS28">
        <f t="shared" si="8"/>
        <v>0</v>
      </c>
      <c r="AT28">
        <f t="shared" si="8"/>
        <v>0</v>
      </c>
      <c r="AU28">
        <f t="shared" si="8"/>
        <v>0</v>
      </c>
      <c r="AV28">
        <f t="shared" si="8"/>
        <v>0</v>
      </c>
      <c r="AW28">
        <f t="shared" si="8"/>
        <v>0</v>
      </c>
      <c r="AX28">
        <f t="shared" si="8"/>
        <v>0</v>
      </c>
      <c r="AY28">
        <f t="shared" si="8"/>
        <v>0</v>
      </c>
      <c r="AZ28">
        <f t="shared" si="8"/>
        <v>0</v>
      </c>
      <c r="BA28">
        <f t="shared" si="8"/>
        <v>0</v>
      </c>
      <c r="BB28">
        <f t="shared" si="8"/>
        <v>0</v>
      </c>
      <c r="BC28">
        <f t="shared" si="8"/>
        <v>0</v>
      </c>
      <c r="BD28">
        <f t="shared" si="8"/>
        <v>0</v>
      </c>
      <c r="BE28">
        <f t="shared" si="8"/>
        <v>0</v>
      </c>
      <c r="BF28">
        <f t="shared" si="8"/>
        <v>0</v>
      </c>
      <c r="BG28">
        <f t="shared" si="8"/>
        <v>0</v>
      </c>
      <c r="BH28">
        <f t="shared" si="8"/>
        <v>0</v>
      </c>
      <c r="BI28">
        <f t="shared" si="8"/>
        <v>0</v>
      </c>
      <c r="BJ28">
        <f t="shared" si="8"/>
        <v>0</v>
      </c>
      <c r="BK28">
        <f t="shared" si="8"/>
        <v>0</v>
      </c>
      <c r="BL28">
        <f t="shared" si="8"/>
        <v>0</v>
      </c>
      <c r="BM28">
        <f t="shared" si="8"/>
        <v>0</v>
      </c>
      <c r="BN28">
        <f t="shared" si="8"/>
        <v>0</v>
      </c>
      <c r="BO28">
        <f t="shared" si="8"/>
        <v>0</v>
      </c>
      <c r="BP28">
        <f t="shared" si="8"/>
        <v>0</v>
      </c>
      <c r="BQ28">
        <f t="shared" si="8"/>
        <v>0</v>
      </c>
      <c r="BR28">
        <f t="shared" si="8"/>
        <v>0</v>
      </c>
      <c r="BS28">
        <f t="shared" si="8"/>
        <v>0</v>
      </c>
      <c r="BT28">
        <f t="shared" si="8"/>
        <v>0</v>
      </c>
      <c r="BU28">
        <f t="shared" si="8"/>
        <v>0</v>
      </c>
      <c r="BV28">
        <f t="shared" si="8"/>
        <v>0</v>
      </c>
      <c r="BW28">
        <f t="shared" si="8"/>
        <v>0</v>
      </c>
      <c r="BX28">
        <f t="shared" si="8"/>
        <v>0</v>
      </c>
      <c r="BY28">
        <f t="shared" si="8"/>
        <v>0</v>
      </c>
    </row>
    <row r="29" spans="1:77" x14ac:dyDescent="0.25">
      <c r="A29" s="2" t="s">
        <v>67</v>
      </c>
      <c r="B29">
        <f t="shared" ref="B29:L41" si="9">ROUNDDOWN((B6-ROUNDUP(B6*0.1,2)-ROUNDUP(B6*0.05,2))*0.8,2)</f>
        <v>5.68</v>
      </c>
      <c r="C29">
        <f t="shared" si="9"/>
        <v>5.46</v>
      </c>
      <c r="D29">
        <f t="shared" si="9"/>
        <v>5.32</v>
      </c>
      <c r="E29">
        <f t="shared" si="9"/>
        <v>5.48</v>
      </c>
      <c r="F29">
        <f t="shared" si="9"/>
        <v>5.91</v>
      </c>
      <c r="G29">
        <f t="shared" si="9"/>
        <v>5.83</v>
      </c>
      <c r="H29">
        <f t="shared" si="9"/>
        <v>5.71</v>
      </c>
      <c r="I29">
        <f t="shared" si="9"/>
        <v>5.32</v>
      </c>
      <c r="J29">
        <f t="shared" si="9"/>
        <v>5.5</v>
      </c>
      <c r="K29">
        <f t="shared" si="9"/>
        <v>5.21</v>
      </c>
      <c r="L29">
        <f t="shared" si="9"/>
        <v>5.48</v>
      </c>
      <c r="M29">
        <f t="shared" ref="M29:Z29" si="10">ROUNDDOWN((M6-ROUNDUP(M6*0.1,2)-ROUNDUP(M6*0.05,2))*0.8,2)</f>
        <v>5.58</v>
      </c>
      <c r="N29">
        <f t="shared" si="10"/>
        <v>5.96</v>
      </c>
      <c r="O29">
        <f t="shared" si="10"/>
        <v>5.39</v>
      </c>
      <c r="P29">
        <f t="shared" si="10"/>
        <v>5.74</v>
      </c>
      <c r="Q29">
        <f t="shared" si="10"/>
        <v>5.83</v>
      </c>
      <c r="R29">
        <f t="shared" si="10"/>
        <v>5.42</v>
      </c>
      <c r="S29">
        <f t="shared" si="10"/>
        <v>5.67</v>
      </c>
      <c r="T29">
        <f t="shared" si="10"/>
        <v>5.85</v>
      </c>
      <c r="U29">
        <f t="shared" si="10"/>
        <v>5.13</v>
      </c>
      <c r="V29">
        <f t="shared" si="10"/>
        <v>5.23</v>
      </c>
      <c r="W29">
        <f t="shared" si="10"/>
        <v>5.84</v>
      </c>
      <c r="X29">
        <f t="shared" si="10"/>
        <v>5.3</v>
      </c>
      <c r="Y29">
        <f t="shared" si="10"/>
        <v>5.23</v>
      </c>
      <c r="Z29">
        <f t="shared" si="10"/>
        <v>5.59</v>
      </c>
      <c r="AA29">
        <f t="shared" ref="AA29:BY29" si="11">ROUNDDOWN((AA6-ROUNDUP(AA6*0.1,2)-ROUNDUP(AA6*0.05,2))*0.8,2)</f>
        <v>5.64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si="11"/>
        <v>0</v>
      </c>
      <c r="AT29">
        <f t="shared" si="11"/>
        <v>0</v>
      </c>
      <c r="AU29">
        <f t="shared" si="11"/>
        <v>0</v>
      </c>
      <c r="AV29">
        <f t="shared" si="11"/>
        <v>0</v>
      </c>
      <c r="AW29">
        <f t="shared" si="11"/>
        <v>0</v>
      </c>
      <c r="AX29">
        <f t="shared" si="11"/>
        <v>0</v>
      </c>
      <c r="AY29">
        <f t="shared" si="11"/>
        <v>0</v>
      </c>
      <c r="AZ29">
        <f t="shared" si="11"/>
        <v>0</v>
      </c>
      <c r="BA29">
        <f t="shared" si="11"/>
        <v>0</v>
      </c>
      <c r="BB29">
        <f t="shared" si="11"/>
        <v>0</v>
      </c>
      <c r="BC29">
        <f t="shared" si="11"/>
        <v>0</v>
      </c>
      <c r="BD29">
        <f t="shared" si="11"/>
        <v>0</v>
      </c>
      <c r="BE29">
        <f t="shared" si="11"/>
        <v>0</v>
      </c>
      <c r="BF29">
        <f t="shared" si="11"/>
        <v>0</v>
      </c>
      <c r="BG29">
        <f t="shared" si="11"/>
        <v>0</v>
      </c>
      <c r="BH29">
        <f t="shared" si="11"/>
        <v>0</v>
      </c>
      <c r="BI29">
        <f t="shared" si="11"/>
        <v>0</v>
      </c>
      <c r="BJ29">
        <f t="shared" si="11"/>
        <v>0</v>
      </c>
      <c r="BK29">
        <f t="shared" si="11"/>
        <v>0</v>
      </c>
      <c r="BL29">
        <f t="shared" si="11"/>
        <v>0</v>
      </c>
      <c r="BM29">
        <f t="shared" si="11"/>
        <v>0</v>
      </c>
      <c r="BN29">
        <f t="shared" si="11"/>
        <v>0</v>
      </c>
      <c r="BO29">
        <f t="shared" si="11"/>
        <v>0</v>
      </c>
      <c r="BP29">
        <f t="shared" si="11"/>
        <v>0</v>
      </c>
      <c r="BQ29">
        <f t="shared" si="11"/>
        <v>0</v>
      </c>
      <c r="BR29">
        <f t="shared" si="11"/>
        <v>0</v>
      </c>
      <c r="BS29">
        <f t="shared" si="11"/>
        <v>0</v>
      </c>
      <c r="BT29">
        <f t="shared" si="11"/>
        <v>0</v>
      </c>
      <c r="BU29">
        <f t="shared" si="11"/>
        <v>0</v>
      </c>
      <c r="BV29">
        <f t="shared" si="11"/>
        <v>0</v>
      </c>
      <c r="BW29">
        <f t="shared" si="11"/>
        <v>0</v>
      </c>
      <c r="BX29">
        <f t="shared" si="11"/>
        <v>0</v>
      </c>
      <c r="BY29">
        <f t="shared" si="11"/>
        <v>0</v>
      </c>
    </row>
    <row r="30" spans="1:77" x14ac:dyDescent="0.25">
      <c r="A30" s="2" t="s">
        <v>68</v>
      </c>
      <c r="B30">
        <f t="shared" si="9"/>
        <v>1.1599999999999999</v>
      </c>
      <c r="C30">
        <f t="shared" si="9"/>
        <v>1.17</v>
      </c>
      <c r="D30">
        <f t="shared" si="9"/>
        <v>1.08</v>
      </c>
      <c r="E30">
        <f t="shared" si="9"/>
        <v>1.1599999999999999</v>
      </c>
      <c r="F30">
        <f t="shared" si="9"/>
        <v>1.1599999999999999</v>
      </c>
      <c r="G30">
        <f t="shared" si="9"/>
        <v>1.1100000000000001</v>
      </c>
      <c r="H30">
        <f t="shared" si="9"/>
        <v>1.1399999999999999</v>
      </c>
      <c r="I30">
        <f t="shared" si="9"/>
        <v>1.18</v>
      </c>
      <c r="J30">
        <f t="shared" si="9"/>
        <v>1.41</v>
      </c>
      <c r="K30">
        <f t="shared" si="9"/>
        <v>1.2</v>
      </c>
      <c r="L30">
        <f t="shared" si="9"/>
        <v>1.1599999999999999</v>
      </c>
      <c r="M30">
        <f t="shared" ref="M30:Z30" si="12">ROUNDDOWN((M7-ROUNDUP(M7*0.1,2)-ROUNDUP(M7*0.05,2))*0.8,2)</f>
        <v>1.1399999999999999</v>
      </c>
      <c r="N30">
        <f t="shared" si="12"/>
        <v>1.0900000000000001</v>
      </c>
      <c r="O30">
        <f t="shared" si="12"/>
        <v>1</v>
      </c>
      <c r="P30">
        <f t="shared" si="12"/>
        <v>1.18</v>
      </c>
      <c r="Q30">
        <f t="shared" si="12"/>
        <v>1.1499999999999999</v>
      </c>
      <c r="R30">
        <f t="shared" si="12"/>
        <v>1.1399999999999999</v>
      </c>
      <c r="S30">
        <f t="shared" si="12"/>
        <v>1.1399999999999999</v>
      </c>
      <c r="T30">
        <f t="shared" si="12"/>
        <v>1.1599999999999999</v>
      </c>
      <c r="U30">
        <f t="shared" si="12"/>
        <v>1.01</v>
      </c>
      <c r="V30">
        <f t="shared" si="12"/>
        <v>1.19</v>
      </c>
      <c r="W30">
        <f t="shared" si="12"/>
        <v>1</v>
      </c>
      <c r="X30">
        <f t="shared" si="12"/>
        <v>1.17</v>
      </c>
      <c r="Y30">
        <f t="shared" si="12"/>
        <v>1.1200000000000001</v>
      </c>
      <c r="Z30">
        <f t="shared" si="12"/>
        <v>1.1200000000000001</v>
      </c>
      <c r="AA30">
        <f t="shared" ref="AA30:BY30" si="13">ROUNDDOWN((AA7-ROUNDUP(AA7*0.1,2)-ROUNDUP(AA7*0.05,2))*0.8,2)</f>
        <v>1.1200000000000001</v>
      </c>
      <c r="AB30">
        <f t="shared" si="13"/>
        <v>0</v>
      </c>
      <c r="AC30">
        <f t="shared" si="13"/>
        <v>0</v>
      </c>
      <c r="AD30">
        <f t="shared" si="13"/>
        <v>0</v>
      </c>
      <c r="AE30">
        <f t="shared" si="13"/>
        <v>0</v>
      </c>
      <c r="AF30">
        <f t="shared" si="13"/>
        <v>0</v>
      </c>
      <c r="AG30">
        <f t="shared" si="13"/>
        <v>0</v>
      </c>
      <c r="AH30">
        <f t="shared" si="13"/>
        <v>0</v>
      </c>
      <c r="AI30">
        <f t="shared" si="13"/>
        <v>0</v>
      </c>
      <c r="AJ30">
        <f t="shared" si="13"/>
        <v>0</v>
      </c>
      <c r="AK30">
        <f t="shared" si="13"/>
        <v>0</v>
      </c>
      <c r="AL30">
        <f t="shared" si="13"/>
        <v>0</v>
      </c>
      <c r="AM30">
        <f t="shared" si="13"/>
        <v>0</v>
      </c>
      <c r="AN30">
        <f t="shared" si="13"/>
        <v>0</v>
      </c>
      <c r="AO30">
        <f t="shared" si="13"/>
        <v>0</v>
      </c>
      <c r="AP30">
        <f t="shared" si="13"/>
        <v>0</v>
      </c>
      <c r="AQ30">
        <f t="shared" si="13"/>
        <v>0</v>
      </c>
      <c r="AR30">
        <f t="shared" si="13"/>
        <v>0</v>
      </c>
      <c r="AS30">
        <f t="shared" si="13"/>
        <v>0</v>
      </c>
      <c r="AT30">
        <f t="shared" si="13"/>
        <v>0</v>
      </c>
      <c r="AU30">
        <f t="shared" si="13"/>
        <v>0</v>
      </c>
      <c r="AV30">
        <f t="shared" si="13"/>
        <v>0</v>
      </c>
      <c r="AW30">
        <f t="shared" si="13"/>
        <v>0</v>
      </c>
      <c r="AX30">
        <f t="shared" si="13"/>
        <v>0</v>
      </c>
      <c r="AY30">
        <f t="shared" si="13"/>
        <v>0</v>
      </c>
      <c r="AZ30">
        <f t="shared" si="13"/>
        <v>0</v>
      </c>
      <c r="BA30">
        <f t="shared" si="13"/>
        <v>0</v>
      </c>
      <c r="BB30">
        <f t="shared" si="13"/>
        <v>0</v>
      </c>
      <c r="BC30">
        <f t="shared" si="13"/>
        <v>0</v>
      </c>
      <c r="BD30">
        <f t="shared" si="13"/>
        <v>0</v>
      </c>
      <c r="BE30">
        <f t="shared" si="13"/>
        <v>0</v>
      </c>
      <c r="BF30">
        <f t="shared" si="13"/>
        <v>0</v>
      </c>
      <c r="BG30">
        <f t="shared" si="13"/>
        <v>0</v>
      </c>
      <c r="BH30">
        <f t="shared" si="13"/>
        <v>0</v>
      </c>
      <c r="BI30">
        <f t="shared" si="13"/>
        <v>0</v>
      </c>
      <c r="BJ30">
        <f t="shared" si="13"/>
        <v>0</v>
      </c>
      <c r="BK30">
        <f t="shared" si="13"/>
        <v>0</v>
      </c>
      <c r="BL30">
        <f t="shared" si="13"/>
        <v>0</v>
      </c>
      <c r="BM30">
        <f t="shared" si="13"/>
        <v>0</v>
      </c>
      <c r="BN30">
        <f t="shared" si="13"/>
        <v>0</v>
      </c>
      <c r="BO30">
        <f t="shared" si="13"/>
        <v>0</v>
      </c>
      <c r="BP30">
        <f t="shared" si="13"/>
        <v>0</v>
      </c>
      <c r="BQ30">
        <f t="shared" si="13"/>
        <v>0</v>
      </c>
      <c r="BR30">
        <f t="shared" si="13"/>
        <v>0</v>
      </c>
      <c r="BS30">
        <f t="shared" si="13"/>
        <v>0</v>
      </c>
      <c r="BT30">
        <f t="shared" si="13"/>
        <v>0</v>
      </c>
      <c r="BU30">
        <f t="shared" si="13"/>
        <v>0</v>
      </c>
      <c r="BV30">
        <f t="shared" si="13"/>
        <v>0</v>
      </c>
      <c r="BW30">
        <f t="shared" si="13"/>
        <v>0</v>
      </c>
      <c r="BX30">
        <f t="shared" si="13"/>
        <v>0</v>
      </c>
      <c r="BY30">
        <f t="shared" si="13"/>
        <v>0</v>
      </c>
    </row>
    <row r="31" spans="1:77" x14ac:dyDescent="0.25">
      <c r="A31" s="2" t="s">
        <v>69</v>
      </c>
      <c r="B31">
        <f t="shared" si="9"/>
        <v>2.98</v>
      </c>
      <c r="C31">
        <f t="shared" si="9"/>
        <v>2.82</v>
      </c>
      <c r="D31">
        <f t="shared" si="9"/>
        <v>2.96</v>
      </c>
      <c r="E31">
        <f t="shared" si="9"/>
        <v>2.94</v>
      </c>
      <c r="F31">
        <f t="shared" si="9"/>
        <v>2.56</v>
      </c>
      <c r="G31">
        <f t="shared" si="9"/>
        <v>2.94</v>
      </c>
      <c r="H31">
        <f t="shared" si="9"/>
        <v>2.68</v>
      </c>
      <c r="I31">
        <f t="shared" si="9"/>
        <v>2.89</v>
      </c>
      <c r="J31">
        <f t="shared" si="9"/>
        <v>2.74</v>
      </c>
      <c r="K31">
        <f t="shared" si="9"/>
        <v>2.57</v>
      </c>
      <c r="L31">
        <f t="shared" si="9"/>
        <v>2.66</v>
      </c>
      <c r="M31">
        <f t="shared" ref="M31:Z31" si="14">ROUNDDOWN((M8-ROUNDUP(M8*0.1,2)-ROUNDUP(M8*0.05,2))*0.8,2)</f>
        <v>2.63</v>
      </c>
      <c r="N31">
        <f t="shared" si="14"/>
        <v>2.86</v>
      </c>
      <c r="O31">
        <f t="shared" si="14"/>
        <v>2.64</v>
      </c>
      <c r="P31">
        <f t="shared" si="14"/>
        <v>2.93</v>
      </c>
      <c r="Q31">
        <f t="shared" si="14"/>
        <v>2.66</v>
      </c>
      <c r="R31">
        <f t="shared" si="14"/>
        <v>2.76</v>
      </c>
      <c r="S31">
        <f t="shared" si="14"/>
        <v>2.54</v>
      </c>
      <c r="T31">
        <f t="shared" si="14"/>
        <v>2.84</v>
      </c>
      <c r="U31">
        <f t="shared" si="14"/>
        <v>2.5299999999999998</v>
      </c>
      <c r="V31">
        <f t="shared" si="14"/>
        <v>2.44</v>
      </c>
      <c r="W31">
        <f t="shared" si="14"/>
        <v>2.4</v>
      </c>
      <c r="X31">
        <f t="shared" si="14"/>
        <v>2.5299999999999998</v>
      </c>
      <c r="Y31">
        <f t="shared" si="14"/>
        <v>2.52</v>
      </c>
      <c r="Z31">
        <f t="shared" si="14"/>
        <v>2.58</v>
      </c>
      <c r="AA31">
        <f t="shared" ref="AA31:BY31" si="15">ROUNDDOWN((AA8-ROUNDUP(AA8*0.1,2)-ROUNDUP(AA8*0.05,2))*0.8,2)</f>
        <v>2.63</v>
      </c>
      <c r="AB31">
        <f t="shared" si="15"/>
        <v>0</v>
      </c>
      <c r="AC31">
        <f t="shared" si="15"/>
        <v>0</v>
      </c>
      <c r="AD31">
        <f t="shared" si="15"/>
        <v>0</v>
      </c>
      <c r="AE31">
        <f t="shared" si="15"/>
        <v>0</v>
      </c>
      <c r="AF31">
        <f t="shared" si="15"/>
        <v>0</v>
      </c>
      <c r="AG31">
        <f t="shared" si="15"/>
        <v>0</v>
      </c>
      <c r="AH31">
        <f t="shared" si="15"/>
        <v>0</v>
      </c>
      <c r="AI31">
        <f t="shared" si="15"/>
        <v>0</v>
      </c>
      <c r="AJ31">
        <f t="shared" si="15"/>
        <v>0</v>
      </c>
      <c r="AK31">
        <f t="shared" si="15"/>
        <v>0</v>
      </c>
      <c r="AL31">
        <f t="shared" si="15"/>
        <v>0</v>
      </c>
      <c r="AM31">
        <f t="shared" si="15"/>
        <v>0</v>
      </c>
      <c r="AN31">
        <f t="shared" si="15"/>
        <v>0</v>
      </c>
      <c r="AO31">
        <f t="shared" si="15"/>
        <v>0</v>
      </c>
      <c r="AP31">
        <f t="shared" si="15"/>
        <v>0</v>
      </c>
      <c r="AQ31">
        <f t="shared" si="15"/>
        <v>0</v>
      </c>
      <c r="AR31">
        <f t="shared" si="15"/>
        <v>0</v>
      </c>
      <c r="AS31">
        <f t="shared" si="15"/>
        <v>0</v>
      </c>
      <c r="AT31">
        <f t="shared" si="15"/>
        <v>0</v>
      </c>
      <c r="AU31">
        <f t="shared" si="15"/>
        <v>0</v>
      </c>
      <c r="AV31">
        <f t="shared" si="15"/>
        <v>0</v>
      </c>
      <c r="AW31">
        <f t="shared" si="15"/>
        <v>0</v>
      </c>
      <c r="AX31">
        <f t="shared" si="15"/>
        <v>0</v>
      </c>
      <c r="AY31">
        <f t="shared" si="15"/>
        <v>0</v>
      </c>
      <c r="AZ31">
        <f t="shared" si="15"/>
        <v>0</v>
      </c>
      <c r="BA31">
        <f t="shared" si="15"/>
        <v>0</v>
      </c>
      <c r="BB31">
        <f t="shared" si="15"/>
        <v>0</v>
      </c>
      <c r="BC31">
        <f t="shared" si="15"/>
        <v>0</v>
      </c>
      <c r="BD31">
        <f t="shared" si="15"/>
        <v>0</v>
      </c>
      <c r="BE31">
        <f t="shared" si="15"/>
        <v>0</v>
      </c>
      <c r="BF31">
        <f t="shared" si="15"/>
        <v>0</v>
      </c>
      <c r="BG31">
        <f t="shared" si="15"/>
        <v>0</v>
      </c>
      <c r="BH31">
        <f t="shared" si="15"/>
        <v>0</v>
      </c>
      <c r="BI31">
        <f t="shared" si="15"/>
        <v>0</v>
      </c>
      <c r="BJ31">
        <f t="shared" si="15"/>
        <v>0</v>
      </c>
      <c r="BK31">
        <f t="shared" si="15"/>
        <v>0</v>
      </c>
      <c r="BL31">
        <f t="shared" si="15"/>
        <v>0</v>
      </c>
      <c r="BM31">
        <f t="shared" si="15"/>
        <v>0</v>
      </c>
      <c r="BN31">
        <f t="shared" si="15"/>
        <v>0</v>
      </c>
      <c r="BO31">
        <f t="shared" si="15"/>
        <v>0</v>
      </c>
      <c r="BP31">
        <f t="shared" si="15"/>
        <v>0</v>
      </c>
      <c r="BQ31">
        <f t="shared" si="15"/>
        <v>0</v>
      </c>
      <c r="BR31">
        <f t="shared" si="15"/>
        <v>0</v>
      </c>
      <c r="BS31">
        <f t="shared" si="15"/>
        <v>0</v>
      </c>
      <c r="BT31">
        <f t="shared" si="15"/>
        <v>0</v>
      </c>
      <c r="BU31">
        <f t="shared" si="15"/>
        <v>0</v>
      </c>
      <c r="BV31">
        <f t="shared" si="15"/>
        <v>0</v>
      </c>
      <c r="BW31">
        <f t="shared" si="15"/>
        <v>0</v>
      </c>
      <c r="BX31">
        <f t="shared" si="15"/>
        <v>0</v>
      </c>
      <c r="BY31">
        <f t="shared" si="15"/>
        <v>0</v>
      </c>
    </row>
    <row r="32" spans="1:77" x14ac:dyDescent="0.25">
      <c r="A32" s="2" t="s">
        <v>147</v>
      </c>
      <c r="B32">
        <f t="shared" si="9"/>
        <v>3.61</v>
      </c>
      <c r="C32">
        <f t="shared" si="9"/>
        <v>3.84</v>
      </c>
      <c r="D32">
        <f t="shared" si="9"/>
        <v>3.97</v>
      </c>
      <c r="E32">
        <f t="shared" si="9"/>
        <v>3.81</v>
      </c>
      <c r="F32">
        <f t="shared" si="9"/>
        <v>3.93</v>
      </c>
      <c r="G32">
        <f t="shared" si="9"/>
        <v>3.53</v>
      </c>
      <c r="H32">
        <f t="shared" si="9"/>
        <v>3.67</v>
      </c>
      <c r="I32">
        <f t="shared" si="9"/>
        <v>3.8</v>
      </c>
      <c r="J32">
        <f t="shared" si="9"/>
        <v>3.56</v>
      </c>
      <c r="K32">
        <f t="shared" si="9"/>
        <v>4.46</v>
      </c>
      <c r="L32">
        <f t="shared" si="9"/>
        <v>4</v>
      </c>
      <c r="M32">
        <f t="shared" ref="M32:Z32" si="16">ROUNDDOWN((M9-ROUNDUP(M9*0.1,2)-ROUNDUP(M9*0.05,2))*0.8,2)</f>
        <v>3.56</v>
      </c>
      <c r="N32">
        <f t="shared" si="16"/>
        <v>3.72</v>
      </c>
      <c r="O32">
        <f t="shared" si="16"/>
        <v>3.79</v>
      </c>
      <c r="P32">
        <f t="shared" si="16"/>
        <v>3.99</v>
      </c>
      <c r="Q32">
        <f t="shared" si="16"/>
        <v>3.75</v>
      </c>
      <c r="R32">
        <f t="shared" si="16"/>
        <v>3.84</v>
      </c>
      <c r="S32">
        <f t="shared" si="16"/>
        <v>3.4</v>
      </c>
      <c r="T32">
        <f t="shared" si="16"/>
        <v>4</v>
      </c>
      <c r="U32">
        <f t="shared" si="16"/>
        <v>3.67</v>
      </c>
      <c r="V32">
        <f t="shared" si="16"/>
        <v>3.81</v>
      </c>
      <c r="W32">
        <f t="shared" si="16"/>
        <v>3.72</v>
      </c>
      <c r="X32">
        <f t="shared" si="16"/>
        <v>3.74</v>
      </c>
      <c r="Y32">
        <f t="shared" si="16"/>
        <v>3.8</v>
      </c>
      <c r="Z32">
        <f t="shared" si="16"/>
        <v>3.72</v>
      </c>
      <c r="AA32">
        <f t="shared" ref="AA32:BY32" si="17">ROUNDDOWN((AA9-ROUNDUP(AA9*0.1,2)-ROUNDUP(AA9*0.05,2))*0.8,2)</f>
        <v>3.7</v>
      </c>
      <c r="AB32">
        <f t="shared" si="17"/>
        <v>0</v>
      </c>
      <c r="AC32">
        <f t="shared" si="17"/>
        <v>0</v>
      </c>
      <c r="AD32">
        <f t="shared" si="17"/>
        <v>0</v>
      </c>
      <c r="AE32">
        <f t="shared" si="17"/>
        <v>0</v>
      </c>
      <c r="AF32">
        <f t="shared" si="17"/>
        <v>0</v>
      </c>
      <c r="AG32">
        <f t="shared" si="17"/>
        <v>0</v>
      </c>
      <c r="AH32">
        <f t="shared" si="17"/>
        <v>0</v>
      </c>
      <c r="AI32">
        <f t="shared" si="17"/>
        <v>0</v>
      </c>
      <c r="AJ32">
        <f t="shared" si="17"/>
        <v>0</v>
      </c>
      <c r="AK32">
        <f t="shared" si="17"/>
        <v>0</v>
      </c>
      <c r="AL32">
        <f t="shared" si="17"/>
        <v>0</v>
      </c>
      <c r="AM32">
        <f t="shared" si="17"/>
        <v>0</v>
      </c>
      <c r="AN32">
        <f t="shared" si="17"/>
        <v>0</v>
      </c>
      <c r="AO32">
        <f t="shared" si="17"/>
        <v>0</v>
      </c>
      <c r="AP32">
        <f t="shared" si="17"/>
        <v>0</v>
      </c>
      <c r="AQ32">
        <f t="shared" si="17"/>
        <v>0</v>
      </c>
      <c r="AR32">
        <f t="shared" si="17"/>
        <v>0</v>
      </c>
      <c r="AS32">
        <f t="shared" si="17"/>
        <v>0</v>
      </c>
      <c r="AT32">
        <f t="shared" si="17"/>
        <v>0</v>
      </c>
      <c r="AU32">
        <f t="shared" si="17"/>
        <v>0</v>
      </c>
      <c r="AV32">
        <f t="shared" si="17"/>
        <v>0</v>
      </c>
      <c r="AW32">
        <f t="shared" si="17"/>
        <v>0</v>
      </c>
      <c r="AX32">
        <f t="shared" si="17"/>
        <v>0</v>
      </c>
      <c r="AY32">
        <f t="shared" si="17"/>
        <v>0</v>
      </c>
      <c r="AZ32">
        <f t="shared" si="17"/>
        <v>0</v>
      </c>
      <c r="BA32">
        <f t="shared" si="17"/>
        <v>0</v>
      </c>
      <c r="BB32">
        <f t="shared" si="17"/>
        <v>0</v>
      </c>
      <c r="BC32">
        <f t="shared" si="17"/>
        <v>0</v>
      </c>
      <c r="BD32">
        <f t="shared" si="17"/>
        <v>0</v>
      </c>
      <c r="BE32">
        <f t="shared" si="17"/>
        <v>0</v>
      </c>
      <c r="BF32">
        <f t="shared" si="17"/>
        <v>0</v>
      </c>
      <c r="BG32">
        <f t="shared" si="17"/>
        <v>0</v>
      </c>
      <c r="BH32">
        <f t="shared" si="17"/>
        <v>0</v>
      </c>
      <c r="BI32">
        <f t="shared" si="17"/>
        <v>0</v>
      </c>
      <c r="BJ32">
        <f t="shared" si="17"/>
        <v>0</v>
      </c>
      <c r="BK32">
        <f t="shared" si="17"/>
        <v>0</v>
      </c>
      <c r="BL32">
        <f t="shared" si="17"/>
        <v>0</v>
      </c>
      <c r="BM32">
        <f t="shared" si="17"/>
        <v>0</v>
      </c>
      <c r="BN32">
        <f t="shared" si="17"/>
        <v>0</v>
      </c>
      <c r="BO32">
        <f t="shared" si="17"/>
        <v>0</v>
      </c>
      <c r="BP32">
        <f t="shared" si="17"/>
        <v>0</v>
      </c>
      <c r="BQ32">
        <f t="shared" si="17"/>
        <v>0</v>
      </c>
      <c r="BR32">
        <f t="shared" si="17"/>
        <v>0</v>
      </c>
      <c r="BS32">
        <f t="shared" si="17"/>
        <v>0</v>
      </c>
      <c r="BT32">
        <f t="shared" si="17"/>
        <v>0</v>
      </c>
      <c r="BU32">
        <f t="shared" si="17"/>
        <v>0</v>
      </c>
      <c r="BV32">
        <f t="shared" si="17"/>
        <v>0</v>
      </c>
      <c r="BW32">
        <f t="shared" si="17"/>
        <v>0</v>
      </c>
      <c r="BX32">
        <f t="shared" si="17"/>
        <v>0</v>
      </c>
      <c r="BY32">
        <f t="shared" si="17"/>
        <v>0</v>
      </c>
    </row>
    <row r="33" spans="1:77" x14ac:dyDescent="0.25">
      <c r="A33" s="2" t="s">
        <v>70</v>
      </c>
      <c r="B33">
        <f t="shared" si="9"/>
        <v>2.4500000000000002</v>
      </c>
      <c r="C33">
        <f t="shared" si="9"/>
        <v>2.44</v>
      </c>
      <c r="D33">
        <f t="shared" si="9"/>
        <v>2.4500000000000002</v>
      </c>
      <c r="E33">
        <f t="shared" si="9"/>
        <v>2.36</v>
      </c>
      <c r="F33">
        <f t="shared" si="9"/>
        <v>2.6</v>
      </c>
      <c r="G33">
        <f t="shared" si="9"/>
        <v>2.4</v>
      </c>
      <c r="H33">
        <f t="shared" si="9"/>
        <v>2.42</v>
      </c>
      <c r="I33">
        <f t="shared" si="9"/>
        <v>2.4</v>
      </c>
      <c r="J33">
        <f t="shared" si="9"/>
        <v>2.54</v>
      </c>
      <c r="K33">
        <f t="shared" si="9"/>
        <v>2.57</v>
      </c>
      <c r="L33">
        <f t="shared" si="9"/>
        <v>2.36</v>
      </c>
      <c r="M33">
        <f t="shared" ref="M33:Z33" si="18">ROUNDDOWN((M10-ROUNDUP(M10*0.1,2)-ROUNDUP(M10*0.05,2))*0.8,2)</f>
        <v>2.44</v>
      </c>
      <c r="N33">
        <f t="shared" si="18"/>
        <v>2.2999999999999998</v>
      </c>
      <c r="O33">
        <f t="shared" si="18"/>
        <v>2.39</v>
      </c>
      <c r="P33">
        <f t="shared" si="18"/>
        <v>2.31</v>
      </c>
      <c r="Q33">
        <f t="shared" si="18"/>
        <v>2.36</v>
      </c>
      <c r="R33">
        <f t="shared" si="18"/>
        <v>2.2999999999999998</v>
      </c>
      <c r="S33">
        <f t="shared" si="18"/>
        <v>2.46</v>
      </c>
      <c r="T33">
        <f t="shared" si="18"/>
        <v>2.46</v>
      </c>
      <c r="U33">
        <f t="shared" si="18"/>
        <v>2.1800000000000002</v>
      </c>
      <c r="V33">
        <f t="shared" si="18"/>
        <v>2.2200000000000002</v>
      </c>
      <c r="W33">
        <f t="shared" si="18"/>
        <v>2.37</v>
      </c>
      <c r="X33">
        <f t="shared" si="18"/>
        <v>2.36</v>
      </c>
      <c r="Y33">
        <f t="shared" si="18"/>
        <v>2.33</v>
      </c>
      <c r="Z33">
        <f t="shared" si="18"/>
        <v>2.21</v>
      </c>
      <c r="AA33">
        <f t="shared" ref="AA33:BY33" si="19">ROUNDDOWN((AA10-ROUNDUP(AA10*0.1,2)-ROUNDUP(AA10*0.05,2))*0.8,2)</f>
        <v>2.2799999999999998</v>
      </c>
      <c r="AB33">
        <f t="shared" si="19"/>
        <v>0</v>
      </c>
      <c r="AC33">
        <f t="shared" si="19"/>
        <v>0</v>
      </c>
      <c r="AD33">
        <f t="shared" si="19"/>
        <v>0</v>
      </c>
      <c r="AE33">
        <f t="shared" si="19"/>
        <v>0</v>
      </c>
      <c r="AF33">
        <f t="shared" si="19"/>
        <v>0</v>
      </c>
      <c r="AG33">
        <f t="shared" si="19"/>
        <v>0</v>
      </c>
      <c r="AH33">
        <f t="shared" si="19"/>
        <v>0</v>
      </c>
      <c r="AI33">
        <f t="shared" si="19"/>
        <v>0</v>
      </c>
      <c r="AJ33">
        <f t="shared" si="19"/>
        <v>0</v>
      </c>
      <c r="AK33">
        <f t="shared" si="19"/>
        <v>0</v>
      </c>
      <c r="AL33">
        <f t="shared" si="19"/>
        <v>0</v>
      </c>
      <c r="AM33">
        <f t="shared" si="19"/>
        <v>0</v>
      </c>
      <c r="AN33">
        <f t="shared" si="19"/>
        <v>0</v>
      </c>
      <c r="AO33">
        <f t="shared" si="19"/>
        <v>0</v>
      </c>
      <c r="AP33">
        <f t="shared" si="19"/>
        <v>0</v>
      </c>
      <c r="AQ33">
        <f t="shared" si="19"/>
        <v>0</v>
      </c>
      <c r="AR33">
        <f t="shared" si="19"/>
        <v>0</v>
      </c>
      <c r="AS33">
        <f t="shared" si="19"/>
        <v>0</v>
      </c>
      <c r="AT33">
        <f t="shared" si="19"/>
        <v>0</v>
      </c>
      <c r="AU33">
        <f t="shared" si="19"/>
        <v>0</v>
      </c>
      <c r="AV33">
        <f t="shared" si="19"/>
        <v>0</v>
      </c>
      <c r="AW33">
        <f t="shared" si="19"/>
        <v>0</v>
      </c>
      <c r="AX33">
        <f t="shared" si="19"/>
        <v>0</v>
      </c>
      <c r="AY33">
        <f t="shared" si="19"/>
        <v>0</v>
      </c>
      <c r="AZ33">
        <f t="shared" si="19"/>
        <v>0</v>
      </c>
      <c r="BA33">
        <f t="shared" si="19"/>
        <v>0</v>
      </c>
      <c r="BB33">
        <f t="shared" si="19"/>
        <v>0</v>
      </c>
      <c r="BC33">
        <f t="shared" si="19"/>
        <v>0</v>
      </c>
      <c r="BD33">
        <f t="shared" si="19"/>
        <v>0</v>
      </c>
      <c r="BE33">
        <f t="shared" si="19"/>
        <v>0</v>
      </c>
      <c r="BF33">
        <f t="shared" si="19"/>
        <v>0</v>
      </c>
      <c r="BG33">
        <f t="shared" si="19"/>
        <v>0</v>
      </c>
      <c r="BH33">
        <f t="shared" si="19"/>
        <v>0</v>
      </c>
      <c r="BI33">
        <f t="shared" si="19"/>
        <v>0</v>
      </c>
      <c r="BJ33">
        <f t="shared" si="19"/>
        <v>0</v>
      </c>
      <c r="BK33">
        <f t="shared" si="19"/>
        <v>0</v>
      </c>
      <c r="BL33">
        <f t="shared" si="19"/>
        <v>0</v>
      </c>
      <c r="BM33">
        <f t="shared" si="19"/>
        <v>0</v>
      </c>
      <c r="BN33">
        <f t="shared" si="19"/>
        <v>0</v>
      </c>
      <c r="BO33">
        <f t="shared" si="19"/>
        <v>0</v>
      </c>
      <c r="BP33">
        <f t="shared" si="19"/>
        <v>0</v>
      </c>
      <c r="BQ33">
        <f t="shared" si="19"/>
        <v>0</v>
      </c>
      <c r="BR33">
        <f t="shared" si="19"/>
        <v>0</v>
      </c>
      <c r="BS33">
        <f t="shared" si="19"/>
        <v>0</v>
      </c>
      <c r="BT33">
        <f t="shared" si="19"/>
        <v>0</v>
      </c>
      <c r="BU33">
        <f t="shared" si="19"/>
        <v>0</v>
      </c>
      <c r="BV33">
        <f t="shared" si="19"/>
        <v>0</v>
      </c>
      <c r="BW33">
        <f t="shared" si="19"/>
        <v>0</v>
      </c>
      <c r="BX33">
        <f t="shared" si="19"/>
        <v>0</v>
      </c>
      <c r="BY33">
        <f t="shared" si="19"/>
        <v>0</v>
      </c>
    </row>
    <row r="34" spans="1:77" x14ac:dyDescent="0.25">
      <c r="A34" s="2" t="s">
        <v>71</v>
      </c>
      <c r="B34">
        <f t="shared" si="9"/>
        <v>5.29</v>
      </c>
      <c r="C34">
        <f t="shared" si="9"/>
        <v>5.56</v>
      </c>
      <c r="D34">
        <f t="shared" si="9"/>
        <v>5.07</v>
      </c>
      <c r="E34">
        <f t="shared" si="9"/>
        <v>5.16</v>
      </c>
      <c r="F34">
        <f t="shared" si="9"/>
        <v>5.32</v>
      </c>
      <c r="G34">
        <f t="shared" si="9"/>
        <v>5.21</v>
      </c>
      <c r="H34">
        <f t="shared" si="9"/>
        <v>4.96</v>
      </c>
      <c r="I34">
        <f t="shared" si="9"/>
        <v>5.1100000000000003</v>
      </c>
      <c r="J34">
        <f t="shared" si="9"/>
        <v>5.04</v>
      </c>
      <c r="K34">
        <f t="shared" si="9"/>
        <v>5.03</v>
      </c>
      <c r="L34">
        <f t="shared" si="9"/>
        <v>5.42</v>
      </c>
      <c r="M34">
        <f t="shared" ref="M34:Z34" si="20">ROUNDDOWN((M11-ROUNDUP(M11*0.1,2)-ROUNDUP(M11*0.05,2))*0.8,2)</f>
        <v>4.82</v>
      </c>
      <c r="N34">
        <f t="shared" si="20"/>
        <v>4.96</v>
      </c>
      <c r="O34">
        <f t="shared" si="20"/>
        <v>5.18</v>
      </c>
      <c r="P34">
        <f t="shared" si="20"/>
        <v>5.07</v>
      </c>
      <c r="Q34">
        <f t="shared" si="20"/>
        <v>5.03</v>
      </c>
      <c r="R34">
        <f t="shared" si="20"/>
        <v>5.07</v>
      </c>
      <c r="S34">
        <f t="shared" si="20"/>
        <v>5.16</v>
      </c>
      <c r="T34">
        <f t="shared" si="20"/>
        <v>5.36</v>
      </c>
      <c r="U34">
        <f t="shared" si="20"/>
        <v>5.4</v>
      </c>
      <c r="V34">
        <f t="shared" si="20"/>
        <v>5.2</v>
      </c>
      <c r="W34">
        <f t="shared" si="20"/>
        <v>5.74</v>
      </c>
      <c r="X34">
        <f t="shared" si="20"/>
        <v>5.07</v>
      </c>
      <c r="Y34">
        <f t="shared" si="20"/>
        <v>5.19</v>
      </c>
      <c r="Z34">
        <f t="shared" si="20"/>
        <v>4.8499999999999996</v>
      </c>
      <c r="AA34">
        <f t="shared" ref="AA34:BY34" si="21">ROUNDDOWN((AA11-ROUNDUP(AA11*0.1,2)-ROUNDUP(AA11*0.05,2))*0.8,2)</f>
        <v>5.54</v>
      </c>
      <c r="AB34">
        <f t="shared" si="21"/>
        <v>0</v>
      </c>
      <c r="AC34">
        <f t="shared" si="21"/>
        <v>0</v>
      </c>
      <c r="AD34">
        <f t="shared" si="21"/>
        <v>0</v>
      </c>
      <c r="AE34">
        <f t="shared" si="21"/>
        <v>0</v>
      </c>
      <c r="AF34">
        <f t="shared" si="21"/>
        <v>0</v>
      </c>
      <c r="AG34">
        <f t="shared" si="21"/>
        <v>0</v>
      </c>
      <c r="AH34">
        <f t="shared" si="21"/>
        <v>0</v>
      </c>
      <c r="AI34">
        <f t="shared" si="21"/>
        <v>0</v>
      </c>
      <c r="AJ34">
        <f t="shared" si="21"/>
        <v>0</v>
      </c>
      <c r="AK34">
        <f t="shared" si="21"/>
        <v>0</v>
      </c>
      <c r="AL34">
        <f t="shared" si="21"/>
        <v>0</v>
      </c>
      <c r="AM34">
        <f t="shared" si="21"/>
        <v>0</v>
      </c>
      <c r="AN34">
        <f t="shared" si="21"/>
        <v>0</v>
      </c>
      <c r="AO34">
        <f t="shared" si="21"/>
        <v>0</v>
      </c>
      <c r="AP34">
        <f t="shared" si="21"/>
        <v>0</v>
      </c>
      <c r="AQ34">
        <f t="shared" si="21"/>
        <v>0</v>
      </c>
      <c r="AR34">
        <f t="shared" si="21"/>
        <v>0</v>
      </c>
      <c r="AS34">
        <f t="shared" si="21"/>
        <v>0</v>
      </c>
      <c r="AT34">
        <f t="shared" si="21"/>
        <v>0</v>
      </c>
      <c r="AU34">
        <f t="shared" si="21"/>
        <v>0</v>
      </c>
      <c r="AV34">
        <f t="shared" si="21"/>
        <v>0</v>
      </c>
      <c r="AW34">
        <f t="shared" si="21"/>
        <v>0</v>
      </c>
      <c r="AX34">
        <f t="shared" si="21"/>
        <v>0</v>
      </c>
      <c r="AY34">
        <f t="shared" si="21"/>
        <v>0</v>
      </c>
      <c r="AZ34">
        <f t="shared" si="21"/>
        <v>0</v>
      </c>
      <c r="BA34">
        <f t="shared" si="21"/>
        <v>0</v>
      </c>
      <c r="BB34">
        <f t="shared" si="21"/>
        <v>0</v>
      </c>
      <c r="BC34">
        <f t="shared" si="21"/>
        <v>0</v>
      </c>
      <c r="BD34">
        <f t="shared" si="21"/>
        <v>0</v>
      </c>
      <c r="BE34">
        <f t="shared" si="21"/>
        <v>0</v>
      </c>
      <c r="BF34">
        <f t="shared" si="21"/>
        <v>0</v>
      </c>
      <c r="BG34">
        <f t="shared" si="21"/>
        <v>0</v>
      </c>
      <c r="BH34">
        <f t="shared" si="21"/>
        <v>0</v>
      </c>
      <c r="BI34">
        <f t="shared" si="21"/>
        <v>0</v>
      </c>
      <c r="BJ34">
        <f t="shared" si="21"/>
        <v>0</v>
      </c>
      <c r="BK34">
        <f t="shared" si="21"/>
        <v>0</v>
      </c>
      <c r="BL34">
        <f t="shared" si="21"/>
        <v>0</v>
      </c>
      <c r="BM34">
        <f t="shared" si="21"/>
        <v>0</v>
      </c>
      <c r="BN34">
        <f t="shared" si="21"/>
        <v>0</v>
      </c>
      <c r="BO34">
        <f t="shared" si="21"/>
        <v>0</v>
      </c>
      <c r="BP34">
        <f t="shared" si="21"/>
        <v>0</v>
      </c>
      <c r="BQ34">
        <f t="shared" si="21"/>
        <v>0</v>
      </c>
      <c r="BR34">
        <f t="shared" si="21"/>
        <v>0</v>
      </c>
      <c r="BS34">
        <f t="shared" si="21"/>
        <v>0</v>
      </c>
      <c r="BT34">
        <f t="shared" si="21"/>
        <v>0</v>
      </c>
      <c r="BU34">
        <f t="shared" si="21"/>
        <v>0</v>
      </c>
      <c r="BV34">
        <f t="shared" si="21"/>
        <v>0</v>
      </c>
      <c r="BW34">
        <f t="shared" si="21"/>
        <v>0</v>
      </c>
      <c r="BX34">
        <f t="shared" si="21"/>
        <v>0</v>
      </c>
      <c r="BY34">
        <f t="shared" si="21"/>
        <v>0</v>
      </c>
    </row>
    <row r="35" spans="1:77" x14ac:dyDescent="0.25">
      <c r="A35" s="2" t="s">
        <v>72</v>
      </c>
      <c r="B35">
        <f t="shared" si="9"/>
        <v>15.28</v>
      </c>
      <c r="C35">
        <f t="shared" si="9"/>
        <v>15.95</v>
      </c>
      <c r="D35">
        <f t="shared" si="9"/>
        <v>14.07</v>
      </c>
      <c r="E35">
        <f t="shared" si="9"/>
        <v>13.46</v>
      </c>
      <c r="F35">
        <f t="shared" si="9"/>
        <v>14.94</v>
      </c>
      <c r="G35">
        <f t="shared" si="9"/>
        <v>15.95</v>
      </c>
      <c r="H35">
        <f t="shared" si="9"/>
        <v>16.02</v>
      </c>
      <c r="I35">
        <f t="shared" si="9"/>
        <v>15.39</v>
      </c>
      <c r="J35">
        <f t="shared" si="9"/>
        <v>15.64</v>
      </c>
      <c r="K35">
        <f t="shared" si="9"/>
        <v>15.68</v>
      </c>
      <c r="L35">
        <f t="shared" si="9"/>
        <v>15.4</v>
      </c>
      <c r="M35">
        <f t="shared" ref="M35:Z35" si="22">ROUNDDOWN((M12-ROUNDUP(M12*0.1,2)-ROUNDUP(M12*0.05,2))*0.8,2)</f>
        <v>15.43</v>
      </c>
      <c r="N35">
        <f t="shared" si="22"/>
        <v>14.92</v>
      </c>
      <c r="O35">
        <f t="shared" si="22"/>
        <v>14.47</v>
      </c>
      <c r="P35">
        <f t="shared" si="22"/>
        <v>15.5</v>
      </c>
      <c r="Q35">
        <f t="shared" si="22"/>
        <v>15.43</v>
      </c>
      <c r="R35">
        <f t="shared" si="22"/>
        <v>15.49</v>
      </c>
      <c r="S35">
        <f t="shared" si="22"/>
        <v>15.55</v>
      </c>
      <c r="T35">
        <f t="shared" si="22"/>
        <v>14.72</v>
      </c>
      <c r="U35">
        <f t="shared" si="22"/>
        <v>15.52</v>
      </c>
      <c r="V35">
        <f t="shared" si="22"/>
        <v>14.94</v>
      </c>
      <c r="W35">
        <f t="shared" si="22"/>
        <v>14.88</v>
      </c>
      <c r="X35">
        <f t="shared" si="22"/>
        <v>13.94</v>
      </c>
      <c r="Y35">
        <f t="shared" si="22"/>
        <v>14.66</v>
      </c>
      <c r="Z35">
        <f t="shared" si="22"/>
        <v>14.19</v>
      </c>
      <c r="AA35">
        <f t="shared" ref="AA35:BY35" si="23">ROUNDDOWN((AA12-ROUNDUP(AA12*0.1,2)-ROUNDUP(AA12*0.05,2))*0.8,2)</f>
        <v>14.45</v>
      </c>
      <c r="AB35">
        <f t="shared" si="23"/>
        <v>0</v>
      </c>
      <c r="AC35">
        <f t="shared" si="23"/>
        <v>0</v>
      </c>
      <c r="AD35">
        <f t="shared" si="23"/>
        <v>0</v>
      </c>
      <c r="AE35">
        <f t="shared" si="23"/>
        <v>0</v>
      </c>
      <c r="AF35">
        <f t="shared" si="23"/>
        <v>0</v>
      </c>
      <c r="AG35">
        <f t="shared" si="23"/>
        <v>0</v>
      </c>
      <c r="AH35">
        <f t="shared" si="23"/>
        <v>0</v>
      </c>
      <c r="AI35">
        <f t="shared" si="23"/>
        <v>0</v>
      </c>
      <c r="AJ35">
        <f t="shared" si="23"/>
        <v>0</v>
      </c>
      <c r="AK35">
        <f t="shared" si="23"/>
        <v>0</v>
      </c>
      <c r="AL35">
        <f t="shared" si="23"/>
        <v>0</v>
      </c>
      <c r="AM35">
        <f t="shared" si="23"/>
        <v>0</v>
      </c>
      <c r="AN35">
        <f t="shared" si="23"/>
        <v>0</v>
      </c>
      <c r="AO35">
        <f t="shared" si="23"/>
        <v>0</v>
      </c>
      <c r="AP35">
        <f t="shared" si="23"/>
        <v>0</v>
      </c>
      <c r="AQ35">
        <f t="shared" si="23"/>
        <v>0</v>
      </c>
      <c r="AR35">
        <f t="shared" si="23"/>
        <v>0</v>
      </c>
      <c r="AS35">
        <f t="shared" si="23"/>
        <v>0</v>
      </c>
      <c r="AT35">
        <f t="shared" si="23"/>
        <v>0</v>
      </c>
      <c r="AU35">
        <f t="shared" si="23"/>
        <v>0</v>
      </c>
      <c r="AV35">
        <f t="shared" si="23"/>
        <v>0</v>
      </c>
      <c r="AW35">
        <f t="shared" si="23"/>
        <v>0</v>
      </c>
      <c r="AX35">
        <f t="shared" si="23"/>
        <v>0</v>
      </c>
      <c r="AY35">
        <f t="shared" si="23"/>
        <v>0</v>
      </c>
      <c r="AZ35">
        <f t="shared" si="23"/>
        <v>0</v>
      </c>
      <c r="BA35">
        <f t="shared" si="23"/>
        <v>0</v>
      </c>
      <c r="BB35">
        <f t="shared" si="23"/>
        <v>0</v>
      </c>
      <c r="BC35">
        <f t="shared" si="23"/>
        <v>0</v>
      </c>
      <c r="BD35">
        <f t="shared" si="23"/>
        <v>0</v>
      </c>
      <c r="BE35">
        <f t="shared" si="23"/>
        <v>0</v>
      </c>
      <c r="BF35">
        <f t="shared" si="23"/>
        <v>0</v>
      </c>
      <c r="BG35">
        <f t="shared" si="23"/>
        <v>0</v>
      </c>
      <c r="BH35">
        <f t="shared" si="23"/>
        <v>0</v>
      </c>
      <c r="BI35">
        <f t="shared" si="23"/>
        <v>0</v>
      </c>
      <c r="BJ35">
        <f t="shared" si="23"/>
        <v>0</v>
      </c>
      <c r="BK35">
        <f t="shared" si="23"/>
        <v>0</v>
      </c>
      <c r="BL35">
        <f t="shared" si="23"/>
        <v>0</v>
      </c>
      <c r="BM35">
        <f t="shared" si="23"/>
        <v>0</v>
      </c>
      <c r="BN35">
        <f t="shared" si="23"/>
        <v>0</v>
      </c>
      <c r="BO35">
        <f t="shared" si="23"/>
        <v>0</v>
      </c>
      <c r="BP35">
        <f t="shared" si="23"/>
        <v>0</v>
      </c>
      <c r="BQ35">
        <f t="shared" si="23"/>
        <v>0</v>
      </c>
      <c r="BR35">
        <f t="shared" si="23"/>
        <v>0</v>
      </c>
      <c r="BS35">
        <f t="shared" si="23"/>
        <v>0</v>
      </c>
      <c r="BT35">
        <f t="shared" si="23"/>
        <v>0</v>
      </c>
      <c r="BU35">
        <f t="shared" si="23"/>
        <v>0</v>
      </c>
      <c r="BV35">
        <f t="shared" si="23"/>
        <v>0</v>
      </c>
      <c r="BW35">
        <f t="shared" si="23"/>
        <v>0</v>
      </c>
      <c r="BX35">
        <f t="shared" si="23"/>
        <v>0</v>
      </c>
      <c r="BY35">
        <f t="shared" si="23"/>
        <v>0</v>
      </c>
    </row>
    <row r="36" spans="1:77" x14ac:dyDescent="0.25">
      <c r="A36" s="2" t="s">
        <v>73</v>
      </c>
      <c r="B36">
        <f t="shared" si="9"/>
        <v>0.34</v>
      </c>
      <c r="C36">
        <f t="shared" si="9"/>
        <v>0.32</v>
      </c>
      <c r="D36">
        <f t="shared" si="9"/>
        <v>0.36</v>
      </c>
      <c r="E36">
        <f t="shared" si="9"/>
        <v>0.36</v>
      </c>
      <c r="F36">
        <f t="shared" si="9"/>
        <v>0.35</v>
      </c>
      <c r="G36">
        <f t="shared" si="9"/>
        <v>0.4</v>
      </c>
      <c r="H36">
        <f t="shared" si="9"/>
        <v>0.51</v>
      </c>
      <c r="I36">
        <f t="shared" si="9"/>
        <v>0.52</v>
      </c>
      <c r="J36">
        <f t="shared" si="9"/>
        <v>0.55000000000000004</v>
      </c>
      <c r="K36">
        <f t="shared" si="9"/>
        <v>0.71</v>
      </c>
      <c r="L36">
        <f t="shared" si="9"/>
        <v>0.87</v>
      </c>
      <c r="M36">
        <f t="shared" ref="M36:Z36" si="24">ROUNDDOWN((M13-ROUNDUP(M13*0.1,2)-ROUNDUP(M13*0.05,2))*0.8,2)</f>
        <v>0.8</v>
      </c>
      <c r="N36">
        <f t="shared" si="24"/>
        <v>0.73</v>
      </c>
      <c r="O36">
        <f t="shared" si="24"/>
        <v>0.69</v>
      </c>
      <c r="P36">
        <f t="shared" si="24"/>
        <v>0.66</v>
      </c>
      <c r="Q36">
        <f t="shared" si="24"/>
        <v>0.62</v>
      </c>
      <c r="R36">
        <f t="shared" si="24"/>
        <v>0.67</v>
      </c>
      <c r="S36">
        <f t="shared" si="24"/>
        <v>0.72</v>
      </c>
      <c r="T36">
        <f t="shared" si="24"/>
        <v>0.82</v>
      </c>
      <c r="U36">
        <f t="shared" si="24"/>
        <v>0.94</v>
      </c>
      <c r="V36">
        <f t="shared" si="24"/>
        <v>0.88</v>
      </c>
      <c r="W36">
        <f t="shared" si="24"/>
        <v>0.8</v>
      </c>
      <c r="X36">
        <f t="shared" si="24"/>
        <v>0.84</v>
      </c>
      <c r="Y36">
        <f t="shared" si="24"/>
        <v>0.8</v>
      </c>
      <c r="Z36">
        <f t="shared" si="24"/>
        <v>0.8</v>
      </c>
      <c r="AA36">
        <f t="shared" ref="AA36:BY36" si="25">ROUNDDOWN((AA13-ROUNDUP(AA13*0.1,2)-ROUNDUP(AA13*0.05,2))*0.8,2)</f>
        <v>0.8</v>
      </c>
      <c r="AB36">
        <f t="shared" si="25"/>
        <v>0</v>
      </c>
      <c r="AC36">
        <f t="shared" si="25"/>
        <v>0</v>
      </c>
      <c r="AD36">
        <f t="shared" si="25"/>
        <v>0</v>
      </c>
      <c r="AE36">
        <f t="shared" si="25"/>
        <v>0</v>
      </c>
      <c r="AF36">
        <f t="shared" si="25"/>
        <v>0</v>
      </c>
      <c r="AG36">
        <f t="shared" si="25"/>
        <v>0</v>
      </c>
      <c r="AH36">
        <f t="shared" si="25"/>
        <v>0</v>
      </c>
      <c r="AI36">
        <f t="shared" si="25"/>
        <v>0</v>
      </c>
      <c r="AJ36">
        <f t="shared" si="25"/>
        <v>0</v>
      </c>
      <c r="AK36">
        <f t="shared" si="25"/>
        <v>0</v>
      </c>
      <c r="AL36">
        <f t="shared" si="25"/>
        <v>0</v>
      </c>
      <c r="AM36">
        <f t="shared" si="25"/>
        <v>0</v>
      </c>
      <c r="AN36">
        <f t="shared" si="25"/>
        <v>0</v>
      </c>
      <c r="AO36">
        <f t="shared" si="25"/>
        <v>0</v>
      </c>
      <c r="AP36">
        <f t="shared" si="25"/>
        <v>0</v>
      </c>
      <c r="AQ36">
        <f t="shared" si="25"/>
        <v>0</v>
      </c>
      <c r="AR36">
        <f t="shared" si="25"/>
        <v>0</v>
      </c>
      <c r="AS36">
        <f t="shared" si="25"/>
        <v>0</v>
      </c>
      <c r="AT36">
        <f t="shared" si="25"/>
        <v>0</v>
      </c>
      <c r="AU36">
        <f t="shared" si="25"/>
        <v>0</v>
      </c>
      <c r="AV36">
        <f t="shared" si="25"/>
        <v>0</v>
      </c>
      <c r="AW36">
        <f t="shared" si="25"/>
        <v>0</v>
      </c>
      <c r="AX36">
        <f t="shared" si="25"/>
        <v>0</v>
      </c>
      <c r="AY36">
        <f t="shared" si="25"/>
        <v>0</v>
      </c>
      <c r="AZ36">
        <f t="shared" si="25"/>
        <v>0</v>
      </c>
      <c r="BA36">
        <f t="shared" si="25"/>
        <v>0</v>
      </c>
      <c r="BB36">
        <f t="shared" si="25"/>
        <v>0</v>
      </c>
      <c r="BC36">
        <f t="shared" si="25"/>
        <v>0</v>
      </c>
      <c r="BD36">
        <f t="shared" si="25"/>
        <v>0</v>
      </c>
      <c r="BE36">
        <f t="shared" si="25"/>
        <v>0</v>
      </c>
      <c r="BF36">
        <f t="shared" si="25"/>
        <v>0</v>
      </c>
      <c r="BG36">
        <f t="shared" si="25"/>
        <v>0</v>
      </c>
      <c r="BH36">
        <f t="shared" si="25"/>
        <v>0</v>
      </c>
      <c r="BI36">
        <f t="shared" si="25"/>
        <v>0</v>
      </c>
      <c r="BJ36">
        <f t="shared" si="25"/>
        <v>0</v>
      </c>
      <c r="BK36">
        <f t="shared" si="25"/>
        <v>0</v>
      </c>
      <c r="BL36">
        <f t="shared" si="25"/>
        <v>0</v>
      </c>
      <c r="BM36">
        <f t="shared" si="25"/>
        <v>0</v>
      </c>
      <c r="BN36">
        <f t="shared" si="25"/>
        <v>0</v>
      </c>
      <c r="BO36">
        <f t="shared" si="25"/>
        <v>0</v>
      </c>
      <c r="BP36">
        <f t="shared" si="25"/>
        <v>0</v>
      </c>
      <c r="BQ36">
        <f t="shared" si="25"/>
        <v>0</v>
      </c>
      <c r="BR36">
        <f t="shared" si="25"/>
        <v>0</v>
      </c>
      <c r="BS36">
        <f t="shared" si="25"/>
        <v>0</v>
      </c>
      <c r="BT36">
        <f t="shared" si="25"/>
        <v>0</v>
      </c>
      <c r="BU36">
        <f t="shared" si="25"/>
        <v>0</v>
      </c>
      <c r="BV36">
        <f t="shared" si="25"/>
        <v>0</v>
      </c>
      <c r="BW36">
        <f t="shared" si="25"/>
        <v>0</v>
      </c>
      <c r="BX36">
        <f t="shared" si="25"/>
        <v>0</v>
      </c>
      <c r="BY36">
        <f t="shared" si="25"/>
        <v>0</v>
      </c>
    </row>
    <row r="37" spans="1:77" x14ac:dyDescent="0.25">
      <c r="A37" s="2" t="s">
        <v>74</v>
      </c>
      <c r="B37">
        <f t="shared" si="9"/>
        <v>1.01</v>
      </c>
      <c r="C37">
        <f t="shared" si="9"/>
        <v>0.97</v>
      </c>
      <c r="D37">
        <f t="shared" si="9"/>
        <v>0.95</v>
      </c>
      <c r="E37">
        <f t="shared" si="9"/>
        <v>0.94</v>
      </c>
      <c r="F37">
        <f t="shared" si="9"/>
        <v>1.01</v>
      </c>
      <c r="G37">
        <f t="shared" si="9"/>
        <v>1.04</v>
      </c>
      <c r="H37">
        <f t="shared" si="9"/>
        <v>0.98</v>
      </c>
      <c r="I37">
        <f t="shared" si="9"/>
        <v>1.04</v>
      </c>
      <c r="J37">
        <f t="shared" si="9"/>
        <v>1.04</v>
      </c>
      <c r="K37">
        <f t="shared" si="9"/>
        <v>1.01</v>
      </c>
      <c r="L37">
        <f t="shared" si="9"/>
        <v>1</v>
      </c>
      <c r="M37">
        <f t="shared" ref="M37:Z37" si="26">ROUNDDOWN((M14-ROUNDUP(M14*0.1,2)-ROUNDUP(M14*0.05,2))*0.8,2)</f>
        <v>1.01</v>
      </c>
      <c r="N37">
        <f t="shared" si="26"/>
        <v>1.01</v>
      </c>
      <c r="O37">
        <f t="shared" si="26"/>
        <v>1.04</v>
      </c>
      <c r="P37">
        <f t="shared" si="26"/>
        <v>1.04</v>
      </c>
      <c r="Q37">
        <f t="shared" si="26"/>
        <v>1.04</v>
      </c>
      <c r="R37">
        <f t="shared" si="26"/>
        <v>1.05</v>
      </c>
      <c r="S37">
        <f t="shared" si="26"/>
        <v>1.02</v>
      </c>
      <c r="T37">
        <f t="shared" si="26"/>
        <v>0.98</v>
      </c>
      <c r="U37">
        <f t="shared" si="26"/>
        <v>1.01</v>
      </c>
      <c r="V37">
        <f t="shared" si="26"/>
        <v>1.02</v>
      </c>
      <c r="W37">
        <f t="shared" si="26"/>
        <v>0.96</v>
      </c>
      <c r="X37">
        <f t="shared" si="26"/>
        <v>0.98</v>
      </c>
      <c r="Y37">
        <f t="shared" si="26"/>
        <v>0.96</v>
      </c>
      <c r="Z37">
        <f t="shared" si="26"/>
        <v>0.97</v>
      </c>
      <c r="AA37">
        <f t="shared" ref="AA37:BY37" si="27">ROUNDDOWN((AA14-ROUNDUP(AA14*0.1,2)-ROUNDUP(AA14*0.05,2))*0.8,2)</f>
        <v>0.96</v>
      </c>
      <c r="AB37">
        <f t="shared" si="27"/>
        <v>0</v>
      </c>
      <c r="AC37">
        <f t="shared" si="27"/>
        <v>0</v>
      </c>
      <c r="AD37">
        <f t="shared" si="27"/>
        <v>0</v>
      </c>
      <c r="AE37">
        <f t="shared" si="27"/>
        <v>0</v>
      </c>
      <c r="AF37">
        <f t="shared" si="27"/>
        <v>0</v>
      </c>
      <c r="AG37">
        <f t="shared" si="27"/>
        <v>0</v>
      </c>
      <c r="AH37">
        <f t="shared" si="27"/>
        <v>0</v>
      </c>
      <c r="AI37">
        <f t="shared" si="27"/>
        <v>0</v>
      </c>
      <c r="AJ37">
        <f t="shared" si="27"/>
        <v>0</v>
      </c>
      <c r="AK37">
        <f t="shared" si="27"/>
        <v>0</v>
      </c>
      <c r="AL37">
        <f t="shared" si="27"/>
        <v>0</v>
      </c>
      <c r="AM37">
        <f t="shared" si="27"/>
        <v>0</v>
      </c>
      <c r="AN37">
        <f t="shared" si="27"/>
        <v>0</v>
      </c>
      <c r="AO37">
        <f t="shared" si="27"/>
        <v>0</v>
      </c>
      <c r="AP37">
        <f t="shared" si="27"/>
        <v>0</v>
      </c>
      <c r="AQ37">
        <f t="shared" si="27"/>
        <v>0</v>
      </c>
      <c r="AR37">
        <f t="shared" si="27"/>
        <v>0</v>
      </c>
      <c r="AS37">
        <f t="shared" si="27"/>
        <v>0</v>
      </c>
      <c r="AT37">
        <f t="shared" si="27"/>
        <v>0</v>
      </c>
      <c r="AU37">
        <f t="shared" si="27"/>
        <v>0</v>
      </c>
      <c r="AV37">
        <f t="shared" si="27"/>
        <v>0</v>
      </c>
      <c r="AW37">
        <f t="shared" si="27"/>
        <v>0</v>
      </c>
      <c r="AX37">
        <f t="shared" si="27"/>
        <v>0</v>
      </c>
      <c r="AY37">
        <f t="shared" si="27"/>
        <v>0</v>
      </c>
      <c r="AZ37">
        <f t="shared" si="27"/>
        <v>0</v>
      </c>
      <c r="BA37">
        <f t="shared" si="27"/>
        <v>0</v>
      </c>
      <c r="BB37">
        <f t="shared" si="27"/>
        <v>0</v>
      </c>
      <c r="BC37">
        <f t="shared" si="27"/>
        <v>0</v>
      </c>
      <c r="BD37">
        <f t="shared" si="27"/>
        <v>0</v>
      </c>
      <c r="BE37">
        <f t="shared" si="27"/>
        <v>0</v>
      </c>
      <c r="BF37">
        <f t="shared" si="27"/>
        <v>0</v>
      </c>
      <c r="BG37">
        <f t="shared" si="27"/>
        <v>0</v>
      </c>
      <c r="BH37">
        <f t="shared" si="27"/>
        <v>0</v>
      </c>
      <c r="BI37">
        <f t="shared" si="27"/>
        <v>0</v>
      </c>
      <c r="BJ37">
        <f t="shared" si="27"/>
        <v>0</v>
      </c>
      <c r="BK37">
        <f t="shared" si="27"/>
        <v>0</v>
      </c>
      <c r="BL37">
        <f t="shared" si="27"/>
        <v>0</v>
      </c>
      <c r="BM37">
        <f t="shared" si="27"/>
        <v>0</v>
      </c>
      <c r="BN37">
        <f t="shared" si="27"/>
        <v>0</v>
      </c>
      <c r="BO37">
        <f t="shared" si="27"/>
        <v>0</v>
      </c>
      <c r="BP37">
        <f t="shared" si="27"/>
        <v>0</v>
      </c>
      <c r="BQ37">
        <f t="shared" si="27"/>
        <v>0</v>
      </c>
      <c r="BR37">
        <f t="shared" si="27"/>
        <v>0</v>
      </c>
      <c r="BS37">
        <f t="shared" si="27"/>
        <v>0</v>
      </c>
      <c r="BT37">
        <f t="shared" si="27"/>
        <v>0</v>
      </c>
      <c r="BU37">
        <f t="shared" si="27"/>
        <v>0</v>
      </c>
      <c r="BV37">
        <f t="shared" si="27"/>
        <v>0</v>
      </c>
      <c r="BW37">
        <f t="shared" si="27"/>
        <v>0</v>
      </c>
      <c r="BX37">
        <f t="shared" si="27"/>
        <v>0</v>
      </c>
      <c r="BY37">
        <f t="shared" si="27"/>
        <v>0</v>
      </c>
    </row>
    <row r="38" spans="1:77" x14ac:dyDescent="0.25">
      <c r="A38" s="2" t="s">
        <v>75</v>
      </c>
      <c r="B38">
        <f t="shared" si="9"/>
        <v>0.98</v>
      </c>
      <c r="C38">
        <f t="shared" si="9"/>
        <v>0.96</v>
      </c>
      <c r="D38">
        <f t="shared" si="9"/>
        <v>1</v>
      </c>
      <c r="E38">
        <f t="shared" si="9"/>
        <v>0.98</v>
      </c>
      <c r="F38">
        <f t="shared" si="9"/>
        <v>1.03</v>
      </c>
      <c r="G38">
        <f t="shared" si="9"/>
        <v>1.03</v>
      </c>
      <c r="H38">
        <f t="shared" si="9"/>
        <v>0.97</v>
      </c>
      <c r="I38">
        <f t="shared" si="9"/>
        <v>1.03</v>
      </c>
      <c r="J38">
        <f t="shared" si="9"/>
        <v>0.98</v>
      </c>
      <c r="K38">
        <f t="shared" si="9"/>
        <v>1</v>
      </c>
      <c r="L38">
        <f t="shared" si="9"/>
        <v>1.02</v>
      </c>
      <c r="M38">
        <f t="shared" ref="M38:Z38" si="28">ROUNDDOWN((M15-ROUNDUP(M15*0.1,2)-ROUNDUP(M15*0.05,2))*0.8,2)</f>
        <v>1.01</v>
      </c>
      <c r="N38">
        <f t="shared" si="28"/>
        <v>1.05</v>
      </c>
      <c r="O38">
        <f t="shared" si="28"/>
        <v>1.04</v>
      </c>
      <c r="P38">
        <f t="shared" si="28"/>
        <v>0.94</v>
      </c>
      <c r="Q38">
        <f t="shared" si="28"/>
        <v>1.01</v>
      </c>
      <c r="R38">
        <f t="shared" si="28"/>
        <v>0.97</v>
      </c>
      <c r="S38">
        <f t="shared" si="28"/>
        <v>1.01</v>
      </c>
      <c r="T38">
        <f t="shared" si="28"/>
        <v>0.94</v>
      </c>
      <c r="U38">
        <f t="shared" si="28"/>
        <v>0.98</v>
      </c>
      <c r="V38">
        <f t="shared" si="28"/>
        <v>0.93</v>
      </c>
      <c r="W38">
        <f t="shared" si="28"/>
        <v>1.06</v>
      </c>
      <c r="X38">
        <f t="shared" si="28"/>
        <v>1.1200000000000001</v>
      </c>
      <c r="Y38">
        <f t="shared" si="28"/>
        <v>1.1000000000000001</v>
      </c>
      <c r="Z38">
        <f t="shared" si="28"/>
        <v>1.1100000000000001</v>
      </c>
      <c r="AA38">
        <f t="shared" ref="AA38:BY38" si="29">ROUNDDOWN((AA15-ROUNDUP(AA15*0.1,2)-ROUNDUP(AA15*0.05,2))*0.8,2)</f>
        <v>1.1299999999999999</v>
      </c>
      <c r="AB38">
        <f t="shared" si="29"/>
        <v>0</v>
      </c>
      <c r="AC38">
        <f t="shared" si="29"/>
        <v>0</v>
      </c>
      <c r="AD38">
        <f t="shared" si="29"/>
        <v>0</v>
      </c>
      <c r="AE38">
        <f t="shared" si="29"/>
        <v>0</v>
      </c>
      <c r="AF38">
        <f t="shared" si="29"/>
        <v>0</v>
      </c>
      <c r="AG38">
        <f t="shared" si="29"/>
        <v>0</v>
      </c>
      <c r="AH38">
        <f t="shared" si="29"/>
        <v>0</v>
      </c>
      <c r="AI38">
        <f t="shared" si="29"/>
        <v>0</v>
      </c>
      <c r="AJ38">
        <f t="shared" si="29"/>
        <v>0</v>
      </c>
      <c r="AK38">
        <f t="shared" si="29"/>
        <v>0</v>
      </c>
      <c r="AL38">
        <f t="shared" si="29"/>
        <v>0</v>
      </c>
      <c r="AM38">
        <f t="shared" si="29"/>
        <v>0</v>
      </c>
      <c r="AN38">
        <f t="shared" si="29"/>
        <v>0</v>
      </c>
      <c r="AO38">
        <f t="shared" si="29"/>
        <v>0</v>
      </c>
      <c r="AP38">
        <f t="shared" si="29"/>
        <v>0</v>
      </c>
      <c r="AQ38">
        <f t="shared" si="29"/>
        <v>0</v>
      </c>
      <c r="AR38">
        <f t="shared" si="29"/>
        <v>0</v>
      </c>
      <c r="AS38">
        <f t="shared" si="29"/>
        <v>0</v>
      </c>
      <c r="AT38">
        <f t="shared" si="29"/>
        <v>0</v>
      </c>
      <c r="AU38">
        <f t="shared" si="29"/>
        <v>0</v>
      </c>
      <c r="AV38">
        <f t="shared" si="29"/>
        <v>0</v>
      </c>
      <c r="AW38">
        <f t="shared" si="29"/>
        <v>0</v>
      </c>
      <c r="AX38">
        <f t="shared" si="29"/>
        <v>0</v>
      </c>
      <c r="AY38">
        <f t="shared" si="29"/>
        <v>0</v>
      </c>
      <c r="AZ38">
        <f t="shared" si="29"/>
        <v>0</v>
      </c>
      <c r="BA38">
        <f t="shared" si="29"/>
        <v>0</v>
      </c>
      <c r="BB38">
        <f t="shared" si="29"/>
        <v>0</v>
      </c>
      <c r="BC38">
        <f t="shared" si="29"/>
        <v>0</v>
      </c>
      <c r="BD38">
        <f t="shared" si="29"/>
        <v>0</v>
      </c>
      <c r="BE38">
        <f t="shared" si="29"/>
        <v>0</v>
      </c>
      <c r="BF38">
        <f t="shared" si="29"/>
        <v>0</v>
      </c>
      <c r="BG38">
        <f t="shared" si="29"/>
        <v>0</v>
      </c>
      <c r="BH38">
        <f t="shared" si="29"/>
        <v>0</v>
      </c>
      <c r="BI38">
        <f t="shared" si="29"/>
        <v>0</v>
      </c>
      <c r="BJ38">
        <f t="shared" si="29"/>
        <v>0</v>
      </c>
      <c r="BK38">
        <f t="shared" si="29"/>
        <v>0</v>
      </c>
      <c r="BL38">
        <f t="shared" si="29"/>
        <v>0</v>
      </c>
      <c r="BM38">
        <f t="shared" si="29"/>
        <v>0</v>
      </c>
      <c r="BN38">
        <f t="shared" si="29"/>
        <v>0</v>
      </c>
      <c r="BO38">
        <f t="shared" si="29"/>
        <v>0</v>
      </c>
      <c r="BP38">
        <f t="shared" si="29"/>
        <v>0</v>
      </c>
      <c r="BQ38">
        <f t="shared" si="29"/>
        <v>0</v>
      </c>
      <c r="BR38">
        <f t="shared" si="29"/>
        <v>0</v>
      </c>
      <c r="BS38">
        <f t="shared" si="29"/>
        <v>0</v>
      </c>
      <c r="BT38">
        <f t="shared" si="29"/>
        <v>0</v>
      </c>
      <c r="BU38">
        <f t="shared" si="29"/>
        <v>0</v>
      </c>
      <c r="BV38">
        <f t="shared" si="29"/>
        <v>0</v>
      </c>
      <c r="BW38">
        <f t="shared" si="29"/>
        <v>0</v>
      </c>
      <c r="BX38">
        <f t="shared" si="29"/>
        <v>0</v>
      </c>
      <c r="BY38">
        <f t="shared" si="29"/>
        <v>0</v>
      </c>
    </row>
    <row r="39" spans="1:77" x14ac:dyDescent="0.25">
      <c r="A39" s="2" t="s">
        <v>76</v>
      </c>
      <c r="B39">
        <f t="shared" si="9"/>
        <v>4.33</v>
      </c>
      <c r="C39">
        <f t="shared" si="9"/>
        <v>3.81</v>
      </c>
      <c r="D39">
        <f t="shared" si="9"/>
        <v>3.87</v>
      </c>
      <c r="E39">
        <f t="shared" si="9"/>
        <v>4.03</v>
      </c>
      <c r="F39">
        <f t="shared" si="9"/>
        <v>3.98</v>
      </c>
      <c r="G39">
        <f t="shared" si="9"/>
        <v>4.2</v>
      </c>
      <c r="H39">
        <f t="shared" si="9"/>
        <v>4.01</v>
      </c>
      <c r="I39">
        <f t="shared" si="9"/>
        <v>4.2</v>
      </c>
      <c r="J39">
        <f t="shared" si="9"/>
        <v>3.96</v>
      </c>
      <c r="K39">
        <f t="shared" si="9"/>
        <v>3.98</v>
      </c>
      <c r="L39">
        <f t="shared" si="9"/>
        <v>4.12</v>
      </c>
      <c r="M39">
        <f t="shared" ref="M39:Z39" si="30">ROUNDDOWN((M16-ROUNDUP(M16*0.1,2)-ROUNDUP(M16*0.05,2))*0.8,2)</f>
        <v>3.92</v>
      </c>
      <c r="N39">
        <f t="shared" si="30"/>
        <v>4.03</v>
      </c>
      <c r="O39">
        <f t="shared" si="30"/>
        <v>3.92</v>
      </c>
      <c r="P39">
        <f t="shared" si="30"/>
        <v>4.25</v>
      </c>
      <c r="Q39">
        <f t="shared" si="30"/>
        <v>4.09</v>
      </c>
      <c r="R39">
        <f t="shared" si="30"/>
        <v>4.16</v>
      </c>
      <c r="S39">
        <f t="shared" si="30"/>
        <v>3.9</v>
      </c>
      <c r="T39">
        <f t="shared" si="30"/>
        <v>4.01</v>
      </c>
      <c r="U39">
        <f t="shared" si="30"/>
        <v>4.0199999999999996</v>
      </c>
      <c r="V39">
        <f t="shared" si="30"/>
        <v>4.0199999999999996</v>
      </c>
      <c r="W39">
        <f t="shared" si="30"/>
        <v>4.08</v>
      </c>
      <c r="X39">
        <f t="shared" si="30"/>
        <v>4.07</v>
      </c>
      <c r="Y39">
        <f t="shared" si="30"/>
        <v>4.08</v>
      </c>
      <c r="Z39">
        <f t="shared" si="30"/>
        <v>4.24</v>
      </c>
      <c r="AA39">
        <f t="shared" ref="AA39:BY39" si="31">ROUNDDOWN((AA16-ROUNDUP(AA16*0.1,2)-ROUNDUP(AA16*0.05,2))*0.8,2)</f>
        <v>4.07</v>
      </c>
      <c r="AB39">
        <f t="shared" si="31"/>
        <v>0</v>
      </c>
      <c r="AC39">
        <f t="shared" si="31"/>
        <v>0</v>
      </c>
      <c r="AD39">
        <f t="shared" si="31"/>
        <v>0</v>
      </c>
      <c r="AE39">
        <f t="shared" si="31"/>
        <v>0</v>
      </c>
      <c r="AF39">
        <f t="shared" si="31"/>
        <v>0</v>
      </c>
      <c r="AG39">
        <f t="shared" si="31"/>
        <v>0</v>
      </c>
      <c r="AH39">
        <f t="shared" si="31"/>
        <v>0</v>
      </c>
      <c r="AI39">
        <f t="shared" si="31"/>
        <v>0</v>
      </c>
      <c r="AJ39">
        <f t="shared" si="31"/>
        <v>0</v>
      </c>
      <c r="AK39">
        <f t="shared" si="31"/>
        <v>0</v>
      </c>
      <c r="AL39">
        <f t="shared" si="31"/>
        <v>0</v>
      </c>
      <c r="AM39">
        <f t="shared" si="31"/>
        <v>0</v>
      </c>
      <c r="AN39">
        <f t="shared" si="31"/>
        <v>0</v>
      </c>
      <c r="AO39">
        <f t="shared" si="31"/>
        <v>0</v>
      </c>
      <c r="AP39">
        <f t="shared" si="31"/>
        <v>0</v>
      </c>
      <c r="AQ39">
        <f t="shared" si="31"/>
        <v>0</v>
      </c>
      <c r="AR39">
        <f t="shared" si="31"/>
        <v>0</v>
      </c>
      <c r="AS39">
        <f t="shared" si="31"/>
        <v>0</v>
      </c>
      <c r="AT39">
        <f t="shared" si="31"/>
        <v>0</v>
      </c>
      <c r="AU39">
        <f t="shared" si="31"/>
        <v>0</v>
      </c>
      <c r="AV39">
        <f t="shared" si="31"/>
        <v>0</v>
      </c>
      <c r="AW39">
        <f t="shared" si="31"/>
        <v>0</v>
      </c>
      <c r="AX39">
        <f t="shared" si="31"/>
        <v>0</v>
      </c>
      <c r="AY39">
        <f t="shared" si="31"/>
        <v>0</v>
      </c>
      <c r="AZ39">
        <f t="shared" si="31"/>
        <v>0</v>
      </c>
      <c r="BA39">
        <f t="shared" si="31"/>
        <v>0</v>
      </c>
      <c r="BB39">
        <f t="shared" si="31"/>
        <v>0</v>
      </c>
      <c r="BC39">
        <f t="shared" si="31"/>
        <v>0</v>
      </c>
      <c r="BD39">
        <f t="shared" si="31"/>
        <v>0</v>
      </c>
      <c r="BE39">
        <f t="shared" si="31"/>
        <v>0</v>
      </c>
      <c r="BF39">
        <f t="shared" si="31"/>
        <v>0</v>
      </c>
      <c r="BG39">
        <f t="shared" si="31"/>
        <v>0</v>
      </c>
      <c r="BH39">
        <f t="shared" si="31"/>
        <v>0</v>
      </c>
      <c r="BI39">
        <f t="shared" si="31"/>
        <v>0</v>
      </c>
      <c r="BJ39">
        <f t="shared" si="31"/>
        <v>0</v>
      </c>
      <c r="BK39">
        <f t="shared" si="31"/>
        <v>0</v>
      </c>
      <c r="BL39">
        <f t="shared" si="31"/>
        <v>0</v>
      </c>
      <c r="BM39">
        <f t="shared" si="31"/>
        <v>0</v>
      </c>
      <c r="BN39">
        <f t="shared" si="31"/>
        <v>0</v>
      </c>
      <c r="BO39">
        <f t="shared" si="31"/>
        <v>0</v>
      </c>
      <c r="BP39">
        <f t="shared" si="31"/>
        <v>0</v>
      </c>
      <c r="BQ39">
        <f t="shared" si="31"/>
        <v>0</v>
      </c>
      <c r="BR39">
        <f t="shared" si="31"/>
        <v>0</v>
      </c>
      <c r="BS39">
        <f t="shared" si="31"/>
        <v>0</v>
      </c>
      <c r="BT39">
        <f t="shared" si="31"/>
        <v>0</v>
      </c>
      <c r="BU39">
        <f t="shared" si="31"/>
        <v>0</v>
      </c>
      <c r="BV39">
        <f t="shared" si="31"/>
        <v>0</v>
      </c>
      <c r="BW39">
        <f t="shared" si="31"/>
        <v>0</v>
      </c>
      <c r="BX39">
        <f t="shared" si="31"/>
        <v>0</v>
      </c>
      <c r="BY39">
        <f t="shared" si="31"/>
        <v>0</v>
      </c>
    </row>
    <row r="40" spans="1:77" x14ac:dyDescent="0.25">
      <c r="A40" s="2" t="s">
        <v>77</v>
      </c>
      <c r="B40">
        <f t="shared" si="9"/>
        <v>0.74</v>
      </c>
      <c r="C40">
        <f t="shared" si="9"/>
        <v>0.69</v>
      </c>
      <c r="D40">
        <f t="shared" si="9"/>
        <v>0.66</v>
      </c>
      <c r="E40">
        <f t="shared" si="9"/>
        <v>0.62</v>
      </c>
      <c r="F40">
        <f t="shared" si="9"/>
        <v>0.59</v>
      </c>
      <c r="G40">
        <f t="shared" si="9"/>
        <v>0.66</v>
      </c>
      <c r="H40">
        <f t="shared" si="9"/>
        <v>0.63</v>
      </c>
      <c r="I40">
        <f t="shared" si="9"/>
        <v>0.62</v>
      </c>
      <c r="J40">
        <f t="shared" si="9"/>
        <v>0.64</v>
      </c>
      <c r="K40">
        <f t="shared" si="9"/>
        <v>0.62</v>
      </c>
      <c r="L40">
        <f t="shared" si="9"/>
        <v>0.66</v>
      </c>
      <c r="M40">
        <f t="shared" ref="M40:Z40" si="32">ROUNDDOWN((M17-ROUNDUP(M17*0.1,2)-ROUNDUP(M17*0.05,2))*0.8,2)</f>
        <v>0.66</v>
      </c>
      <c r="N40">
        <f t="shared" si="32"/>
        <v>0.59</v>
      </c>
      <c r="O40">
        <f t="shared" si="32"/>
        <v>0.57999999999999996</v>
      </c>
      <c r="P40">
        <f t="shared" si="32"/>
        <v>0.56000000000000005</v>
      </c>
      <c r="Q40">
        <f t="shared" si="32"/>
        <v>0.56000000000000005</v>
      </c>
      <c r="R40">
        <f t="shared" si="32"/>
        <v>0.61</v>
      </c>
      <c r="S40">
        <f t="shared" si="32"/>
        <v>0.56999999999999995</v>
      </c>
      <c r="T40">
        <f t="shared" si="32"/>
        <v>0.6</v>
      </c>
      <c r="U40">
        <f t="shared" si="32"/>
        <v>0.56000000000000005</v>
      </c>
      <c r="V40">
        <f t="shared" si="32"/>
        <v>0.56999999999999995</v>
      </c>
      <c r="W40">
        <f t="shared" si="32"/>
        <v>0.56999999999999995</v>
      </c>
      <c r="X40">
        <f t="shared" si="32"/>
        <v>0.56000000000000005</v>
      </c>
      <c r="Y40">
        <f t="shared" si="32"/>
        <v>0.55000000000000004</v>
      </c>
      <c r="Z40">
        <f t="shared" si="32"/>
        <v>0.56000000000000005</v>
      </c>
      <c r="AA40">
        <f t="shared" ref="AA40:BY40" si="33">ROUNDDOWN((AA17-ROUNDUP(AA17*0.1,2)-ROUNDUP(AA17*0.05,2))*0.8,2)</f>
        <v>0.55000000000000004</v>
      </c>
      <c r="AB40">
        <f t="shared" si="33"/>
        <v>0</v>
      </c>
      <c r="AC40">
        <f t="shared" si="33"/>
        <v>0</v>
      </c>
      <c r="AD40">
        <f t="shared" si="33"/>
        <v>0</v>
      </c>
      <c r="AE40">
        <f t="shared" si="33"/>
        <v>0</v>
      </c>
      <c r="AF40">
        <f t="shared" si="33"/>
        <v>0</v>
      </c>
      <c r="AG40">
        <f t="shared" si="33"/>
        <v>0</v>
      </c>
      <c r="AH40">
        <f t="shared" si="33"/>
        <v>0</v>
      </c>
      <c r="AI40">
        <f t="shared" si="33"/>
        <v>0</v>
      </c>
      <c r="AJ40">
        <f t="shared" si="33"/>
        <v>0</v>
      </c>
      <c r="AK40">
        <f t="shared" si="33"/>
        <v>0</v>
      </c>
      <c r="AL40">
        <f t="shared" si="33"/>
        <v>0</v>
      </c>
      <c r="AM40">
        <f t="shared" si="33"/>
        <v>0</v>
      </c>
      <c r="AN40">
        <f t="shared" si="33"/>
        <v>0</v>
      </c>
      <c r="AO40">
        <f t="shared" si="33"/>
        <v>0</v>
      </c>
      <c r="AP40">
        <f t="shared" si="33"/>
        <v>0</v>
      </c>
      <c r="AQ40">
        <f t="shared" si="33"/>
        <v>0</v>
      </c>
      <c r="AR40">
        <f t="shared" si="33"/>
        <v>0</v>
      </c>
      <c r="AS40">
        <f t="shared" si="33"/>
        <v>0</v>
      </c>
      <c r="AT40">
        <f t="shared" si="33"/>
        <v>0</v>
      </c>
      <c r="AU40">
        <f t="shared" si="33"/>
        <v>0</v>
      </c>
      <c r="AV40">
        <f t="shared" si="33"/>
        <v>0</v>
      </c>
      <c r="AW40">
        <f t="shared" si="33"/>
        <v>0</v>
      </c>
      <c r="AX40">
        <f t="shared" si="33"/>
        <v>0</v>
      </c>
      <c r="AY40">
        <f t="shared" si="33"/>
        <v>0</v>
      </c>
      <c r="AZ40">
        <f t="shared" si="33"/>
        <v>0</v>
      </c>
      <c r="BA40">
        <f t="shared" si="33"/>
        <v>0</v>
      </c>
      <c r="BB40">
        <f t="shared" si="33"/>
        <v>0</v>
      </c>
      <c r="BC40">
        <f t="shared" si="33"/>
        <v>0</v>
      </c>
      <c r="BD40">
        <f t="shared" si="33"/>
        <v>0</v>
      </c>
      <c r="BE40">
        <f t="shared" si="33"/>
        <v>0</v>
      </c>
      <c r="BF40">
        <f t="shared" si="33"/>
        <v>0</v>
      </c>
      <c r="BG40">
        <f t="shared" si="33"/>
        <v>0</v>
      </c>
      <c r="BH40">
        <f t="shared" si="33"/>
        <v>0</v>
      </c>
      <c r="BI40">
        <f t="shared" si="33"/>
        <v>0</v>
      </c>
      <c r="BJ40">
        <f t="shared" si="33"/>
        <v>0</v>
      </c>
      <c r="BK40">
        <f t="shared" si="33"/>
        <v>0</v>
      </c>
      <c r="BL40">
        <f t="shared" si="33"/>
        <v>0</v>
      </c>
      <c r="BM40">
        <f t="shared" si="33"/>
        <v>0</v>
      </c>
      <c r="BN40">
        <f t="shared" si="33"/>
        <v>0</v>
      </c>
      <c r="BO40">
        <f t="shared" si="33"/>
        <v>0</v>
      </c>
      <c r="BP40">
        <f t="shared" si="33"/>
        <v>0</v>
      </c>
      <c r="BQ40">
        <f t="shared" si="33"/>
        <v>0</v>
      </c>
      <c r="BR40">
        <f t="shared" si="33"/>
        <v>0</v>
      </c>
      <c r="BS40">
        <f t="shared" si="33"/>
        <v>0</v>
      </c>
      <c r="BT40">
        <f t="shared" si="33"/>
        <v>0</v>
      </c>
      <c r="BU40">
        <f t="shared" si="33"/>
        <v>0</v>
      </c>
      <c r="BV40">
        <f t="shared" si="33"/>
        <v>0</v>
      </c>
      <c r="BW40">
        <f t="shared" si="33"/>
        <v>0</v>
      </c>
      <c r="BX40">
        <f t="shared" si="33"/>
        <v>0</v>
      </c>
      <c r="BY40">
        <f t="shared" si="33"/>
        <v>0</v>
      </c>
    </row>
    <row r="41" spans="1:77" x14ac:dyDescent="0.25">
      <c r="A41" s="2" t="s">
        <v>78</v>
      </c>
      <c r="B41">
        <f t="shared" si="9"/>
        <v>0.54</v>
      </c>
      <c r="C41">
        <f t="shared" si="9"/>
        <v>0.55000000000000004</v>
      </c>
      <c r="D41">
        <f t="shared" si="9"/>
        <v>0.54</v>
      </c>
      <c r="E41">
        <f t="shared" si="9"/>
        <v>0.51</v>
      </c>
      <c r="F41">
        <f t="shared" si="9"/>
        <v>0.54</v>
      </c>
      <c r="G41">
        <f t="shared" si="9"/>
        <v>0.55000000000000004</v>
      </c>
      <c r="H41">
        <f t="shared" si="9"/>
        <v>0.56000000000000005</v>
      </c>
      <c r="I41">
        <f t="shared" si="9"/>
        <v>0.56000000000000005</v>
      </c>
      <c r="J41">
        <f t="shared" si="9"/>
        <v>0.56000000000000005</v>
      </c>
      <c r="K41">
        <f t="shared" si="9"/>
        <v>0.55000000000000004</v>
      </c>
      <c r="L41">
        <f t="shared" si="9"/>
        <v>0.56000000000000005</v>
      </c>
      <c r="M41">
        <f t="shared" ref="M41:Z41" si="34">ROUNDDOWN((M18-ROUNDUP(M18*0.1,2)-ROUNDUP(M18*0.05,2))*0.8,2)</f>
        <v>0.56000000000000005</v>
      </c>
      <c r="N41">
        <f t="shared" si="34"/>
        <v>0.57999999999999996</v>
      </c>
      <c r="O41">
        <f t="shared" si="34"/>
        <v>0.56000000000000005</v>
      </c>
      <c r="P41">
        <f t="shared" si="34"/>
        <v>0.55000000000000004</v>
      </c>
      <c r="Q41">
        <f t="shared" si="34"/>
        <v>0.56000000000000005</v>
      </c>
      <c r="R41">
        <f t="shared" si="34"/>
        <v>0.55000000000000004</v>
      </c>
      <c r="S41">
        <f t="shared" si="34"/>
        <v>0.5</v>
      </c>
      <c r="T41">
        <f t="shared" si="34"/>
        <v>0.53</v>
      </c>
      <c r="U41">
        <f t="shared" si="34"/>
        <v>0.54</v>
      </c>
      <c r="V41">
        <f t="shared" si="34"/>
        <v>0.54</v>
      </c>
      <c r="W41">
        <f t="shared" si="34"/>
        <v>0.54</v>
      </c>
      <c r="X41">
        <f t="shared" si="34"/>
        <v>0.55000000000000004</v>
      </c>
      <c r="Y41">
        <f t="shared" si="34"/>
        <v>0.53</v>
      </c>
      <c r="Z41">
        <f t="shared" si="34"/>
        <v>0.54</v>
      </c>
      <c r="AA41">
        <f t="shared" ref="AA41:BY41" si="35">ROUNDDOWN((AA18-ROUNDUP(AA18*0.1,2)-ROUNDUP(AA18*0.05,2))*0.8,2)</f>
        <v>0.54</v>
      </c>
      <c r="AB41">
        <f t="shared" si="35"/>
        <v>0</v>
      </c>
      <c r="AC41">
        <f t="shared" si="35"/>
        <v>0</v>
      </c>
      <c r="AD41">
        <f t="shared" si="35"/>
        <v>0</v>
      </c>
      <c r="AE41">
        <f t="shared" si="35"/>
        <v>0</v>
      </c>
      <c r="AF41">
        <f t="shared" si="35"/>
        <v>0</v>
      </c>
      <c r="AG41">
        <f t="shared" si="35"/>
        <v>0</v>
      </c>
      <c r="AH41">
        <f t="shared" si="35"/>
        <v>0</v>
      </c>
      <c r="AI41">
        <f t="shared" si="35"/>
        <v>0</v>
      </c>
      <c r="AJ41">
        <f t="shared" si="35"/>
        <v>0</v>
      </c>
      <c r="AK41">
        <f t="shared" si="35"/>
        <v>0</v>
      </c>
      <c r="AL41">
        <f t="shared" si="35"/>
        <v>0</v>
      </c>
      <c r="AM41">
        <f t="shared" si="35"/>
        <v>0</v>
      </c>
      <c r="AN41">
        <f t="shared" si="35"/>
        <v>0</v>
      </c>
      <c r="AO41">
        <f t="shared" si="35"/>
        <v>0</v>
      </c>
      <c r="AP41">
        <f t="shared" si="35"/>
        <v>0</v>
      </c>
      <c r="AQ41">
        <f t="shared" si="35"/>
        <v>0</v>
      </c>
      <c r="AR41">
        <f t="shared" si="35"/>
        <v>0</v>
      </c>
      <c r="AS41">
        <f t="shared" si="35"/>
        <v>0</v>
      </c>
      <c r="AT41">
        <f t="shared" si="35"/>
        <v>0</v>
      </c>
      <c r="AU41">
        <f t="shared" si="35"/>
        <v>0</v>
      </c>
      <c r="AV41">
        <f t="shared" si="35"/>
        <v>0</v>
      </c>
      <c r="AW41">
        <f t="shared" si="35"/>
        <v>0</v>
      </c>
      <c r="AX41">
        <f t="shared" si="35"/>
        <v>0</v>
      </c>
      <c r="AY41">
        <f t="shared" si="35"/>
        <v>0</v>
      </c>
      <c r="AZ41">
        <f t="shared" si="35"/>
        <v>0</v>
      </c>
      <c r="BA41">
        <f t="shared" si="35"/>
        <v>0</v>
      </c>
      <c r="BB41">
        <f t="shared" si="35"/>
        <v>0</v>
      </c>
      <c r="BC41">
        <f t="shared" si="35"/>
        <v>0</v>
      </c>
      <c r="BD41">
        <f t="shared" si="35"/>
        <v>0</v>
      </c>
      <c r="BE41">
        <f t="shared" si="35"/>
        <v>0</v>
      </c>
      <c r="BF41">
        <f t="shared" si="35"/>
        <v>0</v>
      </c>
      <c r="BG41">
        <f t="shared" si="35"/>
        <v>0</v>
      </c>
      <c r="BH41">
        <f t="shared" si="35"/>
        <v>0</v>
      </c>
      <c r="BI41">
        <f t="shared" si="35"/>
        <v>0</v>
      </c>
      <c r="BJ41">
        <f t="shared" si="35"/>
        <v>0</v>
      </c>
      <c r="BK41">
        <f t="shared" si="35"/>
        <v>0</v>
      </c>
      <c r="BL41">
        <f t="shared" si="35"/>
        <v>0</v>
      </c>
      <c r="BM41">
        <f t="shared" si="35"/>
        <v>0</v>
      </c>
      <c r="BN41">
        <f t="shared" si="35"/>
        <v>0</v>
      </c>
      <c r="BO41">
        <f t="shared" si="35"/>
        <v>0</v>
      </c>
      <c r="BP41">
        <f t="shared" si="35"/>
        <v>0</v>
      </c>
      <c r="BQ41">
        <f t="shared" si="35"/>
        <v>0</v>
      </c>
      <c r="BR41">
        <f t="shared" si="35"/>
        <v>0</v>
      </c>
      <c r="BS41">
        <f t="shared" si="35"/>
        <v>0</v>
      </c>
      <c r="BT41">
        <f t="shared" si="35"/>
        <v>0</v>
      </c>
      <c r="BU41">
        <f t="shared" si="35"/>
        <v>0</v>
      </c>
      <c r="BV41">
        <f t="shared" si="35"/>
        <v>0</v>
      </c>
      <c r="BW41">
        <f t="shared" si="35"/>
        <v>0</v>
      </c>
      <c r="BX41">
        <f t="shared" si="35"/>
        <v>0</v>
      </c>
      <c r="BY41">
        <f t="shared" si="35"/>
        <v>0</v>
      </c>
    </row>
    <row r="43" spans="1:77" x14ac:dyDescent="0.25">
      <c r="B43" s="2">
        <f>SUM(B28:B41)</f>
        <v>45.37</v>
      </c>
      <c r="C43" s="2">
        <f t="shared" ref="C43:E43" si="36">SUM(C28:C41)</f>
        <v>45.5</v>
      </c>
      <c r="D43" s="2">
        <f t="shared" si="36"/>
        <v>43.26</v>
      </c>
      <c r="E43" s="2">
        <f t="shared" si="36"/>
        <v>42.749999999999993</v>
      </c>
      <c r="F43" s="2">
        <f t="shared" ref="F43:L43" si="37">SUM(F28:F41)</f>
        <v>44.910000000000004</v>
      </c>
      <c r="G43" s="2">
        <f t="shared" si="37"/>
        <v>45.809999999999995</v>
      </c>
      <c r="H43" s="2">
        <f t="shared" si="37"/>
        <v>45.22</v>
      </c>
      <c r="I43" s="2">
        <f t="shared" si="37"/>
        <v>45.000000000000007</v>
      </c>
      <c r="J43" s="2">
        <f t="shared" si="37"/>
        <v>45.12</v>
      </c>
      <c r="K43" s="2">
        <f t="shared" si="37"/>
        <v>45.61999999999999</v>
      </c>
      <c r="L43" s="2">
        <f t="shared" si="37"/>
        <v>45.749999999999993</v>
      </c>
      <c r="M43" s="2">
        <f t="shared" ref="M43:Z43" si="38">SUM(M28:M41)</f>
        <v>44.61999999999999</v>
      </c>
      <c r="N43" s="2">
        <f t="shared" si="38"/>
        <v>44.91</v>
      </c>
      <c r="O43" s="2">
        <f t="shared" si="38"/>
        <v>43.769999999999996</v>
      </c>
      <c r="P43" s="2">
        <f t="shared" si="38"/>
        <v>45.79999999999999</v>
      </c>
      <c r="Q43" s="2">
        <f t="shared" si="38"/>
        <v>45.2</v>
      </c>
      <c r="R43" s="2">
        <f t="shared" si="38"/>
        <v>45.099999999999994</v>
      </c>
      <c r="S43" s="2">
        <f t="shared" si="38"/>
        <v>44.64</v>
      </c>
      <c r="T43" s="2">
        <f t="shared" si="38"/>
        <v>45.249999999999993</v>
      </c>
      <c r="U43" s="2">
        <f t="shared" si="38"/>
        <v>44.449999999999996</v>
      </c>
      <c r="V43" s="2">
        <f t="shared" si="38"/>
        <v>44.010000000000005</v>
      </c>
      <c r="W43" s="2">
        <f t="shared" si="38"/>
        <v>44.92</v>
      </c>
      <c r="X43" s="2">
        <f t="shared" si="38"/>
        <v>43.19</v>
      </c>
      <c r="Y43" s="2">
        <f t="shared" si="38"/>
        <v>43.809999999999995</v>
      </c>
      <c r="Z43" s="2">
        <f t="shared" si="38"/>
        <v>43.43</v>
      </c>
      <c r="AA43" s="2">
        <f t="shared" ref="AA43:BY43" si="39">SUM(AA28:AA41)</f>
        <v>44.36</v>
      </c>
      <c r="AB43" s="2">
        <f t="shared" si="39"/>
        <v>0</v>
      </c>
      <c r="AC43" s="2">
        <f t="shared" si="39"/>
        <v>0</v>
      </c>
      <c r="AD43" s="2">
        <f t="shared" si="39"/>
        <v>0</v>
      </c>
      <c r="AE43" s="2">
        <f t="shared" si="39"/>
        <v>0</v>
      </c>
      <c r="AF43" s="2">
        <f t="shared" si="39"/>
        <v>0</v>
      </c>
      <c r="AG43" s="2">
        <f t="shared" si="39"/>
        <v>0</v>
      </c>
      <c r="AH43" s="2">
        <f t="shared" si="39"/>
        <v>0</v>
      </c>
      <c r="AI43" s="2">
        <f t="shared" si="39"/>
        <v>0</v>
      </c>
      <c r="AJ43" s="2">
        <f t="shared" si="39"/>
        <v>0</v>
      </c>
      <c r="AK43" s="2">
        <f t="shared" si="39"/>
        <v>0</v>
      </c>
      <c r="AL43" s="2">
        <f t="shared" si="39"/>
        <v>0</v>
      </c>
      <c r="AM43" s="2">
        <f t="shared" si="39"/>
        <v>0</v>
      </c>
      <c r="AN43" s="2">
        <f t="shared" si="39"/>
        <v>0</v>
      </c>
      <c r="AO43" s="2">
        <f t="shared" si="39"/>
        <v>0</v>
      </c>
      <c r="AP43" s="2">
        <f t="shared" si="39"/>
        <v>0</v>
      </c>
      <c r="AQ43" s="2">
        <f t="shared" si="39"/>
        <v>0</v>
      </c>
      <c r="AR43" s="2">
        <f t="shared" si="39"/>
        <v>0</v>
      </c>
      <c r="AS43" s="2">
        <f t="shared" si="39"/>
        <v>0</v>
      </c>
      <c r="AT43" s="2">
        <f t="shared" si="39"/>
        <v>0</v>
      </c>
      <c r="AU43" s="2">
        <f t="shared" si="39"/>
        <v>0</v>
      </c>
      <c r="AV43" s="2">
        <f t="shared" si="39"/>
        <v>0</v>
      </c>
      <c r="AW43" s="2">
        <f t="shared" si="39"/>
        <v>0</v>
      </c>
      <c r="AX43" s="2">
        <f t="shared" si="39"/>
        <v>0</v>
      </c>
      <c r="AY43" s="2">
        <f t="shared" si="39"/>
        <v>0</v>
      </c>
      <c r="AZ43" s="2">
        <f t="shared" si="39"/>
        <v>0</v>
      </c>
      <c r="BA43" s="2">
        <f t="shared" si="39"/>
        <v>0</v>
      </c>
      <c r="BB43" s="2">
        <f t="shared" si="39"/>
        <v>0</v>
      </c>
      <c r="BC43" s="2">
        <f t="shared" si="39"/>
        <v>0</v>
      </c>
      <c r="BD43" s="2">
        <f t="shared" si="39"/>
        <v>0</v>
      </c>
      <c r="BE43" s="2">
        <f t="shared" si="39"/>
        <v>0</v>
      </c>
      <c r="BF43" s="2">
        <f t="shared" si="39"/>
        <v>0</v>
      </c>
      <c r="BG43" s="2">
        <f t="shared" si="39"/>
        <v>0</v>
      </c>
      <c r="BH43" s="2">
        <f t="shared" si="39"/>
        <v>0</v>
      </c>
      <c r="BI43" s="2">
        <f t="shared" si="39"/>
        <v>0</v>
      </c>
      <c r="BJ43" s="2">
        <f t="shared" si="39"/>
        <v>0</v>
      </c>
      <c r="BK43" s="2">
        <f t="shared" si="39"/>
        <v>0</v>
      </c>
      <c r="BL43" s="2">
        <f t="shared" si="39"/>
        <v>0</v>
      </c>
      <c r="BM43" s="2">
        <f t="shared" si="39"/>
        <v>0</v>
      </c>
      <c r="BN43" s="2">
        <f t="shared" si="39"/>
        <v>0</v>
      </c>
      <c r="BO43" s="2">
        <f t="shared" si="39"/>
        <v>0</v>
      </c>
      <c r="BP43" s="2">
        <f t="shared" si="39"/>
        <v>0</v>
      </c>
      <c r="BQ43" s="2">
        <f t="shared" si="39"/>
        <v>0</v>
      </c>
      <c r="BR43" s="2">
        <f t="shared" si="39"/>
        <v>0</v>
      </c>
      <c r="BS43" s="2">
        <f t="shared" si="39"/>
        <v>0</v>
      </c>
      <c r="BT43" s="2">
        <f t="shared" si="39"/>
        <v>0</v>
      </c>
      <c r="BU43" s="2">
        <f t="shared" si="39"/>
        <v>0</v>
      </c>
      <c r="BV43" s="2">
        <f t="shared" si="39"/>
        <v>0</v>
      </c>
      <c r="BW43" s="2">
        <f t="shared" si="39"/>
        <v>0</v>
      </c>
      <c r="BX43" s="2">
        <f t="shared" si="39"/>
        <v>0</v>
      </c>
      <c r="BY43" s="2">
        <f t="shared" si="39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FF73-1AF2-418B-82A5-A93421F980E4}">
  <dimension ref="A1:BY43"/>
  <sheetViews>
    <sheetView zoomScale="80" zoomScaleNormal="80" workbookViewId="0">
      <pane xSplit="1" topLeftCell="V1" activePane="topRight" state="frozen"/>
      <selection pane="topRight" activeCell="AA6" sqref="AA6"/>
    </sheetView>
  </sheetViews>
  <sheetFormatPr defaultRowHeight="15" x14ac:dyDescent="0.25"/>
  <cols>
    <col min="1" max="1" width="34.140625" customWidth="1"/>
    <col min="2" max="46" width="12" customWidth="1"/>
    <col min="47" max="77" width="11.42578125" customWidth="1"/>
  </cols>
  <sheetData>
    <row r="1" spans="1:77" ht="31.5" x14ac:dyDescent="0.5">
      <c r="A1" s="4" t="s">
        <v>8</v>
      </c>
    </row>
    <row r="3" spans="1:77" x14ac:dyDescent="0.25">
      <c r="A3" t="s">
        <v>12</v>
      </c>
    </row>
    <row r="4" spans="1:77" x14ac:dyDescent="0.25">
      <c r="B4" s="1">
        <f>Totals!B4</f>
        <v>44331</v>
      </c>
      <c r="C4" s="1">
        <f>Totals!C4</f>
        <v>44332</v>
      </c>
      <c r="D4" s="1">
        <f>Totals!D4</f>
        <v>44334</v>
      </c>
      <c r="E4" s="1">
        <f>Totals!E4</f>
        <v>44336</v>
      </c>
      <c r="F4" s="1">
        <f>Totals!F4</f>
        <v>44337</v>
      </c>
      <c r="G4" s="1">
        <f>Totals!G4</f>
        <v>44338</v>
      </c>
      <c r="H4" s="1">
        <f>Totals!H4</f>
        <v>44339</v>
      </c>
      <c r="I4" s="1">
        <f>Totals!I4</f>
        <v>44340</v>
      </c>
      <c r="J4" s="1">
        <f>Totals!J4</f>
        <v>44341</v>
      </c>
      <c r="K4" s="1">
        <f>Totals!K4</f>
        <v>44342</v>
      </c>
      <c r="L4" s="1">
        <f>Totals!L4</f>
        <v>44343</v>
      </c>
      <c r="M4" s="1">
        <f>Totals!M4</f>
        <v>44344</v>
      </c>
      <c r="N4" s="1">
        <f>Totals!N4</f>
        <v>44345</v>
      </c>
      <c r="O4" s="1">
        <f>Totals!O4</f>
        <v>44346</v>
      </c>
      <c r="P4" s="1">
        <f>Totals!P4</f>
        <v>44347</v>
      </c>
      <c r="Q4" s="1">
        <f>Totals!Q4</f>
        <v>44348</v>
      </c>
      <c r="R4" s="1">
        <f>Totals!R4</f>
        <v>44349</v>
      </c>
      <c r="S4" s="1">
        <f>Totals!S4</f>
        <v>44350</v>
      </c>
      <c r="T4" s="1">
        <f>Totals!T4</f>
        <v>44351</v>
      </c>
      <c r="U4" s="1">
        <f>Totals!U4</f>
        <v>44352</v>
      </c>
      <c r="V4" s="1">
        <f>Totals!V4</f>
        <v>44353</v>
      </c>
      <c r="W4" s="1">
        <f>Totals!W4</f>
        <v>44354</v>
      </c>
      <c r="X4" s="1">
        <f>Totals!X4</f>
        <v>44355</v>
      </c>
      <c r="Y4" s="1">
        <f>Totals!Y4</f>
        <v>44356</v>
      </c>
      <c r="Z4" s="1">
        <f>Totals!Z4</f>
        <v>44357</v>
      </c>
      <c r="AA4" s="1">
        <f>Totals!AA4</f>
        <v>44358</v>
      </c>
      <c r="AB4" s="1">
        <f>Totals!AB4</f>
        <v>44359</v>
      </c>
      <c r="AC4" s="1">
        <f>Totals!AC4</f>
        <v>44360</v>
      </c>
      <c r="AD4" s="1">
        <f>Totals!AD4</f>
        <v>44361</v>
      </c>
      <c r="AE4" s="1">
        <f>Totals!AE4</f>
        <v>44362</v>
      </c>
      <c r="AF4" s="1">
        <f>Totals!AF4</f>
        <v>44363</v>
      </c>
      <c r="AG4" s="1">
        <f>Totals!AG4</f>
        <v>44364</v>
      </c>
      <c r="AH4" s="1">
        <f>Totals!AH4</f>
        <v>44365</v>
      </c>
      <c r="AI4" s="1">
        <f>Totals!AI4</f>
        <v>44366</v>
      </c>
      <c r="AJ4" s="1">
        <f>Totals!AJ4</f>
        <v>44367</v>
      </c>
      <c r="AK4" s="1">
        <f>Totals!AK4</f>
        <v>44368</v>
      </c>
      <c r="AL4" s="1">
        <f>Totals!AL4</f>
        <v>44369</v>
      </c>
      <c r="AM4" s="1">
        <f>Totals!AM4</f>
        <v>44370</v>
      </c>
      <c r="AN4" s="1">
        <f>Totals!AN4</f>
        <v>44371</v>
      </c>
      <c r="AO4" s="1">
        <f>Totals!AO4</f>
        <v>44372</v>
      </c>
      <c r="AP4" s="1">
        <f>Totals!AP4</f>
        <v>44373</v>
      </c>
      <c r="AQ4" s="1">
        <f>Totals!AQ4</f>
        <v>44374</v>
      </c>
      <c r="AR4" s="1">
        <f>Totals!AR4</f>
        <v>44375</v>
      </c>
      <c r="AS4" s="1">
        <f>Totals!AS4</f>
        <v>44376</v>
      </c>
      <c r="AT4" s="1">
        <f>Totals!AT4</f>
        <v>44377</v>
      </c>
      <c r="AU4" s="1">
        <f>Totals!AU4</f>
        <v>44378</v>
      </c>
      <c r="AV4" s="1">
        <f>Totals!AV4</f>
        <v>44379</v>
      </c>
      <c r="AW4" s="1">
        <f>Totals!AW4</f>
        <v>44380</v>
      </c>
      <c r="AX4" s="1">
        <f>Totals!AX4</f>
        <v>44381</v>
      </c>
      <c r="AY4" s="1">
        <f>Totals!AY4</f>
        <v>44382</v>
      </c>
      <c r="AZ4" s="1">
        <f>Totals!AZ4</f>
        <v>44383</v>
      </c>
      <c r="BA4" s="1">
        <f>Totals!BA4</f>
        <v>44384</v>
      </c>
      <c r="BB4" s="1">
        <f>Totals!BB4</f>
        <v>44385</v>
      </c>
      <c r="BC4" s="1">
        <f>Totals!BC4</f>
        <v>44386</v>
      </c>
      <c r="BD4" s="1">
        <f>Totals!BD4</f>
        <v>44387</v>
      </c>
      <c r="BE4" s="1">
        <f>Totals!BE4</f>
        <v>44388</v>
      </c>
      <c r="BF4" s="1">
        <f>Totals!BF4</f>
        <v>44389</v>
      </c>
      <c r="BG4" s="1">
        <f>Totals!BG4</f>
        <v>44390</v>
      </c>
      <c r="BH4" s="1">
        <f>Totals!BH4</f>
        <v>44391</v>
      </c>
      <c r="BI4" s="1">
        <f>Totals!BI4</f>
        <v>44392</v>
      </c>
      <c r="BJ4" s="1">
        <f>Totals!BJ4</f>
        <v>44393</v>
      </c>
      <c r="BK4" s="1">
        <f>Totals!BK4</f>
        <v>44394</v>
      </c>
      <c r="BL4" s="1">
        <f>Totals!BL4</f>
        <v>44395</v>
      </c>
      <c r="BM4" s="1">
        <f>Totals!BM4</f>
        <v>44396</v>
      </c>
      <c r="BN4" s="1">
        <f>Totals!BN4</f>
        <v>44397</v>
      </c>
      <c r="BO4" s="1">
        <f>Totals!BO4</f>
        <v>44398</v>
      </c>
      <c r="BP4" s="1">
        <f>Totals!BP4</f>
        <v>44399</v>
      </c>
      <c r="BQ4" s="1">
        <f>Totals!BQ4</f>
        <v>44400</v>
      </c>
      <c r="BR4" s="1">
        <f>Totals!BR4</f>
        <v>44401</v>
      </c>
      <c r="BS4" s="1">
        <f>Totals!BS4</f>
        <v>44402</v>
      </c>
      <c r="BT4" s="1">
        <f>Totals!BT4</f>
        <v>44403</v>
      </c>
      <c r="BU4" s="1">
        <f>Totals!BU4</f>
        <v>44404</v>
      </c>
      <c r="BV4" s="1">
        <f>Totals!BV4</f>
        <v>44405</v>
      </c>
      <c r="BW4" s="1">
        <f>Totals!BW4</f>
        <v>44406</v>
      </c>
      <c r="BX4" s="1">
        <f>Totals!BX4</f>
        <v>44407</v>
      </c>
      <c r="BY4" s="1">
        <f>Totals!BY4</f>
        <v>44408</v>
      </c>
    </row>
    <row r="5" spans="1:77" x14ac:dyDescent="0.25">
      <c r="A5" s="2" t="s">
        <v>79</v>
      </c>
      <c r="B5">
        <v>0.88</v>
      </c>
      <c r="C5">
        <v>0.93</v>
      </c>
      <c r="D5">
        <v>0.94</v>
      </c>
      <c r="E5">
        <v>0.89</v>
      </c>
      <c r="F5">
        <v>0.92</v>
      </c>
      <c r="G5">
        <v>0.93</v>
      </c>
      <c r="H5">
        <v>0.93</v>
      </c>
      <c r="I5">
        <v>0.96</v>
      </c>
      <c r="J5">
        <v>0.97</v>
      </c>
      <c r="K5">
        <v>0.97</v>
      </c>
      <c r="L5">
        <v>1.03</v>
      </c>
      <c r="M5">
        <v>1.04</v>
      </c>
      <c r="N5">
        <v>0.97</v>
      </c>
      <c r="O5">
        <v>0.93</v>
      </c>
      <c r="P5">
        <v>0.95</v>
      </c>
      <c r="Q5">
        <v>0.84</v>
      </c>
      <c r="R5">
        <v>0.87</v>
      </c>
      <c r="S5">
        <v>0.95</v>
      </c>
      <c r="T5">
        <v>0.93</v>
      </c>
      <c r="U5">
        <v>0.93</v>
      </c>
      <c r="V5">
        <v>0.93</v>
      </c>
      <c r="W5">
        <v>0.98</v>
      </c>
      <c r="X5">
        <v>0.98</v>
      </c>
      <c r="Y5">
        <v>0.92</v>
      </c>
      <c r="Z5">
        <v>0.88</v>
      </c>
      <c r="AA5">
        <v>0.87</v>
      </c>
    </row>
    <row r="6" spans="1:77" x14ac:dyDescent="0.25">
      <c r="A6" s="2" t="s">
        <v>80</v>
      </c>
      <c r="B6">
        <v>5.92</v>
      </c>
      <c r="C6">
        <v>5.49</v>
      </c>
      <c r="D6">
        <v>5.64</v>
      </c>
      <c r="E6">
        <v>5.75</v>
      </c>
      <c r="F6">
        <v>5.59</v>
      </c>
      <c r="G6">
        <v>5.93</v>
      </c>
      <c r="H6">
        <v>5.7</v>
      </c>
      <c r="I6">
        <v>5.9</v>
      </c>
      <c r="J6">
        <v>5.59</v>
      </c>
      <c r="K6">
        <v>5.82</v>
      </c>
      <c r="L6">
        <v>5.41</v>
      </c>
      <c r="M6">
        <v>5.44</v>
      </c>
      <c r="N6">
        <v>5.83</v>
      </c>
      <c r="O6">
        <v>5.8</v>
      </c>
      <c r="P6">
        <v>5.9</v>
      </c>
      <c r="Q6">
        <v>5.9</v>
      </c>
      <c r="R6">
        <v>6.17</v>
      </c>
      <c r="S6">
        <v>5.99</v>
      </c>
      <c r="T6">
        <v>6.35</v>
      </c>
      <c r="U6">
        <v>5.54</v>
      </c>
      <c r="V6">
        <v>5.88</v>
      </c>
      <c r="W6">
        <v>5.7</v>
      </c>
      <c r="X6">
        <v>5.68</v>
      </c>
      <c r="Y6">
        <v>5.87</v>
      </c>
      <c r="Z6">
        <v>5.47</v>
      </c>
      <c r="AA6">
        <v>5.79</v>
      </c>
    </row>
    <row r="7" spans="1:77" x14ac:dyDescent="0.25">
      <c r="A7" s="2" t="s">
        <v>81</v>
      </c>
      <c r="B7">
        <v>3.12</v>
      </c>
      <c r="C7">
        <v>2.89</v>
      </c>
      <c r="D7">
        <v>2.5</v>
      </c>
      <c r="E7">
        <v>2.6</v>
      </c>
      <c r="F7">
        <v>2.8</v>
      </c>
      <c r="G7">
        <v>3.02</v>
      </c>
      <c r="H7">
        <v>2.69</v>
      </c>
      <c r="I7">
        <v>2.81</v>
      </c>
      <c r="J7">
        <v>2.8</v>
      </c>
      <c r="K7">
        <v>2.84</v>
      </c>
      <c r="L7">
        <v>2.82</v>
      </c>
      <c r="M7">
        <v>2.83</v>
      </c>
      <c r="N7">
        <v>2.82</v>
      </c>
      <c r="O7">
        <v>2.91</v>
      </c>
      <c r="P7">
        <v>2.93</v>
      </c>
      <c r="Q7">
        <v>2.91</v>
      </c>
      <c r="R7">
        <v>3</v>
      </c>
      <c r="S7">
        <v>2.76</v>
      </c>
      <c r="T7">
        <v>3</v>
      </c>
      <c r="U7">
        <v>3.77</v>
      </c>
      <c r="V7">
        <v>3.84</v>
      </c>
      <c r="W7">
        <v>3.7</v>
      </c>
      <c r="X7">
        <v>3.61</v>
      </c>
      <c r="Y7">
        <v>3.56</v>
      </c>
      <c r="Z7">
        <v>3.77</v>
      </c>
      <c r="AA7">
        <v>3.84</v>
      </c>
    </row>
    <row r="8" spans="1:77" x14ac:dyDescent="0.25">
      <c r="A8" s="2" t="s">
        <v>82</v>
      </c>
      <c r="B8">
        <v>7.22</v>
      </c>
      <c r="C8">
        <v>7.74</v>
      </c>
      <c r="D8">
        <v>6.67</v>
      </c>
      <c r="E8">
        <v>6.74</v>
      </c>
      <c r="F8">
        <v>6.72</v>
      </c>
      <c r="G8">
        <v>6.86</v>
      </c>
      <c r="H8">
        <v>6.36</v>
      </c>
      <c r="I8">
        <v>7.02</v>
      </c>
      <c r="J8">
        <v>7.16</v>
      </c>
      <c r="K8">
        <v>7.02</v>
      </c>
      <c r="L8">
        <v>7.25</v>
      </c>
      <c r="M8">
        <v>7.31</v>
      </c>
      <c r="N8">
        <v>7.05</v>
      </c>
      <c r="O8">
        <v>6.58</v>
      </c>
      <c r="P8">
        <v>6.44</v>
      </c>
      <c r="Q8">
        <v>7.54</v>
      </c>
      <c r="R8">
        <v>7.54</v>
      </c>
      <c r="S8">
        <v>7.63</v>
      </c>
      <c r="T8">
        <v>7.36</v>
      </c>
      <c r="U8">
        <v>7.63</v>
      </c>
      <c r="V8">
        <v>7.55</v>
      </c>
      <c r="W8">
        <v>7.13</v>
      </c>
      <c r="X8">
        <v>7.24</v>
      </c>
      <c r="Y8">
        <v>7.15</v>
      </c>
      <c r="Z8">
        <v>6.86</v>
      </c>
      <c r="AA8">
        <v>6.8</v>
      </c>
    </row>
    <row r="9" spans="1:77" x14ac:dyDescent="0.25">
      <c r="A9" s="2" t="s">
        <v>83</v>
      </c>
      <c r="B9">
        <v>0.36</v>
      </c>
      <c r="C9">
        <v>0.34</v>
      </c>
      <c r="D9">
        <v>0.35</v>
      </c>
      <c r="E9">
        <v>0.32</v>
      </c>
      <c r="F9">
        <v>0.35</v>
      </c>
      <c r="G9">
        <v>0.32</v>
      </c>
      <c r="H9">
        <v>0.32</v>
      </c>
      <c r="I9">
        <v>0.34</v>
      </c>
      <c r="J9">
        <v>0.38</v>
      </c>
      <c r="K9">
        <v>0.35</v>
      </c>
      <c r="L9">
        <v>0.35</v>
      </c>
      <c r="M9">
        <v>0.35</v>
      </c>
      <c r="N9">
        <v>0.32</v>
      </c>
      <c r="O9">
        <v>0.35</v>
      </c>
      <c r="P9">
        <v>0.3</v>
      </c>
      <c r="Q9">
        <v>0.32</v>
      </c>
      <c r="R9">
        <v>0.35</v>
      </c>
      <c r="S9">
        <v>0.35</v>
      </c>
      <c r="T9">
        <v>0.31</v>
      </c>
      <c r="U9">
        <v>0.32</v>
      </c>
      <c r="V9">
        <v>0.31</v>
      </c>
      <c r="W9">
        <v>0.32</v>
      </c>
      <c r="X9">
        <v>0.31</v>
      </c>
      <c r="Y9">
        <v>0.32</v>
      </c>
      <c r="Z9">
        <v>0.31</v>
      </c>
      <c r="AA9">
        <v>0.31</v>
      </c>
    </row>
    <row r="10" spans="1:77" x14ac:dyDescent="0.25">
      <c r="A10" s="2" t="s">
        <v>84</v>
      </c>
      <c r="B10">
        <v>0.82</v>
      </c>
      <c r="C10">
        <v>0.77</v>
      </c>
      <c r="D10">
        <v>0.8</v>
      </c>
      <c r="E10">
        <v>0.78</v>
      </c>
      <c r="F10">
        <v>0.76</v>
      </c>
      <c r="G10">
        <v>0.76</v>
      </c>
      <c r="H10">
        <v>0.78</v>
      </c>
      <c r="I10">
        <v>0.73</v>
      </c>
      <c r="J10">
        <v>0.75</v>
      </c>
      <c r="K10">
        <v>0.74</v>
      </c>
      <c r="L10">
        <v>0.77</v>
      </c>
      <c r="M10">
        <v>0.78</v>
      </c>
      <c r="N10">
        <v>0.84</v>
      </c>
      <c r="O10">
        <v>0.83</v>
      </c>
      <c r="P10">
        <v>0.92</v>
      </c>
      <c r="Q10">
        <v>0.83</v>
      </c>
      <c r="R10">
        <v>0.85</v>
      </c>
      <c r="S10">
        <v>0.82</v>
      </c>
      <c r="T10">
        <v>0.8</v>
      </c>
      <c r="U10">
        <v>0.8</v>
      </c>
      <c r="V10">
        <v>0.87</v>
      </c>
      <c r="W10">
        <v>0.73</v>
      </c>
      <c r="X10">
        <v>0.75</v>
      </c>
      <c r="Y10">
        <v>0.78</v>
      </c>
      <c r="Z10">
        <v>0.74</v>
      </c>
      <c r="AA10">
        <v>0.74</v>
      </c>
    </row>
    <row r="11" spans="1:77" x14ac:dyDescent="0.25">
      <c r="A11" s="2" t="s">
        <v>85</v>
      </c>
      <c r="B11">
        <v>0.35</v>
      </c>
      <c r="C11">
        <v>0.34</v>
      </c>
      <c r="D11">
        <v>0.34</v>
      </c>
      <c r="E11">
        <v>0.34</v>
      </c>
      <c r="F11">
        <v>0.31</v>
      </c>
      <c r="G11">
        <v>0.3</v>
      </c>
      <c r="H11">
        <v>0.3</v>
      </c>
      <c r="I11">
        <v>0.31</v>
      </c>
      <c r="J11">
        <v>0.34</v>
      </c>
      <c r="K11">
        <v>0.34</v>
      </c>
      <c r="L11">
        <v>0.32</v>
      </c>
      <c r="M11">
        <v>0.31</v>
      </c>
      <c r="N11">
        <v>0.31</v>
      </c>
      <c r="O11">
        <v>0.31</v>
      </c>
      <c r="P11">
        <v>0.32</v>
      </c>
      <c r="Q11">
        <v>0.3</v>
      </c>
      <c r="R11">
        <v>0.31</v>
      </c>
      <c r="S11">
        <v>0.32</v>
      </c>
      <c r="T11">
        <v>0.3</v>
      </c>
      <c r="U11">
        <v>0.3</v>
      </c>
      <c r="V11">
        <v>0.28000000000000003</v>
      </c>
      <c r="W11">
        <v>0.31</v>
      </c>
      <c r="X11">
        <v>0.28999999999999998</v>
      </c>
      <c r="Y11">
        <v>0.3</v>
      </c>
      <c r="Z11">
        <v>0.28999999999999998</v>
      </c>
      <c r="AA11">
        <v>0.3</v>
      </c>
    </row>
    <row r="12" spans="1:77" x14ac:dyDescent="0.25">
      <c r="A12" s="2" t="s">
        <v>86</v>
      </c>
      <c r="B12">
        <v>3.61</v>
      </c>
      <c r="C12">
        <v>3.49</v>
      </c>
      <c r="D12">
        <v>3.47</v>
      </c>
      <c r="E12">
        <v>3.92</v>
      </c>
      <c r="F12">
        <v>3.58</v>
      </c>
      <c r="G12">
        <v>3.49</v>
      </c>
      <c r="H12">
        <v>3.49</v>
      </c>
      <c r="I12">
        <v>3.49</v>
      </c>
      <c r="J12">
        <v>3.05</v>
      </c>
      <c r="K12">
        <v>3.46</v>
      </c>
      <c r="L12">
        <v>3.46</v>
      </c>
      <c r="M12">
        <v>4.21</v>
      </c>
      <c r="N12">
        <v>3.94</v>
      </c>
      <c r="O12">
        <v>3.62</v>
      </c>
      <c r="P12">
        <v>3.86</v>
      </c>
      <c r="Q12">
        <v>3.8</v>
      </c>
      <c r="R12">
        <v>3.8</v>
      </c>
      <c r="S12">
        <v>3.72</v>
      </c>
      <c r="T12">
        <v>3.1</v>
      </c>
      <c r="U12">
        <v>3.06</v>
      </c>
      <c r="V12">
        <v>3.08</v>
      </c>
      <c r="W12">
        <v>3.06</v>
      </c>
      <c r="X12">
        <v>3.06</v>
      </c>
      <c r="Y12">
        <v>3.06</v>
      </c>
      <c r="Z12">
        <v>3.06</v>
      </c>
      <c r="AA12">
        <v>3.07</v>
      </c>
    </row>
    <row r="13" spans="1:77" x14ac:dyDescent="0.25">
      <c r="A13" s="2" t="s">
        <v>87</v>
      </c>
      <c r="B13">
        <v>0.3</v>
      </c>
      <c r="C13">
        <v>0.3</v>
      </c>
      <c r="D13">
        <v>0.34</v>
      </c>
      <c r="E13">
        <v>0.34</v>
      </c>
      <c r="F13">
        <v>0.32</v>
      </c>
      <c r="G13">
        <v>0.36</v>
      </c>
      <c r="H13">
        <v>0.34</v>
      </c>
      <c r="I13">
        <v>0.3</v>
      </c>
      <c r="J13">
        <v>0.34</v>
      </c>
      <c r="K13">
        <v>0.32</v>
      </c>
      <c r="L13">
        <v>0.34</v>
      </c>
      <c r="M13">
        <v>0.3</v>
      </c>
      <c r="N13">
        <v>0.31</v>
      </c>
      <c r="O13">
        <v>0.32</v>
      </c>
      <c r="P13">
        <v>0.3</v>
      </c>
      <c r="Q13">
        <v>0.32</v>
      </c>
      <c r="R13">
        <v>0.32</v>
      </c>
      <c r="S13">
        <v>0.28999999999999998</v>
      </c>
      <c r="T13">
        <v>0.28999999999999998</v>
      </c>
      <c r="U13">
        <v>0.28999999999999998</v>
      </c>
      <c r="V13">
        <v>0.28000000000000003</v>
      </c>
      <c r="W13">
        <v>0.25</v>
      </c>
      <c r="X13">
        <v>0.28999999999999998</v>
      </c>
      <c r="Y13">
        <v>0.27</v>
      </c>
      <c r="Z13">
        <v>0.28000000000000003</v>
      </c>
      <c r="AA13">
        <v>0.27</v>
      </c>
    </row>
    <row r="14" spans="1:77" x14ac:dyDescent="0.25">
      <c r="A14" s="2" t="s">
        <v>88</v>
      </c>
      <c r="B14">
        <v>0.89</v>
      </c>
      <c r="C14">
        <v>0.88</v>
      </c>
      <c r="D14">
        <v>0.96</v>
      </c>
      <c r="E14">
        <v>0.92</v>
      </c>
      <c r="F14">
        <v>0.87</v>
      </c>
      <c r="G14">
        <v>0.92</v>
      </c>
      <c r="H14">
        <v>0.86</v>
      </c>
      <c r="I14">
        <v>0.87</v>
      </c>
      <c r="J14">
        <v>0.88</v>
      </c>
      <c r="K14">
        <v>0.94</v>
      </c>
      <c r="L14">
        <v>0.93</v>
      </c>
      <c r="M14">
        <v>0.84</v>
      </c>
      <c r="N14">
        <v>0.87</v>
      </c>
      <c r="O14">
        <v>0.86</v>
      </c>
      <c r="P14">
        <v>0.93</v>
      </c>
      <c r="Q14">
        <v>0.82</v>
      </c>
      <c r="R14">
        <v>0.88</v>
      </c>
      <c r="S14">
        <v>0.77</v>
      </c>
      <c r="T14">
        <v>0.89</v>
      </c>
      <c r="U14">
        <v>0.92</v>
      </c>
      <c r="V14">
        <v>0.85</v>
      </c>
      <c r="W14">
        <v>0.81</v>
      </c>
      <c r="X14">
        <v>0.84</v>
      </c>
      <c r="Y14">
        <v>0.87</v>
      </c>
      <c r="Z14">
        <v>0.81</v>
      </c>
      <c r="AA14">
        <v>0.92</v>
      </c>
    </row>
    <row r="15" spans="1:77" x14ac:dyDescent="0.25">
      <c r="A15" s="2"/>
    </row>
    <row r="16" spans="1:77" x14ac:dyDescent="0.25">
      <c r="A16" s="2"/>
      <c r="B16" s="2">
        <f>SUM(B5:B14)</f>
        <v>23.470000000000002</v>
      </c>
      <c r="C16" s="2">
        <f t="shared" ref="C16:L16" si="0">SUM(C5:C14)</f>
        <v>23.17</v>
      </c>
      <c r="D16" s="2">
        <f t="shared" si="0"/>
        <v>22.01</v>
      </c>
      <c r="E16" s="2">
        <f t="shared" si="0"/>
        <v>22.600000000000005</v>
      </c>
      <c r="F16" s="2">
        <f t="shared" si="0"/>
        <v>22.220000000000002</v>
      </c>
      <c r="G16" s="2">
        <f t="shared" si="0"/>
        <v>22.89</v>
      </c>
      <c r="H16" s="2">
        <f t="shared" si="0"/>
        <v>21.77</v>
      </c>
      <c r="I16" s="2">
        <f t="shared" si="0"/>
        <v>22.729999999999997</v>
      </c>
      <c r="J16" s="2">
        <f t="shared" si="0"/>
        <v>22.259999999999998</v>
      </c>
      <c r="K16" s="2">
        <f t="shared" si="0"/>
        <v>22.8</v>
      </c>
      <c r="L16" s="2">
        <f t="shared" si="0"/>
        <v>22.68</v>
      </c>
      <c r="M16" s="2">
        <f t="shared" ref="M16:Z16" si="1">SUM(M5:M14)</f>
        <v>23.410000000000004</v>
      </c>
      <c r="N16" s="2">
        <f t="shared" si="1"/>
        <v>23.259999999999998</v>
      </c>
      <c r="O16" s="2">
        <f t="shared" si="1"/>
        <v>22.509999999999998</v>
      </c>
      <c r="P16" s="2">
        <f t="shared" si="1"/>
        <v>22.850000000000005</v>
      </c>
      <c r="Q16" s="2">
        <f t="shared" si="1"/>
        <v>23.580000000000002</v>
      </c>
      <c r="R16" s="2">
        <f t="shared" si="1"/>
        <v>24.09</v>
      </c>
      <c r="S16" s="2">
        <f t="shared" si="1"/>
        <v>23.599999999999998</v>
      </c>
      <c r="T16" s="2">
        <f t="shared" si="1"/>
        <v>23.330000000000002</v>
      </c>
      <c r="U16" s="2">
        <f t="shared" si="1"/>
        <v>23.560000000000002</v>
      </c>
      <c r="V16" s="2">
        <f t="shared" si="1"/>
        <v>23.870000000000005</v>
      </c>
      <c r="W16" s="2">
        <f t="shared" si="1"/>
        <v>22.989999999999995</v>
      </c>
      <c r="X16" s="2">
        <f t="shared" si="1"/>
        <v>23.049999999999994</v>
      </c>
      <c r="Y16" s="2">
        <f t="shared" si="1"/>
        <v>23.1</v>
      </c>
      <c r="Z16" s="2">
        <f t="shared" si="1"/>
        <v>22.469999999999995</v>
      </c>
      <c r="AA16" s="2">
        <f t="shared" ref="AA16:BY16" si="2">SUM(AA5:AA14)</f>
        <v>22.91</v>
      </c>
      <c r="AB16" s="2">
        <f t="shared" si="2"/>
        <v>0</v>
      </c>
      <c r="AC16" s="2">
        <f t="shared" si="2"/>
        <v>0</v>
      </c>
      <c r="AD16" s="2">
        <f t="shared" si="2"/>
        <v>0</v>
      </c>
      <c r="AE16" s="2">
        <f t="shared" si="2"/>
        <v>0</v>
      </c>
      <c r="AF16" s="2">
        <f t="shared" si="2"/>
        <v>0</v>
      </c>
      <c r="AG16" s="2">
        <f t="shared" si="2"/>
        <v>0</v>
      </c>
      <c r="AH16" s="2">
        <f t="shared" si="2"/>
        <v>0</v>
      </c>
      <c r="AI16" s="2">
        <f t="shared" si="2"/>
        <v>0</v>
      </c>
      <c r="AJ16" s="2">
        <f t="shared" si="2"/>
        <v>0</v>
      </c>
      <c r="AK16" s="2">
        <f t="shared" si="2"/>
        <v>0</v>
      </c>
      <c r="AL16" s="2">
        <f t="shared" si="2"/>
        <v>0</v>
      </c>
      <c r="AM16" s="2">
        <f t="shared" si="2"/>
        <v>0</v>
      </c>
      <c r="AN16" s="2">
        <f t="shared" si="2"/>
        <v>0</v>
      </c>
      <c r="AO16" s="2">
        <f t="shared" si="2"/>
        <v>0</v>
      </c>
      <c r="AP16" s="2">
        <f t="shared" si="2"/>
        <v>0</v>
      </c>
      <c r="AQ16" s="2">
        <f t="shared" si="2"/>
        <v>0</v>
      </c>
      <c r="AR16" s="2">
        <f t="shared" si="2"/>
        <v>0</v>
      </c>
      <c r="AS16" s="2">
        <f t="shared" si="2"/>
        <v>0</v>
      </c>
      <c r="AT16" s="2">
        <f t="shared" si="2"/>
        <v>0</v>
      </c>
      <c r="AU16" s="2">
        <f t="shared" si="2"/>
        <v>0</v>
      </c>
      <c r="AV16" s="2">
        <f t="shared" si="2"/>
        <v>0</v>
      </c>
      <c r="AW16" s="2">
        <f t="shared" si="2"/>
        <v>0</v>
      </c>
      <c r="AX16" s="2">
        <f t="shared" si="2"/>
        <v>0</v>
      </c>
      <c r="AY16" s="2">
        <f t="shared" si="2"/>
        <v>0</v>
      </c>
      <c r="AZ16" s="2">
        <f t="shared" si="2"/>
        <v>0</v>
      </c>
      <c r="BA16" s="2">
        <f t="shared" si="2"/>
        <v>0</v>
      </c>
      <c r="BB16" s="2">
        <f t="shared" si="2"/>
        <v>0</v>
      </c>
      <c r="BC16" s="2">
        <f t="shared" si="2"/>
        <v>0</v>
      </c>
      <c r="BD16" s="2">
        <f t="shared" si="2"/>
        <v>0</v>
      </c>
      <c r="BE16" s="2">
        <f t="shared" si="2"/>
        <v>0</v>
      </c>
      <c r="BF16" s="2">
        <f t="shared" si="2"/>
        <v>0</v>
      </c>
      <c r="BG16" s="2">
        <f t="shared" si="2"/>
        <v>0</v>
      </c>
      <c r="BH16" s="2">
        <f t="shared" si="2"/>
        <v>0</v>
      </c>
      <c r="BI16" s="2">
        <f t="shared" si="2"/>
        <v>0</v>
      </c>
      <c r="BJ16" s="2">
        <f t="shared" si="2"/>
        <v>0</v>
      </c>
      <c r="BK16" s="2">
        <f t="shared" si="2"/>
        <v>0</v>
      </c>
      <c r="BL16" s="2">
        <f t="shared" si="2"/>
        <v>0</v>
      </c>
      <c r="BM16" s="2">
        <f t="shared" si="2"/>
        <v>0</v>
      </c>
      <c r="BN16" s="2">
        <f t="shared" si="2"/>
        <v>0</v>
      </c>
      <c r="BO16" s="2">
        <f t="shared" si="2"/>
        <v>0</v>
      </c>
      <c r="BP16" s="2">
        <f t="shared" si="2"/>
        <v>0</v>
      </c>
      <c r="BQ16" s="2">
        <f t="shared" si="2"/>
        <v>0</v>
      </c>
      <c r="BR16" s="2">
        <f t="shared" si="2"/>
        <v>0</v>
      </c>
      <c r="BS16" s="2">
        <f t="shared" si="2"/>
        <v>0</v>
      </c>
      <c r="BT16" s="2">
        <f t="shared" si="2"/>
        <v>0</v>
      </c>
      <c r="BU16" s="2">
        <f t="shared" si="2"/>
        <v>0</v>
      </c>
      <c r="BV16" s="2">
        <f t="shared" si="2"/>
        <v>0</v>
      </c>
      <c r="BW16" s="2">
        <f t="shared" si="2"/>
        <v>0</v>
      </c>
      <c r="BX16" s="2">
        <f t="shared" si="2"/>
        <v>0</v>
      </c>
      <c r="BY16" s="2">
        <f t="shared" si="2"/>
        <v>0</v>
      </c>
    </row>
    <row r="17" spans="1:77" x14ac:dyDescent="0.25">
      <c r="A17" s="2"/>
    </row>
    <row r="18" spans="1:77" x14ac:dyDescent="0.25">
      <c r="A18" s="2"/>
    </row>
    <row r="20" spans="1:77" ht="21" x14ac:dyDescent="0.35">
      <c r="A20" s="5" t="s">
        <v>33</v>
      </c>
      <c r="B20" s="2"/>
      <c r="C20" s="2"/>
      <c r="D20" s="2"/>
      <c r="E20" s="2"/>
    </row>
    <row r="22" spans="1:77" x14ac:dyDescent="0.25">
      <c r="A22" t="s">
        <v>12</v>
      </c>
    </row>
    <row r="23" spans="1:77" x14ac:dyDescent="0.25">
      <c r="B23" s="1">
        <f>B4</f>
        <v>44331</v>
      </c>
      <c r="C23" s="1">
        <f t="shared" ref="C23:L23" si="3">C4</f>
        <v>44332</v>
      </c>
      <c r="D23" s="1">
        <f t="shared" si="3"/>
        <v>44334</v>
      </c>
      <c r="E23" s="1">
        <f t="shared" si="3"/>
        <v>44336</v>
      </c>
      <c r="F23" s="1">
        <f t="shared" si="3"/>
        <v>44337</v>
      </c>
      <c r="G23" s="1">
        <f t="shared" si="3"/>
        <v>44338</v>
      </c>
      <c r="H23" s="1">
        <f t="shared" si="3"/>
        <v>44339</v>
      </c>
      <c r="I23" s="1">
        <f t="shared" si="3"/>
        <v>44340</v>
      </c>
      <c r="J23" s="1">
        <f t="shared" si="3"/>
        <v>44341</v>
      </c>
      <c r="K23" s="1">
        <f t="shared" si="3"/>
        <v>44342</v>
      </c>
      <c r="L23" s="1">
        <f t="shared" si="3"/>
        <v>44343</v>
      </c>
      <c r="M23" s="1">
        <f t="shared" ref="M23:Z23" si="4">M4</f>
        <v>44344</v>
      </c>
      <c r="N23" s="1">
        <f t="shared" si="4"/>
        <v>44345</v>
      </c>
      <c r="O23" s="1">
        <f t="shared" si="4"/>
        <v>44346</v>
      </c>
      <c r="P23" s="1">
        <f t="shared" si="4"/>
        <v>44347</v>
      </c>
      <c r="Q23" s="1">
        <f t="shared" si="4"/>
        <v>44348</v>
      </c>
      <c r="R23" s="1">
        <f t="shared" si="4"/>
        <v>44349</v>
      </c>
      <c r="S23" s="1">
        <f t="shared" si="4"/>
        <v>44350</v>
      </c>
      <c r="T23" s="1">
        <f t="shared" si="4"/>
        <v>44351</v>
      </c>
      <c r="U23" s="1">
        <f t="shared" si="4"/>
        <v>44352</v>
      </c>
      <c r="V23" s="1">
        <f t="shared" si="4"/>
        <v>44353</v>
      </c>
      <c r="W23" s="1">
        <f t="shared" si="4"/>
        <v>44354</v>
      </c>
      <c r="X23" s="1">
        <f t="shared" si="4"/>
        <v>44355</v>
      </c>
      <c r="Y23" s="1">
        <f t="shared" si="4"/>
        <v>44356</v>
      </c>
      <c r="Z23" s="1">
        <f t="shared" si="4"/>
        <v>44357</v>
      </c>
      <c r="AA23" s="1">
        <f t="shared" ref="AA23:BY23" si="5">AA4</f>
        <v>44358</v>
      </c>
      <c r="AB23" s="1">
        <f t="shared" si="5"/>
        <v>44359</v>
      </c>
      <c r="AC23" s="1">
        <f t="shared" si="5"/>
        <v>44360</v>
      </c>
      <c r="AD23" s="1">
        <f t="shared" si="5"/>
        <v>44361</v>
      </c>
      <c r="AE23" s="1">
        <f t="shared" si="5"/>
        <v>44362</v>
      </c>
      <c r="AF23" s="1">
        <f t="shared" si="5"/>
        <v>44363</v>
      </c>
      <c r="AG23" s="1">
        <f t="shared" si="5"/>
        <v>44364</v>
      </c>
      <c r="AH23" s="1">
        <f t="shared" si="5"/>
        <v>44365</v>
      </c>
      <c r="AI23" s="1">
        <f t="shared" si="5"/>
        <v>44366</v>
      </c>
      <c r="AJ23" s="1">
        <f t="shared" si="5"/>
        <v>44367</v>
      </c>
      <c r="AK23" s="1">
        <f t="shared" si="5"/>
        <v>44368</v>
      </c>
      <c r="AL23" s="1">
        <f t="shared" si="5"/>
        <v>44369</v>
      </c>
      <c r="AM23" s="1">
        <f t="shared" si="5"/>
        <v>44370</v>
      </c>
      <c r="AN23" s="1">
        <f t="shared" si="5"/>
        <v>44371</v>
      </c>
      <c r="AO23" s="1">
        <f t="shared" si="5"/>
        <v>44372</v>
      </c>
      <c r="AP23" s="1">
        <f t="shared" si="5"/>
        <v>44373</v>
      </c>
      <c r="AQ23" s="1">
        <f t="shared" si="5"/>
        <v>44374</v>
      </c>
      <c r="AR23" s="1">
        <f t="shared" si="5"/>
        <v>44375</v>
      </c>
      <c r="AS23" s="1">
        <f t="shared" si="5"/>
        <v>44376</v>
      </c>
      <c r="AT23" s="1">
        <f t="shared" si="5"/>
        <v>44377</v>
      </c>
      <c r="AU23" s="1">
        <f t="shared" si="5"/>
        <v>44378</v>
      </c>
      <c r="AV23" s="1">
        <f t="shared" si="5"/>
        <v>44379</v>
      </c>
      <c r="AW23" s="1">
        <f t="shared" si="5"/>
        <v>44380</v>
      </c>
      <c r="AX23" s="1">
        <f t="shared" si="5"/>
        <v>44381</v>
      </c>
      <c r="AY23" s="1">
        <f t="shared" si="5"/>
        <v>44382</v>
      </c>
      <c r="AZ23" s="1">
        <f t="shared" si="5"/>
        <v>44383</v>
      </c>
      <c r="BA23" s="1">
        <f t="shared" si="5"/>
        <v>44384</v>
      </c>
      <c r="BB23" s="1">
        <f t="shared" si="5"/>
        <v>44385</v>
      </c>
      <c r="BC23" s="1">
        <f t="shared" si="5"/>
        <v>44386</v>
      </c>
      <c r="BD23" s="1">
        <f t="shared" si="5"/>
        <v>44387</v>
      </c>
      <c r="BE23" s="1">
        <f t="shared" si="5"/>
        <v>44388</v>
      </c>
      <c r="BF23" s="1">
        <f t="shared" si="5"/>
        <v>44389</v>
      </c>
      <c r="BG23" s="1">
        <f t="shared" si="5"/>
        <v>44390</v>
      </c>
      <c r="BH23" s="1">
        <f t="shared" si="5"/>
        <v>44391</v>
      </c>
      <c r="BI23" s="1">
        <f t="shared" si="5"/>
        <v>44392</v>
      </c>
      <c r="BJ23" s="1">
        <f t="shared" si="5"/>
        <v>44393</v>
      </c>
      <c r="BK23" s="1">
        <f t="shared" si="5"/>
        <v>44394</v>
      </c>
      <c r="BL23" s="1">
        <f t="shared" si="5"/>
        <v>44395</v>
      </c>
      <c r="BM23" s="1">
        <f t="shared" si="5"/>
        <v>44396</v>
      </c>
      <c r="BN23" s="1">
        <f t="shared" si="5"/>
        <v>44397</v>
      </c>
      <c r="BO23" s="1">
        <f t="shared" si="5"/>
        <v>44398</v>
      </c>
      <c r="BP23" s="1">
        <f t="shared" si="5"/>
        <v>44399</v>
      </c>
      <c r="BQ23" s="1">
        <f t="shared" si="5"/>
        <v>44400</v>
      </c>
      <c r="BR23" s="1">
        <f t="shared" si="5"/>
        <v>44401</v>
      </c>
      <c r="BS23" s="1">
        <f t="shared" si="5"/>
        <v>44402</v>
      </c>
      <c r="BT23" s="1">
        <f t="shared" si="5"/>
        <v>44403</v>
      </c>
      <c r="BU23" s="1">
        <f t="shared" si="5"/>
        <v>44404</v>
      </c>
      <c r="BV23" s="1">
        <f t="shared" si="5"/>
        <v>44405</v>
      </c>
      <c r="BW23" s="1">
        <f t="shared" si="5"/>
        <v>44406</v>
      </c>
      <c r="BX23" s="1">
        <f t="shared" si="5"/>
        <v>44407</v>
      </c>
      <c r="BY23" s="1">
        <f t="shared" si="5"/>
        <v>44408</v>
      </c>
    </row>
    <row r="24" spans="1:77" x14ac:dyDescent="0.25">
      <c r="A24" s="2" t="s">
        <v>79</v>
      </c>
      <c r="B24">
        <f>ROUNDDOWN((B5-ROUNDUP(B5*0.1,2)-ROUNDUP(B5*0.05,2))*0.8,2)</f>
        <v>0.59</v>
      </c>
      <c r="C24">
        <f t="shared" ref="C24:L24" si="6">ROUNDDOWN((C5-ROUNDUP(C5*0.1,2)-ROUNDUP(C5*0.05,2))*0.8,2)</f>
        <v>0.62</v>
      </c>
      <c r="D24">
        <f t="shared" si="6"/>
        <v>0.63</v>
      </c>
      <c r="E24">
        <f t="shared" si="6"/>
        <v>0.6</v>
      </c>
      <c r="F24">
        <f t="shared" si="6"/>
        <v>0.61</v>
      </c>
      <c r="G24">
        <f t="shared" si="6"/>
        <v>0.62</v>
      </c>
      <c r="H24">
        <f t="shared" si="6"/>
        <v>0.62</v>
      </c>
      <c r="I24">
        <f t="shared" si="6"/>
        <v>0.64</v>
      </c>
      <c r="J24">
        <f t="shared" si="6"/>
        <v>0.65</v>
      </c>
      <c r="K24">
        <f t="shared" si="6"/>
        <v>0.65</v>
      </c>
      <c r="L24">
        <f t="shared" si="6"/>
        <v>0.68</v>
      </c>
      <c r="M24">
        <f t="shared" ref="M24:Z24" si="7">ROUNDDOWN((M5-ROUNDUP(M5*0.1,2)-ROUNDUP(M5*0.05,2))*0.8,2)</f>
        <v>0.69</v>
      </c>
      <c r="N24">
        <f t="shared" si="7"/>
        <v>0.65</v>
      </c>
      <c r="O24">
        <f t="shared" si="7"/>
        <v>0.62</v>
      </c>
      <c r="P24">
        <f t="shared" si="7"/>
        <v>0.64</v>
      </c>
      <c r="Q24">
        <f t="shared" si="7"/>
        <v>0.56000000000000005</v>
      </c>
      <c r="R24">
        <f t="shared" si="7"/>
        <v>0.57999999999999996</v>
      </c>
      <c r="S24">
        <f t="shared" si="7"/>
        <v>0.64</v>
      </c>
      <c r="T24">
        <f t="shared" si="7"/>
        <v>0.62</v>
      </c>
      <c r="U24">
        <f t="shared" si="7"/>
        <v>0.62</v>
      </c>
      <c r="V24">
        <f t="shared" si="7"/>
        <v>0.62</v>
      </c>
      <c r="W24">
        <f t="shared" si="7"/>
        <v>0.66</v>
      </c>
      <c r="X24">
        <f t="shared" si="7"/>
        <v>0.66</v>
      </c>
      <c r="Y24">
        <f t="shared" si="7"/>
        <v>0.61</v>
      </c>
      <c r="Z24">
        <f t="shared" si="7"/>
        <v>0.59</v>
      </c>
      <c r="AA24">
        <f t="shared" ref="AA24:BY24" si="8">ROUNDDOWN((AA5-ROUNDUP(AA5*0.1,2)-ROUNDUP(AA5*0.05,2))*0.8,2)</f>
        <v>0.57999999999999996</v>
      </c>
      <c r="AB24">
        <f t="shared" si="8"/>
        <v>0</v>
      </c>
      <c r="AC24">
        <f t="shared" si="8"/>
        <v>0</v>
      </c>
      <c r="AD24">
        <f t="shared" si="8"/>
        <v>0</v>
      </c>
      <c r="AE24">
        <f t="shared" si="8"/>
        <v>0</v>
      </c>
      <c r="AF24">
        <f t="shared" si="8"/>
        <v>0</v>
      </c>
      <c r="AG24">
        <f t="shared" si="8"/>
        <v>0</v>
      </c>
      <c r="AH24">
        <f t="shared" si="8"/>
        <v>0</v>
      </c>
      <c r="AI24">
        <f t="shared" si="8"/>
        <v>0</v>
      </c>
      <c r="AJ24">
        <f t="shared" si="8"/>
        <v>0</v>
      </c>
      <c r="AK24">
        <f t="shared" si="8"/>
        <v>0</v>
      </c>
      <c r="AL24">
        <f t="shared" si="8"/>
        <v>0</v>
      </c>
      <c r="AM24">
        <f t="shared" si="8"/>
        <v>0</v>
      </c>
      <c r="AN24">
        <f t="shared" si="8"/>
        <v>0</v>
      </c>
      <c r="AO24">
        <f t="shared" si="8"/>
        <v>0</v>
      </c>
      <c r="AP24">
        <f t="shared" si="8"/>
        <v>0</v>
      </c>
      <c r="AQ24">
        <f t="shared" si="8"/>
        <v>0</v>
      </c>
      <c r="AR24">
        <f t="shared" si="8"/>
        <v>0</v>
      </c>
      <c r="AS24">
        <f t="shared" si="8"/>
        <v>0</v>
      </c>
      <c r="AT24">
        <f t="shared" si="8"/>
        <v>0</v>
      </c>
      <c r="AU24">
        <f t="shared" si="8"/>
        <v>0</v>
      </c>
      <c r="AV24">
        <f t="shared" si="8"/>
        <v>0</v>
      </c>
      <c r="AW24">
        <f t="shared" si="8"/>
        <v>0</v>
      </c>
      <c r="AX24">
        <f t="shared" si="8"/>
        <v>0</v>
      </c>
      <c r="AY24">
        <f t="shared" si="8"/>
        <v>0</v>
      </c>
      <c r="AZ24">
        <f t="shared" si="8"/>
        <v>0</v>
      </c>
      <c r="BA24">
        <f t="shared" si="8"/>
        <v>0</v>
      </c>
      <c r="BB24">
        <f t="shared" si="8"/>
        <v>0</v>
      </c>
      <c r="BC24">
        <f t="shared" si="8"/>
        <v>0</v>
      </c>
      <c r="BD24">
        <f t="shared" si="8"/>
        <v>0</v>
      </c>
      <c r="BE24">
        <f t="shared" si="8"/>
        <v>0</v>
      </c>
      <c r="BF24">
        <f t="shared" si="8"/>
        <v>0</v>
      </c>
      <c r="BG24">
        <f t="shared" si="8"/>
        <v>0</v>
      </c>
      <c r="BH24">
        <f t="shared" si="8"/>
        <v>0</v>
      </c>
      <c r="BI24">
        <f t="shared" si="8"/>
        <v>0</v>
      </c>
      <c r="BJ24">
        <f t="shared" si="8"/>
        <v>0</v>
      </c>
      <c r="BK24">
        <f t="shared" si="8"/>
        <v>0</v>
      </c>
      <c r="BL24">
        <f t="shared" si="8"/>
        <v>0</v>
      </c>
      <c r="BM24">
        <f t="shared" si="8"/>
        <v>0</v>
      </c>
      <c r="BN24">
        <f t="shared" si="8"/>
        <v>0</v>
      </c>
      <c r="BO24">
        <f t="shared" si="8"/>
        <v>0</v>
      </c>
      <c r="BP24">
        <f t="shared" si="8"/>
        <v>0</v>
      </c>
      <c r="BQ24">
        <f t="shared" si="8"/>
        <v>0</v>
      </c>
      <c r="BR24">
        <f t="shared" si="8"/>
        <v>0</v>
      </c>
      <c r="BS24">
        <f t="shared" si="8"/>
        <v>0</v>
      </c>
      <c r="BT24">
        <f t="shared" si="8"/>
        <v>0</v>
      </c>
      <c r="BU24">
        <f t="shared" si="8"/>
        <v>0</v>
      </c>
      <c r="BV24">
        <f t="shared" si="8"/>
        <v>0</v>
      </c>
      <c r="BW24">
        <f t="shared" si="8"/>
        <v>0</v>
      </c>
      <c r="BX24">
        <f t="shared" si="8"/>
        <v>0</v>
      </c>
      <c r="BY24">
        <f t="shared" si="8"/>
        <v>0</v>
      </c>
    </row>
    <row r="25" spans="1:77" x14ac:dyDescent="0.25">
      <c r="A25" s="2" t="s">
        <v>80</v>
      </c>
      <c r="B25">
        <f t="shared" ref="B25:L33" si="9">ROUNDDOWN((B6-ROUNDUP(B6*0.1,2)-ROUNDUP(B6*0.05,2))*0.8,2)</f>
        <v>4.01</v>
      </c>
      <c r="C25">
        <f t="shared" si="9"/>
        <v>3.72</v>
      </c>
      <c r="D25">
        <f t="shared" si="9"/>
        <v>3.82</v>
      </c>
      <c r="E25">
        <f t="shared" si="9"/>
        <v>3.9</v>
      </c>
      <c r="F25">
        <f t="shared" si="9"/>
        <v>3.8</v>
      </c>
      <c r="G25">
        <f t="shared" si="9"/>
        <v>4.0199999999999996</v>
      </c>
      <c r="H25">
        <f t="shared" si="9"/>
        <v>3.87</v>
      </c>
      <c r="I25">
        <f t="shared" si="9"/>
        <v>4</v>
      </c>
      <c r="J25">
        <f t="shared" si="9"/>
        <v>3.8</v>
      </c>
      <c r="K25">
        <f t="shared" si="9"/>
        <v>3.94</v>
      </c>
      <c r="L25">
        <f t="shared" si="9"/>
        <v>3.66</v>
      </c>
      <c r="M25">
        <f t="shared" ref="M25:Z25" si="10">ROUNDDOWN((M6-ROUNDUP(M6*0.1,2)-ROUNDUP(M6*0.05,2))*0.8,2)</f>
        <v>3.68</v>
      </c>
      <c r="N25">
        <f t="shared" si="10"/>
        <v>3.95</v>
      </c>
      <c r="O25">
        <f t="shared" si="10"/>
        <v>3.94</v>
      </c>
      <c r="P25">
        <f t="shared" si="10"/>
        <v>4</v>
      </c>
      <c r="Q25">
        <f t="shared" si="10"/>
        <v>4</v>
      </c>
      <c r="R25">
        <f t="shared" si="10"/>
        <v>4.1900000000000004</v>
      </c>
      <c r="S25">
        <f t="shared" si="10"/>
        <v>4.07</v>
      </c>
      <c r="T25">
        <f t="shared" si="10"/>
        <v>4.3099999999999996</v>
      </c>
      <c r="U25">
        <f t="shared" si="10"/>
        <v>3.76</v>
      </c>
      <c r="V25">
        <f t="shared" si="10"/>
        <v>3.99</v>
      </c>
      <c r="W25">
        <f t="shared" si="10"/>
        <v>3.87</v>
      </c>
      <c r="X25">
        <f t="shared" si="10"/>
        <v>3.85</v>
      </c>
      <c r="Y25">
        <f t="shared" si="10"/>
        <v>3.98</v>
      </c>
      <c r="Z25">
        <f t="shared" si="10"/>
        <v>3.71</v>
      </c>
      <c r="AA25">
        <f t="shared" ref="AA25:BY25" si="11">ROUNDDOWN((AA6-ROUNDUP(AA6*0.1,2)-ROUNDUP(AA6*0.05,2))*0.8,2)</f>
        <v>3.93</v>
      </c>
      <c r="AB25">
        <f t="shared" si="11"/>
        <v>0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0</v>
      </c>
      <c r="AJ25">
        <f t="shared" si="11"/>
        <v>0</v>
      </c>
      <c r="AK25">
        <f t="shared" si="11"/>
        <v>0</v>
      </c>
      <c r="AL25">
        <f t="shared" si="11"/>
        <v>0</v>
      </c>
      <c r="AM25">
        <f t="shared" si="11"/>
        <v>0</v>
      </c>
      <c r="AN25">
        <f t="shared" si="11"/>
        <v>0</v>
      </c>
      <c r="AO25">
        <f t="shared" si="11"/>
        <v>0</v>
      </c>
      <c r="AP25">
        <f t="shared" si="11"/>
        <v>0</v>
      </c>
      <c r="AQ25">
        <f t="shared" si="11"/>
        <v>0</v>
      </c>
      <c r="AR25">
        <f t="shared" si="11"/>
        <v>0</v>
      </c>
      <c r="AS25">
        <f t="shared" si="11"/>
        <v>0</v>
      </c>
      <c r="AT25">
        <f t="shared" si="11"/>
        <v>0</v>
      </c>
      <c r="AU25">
        <f t="shared" si="11"/>
        <v>0</v>
      </c>
      <c r="AV25">
        <f t="shared" si="11"/>
        <v>0</v>
      </c>
      <c r="AW25">
        <f t="shared" si="11"/>
        <v>0</v>
      </c>
      <c r="AX25">
        <f t="shared" si="11"/>
        <v>0</v>
      </c>
      <c r="AY25">
        <f t="shared" si="11"/>
        <v>0</v>
      </c>
      <c r="AZ25">
        <f t="shared" si="11"/>
        <v>0</v>
      </c>
      <c r="BA25">
        <f t="shared" si="11"/>
        <v>0</v>
      </c>
      <c r="BB25">
        <f t="shared" si="11"/>
        <v>0</v>
      </c>
      <c r="BC25">
        <f t="shared" si="11"/>
        <v>0</v>
      </c>
      <c r="BD25">
        <f t="shared" si="11"/>
        <v>0</v>
      </c>
      <c r="BE25">
        <f t="shared" si="11"/>
        <v>0</v>
      </c>
      <c r="BF25">
        <f t="shared" si="11"/>
        <v>0</v>
      </c>
      <c r="BG25">
        <f t="shared" si="11"/>
        <v>0</v>
      </c>
      <c r="BH25">
        <f t="shared" si="11"/>
        <v>0</v>
      </c>
      <c r="BI25">
        <f t="shared" si="11"/>
        <v>0</v>
      </c>
      <c r="BJ25">
        <f t="shared" si="11"/>
        <v>0</v>
      </c>
      <c r="BK25">
        <f t="shared" si="11"/>
        <v>0</v>
      </c>
      <c r="BL25">
        <f t="shared" si="11"/>
        <v>0</v>
      </c>
      <c r="BM25">
        <f t="shared" si="11"/>
        <v>0</v>
      </c>
      <c r="BN25">
        <f t="shared" si="11"/>
        <v>0</v>
      </c>
      <c r="BO25">
        <f t="shared" si="11"/>
        <v>0</v>
      </c>
      <c r="BP25">
        <f t="shared" si="11"/>
        <v>0</v>
      </c>
      <c r="BQ25">
        <f t="shared" si="11"/>
        <v>0</v>
      </c>
      <c r="BR25">
        <f t="shared" si="11"/>
        <v>0</v>
      </c>
      <c r="BS25">
        <f t="shared" si="11"/>
        <v>0</v>
      </c>
      <c r="BT25">
        <f t="shared" si="11"/>
        <v>0</v>
      </c>
      <c r="BU25">
        <f t="shared" si="11"/>
        <v>0</v>
      </c>
      <c r="BV25">
        <f t="shared" si="11"/>
        <v>0</v>
      </c>
      <c r="BW25">
        <f t="shared" si="11"/>
        <v>0</v>
      </c>
      <c r="BX25">
        <f t="shared" si="11"/>
        <v>0</v>
      </c>
      <c r="BY25">
        <f t="shared" si="11"/>
        <v>0</v>
      </c>
    </row>
    <row r="26" spans="1:77" x14ac:dyDescent="0.25">
      <c r="A26" s="2" t="s">
        <v>81</v>
      </c>
      <c r="B26">
        <f t="shared" si="9"/>
        <v>2.11</v>
      </c>
      <c r="C26">
        <f t="shared" si="9"/>
        <v>1.96</v>
      </c>
      <c r="D26">
        <f t="shared" si="9"/>
        <v>1.69</v>
      </c>
      <c r="E26">
        <f t="shared" si="9"/>
        <v>1.76</v>
      </c>
      <c r="F26">
        <f t="shared" si="9"/>
        <v>1.9</v>
      </c>
      <c r="G26">
        <f t="shared" si="9"/>
        <v>2.04</v>
      </c>
      <c r="H26">
        <f t="shared" si="9"/>
        <v>1.82</v>
      </c>
      <c r="I26">
        <f t="shared" si="9"/>
        <v>1.89</v>
      </c>
      <c r="J26">
        <f t="shared" si="9"/>
        <v>1.9</v>
      </c>
      <c r="K26">
        <f t="shared" si="9"/>
        <v>1.92</v>
      </c>
      <c r="L26">
        <f t="shared" si="9"/>
        <v>1.9</v>
      </c>
      <c r="M26">
        <f t="shared" ref="M26:Z26" si="12">ROUNDDOWN((M7-ROUNDUP(M7*0.1,2)-ROUNDUP(M7*0.05,2))*0.8,2)</f>
        <v>1.91</v>
      </c>
      <c r="N26">
        <f t="shared" si="12"/>
        <v>1.9</v>
      </c>
      <c r="O26">
        <f t="shared" si="12"/>
        <v>1.96</v>
      </c>
      <c r="P26">
        <f t="shared" si="12"/>
        <v>1.98</v>
      </c>
      <c r="Q26">
        <f t="shared" si="12"/>
        <v>1.96</v>
      </c>
      <c r="R26">
        <f t="shared" si="12"/>
        <v>2.04</v>
      </c>
      <c r="S26">
        <f t="shared" si="12"/>
        <v>1.87</v>
      </c>
      <c r="T26">
        <f t="shared" si="12"/>
        <v>2.04</v>
      </c>
      <c r="U26">
        <f t="shared" si="12"/>
        <v>2.56</v>
      </c>
      <c r="V26">
        <f t="shared" si="12"/>
        <v>2.6</v>
      </c>
      <c r="W26">
        <f t="shared" si="12"/>
        <v>2.5099999999999998</v>
      </c>
      <c r="X26">
        <f t="shared" si="12"/>
        <v>2.44</v>
      </c>
      <c r="Y26">
        <f t="shared" si="12"/>
        <v>2.41</v>
      </c>
      <c r="Z26">
        <f t="shared" si="12"/>
        <v>2.56</v>
      </c>
      <c r="AA26">
        <f t="shared" ref="AA26:BY26" si="13">ROUNDDOWN((AA7-ROUNDUP(AA7*0.1,2)-ROUNDUP(AA7*0.05,2))*0.8,2)</f>
        <v>2.6</v>
      </c>
      <c r="AB26">
        <f t="shared" si="13"/>
        <v>0</v>
      </c>
      <c r="AC26">
        <f t="shared" si="13"/>
        <v>0</v>
      </c>
      <c r="AD26">
        <f t="shared" si="13"/>
        <v>0</v>
      </c>
      <c r="AE26">
        <f t="shared" si="13"/>
        <v>0</v>
      </c>
      <c r="AF26">
        <f t="shared" si="13"/>
        <v>0</v>
      </c>
      <c r="AG26">
        <f t="shared" si="13"/>
        <v>0</v>
      </c>
      <c r="AH26">
        <f t="shared" si="13"/>
        <v>0</v>
      </c>
      <c r="AI26">
        <f t="shared" si="13"/>
        <v>0</v>
      </c>
      <c r="AJ26">
        <f t="shared" si="13"/>
        <v>0</v>
      </c>
      <c r="AK26">
        <f t="shared" si="13"/>
        <v>0</v>
      </c>
      <c r="AL26">
        <f t="shared" si="13"/>
        <v>0</v>
      </c>
      <c r="AM26">
        <f t="shared" si="13"/>
        <v>0</v>
      </c>
      <c r="AN26">
        <f t="shared" si="13"/>
        <v>0</v>
      </c>
      <c r="AO26">
        <f t="shared" si="13"/>
        <v>0</v>
      </c>
      <c r="AP26">
        <f t="shared" si="13"/>
        <v>0</v>
      </c>
      <c r="AQ26">
        <f t="shared" si="13"/>
        <v>0</v>
      </c>
      <c r="AR26">
        <f t="shared" si="13"/>
        <v>0</v>
      </c>
      <c r="AS26">
        <f t="shared" si="13"/>
        <v>0</v>
      </c>
      <c r="AT26">
        <f t="shared" si="13"/>
        <v>0</v>
      </c>
      <c r="AU26">
        <f t="shared" si="13"/>
        <v>0</v>
      </c>
      <c r="AV26">
        <f t="shared" si="13"/>
        <v>0</v>
      </c>
      <c r="AW26">
        <f t="shared" si="13"/>
        <v>0</v>
      </c>
      <c r="AX26">
        <f t="shared" si="13"/>
        <v>0</v>
      </c>
      <c r="AY26">
        <f t="shared" si="13"/>
        <v>0</v>
      </c>
      <c r="AZ26">
        <f t="shared" si="13"/>
        <v>0</v>
      </c>
      <c r="BA26">
        <f t="shared" si="13"/>
        <v>0</v>
      </c>
      <c r="BB26">
        <f t="shared" si="13"/>
        <v>0</v>
      </c>
      <c r="BC26">
        <f t="shared" si="13"/>
        <v>0</v>
      </c>
      <c r="BD26">
        <f t="shared" si="13"/>
        <v>0</v>
      </c>
      <c r="BE26">
        <f t="shared" si="13"/>
        <v>0</v>
      </c>
      <c r="BF26">
        <f t="shared" si="13"/>
        <v>0</v>
      </c>
      <c r="BG26">
        <f t="shared" si="13"/>
        <v>0</v>
      </c>
      <c r="BH26">
        <f t="shared" si="13"/>
        <v>0</v>
      </c>
      <c r="BI26">
        <f t="shared" si="13"/>
        <v>0</v>
      </c>
      <c r="BJ26">
        <f t="shared" si="13"/>
        <v>0</v>
      </c>
      <c r="BK26">
        <f t="shared" si="13"/>
        <v>0</v>
      </c>
      <c r="BL26">
        <f t="shared" si="13"/>
        <v>0</v>
      </c>
      <c r="BM26">
        <f t="shared" si="13"/>
        <v>0</v>
      </c>
      <c r="BN26">
        <f t="shared" si="13"/>
        <v>0</v>
      </c>
      <c r="BO26">
        <f t="shared" si="13"/>
        <v>0</v>
      </c>
      <c r="BP26">
        <f t="shared" si="13"/>
        <v>0</v>
      </c>
      <c r="BQ26">
        <f t="shared" si="13"/>
        <v>0</v>
      </c>
      <c r="BR26">
        <f t="shared" si="13"/>
        <v>0</v>
      </c>
      <c r="BS26">
        <f t="shared" si="13"/>
        <v>0</v>
      </c>
      <c r="BT26">
        <f t="shared" si="13"/>
        <v>0</v>
      </c>
      <c r="BU26">
        <f t="shared" si="13"/>
        <v>0</v>
      </c>
      <c r="BV26">
        <f t="shared" si="13"/>
        <v>0</v>
      </c>
      <c r="BW26">
        <f t="shared" si="13"/>
        <v>0</v>
      </c>
      <c r="BX26">
        <f t="shared" si="13"/>
        <v>0</v>
      </c>
      <c r="BY26">
        <f t="shared" si="13"/>
        <v>0</v>
      </c>
    </row>
    <row r="27" spans="1:77" x14ac:dyDescent="0.25">
      <c r="A27" s="2" t="s">
        <v>82</v>
      </c>
      <c r="B27">
        <f t="shared" si="9"/>
        <v>4.8899999999999997</v>
      </c>
      <c r="C27">
        <f t="shared" si="9"/>
        <v>5.25</v>
      </c>
      <c r="D27">
        <f t="shared" si="9"/>
        <v>4.5199999999999996</v>
      </c>
      <c r="E27">
        <f t="shared" si="9"/>
        <v>4.57</v>
      </c>
      <c r="F27">
        <f t="shared" si="9"/>
        <v>4.5599999999999996</v>
      </c>
      <c r="G27">
        <f t="shared" si="9"/>
        <v>4.6500000000000004</v>
      </c>
      <c r="H27">
        <f t="shared" si="9"/>
        <v>4.32</v>
      </c>
      <c r="I27">
        <f t="shared" si="9"/>
        <v>4.76</v>
      </c>
      <c r="J27">
        <f t="shared" si="9"/>
        <v>4.8600000000000003</v>
      </c>
      <c r="K27">
        <f t="shared" si="9"/>
        <v>4.76</v>
      </c>
      <c r="L27">
        <f t="shared" si="9"/>
        <v>4.92</v>
      </c>
      <c r="M27">
        <f t="shared" ref="M27:Z27" si="14">ROUNDDOWN((M8-ROUNDUP(M8*0.1,2)-ROUNDUP(M8*0.05,2))*0.8,2)</f>
        <v>4.96</v>
      </c>
      <c r="N27">
        <f t="shared" si="14"/>
        <v>4.78</v>
      </c>
      <c r="O27">
        <f t="shared" si="14"/>
        <v>4.47</v>
      </c>
      <c r="P27">
        <f t="shared" si="14"/>
        <v>4.3600000000000003</v>
      </c>
      <c r="Q27">
        <f t="shared" si="14"/>
        <v>5.12</v>
      </c>
      <c r="R27">
        <f t="shared" si="14"/>
        <v>5.12</v>
      </c>
      <c r="S27">
        <f t="shared" si="14"/>
        <v>5.17</v>
      </c>
      <c r="T27">
        <f t="shared" si="14"/>
        <v>5</v>
      </c>
      <c r="U27">
        <f t="shared" si="14"/>
        <v>5.17</v>
      </c>
      <c r="V27">
        <f t="shared" si="14"/>
        <v>5.12</v>
      </c>
      <c r="W27">
        <f t="shared" si="14"/>
        <v>4.84</v>
      </c>
      <c r="X27">
        <f t="shared" si="14"/>
        <v>4.91</v>
      </c>
      <c r="Y27">
        <f t="shared" si="14"/>
        <v>4.8499999999999996</v>
      </c>
      <c r="Z27">
        <f t="shared" si="14"/>
        <v>4.6500000000000004</v>
      </c>
      <c r="AA27">
        <f t="shared" ref="AA27:BY27" si="15">ROUNDDOWN((AA8-ROUNDUP(AA8*0.1,2)-ROUNDUP(AA8*0.05,2))*0.8,2)</f>
        <v>4.62</v>
      </c>
      <c r="AB27">
        <f t="shared" si="15"/>
        <v>0</v>
      </c>
      <c r="AC27">
        <f t="shared" si="15"/>
        <v>0</v>
      </c>
      <c r="AD27">
        <f t="shared" si="15"/>
        <v>0</v>
      </c>
      <c r="AE27">
        <f t="shared" si="15"/>
        <v>0</v>
      </c>
      <c r="AF27">
        <f t="shared" si="15"/>
        <v>0</v>
      </c>
      <c r="AG27">
        <f t="shared" si="15"/>
        <v>0</v>
      </c>
      <c r="AH27">
        <f t="shared" si="15"/>
        <v>0</v>
      </c>
      <c r="AI27">
        <f t="shared" si="15"/>
        <v>0</v>
      </c>
      <c r="AJ27">
        <f t="shared" si="15"/>
        <v>0</v>
      </c>
      <c r="AK27">
        <f t="shared" si="15"/>
        <v>0</v>
      </c>
      <c r="AL27">
        <f t="shared" si="15"/>
        <v>0</v>
      </c>
      <c r="AM27">
        <f t="shared" si="15"/>
        <v>0</v>
      </c>
      <c r="AN27">
        <f t="shared" si="15"/>
        <v>0</v>
      </c>
      <c r="AO27">
        <f t="shared" si="15"/>
        <v>0</v>
      </c>
      <c r="AP27">
        <f t="shared" si="15"/>
        <v>0</v>
      </c>
      <c r="AQ27">
        <f t="shared" si="15"/>
        <v>0</v>
      </c>
      <c r="AR27">
        <f t="shared" si="15"/>
        <v>0</v>
      </c>
      <c r="AS27">
        <f t="shared" si="15"/>
        <v>0</v>
      </c>
      <c r="AT27">
        <f t="shared" si="15"/>
        <v>0</v>
      </c>
      <c r="AU27">
        <f t="shared" si="15"/>
        <v>0</v>
      </c>
      <c r="AV27">
        <f t="shared" si="15"/>
        <v>0</v>
      </c>
      <c r="AW27">
        <f t="shared" si="15"/>
        <v>0</v>
      </c>
      <c r="AX27">
        <f t="shared" si="15"/>
        <v>0</v>
      </c>
      <c r="AY27">
        <f t="shared" si="15"/>
        <v>0</v>
      </c>
      <c r="AZ27">
        <f t="shared" si="15"/>
        <v>0</v>
      </c>
      <c r="BA27">
        <f t="shared" si="15"/>
        <v>0</v>
      </c>
      <c r="BB27">
        <f t="shared" si="15"/>
        <v>0</v>
      </c>
      <c r="BC27">
        <f t="shared" si="15"/>
        <v>0</v>
      </c>
      <c r="BD27">
        <f t="shared" si="15"/>
        <v>0</v>
      </c>
      <c r="BE27">
        <f t="shared" si="15"/>
        <v>0</v>
      </c>
      <c r="BF27">
        <f t="shared" si="15"/>
        <v>0</v>
      </c>
      <c r="BG27">
        <f t="shared" si="15"/>
        <v>0</v>
      </c>
      <c r="BH27">
        <f t="shared" si="15"/>
        <v>0</v>
      </c>
      <c r="BI27">
        <f t="shared" si="15"/>
        <v>0</v>
      </c>
      <c r="BJ27">
        <f t="shared" si="15"/>
        <v>0</v>
      </c>
      <c r="BK27">
        <f t="shared" si="15"/>
        <v>0</v>
      </c>
      <c r="BL27">
        <f t="shared" si="15"/>
        <v>0</v>
      </c>
      <c r="BM27">
        <f t="shared" si="15"/>
        <v>0</v>
      </c>
      <c r="BN27">
        <f t="shared" si="15"/>
        <v>0</v>
      </c>
      <c r="BO27">
        <f t="shared" si="15"/>
        <v>0</v>
      </c>
      <c r="BP27">
        <f t="shared" si="15"/>
        <v>0</v>
      </c>
      <c r="BQ27">
        <f t="shared" si="15"/>
        <v>0</v>
      </c>
      <c r="BR27">
        <f t="shared" si="15"/>
        <v>0</v>
      </c>
      <c r="BS27">
        <f t="shared" si="15"/>
        <v>0</v>
      </c>
      <c r="BT27">
        <f t="shared" si="15"/>
        <v>0</v>
      </c>
      <c r="BU27">
        <f t="shared" si="15"/>
        <v>0</v>
      </c>
      <c r="BV27">
        <f t="shared" si="15"/>
        <v>0</v>
      </c>
      <c r="BW27">
        <f t="shared" si="15"/>
        <v>0</v>
      </c>
      <c r="BX27">
        <f t="shared" si="15"/>
        <v>0</v>
      </c>
      <c r="BY27">
        <f t="shared" si="15"/>
        <v>0</v>
      </c>
    </row>
    <row r="28" spans="1:77" x14ac:dyDescent="0.25">
      <c r="A28" s="2" t="s">
        <v>83</v>
      </c>
      <c r="B28">
        <f t="shared" si="9"/>
        <v>0.24</v>
      </c>
      <c r="C28">
        <f t="shared" si="9"/>
        <v>0.22</v>
      </c>
      <c r="D28">
        <f t="shared" si="9"/>
        <v>0.23</v>
      </c>
      <c r="E28">
        <f t="shared" si="9"/>
        <v>0.2</v>
      </c>
      <c r="F28">
        <f t="shared" si="9"/>
        <v>0.23</v>
      </c>
      <c r="G28">
        <f t="shared" si="9"/>
        <v>0.2</v>
      </c>
      <c r="H28">
        <f t="shared" si="9"/>
        <v>0.2</v>
      </c>
      <c r="I28">
        <f t="shared" si="9"/>
        <v>0.22</v>
      </c>
      <c r="J28">
        <f t="shared" si="9"/>
        <v>0.25</v>
      </c>
      <c r="K28">
        <f t="shared" si="9"/>
        <v>0.23</v>
      </c>
      <c r="L28">
        <f t="shared" si="9"/>
        <v>0.23</v>
      </c>
      <c r="M28">
        <f t="shared" ref="M28:Z28" si="16">ROUNDDOWN((M9-ROUNDUP(M9*0.1,2)-ROUNDUP(M9*0.05,2))*0.8,2)</f>
        <v>0.23</v>
      </c>
      <c r="N28">
        <f t="shared" si="16"/>
        <v>0.2</v>
      </c>
      <c r="O28">
        <f t="shared" si="16"/>
        <v>0.23</v>
      </c>
      <c r="P28">
        <f t="shared" si="16"/>
        <v>0.2</v>
      </c>
      <c r="Q28">
        <f t="shared" si="16"/>
        <v>0.2</v>
      </c>
      <c r="R28">
        <f t="shared" si="16"/>
        <v>0.23</v>
      </c>
      <c r="S28">
        <f t="shared" si="16"/>
        <v>0.23</v>
      </c>
      <c r="T28">
        <f t="shared" si="16"/>
        <v>0.2</v>
      </c>
      <c r="U28">
        <f t="shared" si="16"/>
        <v>0.2</v>
      </c>
      <c r="V28">
        <f t="shared" si="16"/>
        <v>0.2</v>
      </c>
      <c r="W28">
        <f t="shared" si="16"/>
        <v>0.2</v>
      </c>
      <c r="X28">
        <f t="shared" si="16"/>
        <v>0.2</v>
      </c>
      <c r="Y28">
        <f t="shared" si="16"/>
        <v>0.2</v>
      </c>
      <c r="Z28">
        <f t="shared" si="16"/>
        <v>0.2</v>
      </c>
      <c r="AA28">
        <f t="shared" ref="AA28:BY28" si="17">ROUNDDOWN((AA9-ROUNDUP(AA9*0.1,2)-ROUNDUP(AA9*0.05,2))*0.8,2)</f>
        <v>0.2</v>
      </c>
      <c r="AB28">
        <f t="shared" si="17"/>
        <v>0</v>
      </c>
      <c r="AC28">
        <f t="shared" si="17"/>
        <v>0</v>
      </c>
      <c r="AD28">
        <f t="shared" si="17"/>
        <v>0</v>
      </c>
      <c r="AE28">
        <f t="shared" si="17"/>
        <v>0</v>
      </c>
      <c r="AF28">
        <f t="shared" si="17"/>
        <v>0</v>
      </c>
      <c r="AG28">
        <f t="shared" si="17"/>
        <v>0</v>
      </c>
      <c r="AH28">
        <f t="shared" si="17"/>
        <v>0</v>
      </c>
      <c r="AI28">
        <f t="shared" si="17"/>
        <v>0</v>
      </c>
      <c r="AJ28">
        <f t="shared" si="17"/>
        <v>0</v>
      </c>
      <c r="AK28">
        <f t="shared" si="17"/>
        <v>0</v>
      </c>
      <c r="AL28">
        <f t="shared" si="17"/>
        <v>0</v>
      </c>
      <c r="AM28">
        <f t="shared" si="17"/>
        <v>0</v>
      </c>
      <c r="AN28">
        <f t="shared" si="17"/>
        <v>0</v>
      </c>
      <c r="AO28">
        <f t="shared" si="17"/>
        <v>0</v>
      </c>
      <c r="AP28">
        <f t="shared" si="17"/>
        <v>0</v>
      </c>
      <c r="AQ28">
        <f t="shared" si="17"/>
        <v>0</v>
      </c>
      <c r="AR28">
        <f t="shared" si="17"/>
        <v>0</v>
      </c>
      <c r="AS28">
        <f t="shared" si="17"/>
        <v>0</v>
      </c>
      <c r="AT28">
        <f t="shared" si="17"/>
        <v>0</v>
      </c>
      <c r="AU28">
        <f t="shared" si="17"/>
        <v>0</v>
      </c>
      <c r="AV28">
        <f t="shared" si="17"/>
        <v>0</v>
      </c>
      <c r="AW28">
        <f t="shared" si="17"/>
        <v>0</v>
      </c>
      <c r="AX28">
        <f t="shared" si="17"/>
        <v>0</v>
      </c>
      <c r="AY28">
        <f t="shared" si="17"/>
        <v>0</v>
      </c>
      <c r="AZ28">
        <f t="shared" si="17"/>
        <v>0</v>
      </c>
      <c r="BA28">
        <f t="shared" si="17"/>
        <v>0</v>
      </c>
      <c r="BB28">
        <f t="shared" si="17"/>
        <v>0</v>
      </c>
      <c r="BC28">
        <f t="shared" si="17"/>
        <v>0</v>
      </c>
      <c r="BD28">
        <f t="shared" si="17"/>
        <v>0</v>
      </c>
      <c r="BE28">
        <f t="shared" si="17"/>
        <v>0</v>
      </c>
      <c r="BF28">
        <f t="shared" si="17"/>
        <v>0</v>
      </c>
      <c r="BG28">
        <f t="shared" si="17"/>
        <v>0</v>
      </c>
      <c r="BH28">
        <f t="shared" si="17"/>
        <v>0</v>
      </c>
      <c r="BI28">
        <f t="shared" si="17"/>
        <v>0</v>
      </c>
      <c r="BJ28">
        <f t="shared" si="17"/>
        <v>0</v>
      </c>
      <c r="BK28">
        <f t="shared" si="17"/>
        <v>0</v>
      </c>
      <c r="BL28">
        <f t="shared" si="17"/>
        <v>0</v>
      </c>
      <c r="BM28">
        <f t="shared" si="17"/>
        <v>0</v>
      </c>
      <c r="BN28">
        <f t="shared" si="17"/>
        <v>0</v>
      </c>
      <c r="BO28">
        <f t="shared" si="17"/>
        <v>0</v>
      </c>
      <c r="BP28">
        <f t="shared" si="17"/>
        <v>0</v>
      </c>
      <c r="BQ28">
        <f t="shared" si="17"/>
        <v>0</v>
      </c>
      <c r="BR28">
        <f t="shared" si="17"/>
        <v>0</v>
      </c>
      <c r="BS28">
        <f t="shared" si="17"/>
        <v>0</v>
      </c>
      <c r="BT28">
        <f t="shared" si="17"/>
        <v>0</v>
      </c>
      <c r="BU28">
        <f t="shared" si="17"/>
        <v>0</v>
      </c>
      <c r="BV28">
        <f t="shared" si="17"/>
        <v>0</v>
      </c>
      <c r="BW28">
        <f t="shared" si="17"/>
        <v>0</v>
      </c>
      <c r="BX28">
        <f t="shared" si="17"/>
        <v>0</v>
      </c>
      <c r="BY28">
        <f t="shared" si="17"/>
        <v>0</v>
      </c>
    </row>
    <row r="29" spans="1:77" x14ac:dyDescent="0.25">
      <c r="A29" s="2" t="s">
        <v>84</v>
      </c>
      <c r="B29">
        <f t="shared" si="9"/>
        <v>0.54</v>
      </c>
      <c r="C29">
        <f t="shared" si="9"/>
        <v>0.52</v>
      </c>
      <c r="D29">
        <f t="shared" si="9"/>
        <v>0.54</v>
      </c>
      <c r="E29">
        <f t="shared" si="9"/>
        <v>0.52</v>
      </c>
      <c r="F29">
        <f t="shared" si="9"/>
        <v>0.51</v>
      </c>
      <c r="G29">
        <f t="shared" si="9"/>
        <v>0.51</v>
      </c>
      <c r="H29">
        <f t="shared" si="9"/>
        <v>0.52</v>
      </c>
      <c r="I29">
        <f t="shared" si="9"/>
        <v>0.48</v>
      </c>
      <c r="J29">
        <f t="shared" si="9"/>
        <v>0.5</v>
      </c>
      <c r="K29">
        <f t="shared" si="9"/>
        <v>0.49</v>
      </c>
      <c r="L29">
        <f t="shared" si="9"/>
        <v>0.52</v>
      </c>
      <c r="M29">
        <f t="shared" ref="M29:Z29" si="18">ROUNDDOWN((M10-ROUNDUP(M10*0.1,2)-ROUNDUP(M10*0.05,2))*0.8,2)</f>
        <v>0.52</v>
      </c>
      <c r="N29">
        <f t="shared" si="18"/>
        <v>0.56000000000000005</v>
      </c>
      <c r="O29">
        <f t="shared" si="18"/>
        <v>0.55000000000000004</v>
      </c>
      <c r="P29">
        <f t="shared" si="18"/>
        <v>0.61</v>
      </c>
      <c r="Q29">
        <f t="shared" si="18"/>
        <v>0.55000000000000004</v>
      </c>
      <c r="R29">
        <f t="shared" si="18"/>
        <v>0.56000000000000005</v>
      </c>
      <c r="S29">
        <f t="shared" si="18"/>
        <v>0.54</v>
      </c>
      <c r="T29">
        <f t="shared" si="18"/>
        <v>0.54</v>
      </c>
      <c r="U29">
        <f t="shared" si="18"/>
        <v>0.54</v>
      </c>
      <c r="V29">
        <f t="shared" si="18"/>
        <v>0.57999999999999996</v>
      </c>
      <c r="W29">
        <f t="shared" si="18"/>
        <v>0.48</v>
      </c>
      <c r="X29">
        <f t="shared" si="18"/>
        <v>0.5</v>
      </c>
      <c r="Y29">
        <f t="shared" si="18"/>
        <v>0.52</v>
      </c>
      <c r="Z29">
        <f t="shared" si="18"/>
        <v>0.49</v>
      </c>
      <c r="AA29">
        <f t="shared" ref="AA29:BY29" si="19">ROUNDDOWN((AA10-ROUNDUP(AA10*0.1,2)-ROUNDUP(AA10*0.05,2))*0.8,2)</f>
        <v>0.49</v>
      </c>
      <c r="AB29">
        <f t="shared" si="19"/>
        <v>0</v>
      </c>
      <c r="AC29">
        <f t="shared" si="19"/>
        <v>0</v>
      </c>
      <c r="AD29">
        <f t="shared" si="19"/>
        <v>0</v>
      </c>
      <c r="AE29">
        <f t="shared" si="19"/>
        <v>0</v>
      </c>
      <c r="AF29">
        <f t="shared" si="19"/>
        <v>0</v>
      </c>
      <c r="AG29">
        <f t="shared" si="19"/>
        <v>0</v>
      </c>
      <c r="AH29">
        <f t="shared" si="19"/>
        <v>0</v>
      </c>
      <c r="AI29">
        <f t="shared" si="19"/>
        <v>0</v>
      </c>
      <c r="AJ29">
        <f t="shared" si="19"/>
        <v>0</v>
      </c>
      <c r="AK29">
        <f t="shared" si="19"/>
        <v>0</v>
      </c>
      <c r="AL29">
        <f t="shared" si="19"/>
        <v>0</v>
      </c>
      <c r="AM29">
        <f t="shared" si="19"/>
        <v>0</v>
      </c>
      <c r="AN29">
        <f t="shared" si="19"/>
        <v>0</v>
      </c>
      <c r="AO29">
        <f t="shared" si="19"/>
        <v>0</v>
      </c>
      <c r="AP29">
        <f t="shared" si="19"/>
        <v>0</v>
      </c>
      <c r="AQ29">
        <f t="shared" si="19"/>
        <v>0</v>
      </c>
      <c r="AR29">
        <f t="shared" si="19"/>
        <v>0</v>
      </c>
      <c r="AS29">
        <f t="shared" si="19"/>
        <v>0</v>
      </c>
      <c r="AT29">
        <f t="shared" si="19"/>
        <v>0</v>
      </c>
      <c r="AU29">
        <f t="shared" si="19"/>
        <v>0</v>
      </c>
      <c r="AV29">
        <f t="shared" si="19"/>
        <v>0</v>
      </c>
      <c r="AW29">
        <f t="shared" si="19"/>
        <v>0</v>
      </c>
      <c r="AX29">
        <f t="shared" si="19"/>
        <v>0</v>
      </c>
      <c r="AY29">
        <f t="shared" si="19"/>
        <v>0</v>
      </c>
      <c r="AZ29">
        <f t="shared" si="19"/>
        <v>0</v>
      </c>
      <c r="BA29">
        <f t="shared" si="19"/>
        <v>0</v>
      </c>
      <c r="BB29">
        <f t="shared" si="19"/>
        <v>0</v>
      </c>
      <c r="BC29">
        <f t="shared" si="19"/>
        <v>0</v>
      </c>
      <c r="BD29">
        <f t="shared" si="19"/>
        <v>0</v>
      </c>
      <c r="BE29">
        <f t="shared" si="19"/>
        <v>0</v>
      </c>
      <c r="BF29">
        <f t="shared" si="19"/>
        <v>0</v>
      </c>
      <c r="BG29">
        <f t="shared" si="19"/>
        <v>0</v>
      </c>
      <c r="BH29">
        <f t="shared" si="19"/>
        <v>0</v>
      </c>
      <c r="BI29">
        <f t="shared" si="19"/>
        <v>0</v>
      </c>
      <c r="BJ29">
        <f t="shared" si="19"/>
        <v>0</v>
      </c>
      <c r="BK29">
        <f t="shared" si="19"/>
        <v>0</v>
      </c>
      <c r="BL29">
        <f t="shared" si="19"/>
        <v>0</v>
      </c>
      <c r="BM29">
        <f t="shared" si="19"/>
        <v>0</v>
      </c>
      <c r="BN29">
        <f t="shared" si="19"/>
        <v>0</v>
      </c>
      <c r="BO29">
        <f t="shared" si="19"/>
        <v>0</v>
      </c>
      <c r="BP29">
        <f t="shared" si="19"/>
        <v>0</v>
      </c>
      <c r="BQ29">
        <f t="shared" si="19"/>
        <v>0</v>
      </c>
      <c r="BR29">
        <f t="shared" si="19"/>
        <v>0</v>
      </c>
      <c r="BS29">
        <f t="shared" si="19"/>
        <v>0</v>
      </c>
      <c r="BT29">
        <f t="shared" si="19"/>
        <v>0</v>
      </c>
      <c r="BU29">
        <f t="shared" si="19"/>
        <v>0</v>
      </c>
      <c r="BV29">
        <f t="shared" si="19"/>
        <v>0</v>
      </c>
      <c r="BW29">
        <f t="shared" si="19"/>
        <v>0</v>
      </c>
      <c r="BX29">
        <f t="shared" si="19"/>
        <v>0</v>
      </c>
      <c r="BY29">
        <f t="shared" si="19"/>
        <v>0</v>
      </c>
    </row>
    <row r="30" spans="1:77" x14ac:dyDescent="0.25">
      <c r="A30" s="2" t="s">
        <v>85</v>
      </c>
      <c r="B30">
        <f t="shared" si="9"/>
        <v>0.23</v>
      </c>
      <c r="C30">
        <f t="shared" si="9"/>
        <v>0.22</v>
      </c>
      <c r="D30">
        <f t="shared" si="9"/>
        <v>0.22</v>
      </c>
      <c r="E30">
        <f t="shared" si="9"/>
        <v>0.22</v>
      </c>
      <c r="F30">
        <f t="shared" si="9"/>
        <v>0.2</v>
      </c>
      <c r="G30">
        <f t="shared" si="9"/>
        <v>0.2</v>
      </c>
      <c r="H30">
        <f t="shared" si="9"/>
        <v>0.2</v>
      </c>
      <c r="I30">
        <f t="shared" si="9"/>
        <v>0.2</v>
      </c>
      <c r="J30">
        <f t="shared" si="9"/>
        <v>0.22</v>
      </c>
      <c r="K30">
        <f t="shared" si="9"/>
        <v>0.22</v>
      </c>
      <c r="L30">
        <f t="shared" si="9"/>
        <v>0.2</v>
      </c>
      <c r="M30">
        <f t="shared" ref="M30:Z30" si="20">ROUNDDOWN((M11-ROUNDUP(M11*0.1,2)-ROUNDUP(M11*0.05,2))*0.8,2)</f>
        <v>0.2</v>
      </c>
      <c r="N30">
        <f t="shared" si="20"/>
        <v>0.2</v>
      </c>
      <c r="O30">
        <f t="shared" si="20"/>
        <v>0.2</v>
      </c>
      <c r="P30">
        <f t="shared" si="20"/>
        <v>0.2</v>
      </c>
      <c r="Q30">
        <f t="shared" si="20"/>
        <v>0.2</v>
      </c>
      <c r="R30">
        <f t="shared" si="20"/>
        <v>0.2</v>
      </c>
      <c r="S30">
        <f t="shared" si="20"/>
        <v>0.2</v>
      </c>
      <c r="T30">
        <f t="shared" si="20"/>
        <v>0.2</v>
      </c>
      <c r="U30">
        <f t="shared" si="20"/>
        <v>0.2</v>
      </c>
      <c r="V30">
        <f t="shared" si="20"/>
        <v>0.18</v>
      </c>
      <c r="W30">
        <f t="shared" si="20"/>
        <v>0.2</v>
      </c>
      <c r="X30">
        <f t="shared" si="20"/>
        <v>0.19</v>
      </c>
      <c r="Y30">
        <f t="shared" si="20"/>
        <v>0.2</v>
      </c>
      <c r="Z30">
        <f t="shared" si="20"/>
        <v>0.19</v>
      </c>
      <c r="AA30">
        <f t="shared" ref="AA30:BY30" si="21">ROUNDDOWN((AA11-ROUNDUP(AA11*0.1,2)-ROUNDUP(AA11*0.05,2))*0.8,2)</f>
        <v>0.2</v>
      </c>
      <c r="AB30">
        <f t="shared" si="21"/>
        <v>0</v>
      </c>
      <c r="AC30">
        <f t="shared" si="21"/>
        <v>0</v>
      </c>
      <c r="AD30">
        <f t="shared" si="21"/>
        <v>0</v>
      </c>
      <c r="AE30">
        <f t="shared" si="21"/>
        <v>0</v>
      </c>
      <c r="AF30">
        <f t="shared" si="21"/>
        <v>0</v>
      </c>
      <c r="AG30">
        <f t="shared" si="21"/>
        <v>0</v>
      </c>
      <c r="AH30">
        <f t="shared" si="21"/>
        <v>0</v>
      </c>
      <c r="AI30">
        <f t="shared" si="21"/>
        <v>0</v>
      </c>
      <c r="AJ30">
        <f t="shared" si="21"/>
        <v>0</v>
      </c>
      <c r="AK30">
        <f t="shared" si="21"/>
        <v>0</v>
      </c>
      <c r="AL30">
        <f t="shared" si="21"/>
        <v>0</v>
      </c>
      <c r="AM30">
        <f t="shared" si="21"/>
        <v>0</v>
      </c>
      <c r="AN30">
        <f t="shared" si="21"/>
        <v>0</v>
      </c>
      <c r="AO30">
        <f t="shared" si="21"/>
        <v>0</v>
      </c>
      <c r="AP30">
        <f t="shared" si="21"/>
        <v>0</v>
      </c>
      <c r="AQ30">
        <f t="shared" si="21"/>
        <v>0</v>
      </c>
      <c r="AR30">
        <f t="shared" si="21"/>
        <v>0</v>
      </c>
      <c r="AS30">
        <f t="shared" si="21"/>
        <v>0</v>
      </c>
      <c r="AT30">
        <f t="shared" si="21"/>
        <v>0</v>
      </c>
      <c r="AU30">
        <f t="shared" si="21"/>
        <v>0</v>
      </c>
      <c r="AV30">
        <f t="shared" si="21"/>
        <v>0</v>
      </c>
      <c r="AW30">
        <f t="shared" si="21"/>
        <v>0</v>
      </c>
      <c r="AX30">
        <f t="shared" si="21"/>
        <v>0</v>
      </c>
      <c r="AY30">
        <f t="shared" si="21"/>
        <v>0</v>
      </c>
      <c r="AZ30">
        <f t="shared" si="21"/>
        <v>0</v>
      </c>
      <c r="BA30">
        <f t="shared" si="21"/>
        <v>0</v>
      </c>
      <c r="BB30">
        <f t="shared" si="21"/>
        <v>0</v>
      </c>
      <c r="BC30">
        <f t="shared" si="21"/>
        <v>0</v>
      </c>
      <c r="BD30">
        <f t="shared" si="21"/>
        <v>0</v>
      </c>
      <c r="BE30">
        <f t="shared" si="21"/>
        <v>0</v>
      </c>
      <c r="BF30">
        <f t="shared" si="21"/>
        <v>0</v>
      </c>
      <c r="BG30">
        <f t="shared" si="21"/>
        <v>0</v>
      </c>
      <c r="BH30">
        <f t="shared" si="21"/>
        <v>0</v>
      </c>
      <c r="BI30">
        <f t="shared" si="21"/>
        <v>0</v>
      </c>
      <c r="BJ30">
        <f t="shared" si="21"/>
        <v>0</v>
      </c>
      <c r="BK30">
        <f t="shared" si="21"/>
        <v>0</v>
      </c>
      <c r="BL30">
        <f t="shared" si="21"/>
        <v>0</v>
      </c>
      <c r="BM30">
        <f t="shared" si="21"/>
        <v>0</v>
      </c>
      <c r="BN30">
        <f t="shared" si="21"/>
        <v>0</v>
      </c>
      <c r="BO30">
        <f t="shared" si="21"/>
        <v>0</v>
      </c>
      <c r="BP30">
        <f t="shared" si="21"/>
        <v>0</v>
      </c>
      <c r="BQ30">
        <f t="shared" si="21"/>
        <v>0</v>
      </c>
      <c r="BR30">
        <f t="shared" si="21"/>
        <v>0</v>
      </c>
      <c r="BS30">
        <f t="shared" si="21"/>
        <v>0</v>
      </c>
      <c r="BT30">
        <f t="shared" si="21"/>
        <v>0</v>
      </c>
      <c r="BU30">
        <f t="shared" si="21"/>
        <v>0</v>
      </c>
      <c r="BV30">
        <f t="shared" si="21"/>
        <v>0</v>
      </c>
      <c r="BW30">
        <f t="shared" si="21"/>
        <v>0</v>
      </c>
      <c r="BX30">
        <f t="shared" si="21"/>
        <v>0</v>
      </c>
      <c r="BY30">
        <f t="shared" si="21"/>
        <v>0</v>
      </c>
    </row>
    <row r="31" spans="1:77" x14ac:dyDescent="0.25">
      <c r="A31" s="2" t="s">
        <v>86</v>
      </c>
      <c r="B31">
        <f t="shared" si="9"/>
        <v>2.44</v>
      </c>
      <c r="C31">
        <f t="shared" si="9"/>
        <v>2.36</v>
      </c>
      <c r="D31">
        <f t="shared" si="9"/>
        <v>2.35</v>
      </c>
      <c r="E31">
        <f t="shared" si="9"/>
        <v>2.65</v>
      </c>
      <c r="F31">
        <f t="shared" si="9"/>
        <v>2.4300000000000002</v>
      </c>
      <c r="G31">
        <f t="shared" si="9"/>
        <v>2.36</v>
      </c>
      <c r="H31">
        <f t="shared" si="9"/>
        <v>2.36</v>
      </c>
      <c r="I31">
        <f t="shared" si="9"/>
        <v>2.36</v>
      </c>
      <c r="J31">
        <f t="shared" si="9"/>
        <v>2.06</v>
      </c>
      <c r="K31">
        <f t="shared" si="9"/>
        <v>2.34</v>
      </c>
      <c r="L31">
        <f t="shared" si="9"/>
        <v>2.34</v>
      </c>
      <c r="M31">
        <f t="shared" ref="M31:Z31" si="22">ROUNDDOWN((M12-ROUNDUP(M12*0.1,2)-ROUNDUP(M12*0.05,2))*0.8,2)</f>
        <v>2.84</v>
      </c>
      <c r="N31">
        <f t="shared" si="22"/>
        <v>2.67</v>
      </c>
      <c r="O31">
        <f t="shared" si="22"/>
        <v>2.44</v>
      </c>
      <c r="P31">
        <f t="shared" si="22"/>
        <v>2.61</v>
      </c>
      <c r="Q31">
        <f t="shared" si="22"/>
        <v>2.58</v>
      </c>
      <c r="R31">
        <f t="shared" si="22"/>
        <v>2.58</v>
      </c>
      <c r="S31">
        <f t="shared" si="22"/>
        <v>2.52</v>
      </c>
      <c r="T31">
        <f t="shared" si="22"/>
        <v>2.1</v>
      </c>
      <c r="U31">
        <f t="shared" si="22"/>
        <v>2.0699999999999998</v>
      </c>
      <c r="V31">
        <f t="shared" si="22"/>
        <v>2.08</v>
      </c>
      <c r="W31">
        <f t="shared" si="22"/>
        <v>2.0699999999999998</v>
      </c>
      <c r="X31">
        <f t="shared" si="22"/>
        <v>2.0699999999999998</v>
      </c>
      <c r="Y31">
        <f t="shared" si="22"/>
        <v>2.0699999999999998</v>
      </c>
      <c r="Z31">
        <f t="shared" si="22"/>
        <v>2.0699999999999998</v>
      </c>
      <c r="AA31">
        <f t="shared" ref="AA31:BY31" si="23">ROUNDDOWN((AA12-ROUNDUP(AA12*0.1,2)-ROUNDUP(AA12*0.05,2))*0.8,2)</f>
        <v>2.08</v>
      </c>
      <c r="AB31">
        <f t="shared" si="23"/>
        <v>0</v>
      </c>
      <c r="AC31">
        <f t="shared" si="23"/>
        <v>0</v>
      </c>
      <c r="AD31">
        <f t="shared" si="23"/>
        <v>0</v>
      </c>
      <c r="AE31">
        <f t="shared" si="23"/>
        <v>0</v>
      </c>
      <c r="AF31">
        <f t="shared" si="23"/>
        <v>0</v>
      </c>
      <c r="AG31">
        <f t="shared" si="23"/>
        <v>0</v>
      </c>
      <c r="AH31">
        <f t="shared" si="23"/>
        <v>0</v>
      </c>
      <c r="AI31">
        <f t="shared" si="23"/>
        <v>0</v>
      </c>
      <c r="AJ31">
        <f t="shared" si="23"/>
        <v>0</v>
      </c>
      <c r="AK31">
        <f t="shared" si="23"/>
        <v>0</v>
      </c>
      <c r="AL31">
        <f t="shared" si="23"/>
        <v>0</v>
      </c>
      <c r="AM31">
        <f t="shared" si="23"/>
        <v>0</v>
      </c>
      <c r="AN31">
        <f t="shared" si="23"/>
        <v>0</v>
      </c>
      <c r="AO31">
        <f t="shared" si="23"/>
        <v>0</v>
      </c>
      <c r="AP31">
        <f t="shared" si="23"/>
        <v>0</v>
      </c>
      <c r="AQ31">
        <f t="shared" si="23"/>
        <v>0</v>
      </c>
      <c r="AR31">
        <f t="shared" si="23"/>
        <v>0</v>
      </c>
      <c r="AS31">
        <f t="shared" si="23"/>
        <v>0</v>
      </c>
      <c r="AT31">
        <f t="shared" si="23"/>
        <v>0</v>
      </c>
      <c r="AU31">
        <f t="shared" si="23"/>
        <v>0</v>
      </c>
      <c r="AV31">
        <f t="shared" si="23"/>
        <v>0</v>
      </c>
      <c r="AW31">
        <f t="shared" si="23"/>
        <v>0</v>
      </c>
      <c r="AX31">
        <f t="shared" si="23"/>
        <v>0</v>
      </c>
      <c r="AY31">
        <f t="shared" si="23"/>
        <v>0</v>
      </c>
      <c r="AZ31">
        <f t="shared" si="23"/>
        <v>0</v>
      </c>
      <c r="BA31">
        <f t="shared" si="23"/>
        <v>0</v>
      </c>
      <c r="BB31">
        <f t="shared" si="23"/>
        <v>0</v>
      </c>
      <c r="BC31">
        <f t="shared" si="23"/>
        <v>0</v>
      </c>
      <c r="BD31">
        <f t="shared" si="23"/>
        <v>0</v>
      </c>
      <c r="BE31">
        <f t="shared" si="23"/>
        <v>0</v>
      </c>
      <c r="BF31">
        <f t="shared" si="23"/>
        <v>0</v>
      </c>
      <c r="BG31">
        <f t="shared" si="23"/>
        <v>0</v>
      </c>
      <c r="BH31">
        <f t="shared" si="23"/>
        <v>0</v>
      </c>
      <c r="BI31">
        <f t="shared" si="23"/>
        <v>0</v>
      </c>
      <c r="BJ31">
        <f t="shared" si="23"/>
        <v>0</v>
      </c>
      <c r="BK31">
        <f t="shared" si="23"/>
        <v>0</v>
      </c>
      <c r="BL31">
        <f t="shared" si="23"/>
        <v>0</v>
      </c>
      <c r="BM31">
        <f t="shared" si="23"/>
        <v>0</v>
      </c>
      <c r="BN31">
        <f t="shared" si="23"/>
        <v>0</v>
      </c>
      <c r="BO31">
        <f t="shared" si="23"/>
        <v>0</v>
      </c>
      <c r="BP31">
        <f t="shared" si="23"/>
        <v>0</v>
      </c>
      <c r="BQ31">
        <f t="shared" si="23"/>
        <v>0</v>
      </c>
      <c r="BR31">
        <f t="shared" si="23"/>
        <v>0</v>
      </c>
      <c r="BS31">
        <f t="shared" si="23"/>
        <v>0</v>
      </c>
      <c r="BT31">
        <f t="shared" si="23"/>
        <v>0</v>
      </c>
      <c r="BU31">
        <f t="shared" si="23"/>
        <v>0</v>
      </c>
      <c r="BV31">
        <f t="shared" si="23"/>
        <v>0</v>
      </c>
      <c r="BW31">
        <f t="shared" si="23"/>
        <v>0</v>
      </c>
      <c r="BX31">
        <f t="shared" si="23"/>
        <v>0</v>
      </c>
      <c r="BY31">
        <f t="shared" si="23"/>
        <v>0</v>
      </c>
    </row>
    <row r="32" spans="1:77" x14ac:dyDescent="0.25">
      <c r="A32" s="2" t="s">
        <v>87</v>
      </c>
      <c r="B32">
        <f t="shared" si="9"/>
        <v>0.2</v>
      </c>
      <c r="C32">
        <f t="shared" si="9"/>
        <v>0.2</v>
      </c>
      <c r="D32">
        <f t="shared" si="9"/>
        <v>0.22</v>
      </c>
      <c r="E32">
        <f t="shared" si="9"/>
        <v>0.22</v>
      </c>
      <c r="F32">
        <f t="shared" si="9"/>
        <v>0.2</v>
      </c>
      <c r="G32">
        <f t="shared" si="9"/>
        <v>0.24</v>
      </c>
      <c r="H32">
        <f t="shared" si="9"/>
        <v>0.22</v>
      </c>
      <c r="I32">
        <f t="shared" si="9"/>
        <v>0.2</v>
      </c>
      <c r="J32">
        <f t="shared" si="9"/>
        <v>0.22</v>
      </c>
      <c r="K32">
        <f t="shared" si="9"/>
        <v>0.2</v>
      </c>
      <c r="L32">
        <f t="shared" si="9"/>
        <v>0.22</v>
      </c>
      <c r="M32">
        <f t="shared" ref="M32:Z32" si="24">ROUNDDOWN((M13-ROUNDUP(M13*0.1,2)-ROUNDUP(M13*0.05,2))*0.8,2)</f>
        <v>0.2</v>
      </c>
      <c r="N32">
        <f t="shared" si="24"/>
        <v>0.2</v>
      </c>
      <c r="O32">
        <f t="shared" si="24"/>
        <v>0.2</v>
      </c>
      <c r="P32">
        <f t="shared" si="24"/>
        <v>0.2</v>
      </c>
      <c r="Q32">
        <f t="shared" si="24"/>
        <v>0.2</v>
      </c>
      <c r="R32">
        <f t="shared" si="24"/>
        <v>0.2</v>
      </c>
      <c r="S32">
        <f t="shared" si="24"/>
        <v>0.19</v>
      </c>
      <c r="T32">
        <f t="shared" si="24"/>
        <v>0.19</v>
      </c>
      <c r="U32">
        <f t="shared" si="24"/>
        <v>0.19</v>
      </c>
      <c r="V32">
        <f t="shared" si="24"/>
        <v>0.18</v>
      </c>
      <c r="W32">
        <f t="shared" si="24"/>
        <v>0.16</v>
      </c>
      <c r="X32">
        <f t="shared" si="24"/>
        <v>0.19</v>
      </c>
      <c r="Y32">
        <f t="shared" si="24"/>
        <v>0.17</v>
      </c>
      <c r="Z32">
        <f t="shared" si="24"/>
        <v>0.18</v>
      </c>
      <c r="AA32">
        <f t="shared" ref="AA32:BY32" si="25">ROUNDDOWN((AA13-ROUNDUP(AA13*0.1,2)-ROUNDUP(AA13*0.05,2))*0.8,2)</f>
        <v>0.17</v>
      </c>
      <c r="AB32">
        <f t="shared" si="25"/>
        <v>0</v>
      </c>
      <c r="AC32">
        <f t="shared" si="25"/>
        <v>0</v>
      </c>
      <c r="AD32">
        <f t="shared" si="25"/>
        <v>0</v>
      </c>
      <c r="AE32">
        <f t="shared" si="25"/>
        <v>0</v>
      </c>
      <c r="AF32">
        <f t="shared" si="25"/>
        <v>0</v>
      </c>
      <c r="AG32">
        <f t="shared" si="25"/>
        <v>0</v>
      </c>
      <c r="AH32">
        <f t="shared" si="25"/>
        <v>0</v>
      </c>
      <c r="AI32">
        <f t="shared" si="25"/>
        <v>0</v>
      </c>
      <c r="AJ32">
        <f t="shared" si="25"/>
        <v>0</v>
      </c>
      <c r="AK32">
        <f t="shared" si="25"/>
        <v>0</v>
      </c>
      <c r="AL32">
        <f t="shared" si="25"/>
        <v>0</v>
      </c>
      <c r="AM32">
        <f t="shared" si="25"/>
        <v>0</v>
      </c>
      <c r="AN32">
        <f t="shared" si="25"/>
        <v>0</v>
      </c>
      <c r="AO32">
        <f t="shared" si="25"/>
        <v>0</v>
      </c>
      <c r="AP32">
        <f t="shared" si="25"/>
        <v>0</v>
      </c>
      <c r="AQ32">
        <f t="shared" si="25"/>
        <v>0</v>
      </c>
      <c r="AR32">
        <f t="shared" si="25"/>
        <v>0</v>
      </c>
      <c r="AS32">
        <f t="shared" si="25"/>
        <v>0</v>
      </c>
      <c r="AT32">
        <f t="shared" si="25"/>
        <v>0</v>
      </c>
      <c r="AU32">
        <f t="shared" si="25"/>
        <v>0</v>
      </c>
      <c r="AV32">
        <f t="shared" si="25"/>
        <v>0</v>
      </c>
      <c r="AW32">
        <f t="shared" si="25"/>
        <v>0</v>
      </c>
      <c r="AX32">
        <f t="shared" si="25"/>
        <v>0</v>
      </c>
      <c r="AY32">
        <f t="shared" si="25"/>
        <v>0</v>
      </c>
      <c r="AZ32">
        <f t="shared" si="25"/>
        <v>0</v>
      </c>
      <c r="BA32">
        <f t="shared" si="25"/>
        <v>0</v>
      </c>
      <c r="BB32">
        <f t="shared" si="25"/>
        <v>0</v>
      </c>
      <c r="BC32">
        <f t="shared" si="25"/>
        <v>0</v>
      </c>
      <c r="BD32">
        <f t="shared" si="25"/>
        <v>0</v>
      </c>
      <c r="BE32">
        <f t="shared" si="25"/>
        <v>0</v>
      </c>
      <c r="BF32">
        <f t="shared" si="25"/>
        <v>0</v>
      </c>
      <c r="BG32">
        <f t="shared" si="25"/>
        <v>0</v>
      </c>
      <c r="BH32">
        <f t="shared" si="25"/>
        <v>0</v>
      </c>
      <c r="BI32">
        <f t="shared" si="25"/>
        <v>0</v>
      </c>
      <c r="BJ32">
        <f t="shared" si="25"/>
        <v>0</v>
      </c>
      <c r="BK32">
        <f t="shared" si="25"/>
        <v>0</v>
      </c>
      <c r="BL32">
        <f t="shared" si="25"/>
        <v>0</v>
      </c>
      <c r="BM32">
        <f t="shared" si="25"/>
        <v>0</v>
      </c>
      <c r="BN32">
        <f t="shared" si="25"/>
        <v>0</v>
      </c>
      <c r="BO32">
        <f t="shared" si="25"/>
        <v>0</v>
      </c>
      <c r="BP32">
        <f t="shared" si="25"/>
        <v>0</v>
      </c>
      <c r="BQ32">
        <f t="shared" si="25"/>
        <v>0</v>
      </c>
      <c r="BR32">
        <f t="shared" si="25"/>
        <v>0</v>
      </c>
      <c r="BS32">
        <f t="shared" si="25"/>
        <v>0</v>
      </c>
      <c r="BT32">
        <f t="shared" si="25"/>
        <v>0</v>
      </c>
      <c r="BU32">
        <f t="shared" si="25"/>
        <v>0</v>
      </c>
      <c r="BV32">
        <f t="shared" si="25"/>
        <v>0</v>
      </c>
      <c r="BW32">
        <f t="shared" si="25"/>
        <v>0</v>
      </c>
      <c r="BX32">
        <f t="shared" si="25"/>
        <v>0</v>
      </c>
      <c r="BY32">
        <f t="shared" si="25"/>
        <v>0</v>
      </c>
    </row>
    <row r="33" spans="1:77" x14ac:dyDescent="0.25">
      <c r="A33" s="2" t="s">
        <v>88</v>
      </c>
      <c r="B33">
        <f t="shared" si="9"/>
        <v>0.6</v>
      </c>
      <c r="C33">
        <f t="shared" si="9"/>
        <v>0.59</v>
      </c>
      <c r="D33">
        <f t="shared" si="9"/>
        <v>0.64</v>
      </c>
      <c r="E33">
        <f t="shared" si="9"/>
        <v>0.61</v>
      </c>
      <c r="F33">
        <f t="shared" si="9"/>
        <v>0.57999999999999996</v>
      </c>
      <c r="G33">
        <f t="shared" si="9"/>
        <v>0.61</v>
      </c>
      <c r="H33">
        <f t="shared" si="9"/>
        <v>0.56999999999999995</v>
      </c>
      <c r="I33">
        <f t="shared" si="9"/>
        <v>0.57999999999999996</v>
      </c>
      <c r="J33">
        <f t="shared" si="9"/>
        <v>0.59</v>
      </c>
      <c r="K33">
        <f t="shared" si="9"/>
        <v>0.63</v>
      </c>
      <c r="L33">
        <f t="shared" si="9"/>
        <v>0.62</v>
      </c>
      <c r="M33">
        <f t="shared" ref="M33:Z33" si="26">ROUNDDOWN((M14-ROUNDUP(M14*0.1,2)-ROUNDUP(M14*0.05,2))*0.8,2)</f>
        <v>0.56000000000000005</v>
      </c>
      <c r="N33">
        <f t="shared" si="26"/>
        <v>0.57999999999999996</v>
      </c>
      <c r="O33">
        <f t="shared" si="26"/>
        <v>0.56999999999999995</v>
      </c>
      <c r="P33">
        <f t="shared" si="26"/>
        <v>0.62</v>
      </c>
      <c r="Q33">
        <f t="shared" si="26"/>
        <v>0.54</v>
      </c>
      <c r="R33">
        <f t="shared" si="26"/>
        <v>0.59</v>
      </c>
      <c r="S33">
        <f t="shared" si="26"/>
        <v>0.52</v>
      </c>
      <c r="T33">
        <f t="shared" si="26"/>
        <v>0.6</v>
      </c>
      <c r="U33">
        <f t="shared" si="26"/>
        <v>0.61</v>
      </c>
      <c r="V33">
        <f t="shared" si="26"/>
        <v>0.56000000000000005</v>
      </c>
      <c r="W33">
        <f t="shared" si="26"/>
        <v>0.53</v>
      </c>
      <c r="X33">
        <f t="shared" si="26"/>
        <v>0.56000000000000005</v>
      </c>
      <c r="Y33">
        <f t="shared" si="26"/>
        <v>0.57999999999999996</v>
      </c>
      <c r="Z33">
        <f t="shared" si="26"/>
        <v>0.53</v>
      </c>
      <c r="AA33">
        <f t="shared" ref="AA33:BY33" si="27">ROUNDDOWN((AA14-ROUNDUP(AA14*0.1,2)-ROUNDUP(AA14*0.05,2))*0.8,2)</f>
        <v>0.61</v>
      </c>
      <c r="AB33">
        <f t="shared" si="27"/>
        <v>0</v>
      </c>
      <c r="AC33">
        <f t="shared" si="27"/>
        <v>0</v>
      </c>
      <c r="AD33">
        <f t="shared" si="27"/>
        <v>0</v>
      </c>
      <c r="AE33">
        <f t="shared" si="27"/>
        <v>0</v>
      </c>
      <c r="AF33">
        <f t="shared" si="27"/>
        <v>0</v>
      </c>
      <c r="AG33">
        <f t="shared" si="27"/>
        <v>0</v>
      </c>
      <c r="AH33">
        <f t="shared" si="27"/>
        <v>0</v>
      </c>
      <c r="AI33">
        <f t="shared" si="27"/>
        <v>0</v>
      </c>
      <c r="AJ33">
        <f t="shared" si="27"/>
        <v>0</v>
      </c>
      <c r="AK33">
        <f t="shared" si="27"/>
        <v>0</v>
      </c>
      <c r="AL33">
        <f t="shared" si="27"/>
        <v>0</v>
      </c>
      <c r="AM33">
        <f t="shared" si="27"/>
        <v>0</v>
      </c>
      <c r="AN33">
        <f t="shared" si="27"/>
        <v>0</v>
      </c>
      <c r="AO33">
        <f t="shared" si="27"/>
        <v>0</v>
      </c>
      <c r="AP33">
        <f t="shared" si="27"/>
        <v>0</v>
      </c>
      <c r="AQ33">
        <f t="shared" si="27"/>
        <v>0</v>
      </c>
      <c r="AR33">
        <f t="shared" si="27"/>
        <v>0</v>
      </c>
      <c r="AS33">
        <f t="shared" si="27"/>
        <v>0</v>
      </c>
      <c r="AT33">
        <f t="shared" si="27"/>
        <v>0</v>
      </c>
      <c r="AU33">
        <f t="shared" si="27"/>
        <v>0</v>
      </c>
      <c r="AV33">
        <f t="shared" si="27"/>
        <v>0</v>
      </c>
      <c r="AW33">
        <f t="shared" si="27"/>
        <v>0</v>
      </c>
      <c r="AX33">
        <f t="shared" si="27"/>
        <v>0</v>
      </c>
      <c r="AY33">
        <f t="shared" si="27"/>
        <v>0</v>
      </c>
      <c r="AZ33">
        <f t="shared" si="27"/>
        <v>0</v>
      </c>
      <c r="BA33">
        <f t="shared" si="27"/>
        <v>0</v>
      </c>
      <c r="BB33">
        <f t="shared" si="27"/>
        <v>0</v>
      </c>
      <c r="BC33">
        <f t="shared" si="27"/>
        <v>0</v>
      </c>
      <c r="BD33">
        <f t="shared" si="27"/>
        <v>0</v>
      </c>
      <c r="BE33">
        <f t="shared" si="27"/>
        <v>0</v>
      </c>
      <c r="BF33">
        <f t="shared" si="27"/>
        <v>0</v>
      </c>
      <c r="BG33">
        <f t="shared" si="27"/>
        <v>0</v>
      </c>
      <c r="BH33">
        <f t="shared" si="27"/>
        <v>0</v>
      </c>
      <c r="BI33">
        <f t="shared" si="27"/>
        <v>0</v>
      </c>
      <c r="BJ33">
        <f t="shared" si="27"/>
        <v>0</v>
      </c>
      <c r="BK33">
        <f t="shared" si="27"/>
        <v>0</v>
      </c>
      <c r="BL33">
        <f t="shared" si="27"/>
        <v>0</v>
      </c>
      <c r="BM33">
        <f t="shared" si="27"/>
        <v>0</v>
      </c>
      <c r="BN33">
        <f t="shared" si="27"/>
        <v>0</v>
      </c>
      <c r="BO33">
        <f t="shared" si="27"/>
        <v>0</v>
      </c>
      <c r="BP33">
        <f t="shared" si="27"/>
        <v>0</v>
      </c>
      <c r="BQ33">
        <f t="shared" si="27"/>
        <v>0</v>
      </c>
      <c r="BR33">
        <f t="shared" si="27"/>
        <v>0</v>
      </c>
      <c r="BS33">
        <f t="shared" si="27"/>
        <v>0</v>
      </c>
      <c r="BT33">
        <f t="shared" si="27"/>
        <v>0</v>
      </c>
      <c r="BU33">
        <f t="shared" si="27"/>
        <v>0</v>
      </c>
      <c r="BV33">
        <f t="shared" si="27"/>
        <v>0</v>
      </c>
      <c r="BW33">
        <f t="shared" si="27"/>
        <v>0</v>
      </c>
      <c r="BX33">
        <f t="shared" si="27"/>
        <v>0</v>
      </c>
      <c r="BY33">
        <f t="shared" si="27"/>
        <v>0</v>
      </c>
    </row>
    <row r="34" spans="1:77" x14ac:dyDescent="0.25">
      <c r="A34" s="2"/>
    </row>
    <row r="35" spans="1:77" x14ac:dyDescent="0.25">
      <c r="A35" s="2"/>
      <c r="B35" s="2">
        <f>SUM(B24:B33)</f>
        <v>15.849999999999998</v>
      </c>
      <c r="C35" s="2">
        <f t="shared" ref="C35:E35" si="28">SUM(C24:C33)</f>
        <v>15.66</v>
      </c>
      <c r="D35" s="2">
        <f t="shared" si="28"/>
        <v>14.860000000000001</v>
      </c>
      <c r="E35" s="2">
        <f t="shared" si="28"/>
        <v>15.25</v>
      </c>
      <c r="F35" s="2">
        <f t="shared" ref="F35:L35" si="29">SUM(F24:F33)</f>
        <v>15.02</v>
      </c>
      <c r="G35" s="2">
        <f t="shared" si="29"/>
        <v>15.449999999999998</v>
      </c>
      <c r="H35" s="2">
        <f t="shared" si="29"/>
        <v>14.7</v>
      </c>
      <c r="I35" s="2">
        <f t="shared" si="29"/>
        <v>15.329999999999998</v>
      </c>
      <c r="J35" s="2">
        <f t="shared" si="29"/>
        <v>15.050000000000002</v>
      </c>
      <c r="K35" s="2">
        <f t="shared" si="29"/>
        <v>15.38</v>
      </c>
      <c r="L35" s="2">
        <f t="shared" si="29"/>
        <v>15.29</v>
      </c>
      <c r="M35" s="2">
        <f t="shared" ref="M35:Z35" si="30">SUM(M24:M33)</f>
        <v>15.79</v>
      </c>
      <c r="N35" s="2">
        <f t="shared" si="30"/>
        <v>15.69</v>
      </c>
      <c r="O35" s="2">
        <f t="shared" si="30"/>
        <v>15.179999999999998</v>
      </c>
      <c r="P35" s="2">
        <f t="shared" si="30"/>
        <v>15.419999999999996</v>
      </c>
      <c r="Q35" s="2">
        <f t="shared" si="30"/>
        <v>15.91</v>
      </c>
      <c r="R35" s="2">
        <f t="shared" si="30"/>
        <v>16.29</v>
      </c>
      <c r="S35" s="2">
        <f t="shared" si="30"/>
        <v>15.949999999999998</v>
      </c>
      <c r="T35" s="2">
        <f t="shared" si="30"/>
        <v>15.799999999999995</v>
      </c>
      <c r="U35" s="2">
        <f t="shared" si="30"/>
        <v>15.919999999999996</v>
      </c>
      <c r="V35" s="2">
        <f t="shared" si="30"/>
        <v>16.11</v>
      </c>
      <c r="W35" s="2">
        <f t="shared" si="30"/>
        <v>15.519999999999998</v>
      </c>
      <c r="X35" s="2">
        <f t="shared" si="30"/>
        <v>15.569999999999999</v>
      </c>
      <c r="Y35" s="2">
        <f t="shared" si="30"/>
        <v>15.589999999999998</v>
      </c>
      <c r="Z35" s="2">
        <f t="shared" si="30"/>
        <v>15.169999999999998</v>
      </c>
      <c r="AA35" s="2">
        <f t="shared" ref="AA35:BY35" si="31">SUM(AA24:AA33)</f>
        <v>15.479999999999999</v>
      </c>
      <c r="AB35" s="2">
        <f t="shared" si="31"/>
        <v>0</v>
      </c>
      <c r="AC35" s="2">
        <f t="shared" si="31"/>
        <v>0</v>
      </c>
      <c r="AD35" s="2">
        <f t="shared" si="31"/>
        <v>0</v>
      </c>
      <c r="AE35" s="2">
        <f t="shared" si="31"/>
        <v>0</v>
      </c>
      <c r="AF35" s="2">
        <f t="shared" si="31"/>
        <v>0</v>
      </c>
      <c r="AG35" s="2">
        <f t="shared" si="31"/>
        <v>0</v>
      </c>
      <c r="AH35" s="2">
        <f t="shared" si="31"/>
        <v>0</v>
      </c>
      <c r="AI35" s="2">
        <f t="shared" si="31"/>
        <v>0</v>
      </c>
      <c r="AJ35" s="2">
        <f t="shared" si="31"/>
        <v>0</v>
      </c>
      <c r="AK35" s="2">
        <f t="shared" si="31"/>
        <v>0</v>
      </c>
      <c r="AL35" s="2">
        <f t="shared" si="31"/>
        <v>0</v>
      </c>
      <c r="AM35" s="2">
        <f t="shared" si="31"/>
        <v>0</v>
      </c>
      <c r="AN35" s="2">
        <f t="shared" si="31"/>
        <v>0</v>
      </c>
      <c r="AO35" s="2">
        <f t="shared" si="31"/>
        <v>0</v>
      </c>
      <c r="AP35" s="2">
        <f t="shared" si="31"/>
        <v>0</v>
      </c>
      <c r="AQ35" s="2">
        <f t="shared" si="31"/>
        <v>0</v>
      </c>
      <c r="AR35" s="2">
        <f t="shared" si="31"/>
        <v>0</v>
      </c>
      <c r="AS35" s="2">
        <f t="shared" si="31"/>
        <v>0</v>
      </c>
      <c r="AT35" s="2">
        <f t="shared" si="31"/>
        <v>0</v>
      </c>
      <c r="AU35" s="2">
        <f t="shared" si="31"/>
        <v>0</v>
      </c>
      <c r="AV35" s="2">
        <f t="shared" si="31"/>
        <v>0</v>
      </c>
      <c r="AW35" s="2">
        <f t="shared" si="31"/>
        <v>0</v>
      </c>
      <c r="AX35" s="2">
        <f t="shared" si="31"/>
        <v>0</v>
      </c>
      <c r="AY35" s="2">
        <f t="shared" si="31"/>
        <v>0</v>
      </c>
      <c r="AZ35" s="2">
        <f t="shared" si="31"/>
        <v>0</v>
      </c>
      <c r="BA35" s="2">
        <f t="shared" si="31"/>
        <v>0</v>
      </c>
      <c r="BB35" s="2">
        <f t="shared" si="31"/>
        <v>0</v>
      </c>
      <c r="BC35" s="2">
        <f t="shared" si="31"/>
        <v>0</v>
      </c>
      <c r="BD35" s="2">
        <f t="shared" si="31"/>
        <v>0</v>
      </c>
      <c r="BE35" s="2">
        <f t="shared" si="31"/>
        <v>0</v>
      </c>
      <c r="BF35" s="2">
        <f t="shared" si="31"/>
        <v>0</v>
      </c>
      <c r="BG35" s="2">
        <f t="shared" si="31"/>
        <v>0</v>
      </c>
      <c r="BH35" s="2">
        <f t="shared" si="31"/>
        <v>0</v>
      </c>
      <c r="BI35" s="2">
        <f t="shared" si="31"/>
        <v>0</v>
      </c>
      <c r="BJ35" s="2">
        <f t="shared" si="31"/>
        <v>0</v>
      </c>
      <c r="BK35" s="2">
        <f t="shared" si="31"/>
        <v>0</v>
      </c>
      <c r="BL35" s="2">
        <f t="shared" si="31"/>
        <v>0</v>
      </c>
      <c r="BM35" s="2">
        <f t="shared" si="31"/>
        <v>0</v>
      </c>
      <c r="BN35" s="2">
        <f t="shared" si="31"/>
        <v>0</v>
      </c>
      <c r="BO35" s="2">
        <f t="shared" si="31"/>
        <v>0</v>
      </c>
      <c r="BP35" s="2">
        <f t="shared" si="31"/>
        <v>0</v>
      </c>
      <c r="BQ35" s="2">
        <f t="shared" si="31"/>
        <v>0</v>
      </c>
      <c r="BR35" s="2">
        <f t="shared" si="31"/>
        <v>0</v>
      </c>
      <c r="BS35" s="2">
        <f t="shared" si="31"/>
        <v>0</v>
      </c>
      <c r="BT35" s="2">
        <f t="shared" si="31"/>
        <v>0</v>
      </c>
      <c r="BU35" s="2">
        <f t="shared" si="31"/>
        <v>0</v>
      </c>
      <c r="BV35" s="2">
        <f t="shared" si="31"/>
        <v>0</v>
      </c>
      <c r="BW35" s="2">
        <f t="shared" si="31"/>
        <v>0</v>
      </c>
      <c r="BX35" s="2">
        <f t="shared" si="31"/>
        <v>0</v>
      </c>
      <c r="BY35" s="2">
        <f t="shared" si="31"/>
        <v>0</v>
      </c>
    </row>
    <row r="36" spans="1:77" x14ac:dyDescent="0.25">
      <c r="A36" s="2"/>
    </row>
    <row r="37" spans="1:77" x14ac:dyDescent="0.25">
      <c r="A37" s="2"/>
    </row>
    <row r="38" spans="1:77" x14ac:dyDescent="0.25">
      <c r="A38" s="2"/>
    </row>
    <row r="39" spans="1:77" x14ac:dyDescent="0.25">
      <c r="A39" s="2"/>
    </row>
    <row r="40" spans="1:77" x14ac:dyDescent="0.25">
      <c r="A40" s="2"/>
    </row>
    <row r="41" spans="1:77" x14ac:dyDescent="0.25">
      <c r="A41" s="2"/>
    </row>
    <row r="43" spans="1:77" x14ac:dyDescent="0.25">
      <c r="B43" s="2"/>
      <c r="C43" s="2"/>
      <c r="D43" s="2"/>
      <c r="E4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29BF-66DB-45E6-8F7F-85368306AC7F}">
  <dimension ref="A1:BY77"/>
  <sheetViews>
    <sheetView zoomScale="80" zoomScaleNormal="80" workbookViewId="0">
      <pane xSplit="1" topLeftCell="W1" activePane="topRight" state="frozen"/>
      <selection pane="topRight" activeCell="AA36" sqref="AA36"/>
    </sheetView>
  </sheetViews>
  <sheetFormatPr defaultRowHeight="15" x14ac:dyDescent="0.25"/>
  <cols>
    <col min="1" max="1" width="41.42578125" customWidth="1"/>
    <col min="2" max="46" width="12" customWidth="1"/>
    <col min="47" max="77" width="11.85546875" customWidth="1"/>
  </cols>
  <sheetData>
    <row r="1" spans="1:77" ht="31.5" x14ac:dyDescent="0.5">
      <c r="A1" s="4" t="s">
        <v>89</v>
      </c>
    </row>
    <row r="3" spans="1:77" x14ac:dyDescent="0.25">
      <c r="A3" t="s">
        <v>12</v>
      </c>
    </row>
    <row r="4" spans="1:77" x14ac:dyDescent="0.25">
      <c r="B4" s="1">
        <f>Totals!B4</f>
        <v>44331</v>
      </c>
      <c r="C4" s="1">
        <f>Totals!C4</f>
        <v>44332</v>
      </c>
      <c r="D4" s="1">
        <f>Totals!D4</f>
        <v>44334</v>
      </c>
      <c r="E4" s="1">
        <f>Totals!E4</f>
        <v>44336</v>
      </c>
      <c r="F4" s="1">
        <f>Totals!F4</f>
        <v>44337</v>
      </c>
      <c r="G4" s="1">
        <f>Totals!G4</f>
        <v>44338</v>
      </c>
      <c r="H4" s="1">
        <f>Totals!H4</f>
        <v>44339</v>
      </c>
      <c r="I4" s="1">
        <f>Totals!I4</f>
        <v>44340</v>
      </c>
      <c r="J4" s="1">
        <f>Totals!J4</f>
        <v>44341</v>
      </c>
      <c r="K4" s="1">
        <f>Totals!K4</f>
        <v>44342</v>
      </c>
      <c r="L4" s="1">
        <f>Totals!L4</f>
        <v>44343</v>
      </c>
      <c r="M4" s="1">
        <f>Totals!M4</f>
        <v>44344</v>
      </c>
      <c r="N4" s="1">
        <f>Totals!N4</f>
        <v>44345</v>
      </c>
      <c r="O4" s="1">
        <f>Totals!O4</f>
        <v>44346</v>
      </c>
      <c r="P4" s="1">
        <f>Totals!P4</f>
        <v>44347</v>
      </c>
      <c r="Q4" s="1">
        <f>Totals!Q4</f>
        <v>44348</v>
      </c>
      <c r="R4" s="1">
        <f>Totals!R4</f>
        <v>44349</v>
      </c>
      <c r="S4" s="1">
        <f>Totals!S4</f>
        <v>44350</v>
      </c>
      <c r="T4" s="1">
        <f>Totals!T4</f>
        <v>44351</v>
      </c>
      <c r="U4" s="1">
        <f>Totals!U4</f>
        <v>44352</v>
      </c>
      <c r="V4" s="1">
        <f>Totals!V4</f>
        <v>44353</v>
      </c>
      <c r="W4" s="1">
        <f>Totals!W4</f>
        <v>44354</v>
      </c>
      <c r="X4" s="1">
        <f>Totals!X4</f>
        <v>44355</v>
      </c>
      <c r="Y4" s="1">
        <f>Totals!Y4</f>
        <v>44356</v>
      </c>
      <c r="Z4" s="1">
        <f>Totals!Z4</f>
        <v>44357</v>
      </c>
      <c r="AA4" s="1">
        <f>Totals!AA4</f>
        <v>44358</v>
      </c>
      <c r="AB4" s="1">
        <f>Totals!AB4</f>
        <v>44359</v>
      </c>
      <c r="AC4" s="1">
        <f>Totals!AC4</f>
        <v>44360</v>
      </c>
      <c r="AD4" s="1">
        <f>Totals!AD4</f>
        <v>44361</v>
      </c>
      <c r="AE4" s="1">
        <f>Totals!AE4</f>
        <v>44362</v>
      </c>
      <c r="AF4" s="1">
        <f>Totals!AF4</f>
        <v>44363</v>
      </c>
      <c r="AG4" s="1">
        <f>Totals!AG4</f>
        <v>44364</v>
      </c>
      <c r="AH4" s="1">
        <f>Totals!AH4</f>
        <v>44365</v>
      </c>
      <c r="AI4" s="1">
        <f>Totals!AI4</f>
        <v>44366</v>
      </c>
      <c r="AJ4" s="1">
        <f>Totals!AJ4</f>
        <v>44367</v>
      </c>
      <c r="AK4" s="1">
        <f>Totals!AK4</f>
        <v>44368</v>
      </c>
      <c r="AL4" s="1">
        <f>Totals!AL4</f>
        <v>44369</v>
      </c>
      <c r="AM4" s="1">
        <f>Totals!AM4</f>
        <v>44370</v>
      </c>
      <c r="AN4" s="1">
        <f>Totals!AN4</f>
        <v>44371</v>
      </c>
      <c r="AO4" s="1">
        <f>Totals!AO4</f>
        <v>44372</v>
      </c>
      <c r="AP4" s="1">
        <f>Totals!AP4</f>
        <v>44373</v>
      </c>
      <c r="AQ4" s="1">
        <f>Totals!AQ4</f>
        <v>44374</v>
      </c>
      <c r="AR4" s="1">
        <f>Totals!AR4</f>
        <v>44375</v>
      </c>
      <c r="AS4" s="1">
        <f>Totals!AS4</f>
        <v>44376</v>
      </c>
      <c r="AT4" s="1">
        <f>Totals!AT4</f>
        <v>44377</v>
      </c>
      <c r="AU4" s="1">
        <f>Totals!AU4</f>
        <v>44378</v>
      </c>
      <c r="AV4" s="1">
        <f>Totals!AV4</f>
        <v>44379</v>
      </c>
      <c r="AW4" s="1">
        <f>Totals!AW4</f>
        <v>44380</v>
      </c>
      <c r="AX4" s="1">
        <f>Totals!AX4</f>
        <v>44381</v>
      </c>
      <c r="AY4" s="1">
        <f>Totals!AY4</f>
        <v>44382</v>
      </c>
      <c r="AZ4" s="1">
        <f>Totals!AZ4</f>
        <v>44383</v>
      </c>
      <c r="BA4" s="1">
        <f>Totals!BA4</f>
        <v>44384</v>
      </c>
      <c r="BB4" s="1">
        <f>Totals!BB4</f>
        <v>44385</v>
      </c>
      <c r="BC4" s="1">
        <f>Totals!BC4</f>
        <v>44386</v>
      </c>
      <c r="BD4" s="1">
        <f>Totals!BD4</f>
        <v>44387</v>
      </c>
      <c r="BE4" s="1">
        <f>Totals!BE4</f>
        <v>44388</v>
      </c>
      <c r="BF4" s="1">
        <f>Totals!BF4</f>
        <v>44389</v>
      </c>
      <c r="BG4" s="1">
        <f>Totals!BG4</f>
        <v>44390</v>
      </c>
      <c r="BH4" s="1">
        <f>Totals!BH4</f>
        <v>44391</v>
      </c>
      <c r="BI4" s="1">
        <f>Totals!BI4</f>
        <v>44392</v>
      </c>
      <c r="BJ4" s="1">
        <f>Totals!BJ4</f>
        <v>44393</v>
      </c>
      <c r="BK4" s="1">
        <f>Totals!BK4</f>
        <v>44394</v>
      </c>
      <c r="BL4" s="1">
        <f>Totals!BL4</f>
        <v>44395</v>
      </c>
      <c r="BM4" s="1">
        <f>Totals!BM4</f>
        <v>44396</v>
      </c>
      <c r="BN4" s="1">
        <f>Totals!BN4</f>
        <v>44397</v>
      </c>
      <c r="BO4" s="1">
        <f>Totals!BO4</f>
        <v>44398</v>
      </c>
      <c r="BP4" s="1">
        <f>Totals!BP4</f>
        <v>44399</v>
      </c>
      <c r="BQ4" s="1">
        <f>Totals!BQ4</f>
        <v>44400</v>
      </c>
      <c r="BR4" s="1">
        <f>Totals!BR4</f>
        <v>44401</v>
      </c>
      <c r="BS4" s="1">
        <f>Totals!BS4</f>
        <v>44402</v>
      </c>
      <c r="BT4" s="1">
        <f>Totals!BT4</f>
        <v>44403</v>
      </c>
      <c r="BU4" s="1">
        <f>Totals!BU4</f>
        <v>44404</v>
      </c>
      <c r="BV4" s="1">
        <f>Totals!BV4</f>
        <v>44405</v>
      </c>
      <c r="BW4" s="1">
        <f>Totals!BW4</f>
        <v>44406</v>
      </c>
      <c r="BX4" s="1">
        <f>Totals!BX4</f>
        <v>44407</v>
      </c>
      <c r="BY4" s="1">
        <f>Totals!BY4</f>
        <v>44408</v>
      </c>
    </row>
    <row r="5" spans="1:77" x14ac:dyDescent="0.25">
      <c r="A5" s="2" t="s">
        <v>90</v>
      </c>
      <c r="B5">
        <v>46.88</v>
      </c>
      <c r="C5">
        <v>48.26</v>
      </c>
      <c r="D5">
        <v>46.04</v>
      </c>
      <c r="E5">
        <v>44.75</v>
      </c>
      <c r="F5">
        <v>44.89</v>
      </c>
      <c r="G5">
        <v>46.63</v>
      </c>
      <c r="H5">
        <v>46.07</v>
      </c>
      <c r="I5">
        <v>41.4</v>
      </c>
      <c r="J5">
        <v>44.41</v>
      </c>
      <c r="K5">
        <v>43.55</v>
      </c>
      <c r="L5">
        <v>43.89</v>
      </c>
      <c r="M5">
        <v>43.72</v>
      </c>
      <c r="N5">
        <v>42.45</v>
      </c>
      <c r="O5">
        <v>41.71</v>
      </c>
      <c r="P5">
        <v>40.94</v>
      </c>
      <c r="Q5">
        <v>42.79</v>
      </c>
      <c r="R5">
        <v>43.88</v>
      </c>
      <c r="S5">
        <v>44.86</v>
      </c>
      <c r="T5">
        <v>44.24</v>
      </c>
      <c r="U5">
        <v>43.33</v>
      </c>
      <c r="V5">
        <v>42.71</v>
      </c>
      <c r="W5">
        <v>42.15</v>
      </c>
      <c r="X5">
        <v>42.82</v>
      </c>
      <c r="Y5">
        <v>44.58</v>
      </c>
      <c r="Z5">
        <v>45.82</v>
      </c>
      <c r="AA5">
        <v>45.13</v>
      </c>
    </row>
    <row r="6" spans="1:77" x14ac:dyDescent="0.25">
      <c r="A6" s="2" t="s">
        <v>91</v>
      </c>
      <c r="B6">
        <v>1.38</v>
      </c>
      <c r="C6">
        <v>1.3</v>
      </c>
      <c r="D6">
        <v>1.39</v>
      </c>
      <c r="E6">
        <v>1.44</v>
      </c>
      <c r="F6">
        <v>1.38</v>
      </c>
      <c r="G6">
        <v>1.38</v>
      </c>
      <c r="H6">
        <v>1.4</v>
      </c>
      <c r="I6">
        <v>1.4</v>
      </c>
      <c r="J6">
        <v>1.42</v>
      </c>
      <c r="K6">
        <v>1.4</v>
      </c>
      <c r="L6">
        <v>1.4</v>
      </c>
      <c r="M6">
        <v>1.38</v>
      </c>
      <c r="N6">
        <v>1.35</v>
      </c>
      <c r="O6">
        <v>1.34</v>
      </c>
      <c r="P6">
        <v>1.34</v>
      </c>
      <c r="Q6">
        <v>1.32</v>
      </c>
      <c r="R6">
        <v>1.38</v>
      </c>
      <c r="S6">
        <v>1.29</v>
      </c>
      <c r="T6">
        <v>1.27</v>
      </c>
      <c r="U6">
        <v>1.35</v>
      </c>
      <c r="V6">
        <v>1.2</v>
      </c>
      <c r="W6">
        <v>1.33</v>
      </c>
      <c r="X6">
        <v>1.34</v>
      </c>
      <c r="Y6">
        <v>1.34</v>
      </c>
      <c r="Z6">
        <v>1.34</v>
      </c>
      <c r="AA6">
        <v>1.21</v>
      </c>
    </row>
    <row r="7" spans="1:77" x14ac:dyDescent="0.25">
      <c r="A7" s="2" t="s">
        <v>92</v>
      </c>
      <c r="B7">
        <v>5.4</v>
      </c>
      <c r="C7">
        <v>5.52</v>
      </c>
      <c r="D7">
        <v>5.41</v>
      </c>
      <c r="E7">
        <v>5.54</v>
      </c>
      <c r="F7">
        <v>5.48</v>
      </c>
      <c r="G7">
        <v>5.47</v>
      </c>
      <c r="H7">
        <v>4.96</v>
      </c>
      <c r="I7">
        <v>4.8</v>
      </c>
      <c r="J7">
        <v>5.32</v>
      </c>
      <c r="K7">
        <v>5.24</v>
      </c>
      <c r="L7">
        <v>5.22</v>
      </c>
      <c r="M7">
        <v>5.29</v>
      </c>
      <c r="N7">
        <v>5.25</v>
      </c>
      <c r="O7">
        <v>4.92</v>
      </c>
      <c r="P7">
        <v>5.42</v>
      </c>
      <c r="Q7">
        <v>5.47</v>
      </c>
      <c r="R7">
        <v>5.4</v>
      </c>
      <c r="S7">
        <v>5.45</v>
      </c>
      <c r="T7">
        <v>5.29</v>
      </c>
      <c r="U7">
        <v>4.9800000000000004</v>
      </c>
      <c r="V7">
        <v>5.61</v>
      </c>
      <c r="W7">
        <v>5.44</v>
      </c>
      <c r="X7">
        <v>5.26</v>
      </c>
      <c r="Y7">
        <v>4.76</v>
      </c>
      <c r="Z7">
        <v>5.35</v>
      </c>
      <c r="AA7">
        <v>5.25</v>
      </c>
    </row>
    <row r="8" spans="1:77" x14ac:dyDescent="0.25">
      <c r="A8" s="2" t="s">
        <v>93</v>
      </c>
      <c r="B8">
        <v>2.67</v>
      </c>
      <c r="C8">
        <v>2.73</v>
      </c>
      <c r="D8">
        <v>2.62</v>
      </c>
      <c r="E8">
        <v>2.64</v>
      </c>
      <c r="F8">
        <v>2.54</v>
      </c>
      <c r="G8">
        <v>2.58</v>
      </c>
      <c r="H8">
        <v>2.7</v>
      </c>
      <c r="I8">
        <v>2.69</v>
      </c>
      <c r="J8">
        <v>2.58</v>
      </c>
      <c r="K8">
        <v>2.4900000000000002</v>
      </c>
      <c r="L8">
        <v>2.37</v>
      </c>
      <c r="M8">
        <v>2.38</v>
      </c>
      <c r="N8">
        <v>2.46</v>
      </c>
      <c r="O8">
        <v>2.36</v>
      </c>
      <c r="P8">
        <v>2.39</v>
      </c>
      <c r="Q8">
        <v>2.31</v>
      </c>
      <c r="R8">
        <v>2.31</v>
      </c>
      <c r="S8">
        <v>2.33</v>
      </c>
      <c r="T8">
        <v>2.4300000000000002</v>
      </c>
      <c r="U8">
        <v>2.4900000000000002</v>
      </c>
      <c r="V8">
        <v>2.42</v>
      </c>
      <c r="W8">
        <v>2.46</v>
      </c>
      <c r="X8">
        <v>2.38</v>
      </c>
      <c r="Y8">
        <v>2.48</v>
      </c>
      <c r="Z8">
        <v>2.38</v>
      </c>
      <c r="AA8">
        <v>2.2999999999999998</v>
      </c>
    </row>
    <row r="9" spans="1:77" x14ac:dyDescent="0.25">
      <c r="A9" s="2" t="s">
        <v>94</v>
      </c>
      <c r="B9">
        <v>16.010000000000002</v>
      </c>
      <c r="C9">
        <v>16.03</v>
      </c>
      <c r="D9">
        <v>16.510000000000002</v>
      </c>
      <c r="E9">
        <v>16.36</v>
      </c>
      <c r="F9">
        <v>15.72</v>
      </c>
      <c r="G9">
        <v>15.47</v>
      </c>
      <c r="H9">
        <v>15.88</v>
      </c>
      <c r="I9">
        <v>16.75</v>
      </c>
      <c r="J9">
        <v>16.04</v>
      </c>
      <c r="K9">
        <v>16.07</v>
      </c>
      <c r="L9">
        <v>14.58</v>
      </c>
      <c r="M9">
        <v>15.18</v>
      </c>
      <c r="N9">
        <v>15.49</v>
      </c>
      <c r="O9">
        <v>14.85</v>
      </c>
      <c r="P9">
        <v>15.68</v>
      </c>
      <c r="Q9">
        <v>15.71</v>
      </c>
      <c r="R9">
        <v>15.94</v>
      </c>
      <c r="S9">
        <v>15.37</v>
      </c>
      <c r="T9">
        <v>15.2</v>
      </c>
      <c r="U9">
        <v>15.91</v>
      </c>
      <c r="V9">
        <v>15.75</v>
      </c>
      <c r="W9">
        <v>16.27</v>
      </c>
      <c r="X9">
        <v>15.99</v>
      </c>
      <c r="Y9">
        <v>15.31</v>
      </c>
      <c r="Z9">
        <v>15.42</v>
      </c>
      <c r="AA9">
        <v>15.76</v>
      </c>
    </row>
    <row r="10" spans="1:77" x14ac:dyDescent="0.25">
      <c r="A10" s="2" t="s">
        <v>95</v>
      </c>
      <c r="B10">
        <v>4.22</v>
      </c>
      <c r="C10">
        <v>3.94</v>
      </c>
      <c r="D10">
        <v>3.84</v>
      </c>
      <c r="E10">
        <v>4.1500000000000004</v>
      </c>
      <c r="F10">
        <v>4.0599999999999996</v>
      </c>
      <c r="G10">
        <v>4.2</v>
      </c>
      <c r="H10">
        <v>4.1399999999999997</v>
      </c>
      <c r="I10">
        <v>4.1900000000000004</v>
      </c>
      <c r="J10">
        <v>4.07</v>
      </c>
      <c r="K10">
        <v>4.0599999999999996</v>
      </c>
      <c r="L10">
        <v>3.93</v>
      </c>
      <c r="M10">
        <v>3.99</v>
      </c>
      <c r="N10">
        <v>4.16</v>
      </c>
      <c r="O10">
        <v>3.68</v>
      </c>
      <c r="P10">
        <v>4.07</v>
      </c>
      <c r="Q10">
        <v>4.1100000000000003</v>
      </c>
      <c r="R10">
        <v>4.08</v>
      </c>
      <c r="S10">
        <v>4.0599999999999996</v>
      </c>
      <c r="T10">
        <v>3.81</v>
      </c>
      <c r="U10">
        <v>3.9</v>
      </c>
      <c r="V10">
        <v>4.0599999999999996</v>
      </c>
      <c r="W10">
        <v>3.84</v>
      </c>
      <c r="X10">
        <v>3.86</v>
      </c>
      <c r="Y10">
        <v>3.88</v>
      </c>
      <c r="Z10">
        <v>4.03</v>
      </c>
      <c r="AA10">
        <v>4</v>
      </c>
    </row>
    <row r="11" spans="1:77" x14ac:dyDescent="0.25">
      <c r="A11" s="2" t="s">
        <v>96</v>
      </c>
      <c r="B11">
        <v>1.89</v>
      </c>
      <c r="C11">
        <v>1.96</v>
      </c>
      <c r="D11">
        <v>2.02</v>
      </c>
      <c r="E11">
        <v>1.95</v>
      </c>
      <c r="F11">
        <v>1.84</v>
      </c>
      <c r="G11">
        <v>1.97</v>
      </c>
      <c r="H11">
        <v>1.89</v>
      </c>
      <c r="I11">
        <v>1.87</v>
      </c>
      <c r="J11">
        <v>1.74</v>
      </c>
      <c r="K11">
        <v>1.88</v>
      </c>
      <c r="L11">
        <v>1.87</v>
      </c>
      <c r="M11">
        <v>1.79</v>
      </c>
      <c r="N11">
        <v>1.76</v>
      </c>
      <c r="O11">
        <v>1.76</v>
      </c>
      <c r="P11">
        <v>1.76</v>
      </c>
      <c r="Q11">
        <v>1.72</v>
      </c>
      <c r="R11">
        <v>1.74</v>
      </c>
      <c r="S11">
        <v>1.58</v>
      </c>
      <c r="T11">
        <v>1.73</v>
      </c>
      <c r="U11">
        <v>1.75</v>
      </c>
      <c r="V11">
        <v>1.62</v>
      </c>
      <c r="W11">
        <v>1.52</v>
      </c>
      <c r="X11">
        <v>1.68</v>
      </c>
      <c r="Y11">
        <v>1.65</v>
      </c>
      <c r="Z11">
        <v>1.72</v>
      </c>
      <c r="AA11">
        <v>1.67</v>
      </c>
    </row>
    <row r="12" spans="1:77" x14ac:dyDescent="0.25">
      <c r="A12" s="2" t="s">
        <v>97</v>
      </c>
      <c r="B12">
        <v>0.64</v>
      </c>
      <c r="C12">
        <v>0.62</v>
      </c>
      <c r="D12">
        <v>0.65</v>
      </c>
      <c r="E12">
        <v>0.61</v>
      </c>
      <c r="F12">
        <v>0.62</v>
      </c>
      <c r="G12">
        <v>0.66</v>
      </c>
      <c r="H12">
        <v>0.71</v>
      </c>
      <c r="I12">
        <v>0.69</v>
      </c>
      <c r="J12">
        <v>0.7</v>
      </c>
      <c r="K12">
        <v>0.66</v>
      </c>
      <c r="L12">
        <v>0.62</v>
      </c>
      <c r="M12">
        <v>0.65</v>
      </c>
      <c r="N12">
        <v>0.63</v>
      </c>
      <c r="O12">
        <v>0.63</v>
      </c>
      <c r="P12">
        <v>0.6</v>
      </c>
      <c r="Q12">
        <v>0.6</v>
      </c>
      <c r="R12">
        <v>0.55000000000000004</v>
      </c>
      <c r="S12">
        <v>0.6</v>
      </c>
      <c r="T12">
        <v>0.6</v>
      </c>
      <c r="U12">
        <v>0.6</v>
      </c>
      <c r="V12">
        <v>0.61</v>
      </c>
      <c r="W12">
        <v>0.61</v>
      </c>
      <c r="X12">
        <v>0.61</v>
      </c>
      <c r="Y12">
        <v>0.56999999999999995</v>
      </c>
      <c r="Z12">
        <v>0.56999999999999995</v>
      </c>
      <c r="AA12">
        <v>0.57999999999999996</v>
      </c>
    </row>
    <row r="13" spans="1:77" x14ac:dyDescent="0.25">
      <c r="A13" s="2" t="s">
        <v>98</v>
      </c>
      <c r="B13">
        <v>12.57</v>
      </c>
      <c r="C13">
        <v>10.7</v>
      </c>
      <c r="D13">
        <v>12.88</v>
      </c>
      <c r="E13">
        <v>12.64</v>
      </c>
      <c r="F13">
        <v>12.69</v>
      </c>
      <c r="G13">
        <v>13.17</v>
      </c>
      <c r="H13">
        <v>13.28</v>
      </c>
      <c r="I13">
        <v>13.14</v>
      </c>
      <c r="J13">
        <v>12.09</v>
      </c>
      <c r="K13">
        <v>13.02</v>
      </c>
      <c r="L13">
        <v>12.56</v>
      </c>
      <c r="M13">
        <v>12.68</v>
      </c>
      <c r="N13">
        <v>12.15</v>
      </c>
      <c r="O13">
        <v>12.04</v>
      </c>
      <c r="P13">
        <v>11.22</v>
      </c>
      <c r="Q13">
        <v>12.26</v>
      </c>
      <c r="R13">
        <v>11.7</v>
      </c>
      <c r="S13">
        <v>11.22</v>
      </c>
      <c r="T13">
        <v>12.11</v>
      </c>
      <c r="U13">
        <v>11.36</v>
      </c>
      <c r="V13">
        <v>12.62</v>
      </c>
      <c r="W13">
        <v>12.62</v>
      </c>
      <c r="X13">
        <v>12.28</v>
      </c>
      <c r="Y13">
        <v>12.56</v>
      </c>
      <c r="Z13">
        <v>11.77</v>
      </c>
      <c r="AA13">
        <v>12.16</v>
      </c>
    </row>
    <row r="14" spans="1:77" x14ac:dyDescent="0.25">
      <c r="A14" s="2" t="s">
        <v>99</v>
      </c>
      <c r="B14">
        <v>1.39</v>
      </c>
      <c r="C14">
        <v>1.46</v>
      </c>
      <c r="D14">
        <v>1.35</v>
      </c>
      <c r="E14">
        <v>1.38</v>
      </c>
      <c r="F14">
        <v>1.39</v>
      </c>
      <c r="G14">
        <v>1.35</v>
      </c>
      <c r="H14">
        <v>1.43</v>
      </c>
      <c r="I14">
        <v>1.42</v>
      </c>
      <c r="J14">
        <v>1.35</v>
      </c>
      <c r="K14">
        <v>1.45</v>
      </c>
      <c r="L14">
        <v>1.43</v>
      </c>
      <c r="M14">
        <v>1.32</v>
      </c>
      <c r="N14">
        <v>1.38</v>
      </c>
      <c r="O14">
        <v>1.44</v>
      </c>
      <c r="P14">
        <v>1.33</v>
      </c>
      <c r="Q14">
        <v>1.46</v>
      </c>
      <c r="R14">
        <v>1.42</v>
      </c>
      <c r="S14">
        <v>1.44</v>
      </c>
      <c r="T14">
        <v>1.45</v>
      </c>
      <c r="U14">
        <v>1.44</v>
      </c>
      <c r="V14">
        <v>1.46</v>
      </c>
      <c r="W14">
        <v>1.4</v>
      </c>
      <c r="X14">
        <v>1.34</v>
      </c>
      <c r="Y14">
        <v>1.41</v>
      </c>
      <c r="Z14">
        <v>1.41</v>
      </c>
      <c r="AA14">
        <v>1.38</v>
      </c>
    </row>
    <row r="15" spans="1:77" x14ac:dyDescent="0.25">
      <c r="A15" s="2" t="s">
        <v>100</v>
      </c>
      <c r="B15">
        <v>12.25</v>
      </c>
      <c r="C15">
        <v>13.38</v>
      </c>
      <c r="D15">
        <v>12.8</v>
      </c>
      <c r="E15">
        <v>13.84</v>
      </c>
      <c r="F15">
        <v>13.63</v>
      </c>
      <c r="G15">
        <v>13.45</v>
      </c>
      <c r="H15">
        <v>12.42</v>
      </c>
      <c r="I15">
        <v>13.28</v>
      </c>
      <c r="J15">
        <v>13.28</v>
      </c>
      <c r="K15">
        <v>13.01</v>
      </c>
      <c r="L15">
        <v>12.76</v>
      </c>
      <c r="M15">
        <v>11.82</v>
      </c>
      <c r="N15">
        <v>13.23</v>
      </c>
      <c r="O15">
        <v>13.37</v>
      </c>
      <c r="P15">
        <v>12.95</v>
      </c>
      <c r="Q15">
        <v>13.49</v>
      </c>
      <c r="R15">
        <v>13.24</v>
      </c>
      <c r="S15">
        <v>12.62</v>
      </c>
      <c r="T15">
        <v>13.16</v>
      </c>
      <c r="U15">
        <v>12.6</v>
      </c>
      <c r="V15">
        <v>12.78</v>
      </c>
      <c r="W15">
        <v>13.15</v>
      </c>
      <c r="X15">
        <v>13.07</v>
      </c>
      <c r="Y15">
        <v>13.25</v>
      </c>
      <c r="Z15">
        <v>13.37</v>
      </c>
      <c r="AA15">
        <v>13.34</v>
      </c>
    </row>
    <row r="16" spans="1:77" x14ac:dyDescent="0.25">
      <c r="A16" s="2" t="s">
        <v>101</v>
      </c>
      <c r="B16">
        <v>2.57</v>
      </c>
      <c r="C16">
        <v>2.5</v>
      </c>
      <c r="D16">
        <v>2.68</v>
      </c>
      <c r="E16">
        <v>2.4300000000000002</v>
      </c>
      <c r="F16">
        <v>2.61</v>
      </c>
      <c r="G16">
        <v>2.62</v>
      </c>
      <c r="H16">
        <v>2.66</v>
      </c>
      <c r="I16">
        <v>2.67</v>
      </c>
      <c r="J16">
        <v>2.58</v>
      </c>
      <c r="K16">
        <v>2.81</v>
      </c>
      <c r="L16">
        <v>2.78</v>
      </c>
      <c r="M16">
        <v>2.82</v>
      </c>
      <c r="N16">
        <v>2.93</v>
      </c>
      <c r="O16">
        <v>2.42</v>
      </c>
      <c r="P16">
        <v>2.65</v>
      </c>
      <c r="Q16">
        <v>2.7</v>
      </c>
      <c r="R16">
        <v>2.5299999999999998</v>
      </c>
      <c r="S16">
        <v>2.44</v>
      </c>
      <c r="T16">
        <v>2.5299999999999998</v>
      </c>
      <c r="U16">
        <v>2.39</v>
      </c>
      <c r="V16">
        <v>2.69</v>
      </c>
      <c r="W16">
        <v>2.44</v>
      </c>
      <c r="X16">
        <v>2.3199999999999998</v>
      </c>
      <c r="Y16">
        <v>2.3199999999999998</v>
      </c>
      <c r="Z16">
        <v>2.38</v>
      </c>
      <c r="AA16">
        <v>2.5</v>
      </c>
    </row>
    <row r="17" spans="1:27" x14ac:dyDescent="0.25">
      <c r="A17" s="2" t="s">
        <v>102</v>
      </c>
      <c r="B17">
        <v>4.9000000000000004</v>
      </c>
      <c r="C17">
        <v>4.72</v>
      </c>
      <c r="D17">
        <v>4.97</v>
      </c>
      <c r="E17">
        <v>4.68</v>
      </c>
      <c r="F17">
        <v>4.68</v>
      </c>
      <c r="G17">
        <v>4.83</v>
      </c>
      <c r="H17">
        <v>4.7699999999999996</v>
      </c>
      <c r="I17">
        <v>4.92</v>
      </c>
      <c r="J17">
        <v>4.55</v>
      </c>
      <c r="K17">
        <v>4.4800000000000004</v>
      </c>
      <c r="L17">
        <v>4.9000000000000004</v>
      </c>
      <c r="M17">
        <v>4.76</v>
      </c>
      <c r="N17">
        <v>4.92</v>
      </c>
      <c r="O17">
        <v>4.67</v>
      </c>
      <c r="P17">
        <v>4.7300000000000004</v>
      </c>
      <c r="Q17">
        <v>4.76</v>
      </c>
      <c r="R17">
        <v>4.6900000000000004</v>
      </c>
      <c r="S17">
        <v>4.21</v>
      </c>
      <c r="T17">
        <v>4.8</v>
      </c>
      <c r="U17">
        <v>4.51</v>
      </c>
      <c r="V17">
        <v>4.3</v>
      </c>
      <c r="W17">
        <v>4.71</v>
      </c>
      <c r="X17">
        <v>4.67</v>
      </c>
      <c r="Y17">
        <v>4.51</v>
      </c>
      <c r="Z17">
        <v>4.5999999999999996</v>
      </c>
      <c r="AA17">
        <v>4.5599999999999996</v>
      </c>
    </row>
    <row r="18" spans="1:27" x14ac:dyDescent="0.25">
      <c r="A18" s="2" t="s">
        <v>103</v>
      </c>
      <c r="B18">
        <v>2.42</v>
      </c>
      <c r="C18">
        <v>2.35</v>
      </c>
      <c r="D18">
        <v>2.31</v>
      </c>
      <c r="E18">
        <v>2.4300000000000002</v>
      </c>
      <c r="F18">
        <v>2.42</v>
      </c>
      <c r="G18">
        <v>2.33</v>
      </c>
      <c r="H18">
        <v>2.37</v>
      </c>
      <c r="I18">
        <v>2.39</v>
      </c>
      <c r="J18">
        <v>2.2599999999999998</v>
      </c>
      <c r="K18">
        <v>2.3199999999999998</v>
      </c>
      <c r="L18">
        <v>2.35</v>
      </c>
      <c r="M18">
        <v>2.38</v>
      </c>
      <c r="N18">
        <v>2.36</v>
      </c>
      <c r="O18">
        <v>2.41</v>
      </c>
      <c r="P18">
        <v>2.37</v>
      </c>
      <c r="Q18">
        <v>2.4900000000000002</v>
      </c>
      <c r="R18">
        <v>2.5</v>
      </c>
      <c r="S18">
        <v>2.39</v>
      </c>
      <c r="T18">
        <v>2.34</v>
      </c>
      <c r="U18">
        <v>2.34</v>
      </c>
      <c r="V18">
        <v>2.38</v>
      </c>
      <c r="W18">
        <v>2.25</v>
      </c>
      <c r="X18">
        <v>2.2599999999999998</v>
      </c>
      <c r="Y18">
        <v>2.42</v>
      </c>
      <c r="Z18">
        <v>2.4500000000000002</v>
      </c>
      <c r="AA18">
        <v>2.11</v>
      </c>
    </row>
    <row r="19" spans="1:27" x14ac:dyDescent="0.25">
      <c r="A19" s="2" t="s">
        <v>104</v>
      </c>
      <c r="B19">
        <v>1.29</v>
      </c>
      <c r="C19">
        <v>1.19</v>
      </c>
      <c r="D19">
        <v>1.1000000000000001</v>
      </c>
      <c r="E19">
        <v>1.1100000000000001</v>
      </c>
      <c r="F19">
        <v>1.08</v>
      </c>
      <c r="G19">
        <v>1.1000000000000001</v>
      </c>
      <c r="H19">
        <v>1.08</v>
      </c>
      <c r="I19">
        <v>1.05</v>
      </c>
      <c r="J19">
        <v>1.1000000000000001</v>
      </c>
      <c r="K19">
        <v>1.1200000000000001</v>
      </c>
      <c r="L19">
        <v>1.19</v>
      </c>
      <c r="M19">
        <v>1.28</v>
      </c>
      <c r="N19">
        <v>1.26</v>
      </c>
      <c r="O19">
        <v>1.23</v>
      </c>
      <c r="P19">
        <v>1.1599999999999999</v>
      </c>
      <c r="Q19">
        <v>1.17</v>
      </c>
      <c r="R19">
        <v>1.19</v>
      </c>
      <c r="S19">
        <v>1.1100000000000001</v>
      </c>
      <c r="T19">
        <v>0.97</v>
      </c>
      <c r="U19">
        <v>1.04</v>
      </c>
      <c r="V19">
        <v>1.04</v>
      </c>
      <c r="W19">
        <v>1.07</v>
      </c>
      <c r="X19">
        <v>1.03</v>
      </c>
      <c r="Y19">
        <v>1.04</v>
      </c>
      <c r="Z19">
        <v>1.03</v>
      </c>
      <c r="AA19">
        <v>1.03</v>
      </c>
    </row>
    <row r="20" spans="1:27" x14ac:dyDescent="0.25">
      <c r="A20" s="2" t="s">
        <v>105</v>
      </c>
      <c r="B20">
        <v>17.53</v>
      </c>
      <c r="C20">
        <v>16.38</v>
      </c>
      <c r="D20">
        <v>17.649999999999999</v>
      </c>
      <c r="E20">
        <v>17.399999999999999</v>
      </c>
      <c r="F20">
        <v>17.13</v>
      </c>
      <c r="G20">
        <v>16.739999999999998</v>
      </c>
      <c r="H20">
        <v>15.07</v>
      </c>
      <c r="I20">
        <v>14.85</v>
      </c>
      <c r="J20">
        <v>16.37</v>
      </c>
      <c r="K20">
        <v>17.66</v>
      </c>
      <c r="L20">
        <v>16.45</v>
      </c>
      <c r="M20">
        <v>17.079999999999998</v>
      </c>
      <c r="N20">
        <v>16.27</v>
      </c>
      <c r="O20">
        <v>16.46</v>
      </c>
      <c r="P20">
        <v>16.46</v>
      </c>
      <c r="Q20">
        <v>17.079999999999998</v>
      </c>
      <c r="R20">
        <v>16.57</v>
      </c>
      <c r="S20">
        <v>15.41</v>
      </c>
      <c r="T20">
        <v>14.93</v>
      </c>
      <c r="U20">
        <v>16.899999999999999</v>
      </c>
      <c r="V20">
        <v>16.48</v>
      </c>
      <c r="W20">
        <v>15.45</v>
      </c>
      <c r="X20">
        <v>15.96</v>
      </c>
      <c r="Y20">
        <v>16.16</v>
      </c>
      <c r="Z20">
        <v>16.11</v>
      </c>
      <c r="AA20">
        <v>15.48</v>
      </c>
    </row>
    <row r="21" spans="1:27" x14ac:dyDescent="0.25">
      <c r="A21" s="2" t="s">
        <v>106</v>
      </c>
      <c r="B21">
        <v>6.46</v>
      </c>
      <c r="C21">
        <v>6.58</v>
      </c>
      <c r="D21">
        <v>6.48</v>
      </c>
      <c r="E21">
        <v>6.32</v>
      </c>
      <c r="F21">
        <v>6.23</v>
      </c>
      <c r="G21">
        <v>6.23</v>
      </c>
      <c r="H21">
        <v>5.76</v>
      </c>
      <c r="I21">
        <v>6.23</v>
      </c>
      <c r="J21">
        <v>6.01</v>
      </c>
      <c r="K21">
        <v>5.99</v>
      </c>
      <c r="L21">
        <v>6.03</v>
      </c>
      <c r="M21">
        <v>5.56</v>
      </c>
      <c r="N21">
        <v>5.61</v>
      </c>
      <c r="O21">
        <v>5.63</v>
      </c>
      <c r="P21">
        <v>5.84</v>
      </c>
      <c r="Q21">
        <v>5.91</v>
      </c>
      <c r="R21">
        <v>5.9</v>
      </c>
      <c r="S21">
        <v>5.86</v>
      </c>
      <c r="T21">
        <v>5.78</v>
      </c>
      <c r="U21">
        <v>5.86</v>
      </c>
      <c r="V21">
        <v>5.88</v>
      </c>
      <c r="W21">
        <v>5.9</v>
      </c>
      <c r="X21">
        <v>5.54</v>
      </c>
      <c r="Y21">
        <v>5.82</v>
      </c>
      <c r="Z21">
        <v>5.7</v>
      </c>
      <c r="AA21">
        <v>5.89</v>
      </c>
    </row>
    <row r="22" spans="1:27" x14ac:dyDescent="0.25">
      <c r="A22" s="2" t="s">
        <v>107</v>
      </c>
      <c r="B22">
        <v>6.58</v>
      </c>
      <c r="C22">
        <v>6.29</v>
      </c>
      <c r="D22">
        <v>5.78</v>
      </c>
      <c r="E22">
        <v>6.4</v>
      </c>
      <c r="F22">
        <v>5.82</v>
      </c>
      <c r="G22">
        <v>6.3</v>
      </c>
      <c r="H22">
        <v>6.49</v>
      </c>
      <c r="I22">
        <v>6.12</v>
      </c>
      <c r="J22">
        <v>6.3</v>
      </c>
      <c r="K22">
        <v>5.63</v>
      </c>
      <c r="L22">
        <v>6.03</v>
      </c>
      <c r="M22">
        <v>5.79</v>
      </c>
      <c r="N22">
        <v>5.86</v>
      </c>
      <c r="O22">
        <v>5.79</v>
      </c>
      <c r="P22">
        <v>5.99</v>
      </c>
      <c r="Q22">
        <v>6.33</v>
      </c>
      <c r="R22">
        <v>6.14</v>
      </c>
      <c r="S22">
        <v>5.9</v>
      </c>
      <c r="T22">
        <v>6.32</v>
      </c>
      <c r="U22">
        <v>5.54</v>
      </c>
      <c r="V22">
        <v>5.98</v>
      </c>
      <c r="W22">
        <v>5.59</v>
      </c>
      <c r="X22">
        <v>6.14</v>
      </c>
      <c r="Y22">
        <v>5.87</v>
      </c>
      <c r="Z22">
        <v>6.04</v>
      </c>
      <c r="AA22">
        <v>6.09</v>
      </c>
    </row>
    <row r="23" spans="1:27" x14ac:dyDescent="0.25">
      <c r="A23" s="2" t="s">
        <v>108</v>
      </c>
      <c r="B23">
        <v>5.71</v>
      </c>
      <c r="C23">
        <v>5.43</v>
      </c>
      <c r="D23">
        <v>5.45</v>
      </c>
      <c r="E23">
        <v>5.13</v>
      </c>
      <c r="F23">
        <v>5.22</v>
      </c>
      <c r="G23">
        <v>5.48</v>
      </c>
      <c r="H23">
        <v>5.37</v>
      </c>
      <c r="I23">
        <v>5.14</v>
      </c>
      <c r="J23">
        <v>5.09</v>
      </c>
      <c r="K23">
        <v>5.0199999999999996</v>
      </c>
      <c r="L23">
        <v>5.34</v>
      </c>
      <c r="M23">
        <v>5.22</v>
      </c>
      <c r="N23">
        <v>5.2</v>
      </c>
      <c r="O23">
        <v>5.12</v>
      </c>
      <c r="P23">
        <v>5.36</v>
      </c>
      <c r="Q23">
        <v>5.36</v>
      </c>
      <c r="R23">
        <v>5.25</v>
      </c>
      <c r="S23">
        <v>5.24</v>
      </c>
      <c r="T23">
        <v>5.17</v>
      </c>
      <c r="U23">
        <v>5.0199999999999996</v>
      </c>
      <c r="V23">
        <v>5.34</v>
      </c>
      <c r="W23">
        <v>4.97</v>
      </c>
      <c r="X23">
        <v>5.36</v>
      </c>
      <c r="Y23">
        <v>5.33</v>
      </c>
      <c r="Z23">
        <v>5.13</v>
      </c>
      <c r="AA23">
        <v>5.13</v>
      </c>
    </row>
    <row r="24" spans="1:27" x14ac:dyDescent="0.25">
      <c r="A24" s="2" t="s">
        <v>109</v>
      </c>
      <c r="B24">
        <v>28.06</v>
      </c>
      <c r="C24">
        <v>29.75</v>
      </c>
      <c r="D24">
        <v>27.86</v>
      </c>
      <c r="E24">
        <v>30.97</v>
      </c>
      <c r="F24">
        <v>30.52</v>
      </c>
      <c r="G24">
        <v>30.5</v>
      </c>
      <c r="H24">
        <v>30.94</v>
      </c>
      <c r="I24">
        <v>27.91</v>
      </c>
      <c r="J24">
        <v>30.48</v>
      </c>
      <c r="K24">
        <v>29.22</v>
      </c>
      <c r="L24">
        <v>29.8</v>
      </c>
      <c r="M24">
        <v>30.17</v>
      </c>
      <c r="N24">
        <v>30.2</v>
      </c>
      <c r="O24">
        <v>29.95</v>
      </c>
      <c r="P24">
        <v>26.76</v>
      </c>
      <c r="Q24">
        <v>30.71</v>
      </c>
      <c r="R24">
        <v>29.38</v>
      </c>
      <c r="S24">
        <v>29.53</v>
      </c>
      <c r="T24">
        <v>29.01</v>
      </c>
      <c r="U24">
        <v>28.8</v>
      </c>
      <c r="V24">
        <v>29.36</v>
      </c>
      <c r="W24">
        <v>29.34</v>
      </c>
      <c r="X24">
        <v>27.39</v>
      </c>
      <c r="Y24">
        <v>29.53</v>
      </c>
      <c r="Z24">
        <v>29.98</v>
      </c>
      <c r="AA24">
        <v>26.17</v>
      </c>
    </row>
    <row r="25" spans="1:27" x14ac:dyDescent="0.25">
      <c r="A25" s="2" t="s">
        <v>110</v>
      </c>
      <c r="B25">
        <v>3.87</v>
      </c>
      <c r="C25">
        <v>3.61</v>
      </c>
      <c r="D25">
        <v>3.62</v>
      </c>
      <c r="E25">
        <v>3.61</v>
      </c>
      <c r="F25">
        <v>3.63</v>
      </c>
      <c r="G25">
        <v>3.45</v>
      </c>
      <c r="H25">
        <v>3.74</v>
      </c>
      <c r="I25">
        <v>3.52</v>
      </c>
      <c r="J25">
        <v>3.49</v>
      </c>
      <c r="K25">
        <v>3.53</v>
      </c>
      <c r="L25">
        <v>3.64</v>
      </c>
      <c r="M25">
        <v>3.59</v>
      </c>
      <c r="N25">
        <v>3.47</v>
      </c>
      <c r="O25">
        <v>3.56</v>
      </c>
      <c r="P25">
        <v>3.65</v>
      </c>
      <c r="Q25">
        <v>3.82</v>
      </c>
      <c r="R25">
        <v>3.62</v>
      </c>
      <c r="S25">
        <v>3.6</v>
      </c>
      <c r="T25">
        <v>3.61</v>
      </c>
      <c r="U25">
        <v>3.54</v>
      </c>
      <c r="V25">
        <v>3.73</v>
      </c>
      <c r="W25">
        <v>3.59</v>
      </c>
      <c r="X25">
        <v>3.6</v>
      </c>
      <c r="Y25">
        <v>3.52</v>
      </c>
      <c r="Z25">
        <v>3.49</v>
      </c>
      <c r="AA25">
        <v>3.45</v>
      </c>
    </row>
    <row r="26" spans="1:27" x14ac:dyDescent="0.25">
      <c r="A26" s="2" t="s">
        <v>111</v>
      </c>
      <c r="B26">
        <v>87.76</v>
      </c>
      <c r="C26">
        <v>84.47</v>
      </c>
      <c r="D26">
        <v>88.51</v>
      </c>
      <c r="E26">
        <v>88.5</v>
      </c>
      <c r="F26">
        <v>88.5</v>
      </c>
      <c r="G26">
        <v>88.29</v>
      </c>
      <c r="H26">
        <v>91.5</v>
      </c>
      <c r="I26">
        <v>91.5</v>
      </c>
      <c r="J26">
        <v>90.9</v>
      </c>
      <c r="K26">
        <v>91.34</v>
      </c>
      <c r="L26">
        <v>85.86</v>
      </c>
      <c r="M26">
        <v>91.67</v>
      </c>
      <c r="N26">
        <v>87.76</v>
      </c>
      <c r="O26">
        <v>91.7</v>
      </c>
      <c r="P26">
        <v>90.34</v>
      </c>
      <c r="Q26">
        <v>94.85</v>
      </c>
      <c r="R26">
        <v>98.14</v>
      </c>
      <c r="S26">
        <v>95.29</v>
      </c>
      <c r="T26">
        <v>95.73</v>
      </c>
      <c r="U26">
        <v>117.46</v>
      </c>
      <c r="V26">
        <v>117.46</v>
      </c>
      <c r="W26">
        <v>109.57</v>
      </c>
      <c r="X26">
        <v>107.7</v>
      </c>
      <c r="Y26">
        <v>106.83</v>
      </c>
      <c r="Z26">
        <v>104.08</v>
      </c>
      <c r="AA26">
        <v>116.41</v>
      </c>
    </row>
    <row r="27" spans="1:27" x14ac:dyDescent="0.25">
      <c r="A27" s="2" t="s">
        <v>112</v>
      </c>
      <c r="B27">
        <v>42.81</v>
      </c>
      <c r="C27">
        <v>40.6</v>
      </c>
      <c r="D27">
        <v>40.6</v>
      </c>
      <c r="E27">
        <v>43.52</v>
      </c>
      <c r="F27">
        <v>41.78</v>
      </c>
      <c r="G27">
        <v>40.51</v>
      </c>
      <c r="H27">
        <v>42.18</v>
      </c>
      <c r="I27">
        <v>43.36</v>
      </c>
      <c r="J27">
        <v>43.28</v>
      </c>
      <c r="K27">
        <v>42.82</v>
      </c>
      <c r="L27">
        <v>40.64</v>
      </c>
      <c r="M27">
        <v>41.72</v>
      </c>
      <c r="N27">
        <v>39.479999999999997</v>
      </c>
      <c r="O27">
        <v>40.479999999999997</v>
      </c>
      <c r="P27">
        <v>40.97</v>
      </c>
      <c r="Q27">
        <v>39.799999999999997</v>
      </c>
      <c r="R27">
        <v>43.95</v>
      </c>
      <c r="S27">
        <v>44.02</v>
      </c>
      <c r="T27">
        <v>40.28</v>
      </c>
      <c r="U27">
        <v>42</v>
      </c>
      <c r="V27">
        <v>43.82</v>
      </c>
      <c r="W27">
        <v>41.47</v>
      </c>
      <c r="X27">
        <v>40.29</v>
      </c>
      <c r="Y27">
        <v>41.48</v>
      </c>
      <c r="Z27">
        <v>42.04</v>
      </c>
      <c r="AA27">
        <v>41.45</v>
      </c>
    </row>
    <row r="28" spans="1:27" x14ac:dyDescent="0.25">
      <c r="A28" s="2" t="s">
        <v>113</v>
      </c>
      <c r="B28">
        <v>1.86</v>
      </c>
      <c r="C28">
        <v>1.84</v>
      </c>
      <c r="D28">
        <v>1.65</v>
      </c>
      <c r="E28">
        <v>1.79</v>
      </c>
      <c r="F28">
        <v>1.79</v>
      </c>
      <c r="G28">
        <v>1.8</v>
      </c>
      <c r="H28">
        <v>1.72</v>
      </c>
      <c r="I28">
        <v>1.75</v>
      </c>
      <c r="J28">
        <v>1.64</v>
      </c>
      <c r="K28">
        <v>1.75</v>
      </c>
      <c r="L28">
        <v>1.67</v>
      </c>
      <c r="M28">
        <v>1.65</v>
      </c>
      <c r="N28">
        <v>1.64</v>
      </c>
      <c r="O28">
        <v>1.55</v>
      </c>
      <c r="P28">
        <v>1.63</v>
      </c>
      <c r="Q28">
        <v>1.64</v>
      </c>
      <c r="R28">
        <v>1.54</v>
      </c>
      <c r="S28">
        <v>1.62</v>
      </c>
      <c r="T28">
        <v>1.63</v>
      </c>
      <c r="U28">
        <v>1.47</v>
      </c>
      <c r="V28">
        <v>1.61</v>
      </c>
      <c r="W28">
        <v>1.61</v>
      </c>
      <c r="X28">
        <v>1.47</v>
      </c>
      <c r="Y28">
        <v>1.47</v>
      </c>
      <c r="Z28">
        <v>1.61</v>
      </c>
      <c r="AA28">
        <v>1.57</v>
      </c>
    </row>
    <row r="29" spans="1:27" x14ac:dyDescent="0.25">
      <c r="A29" s="2" t="s">
        <v>114</v>
      </c>
      <c r="B29">
        <v>2.2599999999999998</v>
      </c>
      <c r="C29">
        <v>2.1</v>
      </c>
      <c r="D29">
        <v>2.2000000000000002</v>
      </c>
      <c r="E29">
        <v>2.25</v>
      </c>
      <c r="F29">
        <v>2.11</v>
      </c>
      <c r="G29">
        <v>2.21</v>
      </c>
      <c r="H29">
        <v>2.16</v>
      </c>
      <c r="I29">
        <v>2.2200000000000002</v>
      </c>
      <c r="J29">
        <v>2.27</v>
      </c>
      <c r="K29">
        <v>2.31</v>
      </c>
      <c r="L29">
        <v>2.2200000000000002</v>
      </c>
      <c r="M29">
        <v>2.2400000000000002</v>
      </c>
      <c r="N29">
        <v>2.14</v>
      </c>
      <c r="O29">
        <v>2.1</v>
      </c>
      <c r="P29">
        <v>1.97</v>
      </c>
      <c r="Q29">
        <v>2.09</v>
      </c>
      <c r="R29">
        <v>2.09</v>
      </c>
      <c r="S29">
        <v>2.23</v>
      </c>
      <c r="T29">
        <v>2.19</v>
      </c>
      <c r="U29">
        <v>2.14</v>
      </c>
      <c r="V29">
        <v>2.2200000000000002</v>
      </c>
      <c r="W29">
        <v>2.14</v>
      </c>
      <c r="X29">
        <v>2.3199999999999998</v>
      </c>
      <c r="Y29">
        <v>2.27</v>
      </c>
      <c r="Z29">
        <v>2.0699999999999998</v>
      </c>
      <c r="AA29">
        <v>2</v>
      </c>
    </row>
    <row r="30" spans="1:27" x14ac:dyDescent="0.25">
      <c r="A30" s="2" t="s">
        <v>115</v>
      </c>
      <c r="B30">
        <v>0.41</v>
      </c>
      <c r="C30">
        <v>0.43</v>
      </c>
      <c r="D30">
        <v>0.41</v>
      </c>
      <c r="E30">
        <v>0.41</v>
      </c>
      <c r="F30">
        <v>0.46</v>
      </c>
      <c r="G30">
        <v>0.49</v>
      </c>
      <c r="H30">
        <v>0.53</v>
      </c>
      <c r="I30">
        <v>0.54</v>
      </c>
      <c r="J30">
        <v>0.6</v>
      </c>
      <c r="K30">
        <v>0.6</v>
      </c>
      <c r="L30">
        <v>0.81</v>
      </c>
      <c r="M30">
        <v>0.78</v>
      </c>
      <c r="N30">
        <v>0.71</v>
      </c>
      <c r="O30">
        <v>0.65</v>
      </c>
      <c r="P30">
        <v>0.61</v>
      </c>
      <c r="Q30">
        <v>0.56999999999999995</v>
      </c>
      <c r="R30">
        <v>0.55000000000000004</v>
      </c>
      <c r="S30">
        <v>0.62</v>
      </c>
      <c r="T30">
        <v>0.64</v>
      </c>
      <c r="U30">
        <v>0.73</v>
      </c>
      <c r="V30">
        <v>0.87</v>
      </c>
      <c r="W30">
        <v>0.74</v>
      </c>
      <c r="X30">
        <v>0.76</v>
      </c>
      <c r="Y30">
        <v>0.86</v>
      </c>
      <c r="Z30">
        <v>0.82</v>
      </c>
      <c r="AA30">
        <v>0.92</v>
      </c>
    </row>
    <row r="31" spans="1:27" x14ac:dyDescent="0.25">
      <c r="A31" s="2" t="s">
        <v>116</v>
      </c>
      <c r="B31">
        <v>9.14</v>
      </c>
      <c r="C31">
        <v>9.0399999999999991</v>
      </c>
      <c r="D31">
        <v>8.65</v>
      </c>
      <c r="E31">
        <v>9.56</v>
      </c>
      <c r="F31">
        <v>9.01</v>
      </c>
      <c r="G31">
        <v>10.08</v>
      </c>
      <c r="H31">
        <v>9.1</v>
      </c>
      <c r="I31">
        <v>9.6</v>
      </c>
      <c r="J31">
        <v>9.58</v>
      </c>
      <c r="K31">
        <v>9.48</v>
      </c>
      <c r="L31">
        <v>11.35</v>
      </c>
      <c r="M31">
        <v>12.34</v>
      </c>
      <c r="N31">
        <v>12.21</v>
      </c>
      <c r="O31">
        <v>11.98</v>
      </c>
      <c r="P31">
        <v>12.07</v>
      </c>
      <c r="Q31">
        <v>11.78</v>
      </c>
      <c r="R31">
        <v>12.2</v>
      </c>
      <c r="S31">
        <v>12.1</v>
      </c>
      <c r="T31">
        <v>13.7</v>
      </c>
      <c r="U31">
        <v>13.34</v>
      </c>
      <c r="V31">
        <v>13.35</v>
      </c>
      <c r="W31">
        <v>12.53</v>
      </c>
      <c r="X31">
        <v>12.12</v>
      </c>
      <c r="Y31">
        <v>12.45</v>
      </c>
      <c r="Z31">
        <v>12.38</v>
      </c>
      <c r="AA31">
        <v>12.65</v>
      </c>
    </row>
    <row r="32" spans="1:27" x14ac:dyDescent="0.25">
      <c r="A32" s="2" t="s">
        <v>117</v>
      </c>
      <c r="B32">
        <v>11.4</v>
      </c>
      <c r="C32">
        <v>11.35</v>
      </c>
      <c r="D32">
        <v>11.04</v>
      </c>
      <c r="E32">
        <v>12.32</v>
      </c>
      <c r="F32">
        <v>12.32</v>
      </c>
      <c r="G32">
        <v>12.34</v>
      </c>
      <c r="H32">
        <v>14.23</v>
      </c>
      <c r="I32">
        <v>18.350000000000001</v>
      </c>
      <c r="J32">
        <v>19.45</v>
      </c>
      <c r="K32">
        <v>25.73</v>
      </c>
      <c r="L32">
        <v>30.27</v>
      </c>
      <c r="M32">
        <v>24.72</v>
      </c>
      <c r="N32">
        <v>29.14</v>
      </c>
      <c r="O32">
        <v>26.94</v>
      </c>
      <c r="P32">
        <v>26.19</v>
      </c>
      <c r="Q32">
        <v>26.24</v>
      </c>
      <c r="R32">
        <v>26.29</v>
      </c>
      <c r="S32">
        <v>36.42</v>
      </c>
      <c r="T32">
        <v>38.909999999999997</v>
      </c>
      <c r="U32">
        <v>42.79</v>
      </c>
      <c r="V32">
        <v>40.04</v>
      </c>
      <c r="W32">
        <v>39.81</v>
      </c>
      <c r="X32">
        <v>40.5</v>
      </c>
      <c r="Y32">
        <v>42.72</v>
      </c>
      <c r="Z32">
        <v>43.44</v>
      </c>
      <c r="AA32">
        <v>43.33</v>
      </c>
    </row>
    <row r="33" spans="1:77" x14ac:dyDescent="0.25">
      <c r="A33" s="2" t="s">
        <v>118</v>
      </c>
      <c r="B33">
        <v>0.73</v>
      </c>
      <c r="C33">
        <v>0.73</v>
      </c>
      <c r="D33">
        <v>0.74</v>
      </c>
      <c r="E33">
        <v>0.82</v>
      </c>
      <c r="F33">
        <v>0.82</v>
      </c>
      <c r="G33">
        <v>0.82</v>
      </c>
      <c r="H33">
        <v>0.81</v>
      </c>
      <c r="I33">
        <v>0.8</v>
      </c>
      <c r="J33">
        <v>0.82</v>
      </c>
      <c r="K33">
        <v>0.81</v>
      </c>
      <c r="L33">
        <v>0.82</v>
      </c>
      <c r="M33">
        <v>0.82</v>
      </c>
      <c r="N33">
        <v>0.82</v>
      </c>
      <c r="O33">
        <v>0.81</v>
      </c>
      <c r="P33">
        <v>0.84</v>
      </c>
      <c r="Q33">
        <v>0.78</v>
      </c>
      <c r="R33">
        <v>0.85</v>
      </c>
      <c r="S33">
        <v>0.81</v>
      </c>
      <c r="T33">
        <v>0.84</v>
      </c>
      <c r="U33">
        <v>0.84</v>
      </c>
      <c r="V33">
        <v>0.86</v>
      </c>
      <c r="W33">
        <v>0.92</v>
      </c>
      <c r="X33">
        <v>0.82</v>
      </c>
      <c r="Y33">
        <v>0.85</v>
      </c>
      <c r="Z33">
        <v>0.78</v>
      </c>
      <c r="AA33">
        <v>0.78</v>
      </c>
    </row>
    <row r="34" spans="1:77" x14ac:dyDescent="0.25">
      <c r="A34" s="2" t="s">
        <v>119</v>
      </c>
      <c r="B34">
        <v>4.6399999999999997</v>
      </c>
      <c r="C34">
        <v>4.57</v>
      </c>
      <c r="D34">
        <v>4.4400000000000004</v>
      </c>
      <c r="E34">
        <v>4.05</v>
      </c>
      <c r="F34">
        <v>4.3</v>
      </c>
      <c r="G34">
        <v>4.1900000000000004</v>
      </c>
      <c r="H34">
        <v>4.6500000000000004</v>
      </c>
      <c r="I34">
        <v>4.22</v>
      </c>
      <c r="J34">
        <v>4.38</v>
      </c>
      <c r="K34">
        <v>4.42</v>
      </c>
      <c r="L34">
        <v>4.26</v>
      </c>
      <c r="M34">
        <v>4.3099999999999996</v>
      </c>
      <c r="N34">
        <v>4.22</v>
      </c>
      <c r="O34">
        <v>4.29</v>
      </c>
      <c r="P34">
        <v>4.33</v>
      </c>
      <c r="Q34">
        <v>4.34</v>
      </c>
      <c r="R34">
        <v>4.29</v>
      </c>
      <c r="S34">
        <v>4.34</v>
      </c>
      <c r="T34">
        <v>4.0999999999999996</v>
      </c>
      <c r="U34">
        <v>4.22</v>
      </c>
      <c r="V34">
        <v>4.17</v>
      </c>
      <c r="W34">
        <v>4.1100000000000003</v>
      </c>
      <c r="X34">
        <v>4.3</v>
      </c>
      <c r="Y34">
        <v>4.03</v>
      </c>
      <c r="Z34">
        <v>4.28</v>
      </c>
      <c r="AA34">
        <v>4.3099999999999996</v>
      </c>
    </row>
    <row r="35" spans="1:77" x14ac:dyDescent="0.25">
      <c r="A35" s="2" t="s">
        <v>120</v>
      </c>
      <c r="B35">
        <v>0.92</v>
      </c>
      <c r="C35">
        <v>0.85</v>
      </c>
      <c r="D35">
        <v>0.87</v>
      </c>
      <c r="E35">
        <v>0.93</v>
      </c>
      <c r="F35">
        <v>0.92</v>
      </c>
      <c r="G35">
        <v>0.93</v>
      </c>
      <c r="H35">
        <v>0.86</v>
      </c>
      <c r="I35">
        <v>0.97</v>
      </c>
      <c r="J35">
        <v>0.85</v>
      </c>
      <c r="K35">
        <v>0.94</v>
      </c>
      <c r="L35">
        <v>0.93</v>
      </c>
      <c r="M35">
        <v>0.84</v>
      </c>
      <c r="N35">
        <v>0.86</v>
      </c>
      <c r="O35">
        <v>0.86</v>
      </c>
      <c r="P35">
        <v>0.88</v>
      </c>
      <c r="Q35">
        <v>0.88</v>
      </c>
      <c r="R35">
        <v>0.87</v>
      </c>
      <c r="S35">
        <v>0.88</v>
      </c>
      <c r="T35">
        <v>0.85</v>
      </c>
      <c r="U35">
        <v>0.86</v>
      </c>
      <c r="V35">
        <v>0.86</v>
      </c>
      <c r="W35">
        <v>0.87</v>
      </c>
      <c r="X35">
        <v>0.88</v>
      </c>
      <c r="Y35">
        <v>0.84</v>
      </c>
      <c r="Z35">
        <v>0.84</v>
      </c>
      <c r="AA35">
        <v>0.89</v>
      </c>
    </row>
    <row r="37" spans="1:77" x14ac:dyDescent="0.25">
      <c r="B37" s="2">
        <f>SUM(B5:B35)</f>
        <v>346.62000000000006</v>
      </c>
      <c r="C37" s="2">
        <f t="shared" ref="C37:L37" si="0">SUM(C5:C35)</f>
        <v>340.68000000000012</v>
      </c>
      <c r="D37" s="2">
        <f t="shared" si="0"/>
        <v>342.52</v>
      </c>
      <c r="E37" s="2">
        <f t="shared" si="0"/>
        <v>349.93</v>
      </c>
      <c r="F37" s="2">
        <f t="shared" si="0"/>
        <v>345.59000000000003</v>
      </c>
      <c r="G37" s="2">
        <f>SUM(G5:G35)</f>
        <v>347.56999999999994</v>
      </c>
      <c r="H37" s="2">
        <f t="shared" si="0"/>
        <v>350.87000000000006</v>
      </c>
      <c r="I37" s="2">
        <f t="shared" si="0"/>
        <v>349.74000000000012</v>
      </c>
      <c r="J37" s="2">
        <f t="shared" si="0"/>
        <v>354.99999999999994</v>
      </c>
      <c r="K37" s="2">
        <f t="shared" si="0"/>
        <v>360.81000000000012</v>
      </c>
      <c r="L37" s="2">
        <f t="shared" si="0"/>
        <v>357.97</v>
      </c>
      <c r="M37" s="2">
        <f t="shared" ref="M37:Z37" si="1">SUM(M5:M35)</f>
        <v>359.93999999999988</v>
      </c>
      <c r="N37" s="2">
        <f t="shared" si="1"/>
        <v>357.37</v>
      </c>
      <c r="O37" s="2">
        <f t="shared" si="1"/>
        <v>356.7000000000001</v>
      </c>
      <c r="P37" s="2">
        <f t="shared" si="1"/>
        <v>352.5</v>
      </c>
      <c r="Q37" s="2">
        <f t="shared" si="1"/>
        <v>364.53999999999991</v>
      </c>
      <c r="R37" s="2">
        <f t="shared" si="1"/>
        <v>370.18000000000006</v>
      </c>
      <c r="S37" s="2">
        <f t="shared" si="1"/>
        <v>374.84000000000003</v>
      </c>
      <c r="T37" s="2">
        <f t="shared" si="1"/>
        <v>375.61999999999995</v>
      </c>
      <c r="U37" s="2">
        <f t="shared" si="1"/>
        <v>401.50000000000006</v>
      </c>
      <c r="V37" s="2">
        <f t="shared" si="1"/>
        <v>403.28000000000014</v>
      </c>
      <c r="W37" s="2">
        <f t="shared" si="1"/>
        <v>389.87</v>
      </c>
      <c r="X37" s="2">
        <f t="shared" si="1"/>
        <v>386.06000000000006</v>
      </c>
      <c r="Y37" s="2">
        <f t="shared" si="1"/>
        <v>392.11000000000007</v>
      </c>
      <c r="Z37" s="2">
        <f t="shared" si="1"/>
        <v>392.42999999999989</v>
      </c>
      <c r="AA37" s="2">
        <f t="shared" ref="AA37:BY37" si="2">SUM(AA5:AA35)</f>
        <v>399.49999999999994</v>
      </c>
      <c r="AB37" s="2">
        <f t="shared" si="2"/>
        <v>0</v>
      </c>
      <c r="AC37" s="2">
        <f t="shared" si="2"/>
        <v>0</v>
      </c>
      <c r="AD37" s="2">
        <f t="shared" si="2"/>
        <v>0</v>
      </c>
      <c r="AE37" s="2">
        <f t="shared" si="2"/>
        <v>0</v>
      </c>
      <c r="AF37" s="2">
        <f t="shared" si="2"/>
        <v>0</v>
      </c>
      <c r="AG37" s="2">
        <f t="shared" si="2"/>
        <v>0</v>
      </c>
      <c r="AH37" s="2">
        <f t="shared" si="2"/>
        <v>0</v>
      </c>
      <c r="AI37" s="2">
        <f t="shared" si="2"/>
        <v>0</v>
      </c>
      <c r="AJ37" s="2">
        <f t="shared" si="2"/>
        <v>0</v>
      </c>
      <c r="AK37" s="2">
        <f t="shared" si="2"/>
        <v>0</v>
      </c>
      <c r="AL37" s="2">
        <f t="shared" si="2"/>
        <v>0</v>
      </c>
      <c r="AM37" s="2">
        <f t="shared" si="2"/>
        <v>0</v>
      </c>
      <c r="AN37" s="2">
        <f t="shared" si="2"/>
        <v>0</v>
      </c>
      <c r="AO37" s="2">
        <f t="shared" si="2"/>
        <v>0</v>
      </c>
      <c r="AP37" s="2">
        <f t="shared" si="2"/>
        <v>0</v>
      </c>
      <c r="AQ37" s="2">
        <f t="shared" si="2"/>
        <v>0</v>
      </c>
      <c r="AR37" s="2">
        <f t="shared" si="2"/>
        <v>0</v>
      </c>
      <c r="AS37" s="2">
        <f t="shared" si="2"/>
        <v>0</v>
      </c>
      <c r="AT37" s="2">
        <f t="shared" si="2"/>
        <v>0</v>
      </c>
      <c r="AU37" s="2">
        <f t="shared" si="2"/>
        <v>0</v>
      </c>
      <c r="AV37" s="2">
        <f t="shared" si="2"/>
        <v>0</v>
      </c>
      <c r="AW37" s="2">
        <f t="shared" si="2"/>
        <v>0</v>
      </c>
      <c r="AX37" s="2">
        <f t="shared" si="2"/>
        <v>0</v>
      </c>
      <c r="AY37" s="2">
        <f t="shared" si="2"/>
        <v>0</v>
      </c>
      <c r="AZ37" s="2">
        <f t="shared" si="2"/>
        <v>0</v>
      </c>
      <c r="BA37" s="2">
        <f t="shared" si="2"/>
        <v>0</v>
      </c>
      <c r="BB37" s="2">
        <f t="shared" si="2"/>
        <v>0</v>
      </c>
      <c r="BC37" s="2">
        <f t="shared" si="2"/>
        <v>0</v>
      </c>
      <c r="BD37" s="2">
        <f t="shared" si="2"/>
        <v>0</v>
      </c>
      <c r="BE37" s="2">
        <f t="shared" si="2"/>
        <v>0</v>
      </c>
      <c r="BF37" s="2">
        <f t="shared" si="2"/>
        <v>0</v>
      </c>
      <c r="BG37" s="2">
        <f t="shared" si="2"/>
        <v>0</v>
      </c>
      <c r="BH37" s="2">
        <f t="shared" si="2"/>
        <v>0</v>
      </c>
      <c r="BI37" s="2">
        <f t="shared" si="2"/>
        <v>0</v>
      </c>
      <c r="BJ37" s="2">
        <f t="shared" si="2"/>
        <v>0</v>
      </c>
      <c r="BK37" s="2">
        <f t="shared" si="2"/>
        <v>0</v>
      </c>
      <c r="BL37" s="2">
        <f t="shared" si="2"/>
        <v>0</v>
      </c>
      <c r="BM37" s="2">
        <f t="shared" si="2"/>
        <v>0</v>
      </c>
      <c r="BN37" s="2">
        <f t="shared" si="2"/>
        <v>0</v>
      </c>
      <c r="BO37" s="2">
        <f t="shared" si="2"/>
        <v>0</v>
      </c>
      <c r="BP37" s="2">
        <f t="shared" si="2"/>
        <v>0</v>
      </c>
      <c r="BQ37" s="2">
        <f t="shared" si="2"/>
        <v>0</v>
      </c>
      <c r="BR37" s="2">
        <f t="shared" si="2"/>
        <v>0</v>
      </c>
      <c r="BS37" s="2">
        <f t="shared" si="2"/>
        <v>0</v>
      </c>
      <c r="BT37" s="2">
        <f t="shared" si="2"/>
        <v>0</v>
      </c>
      <c r="BU37" s="2">
        <f t="shared" si="2"/>
        <v>0</v>
      </c>
      <c r="BV37" s="2">
        <f t="shared" si="2"/>
        <v>0</v>
      </c>
      <c r="BW37" s="2">
        <f t="shared" si="2"/>
        <v>0</v>
      </c>
      <c r="BX37" s="2">
        <f t="shared" si="2"/>
        <v>0</v>
      </c>
      <c r="BY37" s="2">
        <f t="shared" si="2"/>
        <v>0</v>
      </c>
    </row>
    <row r="41" spans="1:77" ht="21" x14ac:dyDescent="0.35">
      <c r="A41" s="5" t="s">
        <v>33</v>
      </c>
      <c r="B41" s="2"/>
      <c r="C41" s="2"/>
      <c r="D41" s="2"/>
      <c r="E41" s="2"/>
    </row>
    <row r="43" spans="1:77" x14ac:dyDescent="0.25">
      <c r="A43" t="s">
        <v>12</v>
      </c>
    </row>
    <row r="44" spans="1:77" x14ac:dyDescent="0.25">
      <c r="B44" s="1">
        <f t="shared" ref="B44:L44" si="3">B4</f>
        <v>44331</v>
      </c>
      <c r="C44" s="1">
        <f t="shared" si="3"/>
        <v>44332</v>
      </c>
      <c r="D44" s="1">
        <f t="shared" si="3"/>
        <v>44334</v>
      </c>
      <c r="E44" s="1">
        <f t="shared" si="3"/>
        <v>44336</v>
      </c>
      <c r="F44" s="1">
        <f t="shared" si="3"/>
        <v>44337</v>
      </c>
      <c r="G44" s="1">
        <f t="shared" si="3"/>
        <v>44338</v>
      </c>
      <c r="H44" s="1">
        <f t="shared" si="3"/>
        <v>44339</v>
      </c>
      <c r="I44" s="1">
        <f t="shared" si="3"/>
        <v>44340</v>
      </c>
      <c r="J44" s="1">
        <f t="shared" si="3"/>
        <v>44341</v>
      </c>
      <c r="K44" s="1">
        <f t="shared" si="3"/>
        <v>44342</v>
      </c>
      <c r="L44" s="1">
        <f t="shared" si="3"/>
        <v>44343</v>
      </c>
      <c r="M44" s="1">
        <f t="shared" ref="M44:Z44" si="4">M4</f>
        <v>44344</v>
      </c>
      <c r="N44" s="1">
        <f t="shared" si="4"/>
        <v>44345</v>
      </c>
      <c r="O44" s="1">
        <f t="shared" si="4"/>
        <v>44346</v>
      </c>
      <c r="P44" s="1">
        <f t="shared" si="4"/>
        <v>44347</v>
      </c>
      <c r="Q44" s="1">
        <f t="shared" si="4"/>
        <v>44348</v>
      </c>
      <c r="R44" s="1">
        <f t="shared" si="4"/>
        <v>44349</v>
      </c>
      <c r="S44" s="1">
        <f t="shared" si="4"/>
        <v>44350</v>
      </c>
      <c r="T44" s="1">
        <f t="shared" si="4"/>
        <v>44351</v>
      </c>
      <c r="U44" s="1">
        <f t="shared" si="4"/>
        <v>44352</v>
      </c>
      <c r="V44" s="1">
        <f t="shared" si="4"/>
        <v>44353</v>
      </c>
      <c r="W44" s="1">
        <f t="shared" si="4"/>
        <v>44354</v>
      </c>
      <c r="X44" s="1">
        <f t="shared" si="4"/>
        <v>44355</v>
      </c>
      <c r="Y44" s="1">
        <f t="shared" si="4"/>
        <v>44356</v>
      </c>
      <c r="Z44" s="1">
        <f t="shared" si="4"/>
        <v>44357</v>
      </c>
      <c r="AA44" s="1">
        <f t="shared" ref="AA44:BY44" si="5">AA4</f>
        <v>44358</v>
      </c>
      <c r="AB44" s="1">
        <f t="shared" si="5"/>
        <v>44359</v>
      </c>
      <c r="AC44" s="1">
        <f t="shared" si="5"/>
        <v>44360</v>
      </c>
      <c r="AD44" s="1">
        <f t="shared" si="5"/>
        <v>44361</v>
      </c>
      <c r="AE44" s="1">
        <f t="shared" si="5"/>
        <v>44362</v>
      </c>
      <c r="AF44" s="1">
        <f t="shared" si="5"/>
        <v>44363</v>
      </c>
      <c r="AG44" s="1">
        <f t="shared" si="5"/>
        <v>44364</v>
      </c>
      <c r="AH44" s="1">
        <f t="shared" si="5"/>
        <v>44365</v>
      </c>
      <c r="AI44" s="1">
        <f t="shared" si="5"/>
        <v>44366</v>
      </c>
      <c r="AJ44" s="1">
        <f t="shared" si="5"/>
        <v>44367</v>
      </c>
      <c r="AK44" s="1">
        <f t="shared" si="5"/>
        <v>44368</v>
      </c>
      <c r="AL44" s="1">
        <f t="shared" si="5"/>
        <v>44369</v>
      </c>
      <c r="AM44" s="1">
        <f t="shared" si="5"/>
        <v>44370</v>
      </c>
      <c r="AN44" s="1">
        <f t="shared" si="5"/>
        <v>44371</v>
      </c>
      <c r="AO44" s="1">
        <f t="shared" si="5"/>
        <v>44372</v>
      </c>
      <c r="AP44" s="1">
        <f t="shared" si="5"/>
        <v>44373</v>
      </c>
      <c r="AQ44" s="1">
        <f t="shared" si="5"/>
        <v>44374</v>
      </c>
      <c r="AR44" s="1">
        <f t="shared" si="5"/>
        <v>44375</v>
      </c>
      <c r="AS44" s="1">
        <f t="shared" si="5"/>
        <v>44376</v>
      </c>
      <c r="AT44" s="1">
        <f t="shared" si="5"/>
        <v>44377</v>
      </c>
      <c r="AU44" s="1">
        <f t="shared" si="5"/>
        <v>44378</v>
      </c>
      <c r="AV44" s="1">
        <f t="shared" si="5"/>
        <v>44379</v>
      </c>
      <c r="AW44" s="1">
        <f t="shared" si="5"/>
        <v>44380</v>
      </c>
      <c r="AX44" s="1">
        <f t="shared" si="5"/>
        <v>44381</v>
      </c>
      <c r="AY44" s="1">
        <f t="shared" si="5"/>
        <v>44382</v>
      </c>
      <c r="AZ44" s="1">
        <f t="shared" si="5"/>
        <v>44383</v>
      </c>
      <c r="BA44" s="1">
        <f t="shared" si="5"/>
        <v>44384</v>
      </c>
      <c r="BB44" s="1">
        <f t="shared" si="5"/>
        <v>44385</v>
      </c>
      <c r="BC44" s="1">
        <f t="shared" si="5"/>
        <v>44386</v>
      </c>
      <c r="BD44" s="1">
        <f t="shared" si="5"/>
        <v>44387</v>
      </c>
      <c r="BE44" s="1">
        <f t="shared" si="5"/>
        <v>44388</v>
      </c>
      <c r="BF44" s="1">
        <f t="shared" si="5"/>
        <v>44389</v>
      </c>
      <c r="BG44" s="1">
        <f t="shared" si="5"/>
        <v>44390</v>
      </c>
      <c r="BH44" s="1">
        <f t="shared" si="5"/>
        <v>44391</v>
      </c>
      <c r="BI44" s="1">
        <f t="shared" si="5"/>
        <v>44392</v>
      </c>
      <c r="BJ44" s="1">
        <f t="shared" si="5"/>
        <v>44393</v>
      </c>
      <c r="BK44" s="1">
        <f t="shared" si="5"/>
        <v>44394</v>
      </c>
      <c r="BL44" s="1">
        <f t="shared" si="5"/>
        <v>44395</v>
      </c>
      <c r="BM44" s="1">
        <f t="shared" si="5"/>
        <v>44396</v>
      </c>
      <c r="BN44" s="1">
        <f t="shared" si="5"/>
        <v>44397</v>
      </c>
      <c r="BO44" s="1">
        <f t="shared" si="5"/>
        <v>44398</v>
      </c>
      <c r="BP44" s="1">
        <f t="shared" si="5"/>
        <v>44399</v>
      </c>
      <c r="BQ44" s="1">
        <f t="shared" si="5"/>
        <v>44400</v>
      </c>
      <c r="BR44" s="1">
        <f t="shared" si="5"/>
        <v>44401</v>
      </c>
      <c r="BS44" s="1">
        <f t="shared" si="5"/>
        <v>44402</v>
      </c>
      <c r="BT44" s="1">
        <f t="shared" si="5"/>
        <v>44403</v>
      </c>
      <c r="BU44" s="1">
        <f t="shared" si="5"/>
        <v>44404</v>
      </c>
      <c r="BV44" s="1">
        <f t="shared" si="5"/>
        <v>44405</v>
      </c>
      <c r="BW44" s="1">
        <f t="shared" si="5"/>
        <v>44406</v>
      </c>
      <c r="BX44" s="1">
        <f t="shared" si="5"/>
        <v>44407</v>
      </c>
      <c r="BY44" s="1">
        <f t="shared" si="5"/>
        <v>44408</v>
      </c>
    </row>
    <row r="45" spans="1:77" x14ac:dyDescent="0.25">
      <c r="A45" s="2" t="s">
        <v>90</v>
      </c>
      <c r="B45">
        <f>ROUNDDOWN((B5-ROUNDUP(B5*0.1,2)-ROUNDUP(B5*0.05,2))*0.8,2)</f>
        <v>31.87</v>
      </c>
      <c r="C45">
        <f t="shared" ref="C45:L45" si="6">ROUNDDOWN((C5-ROUNDUP(C5*0.1,2)-ROUNDUP(C5*0.05,2))*0.8,2)</f>
        <v>32.799999999999997</v>
      </c>
      <c r="D45">
        <f t="shared" si="6"/>
        <v>31.29</v>
      </c>
      <c r="E45">
        <f t="shared" si="6"/>
        <v>30.42</v>
      </c>
      <c r="F45">
        <f t="shared" si="6"/>
        <v>30.52</v>
      </c>
      <c r="G45">
        <f t="shared" si="6"/>
        <v>31.69</v>
      </c>
      <c r="H45">
        <f t="shared" si="6"/>
        <v>31.32</v>
      </c>
      <c r="I45">
        <f t="shared" si="6"/>
        <v>28.15</v>
      </c>
      <c r="J45">
        <f t="shared" si="6"/>
        <v>30.18</v>
      </c>
      <c r="K45">
        <f t="shared" si="6"/>
        <v>29.6</v>
      </c>
      <c r="L45">
        <f t="shared" si="6"/>
        <v>29.84</v>
      </c>
      <c r="M45">
        <f t="shared" ref="M45:Z60" si="7">ROUNDDOWN((M5-ROUNDUP(M5*0.1,2)-ROUNDUP(M5*0.05,2))*0.8,2)</f>
        <v>29.72</v>
      </c>
      <c r="N45">
        <f t="shared" si="7"/>
        <v>28.85</v>
      </c>
      <c r="O45">
        <f t="shared" si="7"/>
        <v>28.35</v>
      </c>
      <c r="P45">
        <f t="shared" si="7"/>
        <v>27.83</v>
      </c>
      <c r="Q45">
        <f t="shared" si="7"/>
        <v>29.09</v>
      </c>
      <c r="R45">
        <f t="shared" si="7"/>
        <v>29.83</v>
      </c>
      <c r="S45">
        <f t="shared" si="7"/>
        <v>30.49</v>
      </c>
      <c r="T45">
        <f t="shared" si="7"/>
        <v>30.07</v>
      </c>
      <c r="U45">
        <f t="shared" si="7"/>
        <v>29.45</v>
      </c>
      <c r="V45">
        <f t="shared" si="7"/>
        <v>29.03</v>
      </c>
      <c r="W45">
        <f t="shared" si="7"/>
        <v>28.65</v>
      </c>
      <c r="X45">
        <f t="shared" si="7"/>
        <v>29.1</v>
      </c>
      <c r="Y45">
        <f t="shared" si="7"/>
        <v>30.31</v>
      </c>
      <c r="Z45">
        <f t="shared" si="7"/>
        <v>31.14</v>
      </c>
      <c r="AA45">
        <f t="shared" ref="AA45:BY45" si="8">ROUNDDOWN((AA5-ROUNDUP(AA5*0.1,2)-ROUNDUP(AA5*0.05,2))*0.8,2)</f>
        <v>30.68</v>
      </c>
      <c r="AB45">
        <f t="shared" si="8"/>
        <v>0</v>
      </c>
      <c r="AC45">
        <f t="shared" si="8"/>
        <v>0</v>
      </c>
      <c r="AD45">
        <f t="shared" si="8"/>
        <v>0</v>
      </c>
      <c r="AE45">
        <f t="shared" si="8"/>
        <v>0</v>
      </c>
      <c r="AF45">
        <f t="shared" si="8"/>
        <v>0</v>
      </c>
      <c r="AG45">
        <f t="shared" si="8"/>
        <v>0</v>
      </c>
      <c r="AH45">
        <f t="shared" si="8"/>
        <v>0</v>
      </c>
      <c r="AI45">
        <f t="shared" si="8"/>
        <v>0</v>
      </c>
      <c r="AJ45">
        <f t="shared" si="8"/>
        <v>0</v>
      </c>
      <c r="AK45">
        <f t="shared" si="8"/>
        <v>0</v>
      </c>
      <c r="AL45">
        <f t="shared" si="8"/>
        <v>0</v>
      </c>
      <c r="AM45">
        <f t="shared" si="8"/>
        <v>0</v>
      </c>
      <c r="AN45">
        <f t="shared" si="8"/>
        <v>0</v>
      </c>
      <c r="AO45">
        <f t="shared" si="8"/>
        <v>0</v>
      </c>
      <c r="AP45">
        <f t="shared" si="8"/>
        <v>0</v>
      </c>
      <c r="AQ45">
        <f t="shared" si="8"/>
        <v>0</v>
      </c>
      <c r="AR45">
        <f t="shared" si="8"/>
        <v>0</v>
      </c>
      <c r="AS45">
        <f t="shared" si="8"/>
        <v>0</v>
      </c>
      <c r="AT45">
        <f t="shared" si="8"/>
        <v>0</v>
      </c>
      <c r="AU45">
        <f t="shared" si="8"/>
        <v>0</v>
      </c>
      <c r="AV45">
        <f t="shared" si="8"/>
        <v>0</v>
      </c>
      <c r="AW45">
        <f t="shared" si="8"/>
        <v>0</v>
      </c>
      <c r="AX45">
        <f t="shared" si="8"/>
        <v>0</v>
      </c>
      <c r="AY45">
        <f t="shared" si="8"/>
        <v>0</v>
      </c>
      <c r="AZ45">
        <f t="shared" si="8"/>
        <v>0</v>
      </c>
      <c r="BA45">
        <f t="shared" si="8"/>
        <v>0</v>
      </c>
      <c r="BB45">
        <f t="shared" si="8"/>
        <v>0</v>
      </c>
      <c r="BC45">
        <f t="shared" si="8"/>
        <v>0</v>
      </c>
      <c r="BD45">
        <f t="shared" si="8"/>
        <v>0</v>
      </c>
      <c r="BE45">
        <f t="shared" si="8"/>
        <v>0</v>
      </c>
      <c r="BF45">
        <f t="shared" si="8"/>
        <v>0</v>
      </c>
      <c r="BG45">
        <f t="shared" si="8"/>
        <v>0</v>
      </c>
      <c r="BH45">
        <f t="shared" si="8"/>
        <v>0</v>
      </c>
      <c r="BI45">
        <f t="shared" si="8"/>
        <v>0</v>
      </c>
      <c r="BJ45">
        <f t="shared" si="8"/>
        <v>0</v>
      </c>
      <c r="BK45">
        <f t="shared" si="8"/>
        <v>0</v>
      </c>
      <c r="BL45">
        <f t="shared" si="8"/>
        <v>0</v>
      </c>
      <c r="BM45">
        <f t="shared" si="8"/>
        <v>0</v>
      </c>
      <c r="BN45">
        <f t="shared" si="8"/>
        <v>0</v>
      </c>
      <c r="BO45">
        <f t="shared" si="8"/>
        <v>0</v>
      </c>
      <c r="BP45">
        <f t="shared" si="8"/>
        <v>0</v>
      </c>
      <c r="BQ45">
        <f t="shared" si="8"/>
        <v>0</v>
      </c>
      <c r="BR45">
        <f t="shared" si="8"/>
        <v>0</v>
      </c>
      <c r="BS45">
        <f t="shared" si="8"/>
        <v>0</v>
      </c>
      <c r="BT45">
        <f t="shared" si="8"/>
        <v>0</v>
      </c>
      <c r="BU45">
        <f t="shared" si="8"/>
        <v>0</v>
      </c>
      <c r="BV45">
        <f t="shared" si="8"/>
        <v>0</v>
      </c>
      <c r="BW45">
        <f t="shared" si="8"/>
        <v>0</v>
      </c>
      <c r="BX45">
        <f t="shared" si="8"/>
        <v>0</v>
      </c>
      <c r="BY45">
        <f t="shared" si="8"/>
        <v>0</v>
      </c>
    </row>
    <row r="46" spans="1:77" x14ac:dyDescent="0.25">
      <c r="A46" s="2" t="s">
        <v>91</v>
      </c>
      <c r="B46">
        <f t="shared" ref="B46:L75" si="9">ROUNDDOWN((B6-ROUNDUP(B6*0.1,2)-ROUNDUP(B6*0.05,2))*0.8,2)</f>
        <v>0.93</v>
      </c>
      <c r="C46">
        <f t="shared" si="9"/>
        <v>0.88</v>
      </c>
      <c r="D46">
        <f t="shared" si="9"/>
        <v>0.94</v>
      </c>
      <c r="E46">
        <f t="shared" si="9"/>
        <v>0.96</v>
      </c>
      <c r="F46">
        <f t="shared" si="9"/>
        <v>0.93</v>
      </c>
      <c r="G46">
        <f t="shared" si="9"/>
        <v>0.93</v>
      </c>
      <c r="H46">
        <f t="shared" si="9"/>
        <v>0.95</v>
      </c>
      <c r="I46">
        <f t="shared" si="9"/>
        <v>0.95</v>
      </c>
      <c r="J46">
        <f t="shared" si="9"/>
        <v>0.95</v>
      </c>
      <c r="K46">
        <f t="shared" si="9"/>
        <v>0.95</v>
      </c>
      <c r="L46">
        <f t="shared" si="9"/>
        <v>0.95</v>
      </c>
      <c r="M46">
        <f t="shared" si="7"/>
        <v>0.93</v>
      </c>
      <c r="N46">
        <f t="shared" si="7"/>
        <v>0.91</v>
      </c>
      <c r="O46">
        <f t="shared" si="7"/>
        <v>0.9</v>
      </c>
      <c r="P46">
        <f t="shared" si="7"/>
        <v>0.9</v>
      </c>
      <c r="Q46">
        <f t="shared" si="7"/>
        <v>0.88</v>
      </c>
      <c r="R46">
        <f t="shared" si="7"/>
        <v>0.93</v>
      </c>
      <c r="S46">
        <f t="shared" si="7"/>
        <v>0.87</v>
      </c>
      <c r="T46">
        <f t="shared" si="7"/>
        <v>0.85</v>
      </c>
      <c r="U46">
        <f t="shared" si="7"/>
        <v>0.91</v>
      </c>
      <c r="V46">
        <f t="shared" si="7"/>
        <v>0.81</v>
      </c>
      <c r="W46">
        <f t="shared" si="7"/>
        <v>0.89</v>
      </c>
      <c r="X46">
        <f t="shared" si="7"/>
        <v>0.9</v>
      </c>
      <c r="Y46">
        <f t="shared" si="7"/>
        <v>0.9</v>
      </c>
      <c r="Z46">
        <f t="shared" si="7"/>
        <v>0.9</v>
      </c>
      <c r="AA46">
        <f t="shared" ref="AA46:BY46" si="10">ROUNDDOWN((AA6-ROUNDUP(AA6*0.1,2)-ROUNDUP(AA6*0.05,2))*0.8,2)</f>
        <v>0.8</v>
      </c>
      <c r="AB46">
        <f t="shared" si="10"/>
        <v>0</v>
      </c>
      <c r="AC46">
        <f t="shared" si="10"/>
        <v>0</v>
      </c>
      <c r="AD46">
        <f t="shared" si="10"/>
        <v>0</v>
      </c>
      <c r="AE46">
        <f t="shared" si="10"/>
        <v>0</v>
      </c>
      <c r="AF46">
        <f t="shared" si="10"/>
        <v>0</v>
      </c>
      <c r="AG46">
        <f t="shared" si="10"/>
        <v>0</v>
      </c>
      <c r="AH46">
        <f t="shared" si="10"/>
        <v>0</v>
      </c>
      <c r="AI46">
        <f t="shared" si="10"/>
        <v>0</v>
      </c>
      <c r="AJ46">
        <f t="shared" si="10"/>
        <v>0</v>
      </c>
      <c r="AK46">
        <f t="shared" si="10"/>
        <v>0</v>
      </c>
      <c r="AL46">
        <f t="shared" si="10"/>
        <v>0</v>
      </c>
      <c r="AM46">
        <f t="shared" si="10"/>
        <v>0</v>
      </c>
      <c r="AN46">
        <f t="shared" si="10"/>
        <v>0</v>
      </c>
      <c r="AO46">
        <f t="shared" si="10"/>
        <v>0</v>
      </c>
      <c r="AP46">
        <f t="shared" si="10"/>
        <v>0</v>
      </c>
      <c r="AQ46">
        <f t="shared" si="10"/>
        <v>0</v>
      </c>
      <c r="AR46">
        <f t="shared" si="10"/>
        <v>0</v>
      </c>
      <c r="AS46">
        <f t="shared" si="10"/>
        <v>0</v>
      </c>
      <c r="AT46">
        <f t="shared" si="10"/>
        <v>0</v>
      </c>
      <c r="AU46">
        <f t="shared" si="10"/>
        <v>0</v>
      </c>
      <c r="AV46">
        <f t="shared" si="10"/>
        <v>0</v>
      </c>
      <c r="AW46">
        <f t="shared" si="10"/>
        <v>0</v>
      </c>
      <c r="AX46">
        <f t="shared" si="10"/>
        <v>0</v>
      </c>
      <c r="AY46">
        <f t="shared" si="10"/>
        <v>0</v>
      </c>
      <c r="AZ46">
        <f t="shared" si="10"/>
        <v>0</v>
      </c>
      <c r="BA46">
        <f t="shared" si="10"/>
        <v>0</v>
      </c>
      <c r="BB46">
        <f t="shared" si="10"/>
        <v>0</v>
      </c>
      <c r="BC46">
        <f t="shared" si="10"/>
        <v>0</v>
      </c>
      <c r="BD46">
        <f t="shared" si="10"/>
        <v>0</v>
      </c>
      <c r="BE46">
        <f t="shared" si="10"/>
        <v>0</v>
      </c>
      <c r="BF46">
        <f t="shared" si="10"/>
        <v>0</v>
      </c>
      <c r="BG46">
        <f t="shared" si="10"/>
        <v>0</v>
      </c>
      <c r="BH46">
        <f t="shared" si="10"/>
        <v>0</v>
      </c>
      <c r="BI46">
        <f t="shared" si="10"/>
        <v>0</v>
      </c>
      <c r="BJ46">
        <f t="shared" si="10"/>
        <v>0</v>
      </c>
      <c r="BK46">
        <f t="shared" si="10"/>
        <v>0</v>
      </c>
      <c r="BL46">
        <f t="shared" si="10"/>
        <v>0</v>
      </c>
      <c r="BM46">
        <f t="shared" si="10"/>
        <v>0</v>
      </c>
      <c r="BN46">
        <f t="shared" si="10"/>
        <v>0</v>
      </c>
      <c r="BO46">
        <f t="shared" si="10"/>
        <v>0</v>
      </c>
      <c r="BP46">
        <f t="shared" si="10"/>
        <v>0</v>
      </c>
      <c r="BQ46">
        <f t="shared" si="10"/>
        <v>0</v>
      </c>
      <c r="BR46">
        <f t="shared" si="10"/>
        <v>0</v>
      </c>
      <c r="BS46">
        <f t="shared" si="10"/>
        <v>0</v>
      </c>
      <c r="BT46">
        <f t="shared" si="10"/>
        <v>0</v>
      </c>
      <c r="BU46">
        <f t="shared" si="10"/>
        <v>0</v>
      </c>
      <c r="BV46">
        <f t="shared" si="10"/>
        <v>0</v>
      </c>
      <c r="BW46">
        <f t="shared" si="10"/>
        <v>0</v>
      </c>
      <c r="BX46">
        <f t="shared" si="10"/>
        <v>0</v>
      </c>
      <c r="BY46">
        <f t="shared" si="10"/>
        <v>0</v>
      </c>
    </row>
    <row r="47" spans="1:77" x14ac:dyDescent="0.25">
      <c r="A47" s="2" t="s">
        <v>92</v>
      </c>
      <c r="B47">
        <f t="shared" si="9"/>
        <v>3.67</v>
      </c>
      <c r="C47">
        <f t="shared" si="9"/>
        <v>3.74</v>
      </c>
      <c r="D47">
        <f t="shared" si="9"/>
        <v>3.66</v>
      </c>
      <c r="E47">
        <f t="shared" si="9"/>
        <v>3.76</v>
      </c>
      <c r="F47">
        <f t="shared" si="9"/>
        <v>3.72</v>
      </c>
      <c r="G47">
        <f t="shared" si="9"/>
        <v>3.71</v>
      </c>
      <c r="H47">
        <f t="shared" si="9"/>
        <v>3.36</v>
      </c>
      <c r="I47">
        <f t="shared" si="9"/>
        <v>3.26</v>
      </c>
      <c r="J47">
        <f t="shared" si="9"/>
        <v>3.6</v>
      </c>
      <c r="K47">
        <f t="shared" si="9"/>
        <v>3.55</v>
      </c>
      <c r="L47">
        <f t="shared" si="9"/>
        <v>3.53</v>
      </c>
      <c r="M47">
        <f t="shared" si="7"/>
        <v>3.59</v>
      </c>
      <c r="N47">
        <f t="shared" si="7"/>
        <v>3.56</v>
      </c>
      <c r="O47">
        <f t="shared" si="7"/>
        <v>3.33</v>
      </c>
      <c r="P47">
        <f t="shared" si="7"/>
        <v>3.67</v>
      </c>
      <c r="Q47">
        <f t="shared" si="7"/>
        <v>3.71</v>
      </c>
      <c r="R47">
        <f t="shared" si="7"/>
        <v>3.67</v>
      </c>
      <c r="S47">
        <f t="shared" si="7"/>
        <v>3.69</v>
      </c>
      <c r="T47">
        <f t="shared" si="7"/>
        <v>3.59</v>
      </c>
      <c r="U47">
        <f t="shared" si="7"/>
        <v>3.38</v>
      </c>
      <c r="V47">
        <f t="shared" si="7"/>
        <v>3.8</v>
      </c>
      <c r="W47">
        <f t="shared" si="7"/>
        <v>3.68</v>
      </c>
      <c r="X47">
        <f t="shared" si="7"/>
        <v>3.56</v>
      </c>
      <c r="Y47">
        <f t="shared" si="7"/>
        <v>3.23</v>
      </c>
      <c r="Z47">
        <f t="shared" si="7"/>
        <v>3.63</v>
      </c>
      <c r="AA47">
        <f t="shared" ref="AA47:BY47" si="11">ROUNDDOWN((AA7-ROUNDUP(AA7*0.1,2)-ROUNDUP(AA7*0.05,2))*0.8,2)</f>
        <v>3.56</v>
      </c>
      <c r="AB47">
        <f t="shared" si="11"/>
        <v>0</v>
      </c>
      <c r="AC47">
        <f t="shared" si="11"/>
        <v>0</v>
      </c>
      <c r="AD47">
        <f t="shared" si="11"/>
        <v>0</v>
      </c>
      <c r="AE47">
        <f t="shared" si="11"/>
        <v>0</v>
      </c>
      <c r="AF47">
        <f t="shared" si="11"/>
        <v>0</v>
      </c>
      <c r="AG47">
        <f t="shared" si="11"/>
        <v>0</v>
      </c>
      <c r="AH47">
        <f t="shared" si="11"/>
        <v>0</v>
      </c>
      <c r="AI47">
        <f t="shared" si="11"/>
        <v>0</v>
      </c>
      <c r="AJ47">
        <f t="shared" si="11"/>
        <v>0</v>
      </c>
      <c r="AK47">
        <f t="shared" si="11"/>
        <v>0</v>
      </c>
      <c r="AL47">
        <f t="shared" si="11"/>
        <v>0</v>
      </c>
      <c r="AM47">
        <f t="shared" si="11"/>
        <v>0</v>
      </c>
      <c r="AN47">
        <f t="shared" si="11"/>
        <v>0</v>
      </c>
      <c r="AO47">
        <f t="shared" si="11"/>
        <v>0</v>
      </c>
      <c r="AP47">
        <f t="shared" si="11"/>
        <v>0</v>
      </c>
      <c r="AQ47">
        <f t="shared" si="11"/>
        <v>0</v>
      </c>
      <c r="AR47">
        <f t="shared" si="11"/>
        <v>0</v>
      </c>
      <c r="AS47">
        <f t="shared" si="11"/>
        <v>0</v>
      </c>
      <c r="AT47">
        <f t="shared" si="11"/>
        <v>0</v>
      </c>
      <c r="AU47">
        <f t="shared" si="11"/>
        <v>0</v>
      </c>
      <c r="AV47">
        <f t="shared" si="11"/>
        <v>0</v>
      </c>
      <c r="AW47">
        <f t="shared" si="11"/>
        <v>0</v>
      </c>
      <c r="AX47">
        <f t="shared" si="11"/>
        <v>0</v>
      </c>
      <c r="AY47">
        <f t="shared" si="11"/>
        <v>0</v>
      </c>
      <c r="AZ47">
        <f t="shared" si="11"/>
        <v>0</v>
      </c>
      <c r="BA47">
        <f t="shared" si="11"/>
        <v>0</v>
      </c>
      <c r="BB47">
        <f t="shared" si="11"/>
        <v>0</v>
      </c>
      <c r="BC47">
        <f t="shared" si="11"/>
        <v>0</v>
      </c>
      <c r="BD47">
        <f t="shared" si="11"/>
        <v>0</v>
      </c>
      <c r="BE47">
        <f t="shared" si="11"/>
        <v>0</v>
      </c>
      <c r="BF47">
        <f t="shared" si="11"/>
        <v>0</v>
      </c>
      <c r="BG47">
        <f t="shared" si="11"/>
        <v>0</v>
      </c>
      <c r="BH47">
        <f t="shared" si="11"/>
        <v>0</v>
      </c>
      <c r="BI47">
        <f t="shared" si="11"/>
        <v>0</v>
      </c>
      <c r="BJ47">
        <f t="shared" si="11"/>
        <v>0</v>
      </c>
      <c r="BK47">
        <f t="shared" si="11"/>
        <v>0</v>
      </c>
      <c r="BL47">
        <f t="shared" si="11"/>
        <v>0</v>
      </c>
      <c r="BM47">
        <f t="shared" si="11"/>
        <v>0</v>
      </c>
      <c r="BN47">
        <f t="shared" si="11"/>
        <v>0</v>
      </c>
      <c r="BO47">
        <f t="shared" si="11"/>
        <v>0</v>
      </c>
      <c r="BP47">
        <f t="shared" si="11"/>
        <v>0</v>
      </c>
      <c r="BQ47">
        <f t="shared" si="11"/>
        <v>0</v>
      </c>
      <c r="BR47">
        <f t="shared" si="11"/>
        <v>0</v>
      </c>
      <c r="BS47">
        <f t="shared" si="11"/>
        <v>0</v>
      </c>
      <c r="BT47">
        <f t="shared" si="11"/>
        <v>0</v>
      </c>
      <c r="BU47">
        <f t="shared" si="11"/>
        <v>0</v>
      </c>
      <c r="BV47">
        <f t="shared" si="11"/>
        <v>0</v>
      </c>
      <c r="BW47">
        <f t="shared" si="11"/>
        <v>0</v>
      </c>
      <c r="BX47">
        <f t="shared" si="11"/>
        <v>0</v>
      </c>
      <c r="BY47">
        <f t="shared" si="11"/>
        <v>0</v>
      </c>
    </row>
    <row r="48" spans="1:77" x14ac:dyDescent="0.25">
      <c r="A48" s="2" t="s">
        <v>93</v>
      </c>
      <c r="B48">
        <f t="shared" si="9"/>
        <v>1.8</v>
      </c>
      <c r="C48">
        <f t="shared" si="9"/>
        <v>1.84</v>
      </c>
      <c r="D48">
        <f t="shared" si="9"/>
        <v>1.76</v>
      </c>
      <c r="E48">
        <f t="shared" si="9"/>
        <v>1.78</v>
      </c>
      <c r="F48">
        <f t="shared" si="9"/>
        <v>1.72</v>
      </c>
      <c r="G48">
        <f t="shared" si="9"/>
        <v>1.75</v>
      </c>
      <c r="H48">
        <f t="shared" si="9"/>
        <v>1.83</v>
      </c>
      <c r="I48">
        <f t="shared" si="9"/>
        <v>1.82</v>
      </c>
      <c r="J48">
        <f t="shared" si="9"/>
        <v>1.75</v>
      </c>
      <c r="K48">
        <f t="shared" si="9"/>
        <v>1.68</v>
      </c>
      <c r="L48">
        <f t="shared" si="9"/>
        <v>1.6</v>
      </c>
      <c r="M48">
        <f t="shared" si="7"/>
        <v>1.61</v>
      </c>
      <c r="N48">
        <f t="shared" si="7"/>
        <v>1.66</v>
      </c>
      <c r="O48">
        <f t="shared" si="7"/>
        <v>1.6</v>
      </c>
      <c r="P48">
        <f t="shared" si="7"/>
        <v>1.62</v>
      </c>
      <c r="Q48">
        <f t="shared" si="7"/>
        <v>1.56</v>
      </c>
      <c r="R48">
        <f t="shared" si="7"/>
        <v>1.56</v>
      </c>
      <c r="S48">
        <f t="shared" si="7"/>
        <v>1.57</v>
      </c>
      <c r="T48">
        <f t="shared" si="7"/>
        <v>1.64</v>
      </c>
      <c r="U48">
        <f t="shared" si="7"/>
        <v>1.68</v>
      </c>
      <c r="V48">
        <f t="shared" si="7"/>
        <v>1.63</v>
      </c>
      <c r="W48">
        <f t="shared" si="7"/>
        <v>1.66</v>
      </c>
      <c r="X48">
        <f t="shared" si="7"/>
        <v>1.61</v>
      </c>
      <c r="Y48">
        <f t="shared" si="7"/>
        <v>1.68</v>
      </c>
      <c r="Z48">
        <f t="shared" si="7"/>
        <v>1.61</v>
      </c>
      <c r="AA48">
        <f t="shared" ref="AA48:BY48" si="12">ROUNDDOWN((AA8-ROUNDUP(AA8*0.1,2)-ROUNDUP(AA8*0.05,2))*0.8,2)</f>
        <v>1.56</v>
      </c>
      <c r="AB48">
        <f t="shared" si="12"/>
        <v>0</v>
      </c>
      <c r="AC48">
        <f t="shared" si="12"/>
        <v>0</v>
      </c>
      <c r="AD48">
        <f t="shared" si="12"/>
        <v>0</v>
      </c>
      <c r="AE48">
        <f t="shared" si="12"/>
        <v>0</v>
      </c>
      <c r="AF48">
        <f t="shared" si="12"/>
        <v>0</v>
      </c>
      <c r="AG48">
        <f t="shared" si="12"/>
        <v>0</v>
      </c>
      <c r="AH48">
        <f t="shared" si="12"/>
        <v>0</v>
      </c>
      <c r="AI48">
        <f t="shared" si="12"/>
        <v>0</v>
      </c>
      <c r="AJ48">
        <f t="shared" si="12"/>
        <v>0</v>
      </c>
      <c r="AK48">
        <f t="shared" si="12"/>
        <v>0</v>
      </c>
      <c r="AL48">
        <f t="shared" si="12"/>
        <v>0</v>
      </c>
      <c r="AM48">
        <f t="shared" si="12"/>
        <v>0</v>
      </c>
      <c r="AN48">
        <f t="shared" si="12"/>
        <v>0</v>
      </c>
      <c r="AO48">
        <f t="shared" si="12"/>
        <v>0</v>
      </c>
      <c r="AP48">
        <f t="shared" si="12"/>
        <v>0</v>
      </c>
      <c r="AQ48">
        <f t="shared" si="12"/>
        <v>0</v>
      </c>
      <c r="AR48">
        <f t="shared" si="12"/>
        <v>0</v>
      </c>
      <c r="AS48">
        <f t="shared" si="12"/>
        <v>0</v>
      </c>
      <c r="AT48">
        <f t="shared" si="12"/>
        <v>0</v>
      </c>
      <c r="AU48">
        <f t="shared" si="12"/>
        <v>0</v>
      </c>
      <c r="AV48">
        <f t="shared" si="12"/>
        <v>0</v>
      </c>
      <c r="AW48">
        <f t="shared" si="12"/>
        <v>0</v>
      </c>
      <c r="AX48">
        <f t="shared" si="12"/>
        <v>0</v>
      </c>
      <c r="AY48">
        <f t="shared" si="12"/>
        <v>0</v>
      </c>
      <c r="AZ48">
        <f t="shared" si="12"/>
        <v>0</v>
      </c>
      <c r="BA48">
        <f t="shared" si="12"/>
        <v>0</v>
      </c>
      <c r="BB48">
        <f t="shared" si="12"/>
        <v>0</v>
      </c>
      <c r="BC48">
        <f t="shared" si="12"/>
        <v>0</v>
      </c>
      <c r="BD48">
        <f t="shared" si="12"/>
        <v>0</v>
      </c>
      <c r="BE48">
        <f t="shared" si="12"/>
        <v>0</v>
      </c>
      <c r="BF48">
        <f t="shared" si="12"/>
        <v>0</v>
      </c>
      <c r="BG48">
        <f t="shared" si="12"/>
        <v>0</v>
      </c>
      <c r="BH48">
        <f t="shared" si="12"/>
        <v>0</v>
      </c>
      <c r="BI48">
        <f t="shared" si="12"/>
        <v>0</v>
      </c>
      <c r="BJ48">
        <f t="shared" si="12"/>
        <v>0</v>
      </c>
      <c r="BK48">
        <f t="shared" si="12"/>
        <v>0</v>
      </c>
      <c r="BL48">
        <f t="shared" si="12"/>
        <v>0</v>
      </c>
      <c r="BM48">
        <f t="shared" si="12"/>
        <v>0</v>
      </c>
      <c r="BN48">
        <f t="shared" si="12"/>
        <v>0</v>
      </c>
      <c r="BO48">
        <f t="shared" si="12"/>
        <v>0</v>
      </c>
      <c r="BP48">
        <f t="shared" si="12"/>
        <v>0</v>
      </c>
      <c r="BQ48">
        <f t="shared" si="12"/>
        <v>0</v>
      </c>
      <c r="BR48">
        <f t="shared" si="12"/>
        <v>0</v>
      </c>
      <c r="BS48">
        <f t="shared" si="12"/>
        <v>0</v>
      </c>
      <c r="BT48">
        <f t="shared" si="12"/>
        <v>0</v>
      </c>
      <c r="BU48">
        <f t="shared" si="12"/>
        <v>0</v>
      </c>
      <c r="BV48">
        <f t="shared" si="12"/>
        <v>0</v>
      </c>
      <c r="BW48">
        <f t="shared" si="12"/>
        <v>0</v>
      </c>
      <c r="BX48">
        <f t="shared" si="12"/>
        <v>0</v>
      </c>
      <c r="BY48">
        <f t="shared" si="12"/>
        <v>0</v>
      </c>
    </row>
    <row r="49" spans="1:77" x14ac:dyDescent="0.25">
      <c r="A49" s="2" t="s">
        <v>94</v>
      </c>
      <c r="B49">
        <f t="shared" si="9"/>
        <v>10.87</v>
      </c>
      <c r="C49">
        <f t="shared" si="9"/>
        <v>10.88</v>
      </c>
      <c r="D49">
        <f t="shared" si="9"/>
        <v>11.21</v>
      </c>
      <c r="E49">
        <f t="shared" si="9"/>
        <v>11.12</v>
      </c>
      <c r="F49">
        <f t="shared" si="9"/>
        <v>10.68</v>
      </c>
      <c r="G49">
        <f t="shared" si="9"/>
        <v>10.51</v>
      </c>
      <c r="H49">
        <f t="shared" si="9"/>
        <v>10.79</v>
      </c>
      <c r="I49">
        <f t="shared" si="9"/>
        <v>11.38</v>
      </c>
      <c r="J49">
        <f t="shared" si="9"/>
        <v>10.89</v>
      </c>
      <c r="K49">
        <f t="shared" si="9"/>
        <v>10.92</v>
      </c>
      <c r="L49">
        <f t="shared" si="9"/>
        <v>9.91</v>
      </c>
      <c r="M49">
        <f t="shared" si="7"/>
        <v>10.32</v>
      </c>
      <c r="N49">
        <f t="shared" si="7"/>
        <v>10.52</v>
      </c>
      <c r="O49">
        <f t="shared" si="7"/>
        <v>10.08</v>
      </c>
      <c r="P49">
        <f t="shared" si="7"/>
        <v>10.65</v>
      </c>
      <c r="Q49">
        <f t="shared" si="7"/>
        <v>10.67</v>
      </c>
      <c r="R49">
        <f t="shared" si="7"/>
        <v>10.83</v>
      </c>
      <c r="S49">
        <f t="shared" si="7"/>
        <v>10.44</v>
      </c>
      <c r="T49">
        <f t="shared" si="7"/>
        <v>10.33</v>
      </c>
      <c r="U49">
        <f t="shared" si="7"/>
        <v>10.8</v>
      </c>
      <c r="V49">
        <f t="shared" si="7"/>
        <v>10.7</v>
      </c>
      <c r="W49">
        <f t="shared" si="7"/>
        <v>11.05</v>
      </c>
      <c r="X49">
        <f t="shared" si="7"/>
        <v>10.87</v>
      </c>
      <c r="Y49">
        <f t="shared" si="7"/>
        <v>10.4</v>
      </c>
      <c r="Z49">
        <f t="shared" si="7"/>
        <v>10.47</v>
      </c>
      <c r="AA49">
        <f t="shared" ref="AA49:BY49" si="13">ROUNDDOWN((AA9-ROUNDUP(AA9*0.1,2)-ROUNDUP(AA9*0.05,2))*0.8,2)</f>
        <v>10.71</v>
      </c>
      <c r="AB49">
        <f t="shared" si="13"/>
        <v>0</v>
      </c>
      <c r="AC49">
        <f t="shared" si="13"/>
        <v>0</v>
      </c>
      <c r="AD49">
        <f t="shared" si="13"/>
        <v>0</v>
      </c>
      <c r="AE49">
        <f t="shared" si="13"/>
        <v>0</v>
      </c>
      <c r="AF49">
        <f t="shared" si="13"/>
        <v>0</v>
      </c>
      <c r="AG49">
        <f t="shared" si="13"/>
        <v>0</v>
      </c>
      <c r="AH49">
        <f t="shared" si="13"/>
        <v>0</v>
      </c>
      <c r="AI49">
        <f t="shared" si="13"/>
        <v>0</v>
      </c>
      <c r="AJ49">
        <f t="shared" si="13"/>
        <v>0</v>
      </c>
      <c r="AK49">
        <f t="shared" si="13"/>
        <v>0</v>
      </c>
      <c r="AL49">
        <f t="shared" si="13"/>
        <v>0</v>
      </c>
      <c r="AM49">
        <f t="shared" si="13"/>
        <v>0</v>
      </c>
      <c r="AN49">
        <f t="shared" si="13"/>
        <v>0</v>
      </c>
      <c r="AO49">
        <f t="shared" si="13"/>
        <v>0</v>
      </c>
      <c r="AP49">
        <f t="shared" si="13"/>
        <v>0</v>
      </c>
      <c r="AQ49">
        <f t="shared" si="13"/>
        <v>0</v>
      </c>
      <c r="AR49">
        <f t="shared" si="13"/>
        <v>0</v>
      </c>
      <c r="AS49">
        <f t="shared" si="13"/>
        <v>0</v>
      </c>
      <c r="AT49">
        <f t="shared" si="13"/>
        <v>0</v>
      </c>
      <c r="AU49">
        <f t="shared" si="13"/>
        <v>0</v>
      </c>
      <c r="AV49">
        <f t="shared" si="13"/>
        <v>0</v>
      </c>
      <c r="AW49">
        <f t="shared" si="13"/>
        <v>0</v>
      </c>
      <c r="AX49">
        <f t="shared" si="13"/>
        <v>0</v>
      </c>
      <c r="AY49">
        <f t="shared" si="13"/>
        <v>0</v>
      </c>
      <c r="AZ49">
        <f t="shared" si="13"/>
        <v>0</v>
      </c>
      <c r="BA49">
        <f t="shared" si="13"/>
        <v>0</v>
      </c>
      <c r="BB49">
        <f t="shared" si="13"/>
        <v>0</v>
      </c>
      <c r="BC49">
        <f t="shared" si="13"/>
        <v>0</v>
      </c>
      <c r="BD49">
        <f t="shared" si="13"/>
        <v>0</v>
      </c>
      <c r="BE49">
        <f t="shared" si="13"/>
        <v>0</v>
      </c>
      <c r="BF49">
        <f t="shared" si="13"/>
        <v>0</v>
      </c>
      <c r="BG49">
        <f t="shared" si="13"/>
        <v>0</v>
      </c>
      <c r="BH49">
        <f t="shared" si="13"/>
        <v>0</v>
      </c>
      <c r="BI49">
        <f t="shared" si="13"/>
        <v>0</v>
      </c>
      <c r="BJ49">
        <f t="shared" si="13"/>
        <v>0</v>
      </c>
      <c r="BK49">
        <f t="shared" si="13"/>
        <v>0</v>
      </c>
      <c r="BL49">
        <f t="shared" si="13"/>
        <v>0</v>
      </c>
      <c r="BM49">
        <f t="shared" si="13"/>
        <v>0</v>
      </c>
      <c r="BN49">
        <f t="shared" si="13"/>
        <v>0</v>
      </c>
      <c r="BO49">
        <f t="shared" si="13"/>
        <v>0</v>
      </c>
      <c r="BP49">
        <f t="shared" si="13"/>
        <v>0</v>
      </c>
      <c r="BQ49">
        <f t="shared" si="13"/>
        <v>0</v>
      </c>
      <c r="BR49">
        <f t="shared" si="13"/>
        <v>0</v>
      </c>
      <c r="BS49">
        <f t="shared" si="13"/>
        <v>0</v>
      </c>
      <c r="BT49">
        <f t="shared" si="13"/>
        <v>0</v>
      </c>
      <c r="BU49">
        <f t="shared" si="13"/>
        <v>0</v>
      </c>
      <c r="BV49">
        <f t="shared" si="13"/>
        <v>0</v>
      </c>
      <c r="BW49">
        <f t="shared" si="13"/>
        <v>0</v>
      </c>
      <c r="BX49">
        <f t="shared" si="13"/>
        <v>0</v>
      </c>
      <c r="BY49">
        <f t="shared" si="13"/>
        <v>0</v>
      </c>
    </row>
    <row r="50" spans="1:77" x14ac:dyDescent="0.25">
      <c r="A50" s="2" t="s">
        <v>95</v>
      </c>
      <c r="B50">
        <f t="shared" si="9"/>
        <v>2.85</v>
      </c>
      <c r="C50">
        <f t="shared" si="9"/>
        <v>2.67</v>
      </c>
      <c r="D50">
        <f t="shared" si="9"/>
        <v>2.6</v>
      </c>
      <c r="E50">
        <f t="shared" si="9"/>
        <v>2.81</v>
      </c>
      <c r="F50">
        <f t="shared" si="9"/>
        <v>2.75</v>
      </c>
      <c r="G50">
        <f t="shared" si="9"/>
        <v>2.85</v>
      </c>
      <c r="H50">
        <f t="shared" si="9"/>
        <v>2.8</v>
      </c>
      <c r="I50">
        <f t="shared" si="9"/>
        <v>2.84</v>
      </c>
      <c r="J50">
        <f t="shared" si="9"/>
        <v>2.76</v>
      </c>
      <c r="K50">
        <f t="shared" si="9"/>
        <v>2.75</v>
      </c>
      <c r="L50">
        <f t="shared" si="9"/>
        <v>2.66</v>
      </c>
      <c r="M50">
        <f t="shared" si="7"/>
        <v>2.71</v>
      </c>
      <c r="N50">
        <f t="shared" si="7"/>
        <v>2.82</v>
      </c>
      <c r="O50">
        <f t="shared" si="7"/>
        <v>2.4900000000000002</v>
      </c>
      <c r="P50">
        <f t="shared" si="7"/>
        <v>2.76</v>
      </c>
      <c r="Q50">
        <f t="shared" si="7"/>
        <v>2.78</v>
      </c>
      <c r="R50">
        <f t="shared" si="7"/>
        <v>2.76</v>
      </c>
      <c r="S50">
        <f t="shared" si="7"/>
        <v>2.75</v>
      </c>
      <c r="T50">
        <f t="shared" si="7"/>
        <v>2.57</v>
      </c>
      <c r="U50">
        <f t="shared" si="7"/>
        <v>2.64</v>
      </c>
      <c r="V50">
        <f t="shared" si="7"/>
        <v>2.75</v>
      </c>
      <c r="W50">
        <f t="shared" si="7"/>
        <v>2.6</v>
      </c>
      <c r="X50">
        <f t="shared" si="7"/>
        <v>2.61</v>
      </c>
      <c r="Y50">
        <f t="shared" si="7"/>
        <v>2.63</v>
      </c>
      <c r="Z50">
        <f t="shared" si="7"/>
        <v>2.72</v>
      </c>
      <c r="AA50">
        <f t="shared" ref="AA50:BY50" si="14">ROUNDDOWN((AA10-ROUNDUP(AA10*0.1,2)-ROUNDUP(AA10*0.05,2))*0.8,2)</f>
        <v>2.72</v>
      </c>
      <c r="AB50">
        <f t="shared" si="14"/>
        <v>0</v>
      </c>
      <c r="AC50">
        <f t="shared" si="14"/>
        <v>0</v>
      </c>
      <c r="AD50">
        <f t="shared" si="14"/>
        <v>0</v>
      </c>
      <c r="AE50">
        <f t="shared" si="14"/>
        <v>0</v>
      </c>
      <c r="AF50">
        <f t="shared" si="14"/>
        <v>0</v>
      </c>
      <c r="AG50">
        <f t="shared" si="14"/>
        <v>0</v>
      </c>
      <c r="AH50">
        <f t="shared" si="14"/>
        <v>0</v>
      </c>
      <c r="AI50">
        <f t="shared" si="14"/>
        <v>0</v>
      </c>
      <c r="AJ50">
        <f t="shared" si="14"/>
        <v>0</v>
      </c>
      <c r="AK50">
        <f t="shared" si="14"/>
        <v>0</v>
      </c>
      <c r="AL50">
        <f t="shared" si="14"/>
        <v>0</v>
      </c>
      <c r="AM50">
        <f t="shared" si="14"/>
        <v>0</v>
      </c>
      <c r="AN50">
        <f t="shared" si="14"/>
        <v>0</v>
      </c>
      <c r="AO50">
        <f t="shared" si="14"/>
        <v>0</v>
      </c>
      <c r="AP50">
        <f t="shared" si="14"/>
        <v>0</v>
      </c>
      <c r="AQ50">
        <f t="shared" si="14"/>
        <v>0</v>
      </c>
      <c r="AR50">
        <f t="shared" si="14"/>
        <v>0</v>
      </c>
      <c r="AS50">
        <f t="shared" si="14"/>
        <v>0</v>
      </c>
      <c r="AT50">
        <f t="shared" si="14"/>
        <v>0</v>
      </c>
      <c r="AU50">
        <f t="shared" si="14"/>
        <v>0</v>
      </c>
      <c r="AV50">
        <f t="shared" si="14"/>
        <v>0</v>
      </c>
      <c r="AW50">
        <f t="shared" si="14"/>
        <v>0</v>
      </c>
      <c r="AX50">
        <f t="shared" si="14"/>
        <v>0</v>
      </c>
      <c r="AY50">
        <f t="shared" si="14"/>
        <v>0</v>
      </c>
      <c r="AZ50">
        <f t="shared" si="14"/>
        <v>0</v>
      </c>
      <c r="BA50">
        <f t="shared" si="14"/>
        <v>0</v>
      </c>
      <c r="BB50">
        <f t="shared" si="14"/>
        <v>0</v>
      </c>
      <c r="BC50">
        <f t="shared" si="14"/>
        <v>0</v>
      </c>
      <c r="BD50">
        <f t="shared" si="14"/>
        <v>0</v>
      </c>
      <c r="BE50">
        <f t="shared" si="14"/>
        <v>0</v>
      </c>
      <c r="BF50">
        <f t="shared" si="14"/>
        <v>0</v>
      </c>
      <c r="BG50">
        <f t="shared" si="14"/>
        <v>0</v>
      </c>
      <c r="BH50">
        <f t="shared" si="14"/>
        <v>0</v>
      </c>
      <c r="BI50">
        <f t="shared" si="14"/>
        <v>0</v>
      </c>
      <c r="BJ50">
        <f t="shared" si="14"/>
        <v>0</v>
      </c>
      <c r="BK50">
        <f t="shared" si="14"/>
        <v>0</v>
      </c>
      <c r="BL50">
        <f t="shared" si="14"/>
        <v>0</v>
      </c>
      <c r="BM50">
        <f t="shared" si="14"/>
        <v>0</v>
      </c>
      <c r="BN50">
        <f t="shared" si="14"/>
        <v>0</v>
      </c>
      <c r="BO50">
        <f t="shared" si="14"/>
        <v>0</v>
      </c>
      <c r="BP50">
        <f t="shared" si="14"/>
        <v>0</v>
      </c>
      <c r="BQ50">
        <f t="shared" si="14"/>
        <v>0</v>
      </c>
      <c r="BR50">
        <f t="shared" si="14"/>
        <v>0</v>
      </c>
      <c r="BS50">
        <f t="shared" si="14"/>
        <v>0</v>
      </c>
      <c r="BT50">
        <f t="shared" si="14"/>
        <v>0</v>
      </c>
      <c r="BU50">
        <f t="shared" si="14"/>
        <v>0</v>
      </c>
      <c r="BV50">
        <f t="shared" si="14"/>
        <v>0</v>
      </c>
      <c r="BW50">
        <f t="shared" si="14"/>
        <v>0</v>
      </c>
      <c r="BX50">
        <f t="shared" si="14"/>
        <v>0</v>
      </c>
      <c r="BY50">
        <f t="shared" si="14"/>
        <v>0</v>
      </c>
    </row>
    <row r="51" spans="1:77" x14ac:dyDescent="0.25">
      <c r="A51" s="2" t="s">
        <v>96</v>
      </c>
      <c r="B51">
        <f t="shared" si="9"/>
        <v>1.28</v>
      </c>
      <c r="C51">
        <f t="shared" si="9"/>
        <v>1.32</v>
      </c>
      <c r="D51">
        <f t="shared" si="9"/>
        <v>1.36</v>
      </c>
      <c r="E51">
        <f t="shared" si="9"/>
        <v>1.32</v>
      </c>
      <c r="F51">
        <f t="shared" si="9"/>
        <v>1.24</v>
      </c>
      <c r="G51">
        <f t="shared" si="9"/>
        <v>1.33</v>
      </c>
      <c r="H51">
        <f t="shared" si="9"/>
        <v>1.28</v>
      </c>
      <c r="I51">
        <f t="shared" si="9"/>
        <v>1.26</v>
      </c>
      <c r="J51">
        <f t="shared" si="9"/>
        <v>1.17</v>
      </c>
      <c r="K51">
        <f t="shared" si="9"/>
        <v>1.27</v>
      </c>
      <c r="L51">
        <f t="shared" si="9"/>
        <v>1.26</v>
      </c>
      <c r="M51">
        <f t="shared" si="7"/>
        <v>1.21</v>
      </c>
      <c r="N51">
        <f t="shared" si="7"/>
        <v>1.19</v>
      </c>
      <c r="O51">
        <f t="shared" si="7"/>
        <v>1.19</v>
      </c>
      <c r="P51">
        <f t="shared" si="7"/>
        <v>1.19</v>
      </c>
      <c r="Q51">
        <f t="shared" si="7"/>
        <v>1.1599999999999999</v>
      </c>
      <c r="R51">
        <f t="shared" si="7"/>
        <v>1.17</v>
      </c>
      <c r="S51">
        <f t="shared" si="7"/>
        <v>1.07</v>
      </c>
      <c r="T51">
        <f t="shared" si="7"/>
        <v>1.1599999999999999</v>
      </c>
      <c r="U51">
        <f t="shared" si="7"/>
        <v>1.18</v>
      </c>
      <c r="V51">
        <f t="shared" si="7"/>
        <v>1.08</v>
      </c>
      <c r="W51">
        <f t="shared" si="7"/>
        <v>1.02</v>
      </c>
      <c r="X51">
        <f t="shared" si="7"/>
        <v>1.1299999999999999</v>
      </c>
      <c r="Y51">
        <f t="shared" si="7"/>
        <v>1.1100000000000001</v>
      </c>
      <c r="Z51">
        <f t="shared" si="7"/>
        <v>1.1599999999999999</v>
      </c>
      <c r="AA51">
        <f t="shared" ref="AA51:BY51" si="15">ROUNDDOWN((AA11-ROUNDUP(AA11*0.1,2)-ROUNDUP(AA11*0.05,2))*0.8,2)</f>
        <v>1.1200000000000001</v>
      </c>
      <c r="AB51">
        <f t="shared" si="15"/>
        <v>0</v>
      </c>
      <c r="AC51">
        <f t="shared" si="15"/>
        <v>0</v>
      </c>
      <c r="AD51">
        <f t="shared" si="15"/>
        <v>0</v>
      </c>
      <c r="AE51">
        <f t="shared" si="15"/>
        <v>0</v>
      </c>
      <c r="AF51">
        <f t="shared" si="15"/>
        <v>0</v>
      </c>
      <c r="AG51">
        <f t="shared" si="15"/>
        <v>0</v>
      </c>
      <c r="AH51">
        <f t="shared" si="15"/>
        <v>0</v>
      </c>
      <c r="AI51">
        <f t="shared" si="15"/>
        <v>0</v>
      </c>
      <c r="AJ51">
        <f t="shared" si="15"/>
        <v>0</v>
      </c>
      <c r="AK51">
        <f t="shared" si="15"/>
        <v>0</v>
      </c>
      <c r="AL51">
        <f t="shared" si="15"/>
        <v>0</v>
      </c>
      <c r="AM51">
        <f t="shared" si="15"/>
        <v>0</v>
      </c>
      <c r="AN51">
        <f t="shared" si="15"/>
        <v>0</v>
      </c>
      <c r="AO51">
        <f t="shared" si="15"/>
        <v>0</v>
      </c>
      <c r="AP51">
        <f t="shared" si="15"/>
        <v>0</v>
      </c>
      <c r="AQ51">
        <f t="shared" si="15"/>
        <v>0</v>
      </c>
      <c r="AR51">
        <f t="shared" si="15"/>
        <v>0</v>
      </c>
      <c r="AS51">
        <f t="shared" si="15"/>
        <v>0</v>
      </c>
      <c r="AT51">
        <f t="shared" si="15"/>
        <v>0</v>
      </c>
      <c r="AU51">
        <f t="shared" si="15"/>
        <v>0</v>
      </c>
      <c r="AV51">
        <f t="shared" si="15"/>
        <v>0</v>
      </c>
      <c r="AW51">
        <f t="shared" si="15"/>
        <v>0</v>
      </c>
      <c r="AX51">
        <f t="shared" si="15"/>
        <v>0</v>
      </c>
      <c r="AY51">
        <f t="shared" si="15"/>
        <v>0</v>
      </c>
      <c r="AZ51">
        <f t="shared" si="15"/>
        <v>0</v>
      </c>
      <c r="BA51">
        <f t="shared" si="15"/>
        <v>0</v>
      </c>
      <c r="BB51">
        <f t="shared" si="15"/>
        <v>0</v>
      </c>
      <c r="BC51">
        <f t="shared" si="15"/>
        <v>0</v>
      </c>
      <c r="BD51">
        <f t="shared" si="15"/>
        <v>0</v>
      </c>
      <c r="BE51">
        <f t="shared" si="15"/>
        <v>0</v>
      </c>
      <c r="BF51">
        <f t="shared" si="15"/>
        <v>0</v>
      </c>
      <c r="BG51">
        <f t="shared" si="15"/>
        <v>0</v>
      </c>
      <c r="BH51">
        <f t="shared" si="15"/>
        <v>0</v>
      </c>
      <c r="BI51">
        <f t="shared" si="15"/>
        <v>0</v>
      </c>
      <c r="BJ51">
        <f t="shared" si="15"/>
        <v>0</v>
      </c>
      <c r="BK51">
        <f t="shared" si="15"/>
        <v>0</v>
      </c>
      <c r="BL51">
        <f t="shared" si="15"/>
        <v>0</v>
      </c>
      <c r="BM51">
        <f t="shared" si="15"/>
        <v>0</v>
      </c>
      <c r="BN51">
        <f t="shared" si="15"/>
        <v>0</v>
      </c>
      <c r="BO51">
        <f t="shared" si="15"/>
        <v>0</v>
      </c>
      <c r="BP51">
        <f t="shared" si="15"/>
        <v>0</v>
      </c>
      <c r="BQ51">
        <f t="shared" si="15"/>
        <v>0</v>
      </c>
      <c r="BR51">
        <f t="shared" si="15"/>
        <v>0</v>
      </c>
      <c r="BS51">
        <f t="shared" si="15"/>
        <v>0</v>
      </c>
      <c r="BT51">
        <f t="shared" si="15"/>
        <v>0</v>
      </c>
      <c r="BU51">
        <f t="shared" si="15"/>
        <v>0</v>
      </c>
      <c r="BV51">
        <f t="shared" si="15"/>
        <v>0</v>
      </c>
      <c r="BW51">
        <f t="shared" si="15"/>
        <v>0</v>
      </c>
      <c r="BX51">
        <f t="shared" si="15"/>
        <v>0</v>
      </c>
      <c r="BY51">
        <f t="shared" si="15"/>
        <v>0</v>
      </c>
    </row>
    <row r="52" spans="1:77" x14ac:dyDescent="0.25">
      <c r="A52" s="2" t="s">
        <v>97</v>
      </c>
      <c r="B52">
        <f t="shared" si="9"/>
        <v>0.42</v>
      </c>
      <c r="C52">
        <f t="shared" si="9"/>
        <v>0.4</v>
      </c>
      <c r="D52">
        <f t="shared" si="9"/>
        <v>0.43</v>
      </c>
      <c r="E52">
        <f t="shared" si="9"/>
        <v>0.4</v>
      </c>
      <c r="F52">
        <f t="shared" si="9"/>
        <v>0.4</v>
      </c>
      <c r="G52">
        <f t="shared" si="9"/>
        <v>0.44</v>
      </c>
      <c r="H52">
        <f t="shared" si="9"/>
        <v>0.47</v>
      </c>
      <c r="I52">
        <f t="shared" si="9"/>
        <v>0.46</v>
      </c>
      <c r="J52">
        <f t="shared" si="9"/>
        <v>0.47</v>
      </c>
      <c r="K52">
        <f t="shared" si="9"/>
        <v>0.44</v>
      </c>
      <c r="L52">
        <f t="shared" si="9"/>
        <v>0.4</v>
      </c>
      <c r="M52">
        <f t="shared" si="7"/>
        <v>0.43</v>
      </c>
      <c r="N52">
        <f t="shared" si="7"/>
        <v>0.41</v>
      </c>
      <c r="O52">
        <f t="shared" si="7"/>
        <v>0.41</v>
      </c>
      <c r="P52">
        <f t="shared" si="7"/>
        <v>0.4</v>
      </c>
      <c r="Q52">
        <f t="shared" si="7"/>
        <v>0.4</v>
      </c>
      <c r="R52">
        <f t="shared" si="7"/>
        <v>0.36</v>
      </c>
      <c r="S52">
        <f t="shared" si="7"/>
        <v>0.4</v>
      </c>
      <c r="T52">
        <f t="shared" si="7"/>
        <v>0.4</v>
      </c>
      <c r="U52">
        <f t="shared" si="7"/>
        <v>0.4</v>
      </c>
      <c r="V52">
        <f t="shared" si="7"/>
        <v>0.4</v>
      </c>
      <c r="W52">
        <f t="shared" si="7"/>
        <v>0.4</v>
      </c>
      <c r="X52">
        <f t="shared" si="7"/>
        <v>0.4</v>
      </c>
      <c r="Y52">
        <f t="shared" si="7"/>
        <v>0.38</v>
      </c>
      <c r="Z52">
        <f t="shared" si="7"/>
        <v>0.38</v>
      </c>
      <c r="AA52">
        <f t="shared" ref="AA52:BY52" si="16">ROUNDDOWN((AA12-ROUNDUP(AA12*0.1,2)-ROUNDUP(AA12*0.05,2))*0.8,2)</f>
        <v>0.39</v>
      </c>
      <c r="AB52">
        <f t="shared" si="16"/>
        <v>0</v>
      </c>
      <c r="AC52">
        <f t="shared" si="16"/>
        <v>0</v>
      </c>
      <c r="AD52">
        <f t="shared" si="16"/>
        <v>0</v>
      </c>
      <c r="AE52">
        <f t="shared" si="16"/>
        <v>0</v>
      </c>
      <c r="AF52">
        <f t="shared" si="16"/>
        <v>0</v>
      </c>
      <c r="AG52">
        <f t="shared" si="16"/>
        <v>0</v>
      </c>
      <c r="AH52">
        <f t="shared" si="16"/>
        <v>0</v>
      </c>
      <c r="AI52">
        <f t="shared" si="16"/>
        <v>0</v>
      </c>
      <c r="AJ52">
        <f t="shared" si="16"/>
        <v>0</v>
      </c>
      <c r="AK52">
        <f t="shared" si="16"/>
        <v>0</v>
      </c>
      <c r="AL52">
        <f t="shared" si="16"/>
        <v>0</v>
      </c>
      <c r="AM52">
        <f t="shared" si="16"/>
        <v>0</v>
      </c>
      <c r="AN52">
        <f t="shared" si="16"/>
        <v>0</v>
      </c>
      <c r="AO52">
        <f t="shared" si="16"/>
        <v>0</v>
      </c>
      <c r="AP52">
        <f t="shared" si="16"/>
        <v>0</v>
      </c>
      <c r="AQ52">
        <f t="shared" si="16"/>
        <v>0</v>
      </c>
      <c r="AR52">
        <f t="shared" si="16"/>
        <v>0</v>
      </c>
      <c r="AS52">
        <f t="shared" si="16"/>
        <v>0</v>
      </c>
      <c r="AT52">
        <f t="shared" si="16"/>
        <v>0</v>
      </c>
      <c r="AU52">
        <f t="shared" si="16"/>
        <v>0</v>
      </c>
      <c r="AV52">
        <f t="shared" si="16"/>
        <v>0</v>
      </c>
      <c r="AW52">
        <f t="shared" si="16"/>
        <v>0</v>
      </c>
      <c r="AX52">
        <f t="shared" si="16"/>
        <v>0</v>
      </c>
      <c r="AY52">
        <f t="shared" si="16"/>
        <v>0</v>
      </c>
      <c r="AZ52">
        <f t="shared" si="16"/>
        <v>0</v>
      </c>
      <c r="BA52">
        <f t="shared" si="16"/>
        <v>0</v>
      </c>
      <c r="BB52">
        <f t="shared" si="16"/>
        <v>0</v>
      </c>
      <c r="BC52">
        <f t="shared" si="16"/>
        <v>0</v>
      </c>
      <c r="BD52">
        <f t="shared" si="16"/>
        <v>0</v>
      </c>
      <c r="BE52">
        <f t="shared" si="16"/>
        <v>0</v>
      </c>
      <c r="BF52">
        <f t="shared" si="16"/>
        <v>0</v>
      </c>
      <c r="BG52">
        <f t="shared" si="16"/>
        <v>0</v>
      </c>
      <c r="BH52">
        <f t="shared" si="16"/>
        <v>0</v>
      </c>
      <c r="BI52">
        <f t="shared" si="16"/>
        <v>0</v>
      </c>
      <c r="BJ52">
        <f t="shared" si="16"/>
        <v>0</v>
      </c>
      <c r="BK52">
        <f t="shared" si="16"/>
        <v>0</v>
      </c>
      <c r="BL52">
        <f t="shared" si="16"/>
        <v>0</v>
      </c>
      <c r="BM52">
        <f t="shared" si="16"/>
        <v>0</v>
      </c>
      <c r="BN52">
        <f t="shared" si="16"/>
        <v>0</v>
      </c>
      <c r="BO52">
        <f t="shared" si="16"/>
        <v>0</v>
      </c>
      <c r="BP52">
        <f t="shared" si="16"/>
        <v>0</v>
      </c>
      <c r="BQ52">
        <f t="shared" si="16"/>
        <v>0</v>
      </c>
      <c r="BR52">
        <f t="shared" si="16"/>
        <v>0</v>
      </c>
      <c r="BS52">
        <f t="shared" si="16"/>
        <v>0</v>
      </c>
      <c r="BT52">
        <f t="shared" si="16"/>
        <v>0</v>
      </c>
      <c r="BU52">
        <f t="shared" si="16"/>
        <v>0</v>
      </c>
      <c r="BV52">
        <f t="shared" si="16"/>
        <v>0</v>
      </c>
      <c r="BW52">
        <f t="shared" si="16"/>
        <v>0</v>
      </c>
      <c r="BX52">
        <f t="shared" si="16"/>
        <v>0</v>
      </c>
      <c r="BY52">
        <f t="shared" si="16"/>
        <v>0</v>
      </c>
    </row>
    <row r="53" spans="1:77" x14ac:dyDescent="0.25">
      <c r="A53" s="2" t="s">
        <v>98</v>
      </c>
      <c r="B53">
        <f t="shared" si="9"/>
        <v>8.5399999999999991</v>
      </c>
      <c r="C53">
        <f t="shared" si="9"/>
        <v>7.27</v>
      </c>
      <c r="D53">
        <f t="shared" si="9"/>
        <v>8.75</v>
      </c>
      <c r="E53">
        <f t="shared" si="9"/>
        <v>8.58</v>
      </c>
      <c r="F53">
        <f t="shared" si="9"/>
        <v>8.6199999999999992</v>
      </c>
      <c r="G53">
        <f t="shared" si="9"/>
        <v>8.9499999999999993</v>
      </c>
      <c r="H53">
        <f t="shared" si="9"/>
        <v>9.02</v>
      </c>
      <c r="I53">
        <f t="shared" si="9"/>
        <v>8.92</v>
      </c>
      <c r="J53">
        <f t="shared" si="9"/>
        <v>8.2100000000000009</v>
      </c>
      <c r="K53">
        <f t="shared" si="9"/>
        <v>8.84</v>
      </c>
      <c r="L53">
        <f t="shared" si="9"/>
        <v>8.5299999999999994</v>
      </c>
      <c r="M53">
        <f t="shared" si="7"/>
        <v>8.61</v>
      </c>
      <c r="N53">
        <f t="shared" si="7"/>
        <v>8.25</v>
      </c>
      <c r="O53">
        <f t="shared" si="7"/>
        <v>8.17</v>
      </c>
      <c r="P53">
        <f t="shared" si="7"/>
        <v>7.61</v>
      </c>
      <c r="Q53">
        <f t="shared" si="7"/>
        <v>8.32</v>
      </c>
      <c r="R53">
        <f t="shared" si="7"/>
        <v>7.95</v>
      </c>
      <c r="S53">
        <f t="shared" si="7"/>
        <v>7.61</v>
      </c>
      <c r="T53">
        <f t="shared" si="7"/>
        <v>8.2200000000000006</v>
      </c>
      <c r="U53">
        <f t="shared" si="7"/>
        <v>7.72</v>
      </c>
      <c r="V53">
        <f t="shared" si="7"/>
        <v>8.56</v>
      </c>
      <c r="W53">
        <f t="shared" si="7"/>
        <v>8.56</v>
      </c>
      <c r="X53">
        <f t="shared" si="7"/>
        <v>8.34</v>
      </c>
      <c r="Y53">
        <f t="shared" si="7"/>
        <v>8.5299999999999994</v>
      </c>
      <c r="Z53">
        <f t="shared" si="7"/>
        <v>8</v>
      </c>
      <c r="AA53">
        <f t="shared" ref="AA53:BY53" si="17">ROUNDDOWN((AA13-ROUNDUP(AA13*0.1,2)-ROUNDUP(AA13*0.05,2))*0.8,2)</f>
        <v>8.26</v>
      </c>
      <c r="AB53">
        <f t="shared" si="17"/>
        <v>0</v>
      </c>
      <c r="AC53">
        <f t="shared" si="17"/>
        <v>0</v>
      </c>
      <c r="AD53">
        <f t="shared" si="17"/>
        <v>0</v>
      </c>
      <c r="AE53">
        <f t="shared" si="17"/>
        <v>0</v>
      </c>
      <c r="AF53">
        <f t="shared" si="17"/>
        <v>0</v>
      </c>
      <c r="AG53">
        <f t="shared" si="17"/>
        <v>0</v>
      </c>
      <c r="AH53">
        <f t="shared" si="17"/>
        <v>0</v>
      </c>
      <c r="AI53">
        <f t="shared" si="17"/>
        <v>0</v>
      </c>
      <c r="AJ53">
        <f t="shared" si="17"/>
        <v>0</v>
      </c>
      <c r="AK53">
        <f t="shared" si="17"/>
        <v>0</v>
      </c>
      <c r="AL53">
        <f t="shared" si="17"/>
        <v>0</v>
      </c>
      <c r="AM53">
        <f t="shared" si="17"/>
        <v>0</v>
      </c>
      <c r="AN53">
        <f t="shared" si="17"/>
        <v>0</v>
      </c>
      <c r="AO53">
        <f t="shared" si="17"/>
        <v>0</v>
      </c>
      <c r="AP53">
        <f t="shared" si="17"/>
        <v>0</v>
      </c>
      <c r="AQ53">
        <f t="shared" si="17"/>
        <v>0</v>
      </c>
      <c r="AR53">
        <f t="shared" si="17"/>
        <v>0</v>
      </c>
      <c r="AS53">
        <f t="shared" si="17"/>
        <v>0</v>
      </c>
      <c r="AT53">
        <f t="shared" si="17"/>
        <v>0</v>
      </c>
      <c r="AU53">
        <f t="shared" si="17"/>
        <v>0</v>
      </c>
      <c r="AV53">
        <f t="shared" si="17"/>
        <v>0</v>
      </c>
      <c r="AW53">
        <f t="shared" si="17"/>
        <v>0</v>
      </c>
      <c r="AX53">
        <f t="shared" si="17"/>
        <v>0</v>
      </c>
      <c r="AY53">
        <f t="shared" si="17"/>
        <v>0</v>
      </c>
      <c r="AZ53">
        <f t="shared" si="17"/>
        <v>0</v>
      </c>
      <c r="BA53">
        <f t="shared" si="17"/>
        <v>0</v>
      </c>
      <c r="BB53">
        <f t="shared" si="17"/>
        <v>0</v>
      </c>
      <c r="BC53">
        <f t="shared" si="17"/>
        <v>0</v>
      </c>
      <c r="BD53">
        <f t="shared" si="17"/>
        <v>0</v>
      </c>
      <c r="BE53">
        <f t="shared" si="17"/>
        <v>0</v>
      </c>
      <c r="BF53">
        <f t="shared" si="17"/>
        <v>0</v>
      </c>
      <c r="BG53">
        <f t="shared" si="17"/>
        <v>0</v>
      </c>
      <c r="BH53">
        <f t="shared" si="17"/>
        <v>0</v>
      </c>
      <c r="BI53">
        <f t="shared" si="17"/>
        <v>0</v>
      </c>
      <c r="BJ53">
        <f t="shared" si="17"/>
        <v>0</v>
      </c>
      <c r="BK53">
        <f t="shared" si="17"/>
        <v>0</v>
      </c>
      <c r="BL53">
        <f t="shared" si="17"/>
        <v>0</v>
      </c>
      <c r="BM53">
        <f t="shared" si="17"/>
        <v>0</v>
      </c>
      <c r="BN53">
        <f t="shared" si="17"/>
        <v>0</v>
      </c>
      <c r="BO53">
        <f t="shared" si="17"/>
        <v>0</v>
      </c>
      <c r="BP53">
        <f t="shared" si="17"/>
        <v>0</v>
      </c>
      <c r="BQ53">
        <f t="shared" si="17"/>
        <v>0</v>
      </c>
      <c r="BR53">
        <f t="shared" si="17"/>
        <v>0</v>
      </c>
      <c r="BS53">
        <f t="shared" si="17"/>
        <v>0</v>
      </c>
      <c r="BT53">
        <f t="shared" si="17"/>
        <v>0</v>
      </c>
      <c r="BU53">
        <f t="shared" si="17"/>
        <v>0</v>
      </c>
      <c r="BV53">
        <f t="shared" si="17"/>
        <v>0</v>
      </c>
      <c r="BW53">
        <f t="shared" si="17"/>
        <v>0</v>
      </c>
      <c r="BX53">
        <f t="shared" si="17"/>
        <v>0</v>
      </c>
      <c r="BY53">
        <f t="shared" si="17"/>
        <v>0</v>
      </c>
    </row>
    <row r="54" spans="1:77" x14ac:dyDescent="0.25">
      <c r="A54" s="2" t="s">
        <v>99</v>
      </c>
      <c r="B54">
        <f t="shared" si="9"/>
        <v>0.94</v>
      </c>
      <c r="C54">
        <f t="shared" si="9"/>
        <v>0.98</v>
      </c>
      <c r="D54">
        <f t="shared" si="9"/>
        <v>0.91</v>
      </c>
      <c r="E54">
        <f t="shared" si="9"/>
        <v>0.93</v>
      </c>
      <c r="F54">
        <f t="shared" si="9"/>
        <v>0.94</v>
      </c>
      <c r="G54">
        <f t="shared" si="9"/>
        <v>0.91</v>
      </c>
      <c r="H54">
        <f t="shared" si="9"/>
        <v>0.96</v>
      </c>
      <c r="I54">
        <f t="shared" si="9"/>
        <v>0.95</v>
      </c>
      <c r="J54">
        <f t="shared" si="9"/>
        <v>0.91</v>
      </c>
      <c r="K54">
        <f t="shared" si="9"/>
        <v>0.97</v>
      </c>
      <c r="L54">
        <f t="shared" si="9"/>
        <v>0.96</v>
      </c>
      <c r="M54">
        <f t="shared" si="7"/>
        <v>0.88</v>
      </c>
      <c r="N54">
        <f t="shared" si="7"/>
        <v>0.93</v>
      </c>
      <c r="O54">
        <f t="shared" si="7"/>
        <v>0.96</v>
      </c>
      <c r="P54">
        <f t="shared" si="7"/>
        <v>0.89</v>
      </c>
      <c r="Q54">
        <f t="shared" si="7"/>
        <v>0.98</v>
      </c>
      <c r="R54">
        <f t="shared" si="7"/>
        <v>0.95</v>
      </c>
      <c r="S54">
        <f t="shared" si="7"/>
        <v>0.96</v>
      </c>
      <c r="T54">
        <f t="shared" si="7"/>
        <v>0.97</v>
      </c>
      <c r="U54">
        <f t="shared" si="7"/>
        <v>0.96</v>
      </c>
      <c r="V54">
        <f t="shared" si="7"/>
        <v>0.98</v>
      </c>
      <c r="W54">
        <f t="shared" si="7"/>
        <v>0.95</v>
      </c>
      <c r="X54">
        <f t="shared" si="7"/>
        <v>0.9</v>
      </c>
      <c r="Y54">
        <f t="shared" si="7"/>
        <v>0.94</v>
      </c>
      <c r="Z54">
        <f t="shared" si="7"/>
        <v>0.94</v>
      </c>
      <c r="AA54">
        <f t="shared" ref="AA54:BY54" si="18">ROUNDDOWN((AA14-ROUNDUP(AA14*0.1,2)-ROUNDUP(AA14*0.05,2))*0.8,2)</f>
        <v>0.93</v>
      </c>
      <c r="AB54">
        <f t="shared" si="18"/>
        <v>0</v>
      </c>
      <c r="AC54">
        <f t="shared" si="18"/>
        <v>0</v>
      </c>
      <c r="AD54">
        <f t="shared" si="18"/>
        <v>0</v>
      </c>
      <c r="AE54">
        <f t="shared" si="18"/>
        <v>0</v>
      </c>
      <c r="AF54">
        <f t="shared" si="18"/>
        <v>0</v>
      </c>
      <c r="AG54">
        <f t="shared" si="18"/>
        <v>0</v>
      </c>
      <c r="AH54">
        <f t="shared" si="18"/>
        <v>0</v>
      </c>
      <c r="AI54">
        <f t="shared" si="18"/>
        <v>0</v>
      </c>
      <c r="AJ54">
        <f t="shared" si="18"/>
        <v>0</v>
      </c>
      <c r="AK54">
        <f t="shared" si="18"/>
        <v>0</v>
      </c>
      <c r="AL54">
        <f t="shared" si="18"/>
        <v>0</v>
      </c>
      <c r="AM54">
        <f t="shared" si="18"/>
        <v>0</v>
      </c>
      <c r="AN54">
        <f t="shared" si="18"/>
        <v>0</v>
      </c>
      <c r="AO54">
        <f t="shared" si="18"/>
        <v>0</v>
      </c>
      <c r="AP54">
        <f t="shared" si="18"/>
        <v>0</v>
      </c>
      <c r="AQ54">
        <f t="shared" si="18"/>
        <v>0</v>
      </c>
      <c r="AR54">
        <f t="shared" si="18"/>
        <v>0</v>
      </c>
      <c r="AS54">
        <f t="shared" si="18"/>
        <v>0</v>
      </c>
      <c r="AT54">
        <f t="shared" si="18"/>
        <v>0</v>
      </c>
      <c r="AU54">
        <f t="shared" si="18"/>
        <v>0</v>
      </c>
      <c r="AV54">
        <f t="shared" si="18"/>
        <v>0</v>
      </c>
      <c r="AW54">
        <f t="shared" si="18"/>
        <v>0</v>
      </c>
      <c r="AX54">
        <f t="shared" si="18"/>
        <v>0</v>
      </c>
      <c r="AY54">
        <f t="shared" si="18"/>
        <v>0</v>
      </c>
      <c r="AZ54">
        <f t="shared" si="18"/>
        <v>0</v>
      </c>
      <c r="BA54">
        <f t="shared" si="18"/>
        <v>0</v>
      </c>
      <c r="BB54">
        <f t="shared" si="18"/>
        <v>0</v>
      </c>
      <c r="BC54">
        <f t="shared" si="18"/>
        <v>0</v>
      </c>
      <c r="BD54">
        <f t="shared" si="18"/>
        <v>0</v>
      </c>
      <c r="BE54">
        <f t="shared" si="18"/>
        <v>0</v>
      </c>
      <c r="BF54">
        <f t="shared" si="18"/>
        <v>0</v>
      </c>
      <c r="BG54">
        <f t="shared" si="18"/>
        <v>0</v>
      </c>
      <c r="BH54">
        <f t="shared" si="18"/>
        <v>0</v>
      </c>
      <c r="BI54">
        <f t="shared" si="18"/>
        <v>0</v>
      </c>
      <c r="BJ54">
        <f t="shared" si="18"/>
        <v>0</v>
      </c>
      <c r="BK54">
        <f t="shared" si="18"/>
        <v>0</v>
      </c>
      <c r="BL54">
        <f t="shared" si="18"/>
        <v>0</v>
      </c>
      <c r="BM54">
        <f t="shared" si="18"/>
        <v>0</v>
      </c>
      <c r="BN54">
        <f t="shared" si="18"/>
        <v>0</v>
      </c>
      <c r="BO54">
        <f t="shared" si="18"/>
        <v>0</v>
      </c>
      <c r="BP54">
        <f t="shared" si="18"/>
        <v>0</v>
      </c>
      <c r="BQ54">
        <f t="shared" si="18"/>
        <v>0</v>
      </c>
      <c r="BR54">
        <f t="shared" si="18"/>
        <v>0</v>
      </c>
      <c r="BS54">
        <f t="shared" si="18"/>
        <v>0</v>
      </c>
      <c r="BT54">
        <f t="shared" si="18"/>
        <v>0</v>
      </c>
      <c r="BU54">
        <f t="shared" si="18"/>
        <v>0</v>
      </c>
      <c r="BV54">
        <f t="shared" si="18"/>
        <v>0</v>
      </c>
      <c r="BW54">
        <f t="shared" si="18"/>
        <v>0</v>
      </c>
      <c r="BX54">
        <f t="shared" si="18"/>
        <v>0</v>
      </c>
      <c r="BY54">
        <f t="shared" si="18"/>
        <v>0</v>
      </c>
    </row>
    <row r="55" spans="1:77" x14ac:dyDescent="0.25">
      <c r="A55" s="2" t="s">
        <v>100</v>
      </c>
      <c r="B55">
        <f t="shared" si="9"/>
        <v>8.32</v>
      </c>
      <c r="C55">
        <f t="shared" si="9"/>
        <v>9.09</v>
      </c>
      <c r="D55">
        <f t="shared" si="9"/>
        <v>8.6999999999999993</v>
      </c>
      <c r="E55">
        <f t="shared" si="9"/>
        <v>9.4</v>
      </c>
      <c r="F55">
        <f t="shared" si="9"/>
        <v>9.25</v>
      </c>
      <c r="G55">
        <f t="shared" si="9"/>
        <v>9.1300000000000008</v>
      </c>
      <c r="H55">
        <f t="shared" si="9"/>
        <v>8.43</v>
      </c>
      <c r="I55">
        <f t="shared" si="9"/>
        <v>9.02</v>
      </c>
      <c r="J55">
        <f t="shared" si="9"/>
        <v>9.02</v>
      </c>
      <c r="K55">
        <f t="shared" si="9"/>
        <v>8.83</v>
      </c>
      <c r="L55">
        <f t="shared" si="9"/>
        <v>8.67</v>
      </c>
      <c r="M55">
        <f t="shared" si="7"/>
        <v>8.02</v>
      </c>
      <c r="N55">
        <f t="shared" si="7"/>
        <v>8.98</v>
      </c>
      <c r="O55">
        <f t="shared" si="7"/>
        <v>9.08</v>
      </c>
      <c r="P55">
        <f t="shared" si="7"/>
        <v>8.8000000000000007</v>
      </c>
      <c r="Q55">
        <f t="shared" si="7"/>
        <v>9.16</v>
      </c>
      <c r="R55">
        <f t="shared" si="7"/>
        <v>8.99</v>
      </c>
      <c r="S55">
        <f t="shared" si="7"/>
        <v>8.56</v>
      </c>
      <c r="T55">
        <f t="shared" si="7"/>
        <v>8.94</v>
      </c>
      <c r="U55">
        <f t="shared" si="7"/>
        <v>8.56</v>
      </c>
      <c r="V55">
        <f t="shared" si="7"/>
        <v>8.68</v>
      </c>
      <c r="W55">
        <f t="shared" si="7"/>
        <v>8.93</v>
      </c>
      <c r="X55">
        <f t="shared" si="7"/>
        <v>8.8800000000000008</v>
      </c>
      <c r="Y55">
        <f t="shared" si="7"/>
        <v>9</v>
      </c>
      <c r="Z55">
        <f t="shared" si="7"/>
        <v>9.08</v>
      </c>
      <c r="AA55">
        <f t="shared" ref="AA55:BY55" si="19">ROUNDDOWN((AA15-ROUNDUP(AA15*0.1,2)-ROUNDUP(AA15*0.05,2))*0.8,2)</f>
        <v>9.06</v>
      </c>
      <c r="AB55">
        <f t="shared" si="19"/>
        <v>0</v>
      </c>
      <c r="AC55">
        <f t="shared" si="19"/>
        <v>0</v>
      </c>
      <c r="AD55">
        <f t="shared" si="19"/>
        <v>0</v>
      </c>
      <c r="AE55">
        <f t="shared" si="19"/>
        <v>0</v>
      </c>
      <c r="AF55">
        <f t="shared" si="19"/>
        <v>0</v>
      </c>
      <c r="AG55">
        <f t="shared" si="19"/>
        <v>0</v>
      </c>
      <c r="AH55">
        <f t="shared" si="19"/>
        <v>0</v>
      </c>
      <c r="AI55">
        <f t="shared" si="19"/>
        <v>0</v>
      </c>
      <c r="AJ55">
        <f t="shared" si="19"/>
        <v>0</v>
      </c>
      <c r="AK55">
        <f t="shared" si="19"/>
        <v>0</v>
      </c>
      <c r="AL55">
        <f t="shared" si="19"/>
        <v>0</v>
      </c>
      <c r="AM55">
        <f t="shared" si="19"/>
        <v>0</v>
      </c>
      <c r="AN55">
        <f t="shared" si="19"/>
        <v>0</v>
      </c>
      <c r="AO55">
        <f t="shared" si="19"/>
        <v>0</v>
      </c>
      <c r="AP55">
        <f t="shared" si="19"/>
        <v>0</v>
      </c>
      <c r="AQ55">
        <f t="shared" si="19"/>
        <v>0</v>
      </c>
      <c r="AR55">
        <f t="shared" si="19"/>
        <v>0</v>
      </c>
      <c r="AS55">
        <f t="shared" si="19"/>
        <v>0</v>
      </c>
      <c r="AT55">
        <f t="shared" si="19"/>
        <v>0</v>
      </c>
      <c r="AU55">
        <f t="shared" si="19"/>
        <v>0</v>
      </c>
      <c r="AV55">
        <f t="shared" si="19"/>
        <v>0</v>
      </c>
      <c r="AW55">
        <f t="shared" si="19"/>
        <v>0</v>
      </c>
      <c r="AX55">
        <f t="shared" si="19"/>
        <v>0</v>
      </c>
      <c r="AY55">
        <f t="shared" si="19"/>
        <v>0</v>
      </c>
      <c r="AZ55">
        <f t="shared" si="19"/>
        <v>0</v>
      </c>
      <c r="BA55">
        <f t="shared" si="19"/>
        <v>0</v>
      </c>
      <c r="BB55">
        <f t="shared" si="19"/>
        <v>0</v>
      </c>
      <c r="BC55">
        <f t="shared" si="19"/>
        <v>0</v>
      </c>
      <c r="BD55">
        <f t="shared" si="19"/>
        <v>0</v>
      </c>
      <c r="BE55">
        <f t="shared" si="19"/>
        <v>0</v>
      </c>
      <c r="BF55">
        <f t="shared" si="19"/>
        <v>0</v>
      </c>
      <c r="BG55">
        <f t="shared" si="19"/>
        <v>0</v>
      </c>
      <c r="BH55">
        <f t="shared" si="19"/>
        <v>0</v>
      </c>
      <c r="BI55">
        <f t="shared" si="19"/>
        <v>0</v>
      </c>
      <c r="BJ55">
        <f t="shared" si="19"/>
        <v>0</v>
      </c>
      <c r="BK55">
        <f t="shared" si="19"/>
        <v>0</v>
      </c>
      <c r="BL55">
        <f t="shared" si="19"/>
        <v>0</v>
      </c>
      <c r="BM55">
        <f t="shared" si="19"/>
        <v>0</v>
      </c>
      <c r="BN55">
        <f t="shared" si="19"/>
        <v>0</v>
      </c>
      <c r="BO55">
        <f t="shared" si="19"/>
        <v>0</v>
      </c>
      <c r="BP55">
        <f t="shared" si="19"/>
        <v>0</v>
      </c>
      <c r="BQ55">
        <f t="shared" si="19"/>
        <v>0</v>
      </c>
      <c r="BR55">
        <f t="shared" si="19"/>
        <v>0</v>
      </c>
      <c r="BS55">
        <f t="shared" si="19"/>
        <v>0</v>
      </c>
      <c r="BT55">
        <f t="shared" si="19"/>
        <v>0</v>
      </c>
      <c r="BU55">
        <f t="shared" si="19"/>
        <v>0</v>
      </c>
      <c r="BV55">
        <f t="shared" si="19"/>
        <v>0</v>
      </c>
      <c r="BW55">
        <f t="shared" si="19"/>
        <v>0</v>
      </c>
      <c r="BX55">
        <f t="shared" si="19"/>
        <v>0</v>
      </c>
      <c r="BY55">
        <f t="shared" si="19"/>
        <v>0</v>
      </c>
    </row>
    <row r="56" spans="1:77" x14ac:dyDescent="0.25">
      <c r="A56" s="2" t="s">
        <v>101</v>
      </c>
      <c r="B56">
        <f t="shared" si="9"/>
        <v>1.74</v>
      </c>
      <c r="C56">
        <f t="shared" si="9"/>
        <v>1.69</v>
      </c>
      <c r="D56">
        <f t="shared" si="9"/>
        <v>1.81</v>
      </c>
      <c r="E56">
        <f t="shared" si="9"/>
        <v>1.64</v>
      </c>
      <c r="F56">
        <f t="shared" si="9"/>
        <v>1.76</v>
      </c>
      <c r="G56">
        <f t="shared" si="9"/>
        <v>1.76</v>
      </c>
      <c r="H56">
        <f t="shared" si="9"/>
        <v>1.8</v>
      </c>
      <c r="I56">
        <f t="shared" si="9"/>
        <v>1.8</v>
      </c>
      <c r="J56">
        <f t="shared" si="9"/>
        <v>1.75</v>
      </c>
      <c r="K56">
        <f t="shared" si="9"/>
        <v>1.89</v>
      </c>
      <c r="L56">
        <f t="shared" si="9"/>
        <v>1.88</v>
      </c>
      <c r="M56">
        <f t="shared" si="7"/>
        <v>1.9</v>
      </c>
      <c r="N56">
        <f t="shared" si="7"/>
        <v>1.98</v>
      </c>
      <c r="O56">
        <f t="shared" si="7"/>
        <v>1.63</v>
      </c>
      <c r="P56">
        <f t="shared" si="7"/>
        <v>1.79</v>
      </c>
      <c r="Q56">
        <f t="shared" si="7"/>
        <v>1.83</v>
      </c>
      <c r="R56">
        <f t="shared" si="7"/>
        <v>1.71</v>
      </c>
      <c r="S56">
        <f t="shared" si="7"/>
        <v>1.64</v>
      </c>
      <c r="T56">
        <f t="shared" si="7"/>
        <v>1.71</v>
      </c>
      <c r="U56">
        <f t="shared" si="7"/>
        <v>1.62</v>
      </c>
      <c r="V56">
        <f t="shared" si="7"/>
        <v>1.82</v>
      </c>
      <c r="W56">
        <f t="shared" si="7"/>
        <v>1.64</v>
      </c>
      <c r="X56">
        <f t="shared" si="7"/>
        <v>1.56</v>
      </c>
      <c r="Y56">
        <f t="shared" si="7"/>
        <v>1.56</v>
      </c>
      <c r="Z56">
        <f t="shared" si="7"/>
        <v>1.61</v>
      </c>
      <c r="AA56">
        <f t="shared" ref="AA56:BY56" si="20">ROUNDDOWN((AA16-ROUNDUP(AA16*0.1,2)-ROUNDUP(AA16*0.05,2))*0.8,2)</f>
        <v>1.69</v>
      </c>
      <c r="AB56">
        <f t="shared" si="20"/>
        <v>0</v>
      </c>
      <c r="AC56">
        <f t="shared" si="20"/>
        <v>0</v>
      </c>
      <c r="AD56">
        <f t="shared" si="20"/>
        <v>0</v>
      </c>
      <c r="AE56">
        <f t="shared" si="20"/>
        <v>0</v>
      </c>
      <c r="AF56">
        <f t="shared" si="20"/>
        <v>0</v>
      </c>
      <c r="AG56">
        <f t="shared" si="20"/>
        <v>0</v>
      </c>
      <c r="AH56">
        <f t="shared" si="20"/>
        <v>0</v>
      </c>
      <c r="AI56">
        <f t="shared" si="20"/>
        <v>0</v>
      </c>
      <c r="AJ56">
        <f t="shared" si="20"/>
        <v>0</v>
      </c>
      <c r="AK56">
        <f t="shared" si="20"/>
        <v>0</v>
      </c>
      <c r="AL56">
        <f t="shared" si="20"/>
        <v>0</v>
      </c>
      <c r="AM56">
        <f t="shared" si="20"/>
        <v>0</v>
      </c>
      <c r="AN56">
        <f t="shared" si="20"/>
        <v>0</v>
      </c>
      <c r="AO56">
        <f t="shared" si="20"/>
        <v>0</v>
      </c>
      <c r="AP56">
        <f t="shared" si="20"/>
        <v>0</v>
      </c>
      <c r="AQ56">
        <f t="shared" si="20"/>
        <v>0</v>
      </c>
      <c r="AR56">
        <f t="shared" si="20"/>
        <v>0</v>
      </c>
      <c r="AS56">
        <f t="shared" si="20"/>
        <v>0</v>
      </c>
      <c r="AT56">
        <f t="shared" si="20"/>
        <v>0</v>
      </c>
      <c r="AU56">
        <f t="shared" si="20"/>
        <v>0</v>
      </c>
      <c r="AV56">
        <f t="shared" si="20"/>
        <v>0</v>
      </c>
      <c r="AW56">
        <f t="shared" si="20"/>
        <v>0</v>
      </c>
      <c r="AX56">
        <f t="shared" si="20"/>
        <v>0</v>
      </c>
      <c r="AY56">
        <f t="shared" si="20"/>
        <v>0</v>
      </c>
      <c r="AZ56">
        <f t="shared" si="20"/>
        <v>0</v>
      </c>
      <c r="BA56">
        <f t="shared" si="20"/>
        <v>0</v>
      </c>
      <c r="BB56">
        <f t="shared" si="20"/>
        <v>0</v>
      </c>
      <c r="BC56">
        <f t="shared" si="20"/>
        <v>0</v>
      </c>
      <c r="BD56">
        <f t="shared" si="20"/>
        <v>0</v>
      </c>
      <c r="BE56">
        <f t="shared" si="20"/>
        <v>0</v>
      </c>
      <c r="BF56">
        <f t="shared" si="20"/>
        <v>0</v>
      </c>
      <c r="BG56">
        <f t="shared" si="20"/>
        <v>0</v>
      </c>
      <c r="BH56">
        <f t="shared" si="20"/>
        <v>0</v>
      </c>
      <c r="BI56">
        <f t="shared" si="20"/>
        <v>0</v>
      </c>
      <c r="BJ56">
        <f t="shared" si="20"/>
        <v>0</v>
      </c>
      <c r="BK56">
        <f t="shared" si="20"/>
        <v>0</v>
      </c>
      <c r="BL56">
        <f t="shared" si="20"/>
        <v>0</v>
      </c>
      <c r="BM56">
        <f t="shared" si="20"/>
        <v>0</v>
      </c>
      <c r="BN56">
        <f t="shared" si="20"/>
        <v>0</v>
      </c>
      <c r="BO56">
        <f t="shared" si="20"/>
        <v>0</v>
      </c>
      <c r="BP56">
        <f t="shared" si="20"/>
        <v>0</v>
      </c>
      <c r="BQ56">
        <f t="shared" si="20"/>
        <v>0</v>
      </c>
      <c r="BR56">
        <f t="shared" si="20"/>
        <v>0</v>
      </c>
      <c r="BS56">
        <f t="shared" si="20"/>
        <v>0</v>
      </c>
      <c r="BT56">
        <f t="shared" si="20"/>
        <v>0</v>
      </c>
      <c r="BU56">
        <f t="shared" si="20"/>
        <v>0</v>
      </c>
      <c r="BV56">
        <f t="shared" si="20"/>
        <v>0</v>
      </c>
      <c r="BW56">
        <f t="shared" si="20"/>
        <v>0</v>
      </c>
      <c r="BX56">
        <f t="shared" si="20"/>
        <v>0</v>
      </c>
      <c r="BY56">
        <f t="shared" si="20"/>
        <v>0</v>
      </c>
    </row>
    <row r="57" spans="1:77" x14ac:dyDescent="0.25">
      <c r="A57" s="2" t="s">
        <v>102</v>
      </c>
      <c r="B57">
        <f t="shared" si="9"/>
        <v>3.32</v>
      </c>
      <c r="C57">
        <f t="shared" si="9"/>
        <v>3.2</v>
      </c>
      <c r="D57">
        <f t="shared" si="9"/>
        <v>3.37</v>
      </c>
      <c r="E57">
        <f t="shared" si="9"/>
        <v>3.17</v>
      </c>
      <c r="F57">
        <f t="shared" si="9"/>
        <v>3.17</v>
      </c>
      <c r="G57">
        <f t="shared" si="9"/>
        <v>3.27</v>
      </c>
      <c r="H57">
        <f t="shared" si="9"/>
        <v>3.24</v>
      </c>
      <c r="I57">
        <f t="shared" si="9"/>
        <v>3.33</v>
      </c>
      <c r="J57">
        <f t="shared" si="9"/>
        <v>3.08</v>
      </c>
      <c r="K57">
        <f t="shared" si="9"/>
        <v>3.04</v>
      </c>
      <c r="L57">
        <f t="shared" si="9"/>
        <v>3.32</v>
      </c>
      <c r="M57">
        <f t="shared" si="7"/>
        <v>3.23</v>
      </c>
      <c r="N57">
        <f t="shared" si="7"/>
        <v>3.33</v>
      </c>
      <c r="O57">
        <f t="shared" si="7"/>
        <v>3.16</v>
      </c>
      <c r="P57">
        <f t="shared" si="7"/>
        <v>3.2</v>
      </c>
      <c r="Q57">
        <f t="shared" si="7"/>
        <v>3.23</v>
      </c>
      <c r="R57">
        <f t="shared" si="7"/>
        <v>3.18</v>
      </c>
      <c r="S57">
        <f t="shared" si="7"/>
        <v>2.84</v>
      </c>
      <c r="T57">
        <f t="shared" si="7"/>
        <v>3.26</v>
      </c>
      <c r="U57">
        <f t="shared" si="7"/>
        <v>3.05</v>
      </c>
      <c r="V57">
        <f t="shared" si="7"/>
        <v>2.92</v>
      </c>
      <c r="W57">
        <f t="shared" si="7"/>
        <v>3.19</v>
      </c>
      <c r="X57">
        <f t="shared" si="7"/>
        <v>3.16</v>
      </c>
      <c r="Y57">
        <f t="shared" si="7"/>
        <v>3.05</v>
      </c>
      <c r="Z57">
        <f t="shared" si="7"/>
        <v>3.12</v>
      </c>
      <c r="AA57">
        <f t="shared" ref="AA57:BY57" si="21">ROUNDDOWN((AA17-ROUNDUP(AA17*0.1,2)-ROUNDUP(AA17*0.05,2))*0.8,2)</f>
        <v>3.09</v>
      </c>
      <c r="AB57">
        <f t="shared" si="21"/>
        <v>0</v>
      </c>
      <c r="AC57">
        <f t="shared" si="21"/>
        <v>0</v>
      </c>
      <c r="AD57">
        <f t="shared" si="21"/>
        <v>0</v>
      </c>
      <c r="AE57">
        <f t="shared" si="21"/>
        <v>0</v>
      </c>
      <c r="AF57">
        <f t="shared" si="21"/>
        <v>0</v>
      </c>
      <c r="AG57">
        <f t="shared" si="21"/>
        <v>0</v>
      </c>
      <c r="AH57">
        <f t="shared" si="21"/>
        <v>0</v>
      </c>
      <c r="AI57">
        <f t="shared" si="21"/>
        <v>0</v>
      </c>
      <c r="AJ57">
        <f t="shared" si="21"/>
        <v>0</v>
      </c>
      <c r="AK57">
        <f t="shared" si="21"/>
        <v>0</v>
      </c>
      <c r="AL57">
        <f t="shared" si="21"/>
        <v>0</v>
      </c>
      <c r="AM57">
        <f t="shared" si="21"/>
        <v>0</v>
      </c>
      <c r="AN57">
        <f t="shared" si="21"/>
        <v>0</v>
      </c>
      <c r="AO57">
        <f t="shared" si="21"/>
        <v>0</v>
      </c>
      <c r="AP57">
        <f t="shared" si="21"/>
        <v>0</v>
      </c>
      <c r="AQ57">
        <f t="shared" si="21"/>
        <v>0</v>
      </c>
      <c r="AR57">
        <f t="shared" si="21"/>
        <v>0</v>
      </c>
      <c r="AS57">
        <f t="shared" si="21"/>
        <v>0</v>
      </c>
      <c r="AT57">
        <f t="shared" si="21"/>
        <v>0</v>
      </c>
      <c r="AU57">
        <f t="shared" si="21"/>
        <v>0</v>
      </c>
      <c r="AV57">
        <f t="shared" si="21"/>
        <v>0</v>
      </c>
      <c r="AW57">
        <f t="shared" si="21"/>
        <v>0</v>
      </c>
      <c r="AX57">
        <f t="shared" si="21"/>
        <v>0</v>
      </c>
      <c r="AY57">
        <f t="shared" si="21"/>
        <v>0</v>
      </c>
      <c r="AZ57">
        <f t="shared" si="21"/>
        <v>0</v>
      </c>
      <c r="BA57">
        <f t="shared" si="21"/>
        <v>0</v>
      </c>
      <c r="BB57">
        <f t="shared" si="21"/>
        <v>0</v>
      </c>
      <c r="BC57">
        <f t="shared" si="21"/>
        <v>0</v>
      </c>
      <c r="BD57">
        <f t="shared" si="21"/>
        <v>0</v>
      </c>
      <c r="BE57">
        <f t="shared" si="21"/>
        <v>0</v>
      </c>
      <c r="BF57">
        <f t="shared" si="21"/>
        <v>0</v>
      </c>
      <c r="BG57">
        <f t="shared" si="21"/>
        <v>0</v>
      </c>
      <c r="BH57">
        <f t="shared" si="21"/>
        <v>0</v>
      </c>
      <c r="BI57">
        <f t="shared" si="21"/>
        <v>0</v>
      </c>
      <c r="BJ57">
        <f t="shared" si="21"/>
        <v>0</v>
      </c>
      <c r="BK57">
        <f t="shared" si="21"/>
        <v>0</v>
      </c>
      <c r="BL57">
        <f t="shared" si="21"/>
        <v>0</v>
      </c>
      <c r="BM57">
        <f t="shared" si="21"/>
        <v>0</v>
      </c>
      <c r="BN57">
        <f t="shared" si="21"/>
        <v>0</v>
      </c>
      <c r="BO57">
        <f t="shared" si="21"/>
        <v>0</v>
      </c>
      <c r="BP57">
        <f t="shared" si="21"/>
        <v>0</v>
      </c>
      <c r="BQ57">
        <f t="shared" si="21"/>
        <v>0</v>
      </c>
      <c r="BR57">
        <f t="shared" si="21"/>
        <v>0</v>
      </c>
      <c r="BS57">
        <f t="shared" si="21"/>
        <v>0</v>
      </c>
      <c r="BT57">
        <f t="shared" si="21"/>
        <v>0</v>
      </c>
      <c r="BU57">
        <f t="shared" si="21"/>
        <v>0</v>
      </c>
      <c r="BV57">
        <f t="shared" si="21"/>
        <v>0</v>
      </c>
      <c r="BW57">
        <f t="shared" si="21"/>
        <v>0</v>
      </c>
      <c r="BX57">
        <f t="shared" si="21"/>
        <v>0</v>
      </c>
      <c r="BY57">
        <f t="shared" si="21"/>
        <v>0</v>
      </c>
    </row>
    <row r="58" spans="1:77" x14ac:dyDescent="0.25">
      <c r="A58" s="2" t="s">
        <v>103</v>
      </c>
      <c r="B58">
        <f t="shared" si="9"/>
        <v>1.63</v>
      </c>
      <c r="C58">
        <f t="shared" si="9"/>
        <v>1.59</v>
      </c>
      <c r="D58">
        <f t="shared" si="9"/>
        <v>1.56</v>
      </c>
      <c r="E58">
        <f t="shared" si="9"/>
        <v>1.64</v>
      </c>
      <c r="F58">
        <f t="shared" si="9"/>
        <v>1.63</v>
      </c>
      <c r="G58">
        <f t="shared" si="9"/>
        <v>1.57</v>
      </c>
      <c r="H58">
        <f t="shared" si="9"/>
        <v>1.6</v>
      </c>
      <c r="I58">
        <f t="shared" si="9"/>
        <v>1.62</v>
      </c>
      <c r="J58">
        <f t="shared" si="9"/>
        <v>1.52</v>
      </c>
      <c r="K58">
        <f t="shared" si="9"/>
        <v>1.56</v>
      </c>
      <c r="L58">
        <f t="shared" si="9"/>
        <v>1.59</v>
      </c>
      <c r="M58">
        <f t="shared" si="7"/>
        <v>1.61</v>
      </c>
      <c r="N58">
        <f t="shared" si="7"/>
        <v>1.6</v>
      </c>
      <c r="O58">
        <f t="shared" si="7"/>
        <v>1.62</v>
      </c>
      <c r="P58">
        <f t="shared" si="7"/>
        <v>1.6</v>
      </c>
      <c r="Q58">
        <f t="shared" si="7"/>
        <v>1.68</v>
      </c>
      <c r="R58">
        <f t="shared" si="7"/>
        <v>1.69</v>
      </c>
      <c r="S58">
        <f t="shared" si="7"/>
        <v>1.62</v>
      </c>
      <c r="T58">
        <f t="shared" si="7"/>
        <v>1.58</v>
      </c>
      <c r="U58">
        <f t="shared" si="7"/>
        <v>1.58</v>
      </c>
      <c r="V58">
        <f t="shared" si="7"/>
        <v>1.61</v>
      </c>
      <c r="W58">
        <f t="shared" si="7"/>
        <v>1.52</v>
      </c>
      <c r="X58">
        <f t="shared" si="7"/>
        <v>1.52</v>
      </c>
      <c r="Y58">
        <f t="shared" si="7"/>
        <v>1.63</v>
      </c>
      <c r="Z58">
        <f t="shared" si="7"/>
        <v>1.65</v>
      </c>
      <c r="AA58">
        <f t="shared" ref="AA58:BY58" si="22">ROUNDDOWN((AA18-ROUNDUP(AA18*0.1,2)-ROUNDUP(AA18*0.05,2))*0.8,2)</f>
        <v>1.42</v>
      </c>
      <c r="AB58">
        <f t="shared" si="22"/>
        <v>0</v>
      </c>
      <c r="AC58">
        <f t="shared" si="22"/>
        <v>0</v>
      </c>
      <c r="AD58">
        <f t="shared" si="22"/>
        <v>0</v>
      </c>
      <c r="AE58">
        <f t="shared" si="22"/>
        <v>0</v>
      </c>
      <c r="AF58">
        <f t="shared" si="22"/>
        <v>0</v>
      </c>
      <c r="AG58">
        <f t="shared" si="22"/>
        <v>0</v>
      </c>
      <c r="AH58">
        <f t="shared" si="22"/>
        <v>0</v>
      </c>
      <c r="AI58">
        <f t="shared" si="22"/>
        <v>0</v>
      </c>
      <c r="AJ58">
        <f t="shared" si="22"/>
        <v>0</v>
      </c>
      <c r="AK58">
        <f t="shared" si="22"/>
        <v>0</v>
      </c>
      <c r="AL58">
        <f t="shared" si="22"/>
        <v>0</v>
      </c>
      <c r="AM58">
        <f t="shared" si="22"/>
        <v>0</v>
      </c>
      <c r="AN58">
        <f t="shared" si="22"/>
        <v>0</v>
      </c>
      <c r="AO58">
        <f t="shared" si="22"/>
        <v>0</v>
      </c>
      <c r="AP58">
        <f t="shared" si="22"/>
        <v>0</v>
      </c>
      <c r="AQ58">
        <f t="shared" si="22"/>
        <v>0</v>
      </c>
      <c r="AR58">
        <f t="shared" si="22"/>
        <v>0</v>
      </c>
      <c r="AS58">
        <f t="shared" si="22"/>
        <v>0</v>
      </c>
      <c r="AT58">
        <f t="shared" si="22"/>
        <v>0</v>
      </c>
      <c r="AU58">
        <f t="shared" si="22"/>
        <v>0</v>
      </c>
      <c r="AV58">
        <f t="shared" si="22"/>
        <v>0</v>
      </c>
      <c r="AW58">
        <f t="shared" si="22"/>
        <v>0</v>
      </c>
      <c r="AX58">
        <f t="shared" si="22"/>
        <v>0</v>
      </c>
      <c r="AY58">
        <f t="shared" si="22"/>
        <v>0</v>
      </c>
      <c r="AZ58">
        <f t="shared" si="22"/>
        <v>0</v>
      </c>
      <c r="BA58">
        <f t="shared" si="22"/>
        <v>0</v>
      </c>
      <c r="BB58">
        <f t="shared" si="22"/>
        <v>0</v>
      </c>
      <c r="BC58">
        <f t="shared" si="22"/>
        <v>0</v>
      </c>
      <c r="BD58">
        <f t="shared" si="22"/>
        <v>0</v>
      </c>
      <c r="BE58">
        <f t="shared" si="22"/>
        <v>0</v>
      </c>
      <c r="BF58">
        <f t="shared" si="22"/>
        <v>0</v>
      </c>
      <c r="BG58">
        <f t="shared" si="22"/>
        <v>0</v>
      </c>
      <c r="BH58">
        <f t="shared" si="22"/>
        <v>0</v>
      </c>
      <c r="BI58">
        <f t="shared" si="22"/>
        <v>0</v>
      </c>
      <c r="BJ58">
        <f t="shared" si="22"/>
        <v>0</v>
      </c>
      <c r="BK58">
        <f t="shared" si="22"/>
        <v>0</v>
      </c>
      <c r="BL58">
        <f t="shared" si="22"/>
        <v>0</v>
      </c>
      <c r="BM58">
        <f t="shared" si="22"/>
        <v>0</v>
      </c>
      <c r="BN58">
        <f t="shared" si="22"/>
        <v>0</v>
      </c>
      <c r="BO58">
        <f t="shared" si="22"/>
        <v>0</v>
      </c>
      <c r="BP58">
        <f t="shared" si="22"/>
        <v>0</v>
      </c>
      <c r="BQ58">
        <f t="shared" si="22"/>
        <v>0</v>
      </c>
      <c r="BR58">
        <f t="shared" si="22"/>
        <v>0</v>
      </c>
      <c r="BS58">
        <f t="shared" si="22"/>
        <v>0</v>
      </c>
      <c r="BT58">
        <f t="shared" si="22"/>
        <v>0</v>
      </c>
      <c r="BU58">
        <f t="shared" si="22"/>
        <v>0</v>
      </c>
      <c r="BV58">
        <f t="shared" si="22"/>
        <v>0</v>
      </c>
      <c r="BW58">
        <f t="shared" si="22"/>
        <v>0</v>
      </c>
      <c r="BX58">
        <f t="shared" si="22"/>
        <v>0</v>
      </c>
      <c r="BY58">
        <f t="shared" si="22"/>
        <v>0</v>
      </c>
    </row>
    <row r="59" spans="1:77" x14ac:dyDescent="0.25">
      <c r="A59" s="2" t="s">
        <v>104</v>
      </c>
      <c r="B59">
        <f t="shared" si="9"/>
        <v>0.87</v>
      </c>
      <c r="C59">
        <f t="shared" si="9"/>
        <v>0.8</v>
      </c>
      <c r="D59">
        <f t="shared" si="9"/>
        <v>0.74</v>
      </c>
      <c r="E59">
        <f t="shared" si="9"/>
        <v>0.74</v>
      </c>
      <c r="F59">
        <f t="shared" si="9"/>
        <v>0.72</v>
      </c>
      <c r="G59">
        <f t="shared" si="9"/>
        <v>0.74</v>
      </c>
      <c r="H59">
        <f t="shared" si="9"/>
        <v>0.72</v>
      </c>
      <c r="I59">
        <f t="shared" si="9"/>
        <v>0.7</v>
      </c>
      <c r="J59">
        <f t="shared" si="9"/>
        <v>0.74</v>
      </c>
      <c r="K59">
        <f t="shared" si="9"/>
        <v>0.75</v>
      </c>
      <c r="L59">
        <f t="shared" si="9"/>
        <v>0.8</v>
      </c>
      <c r="M59">
        <f t="shared" si="7"/>
        <v>0.86</v>
      </c>
      <c r="N59">
        <f t="shared" si="7"/>
        <v>0.84</v>
      </c>
      <c r="O59">
        <f t="shared" si="7"/>
        <v>0.82</v>
      </c>
      <c r="P59">
        <f t="shared" si="7"/>
        <v>0.78</v>
      </c>
      <c r="Q59">
        <f t="shared" si="7"/>
        <v>0.79</v>
      </c>
      <c r="R59">
        <f t="shared" si="7"/>
        <v>0.8</v>
      </c>
      <c r="S59">
        <f t="shared" si="7"/>
        <v>0.74</v>
      </c>
      <c r="T59">
        <f t="shared" si="7"/>
        <v>0.65</v>
      </c>
      <c r="U59">
        <f t="shared" si="7"/>
        <v>0.69</v>
      </c>
      <c r="V59">
        <f t="shared" si="7"/>
        <v>0.69</v>
      </c>
      <c r="W59">
        <f t="shared" si="7"/>
        <v>0.72</v>
      </c>
      <c r="X59">
        <f t="shared" si="7"/>
        <v>0.68</v>
      </c>
      <c r="Y59">
        <f t="shared" si="7"/>
        <v>0.69</v>
      </c>
      <c r="Z59">
        <f t="shared" si="7"/>
        <v>0.68</v>
      </c>
      <c r="AA59">
        <f t="shared" ref="AA59:BY59" si="23">ROUNDDOWN((AA19-ROUNDUP(AA19*0.1,2)-ROUNDUP(AA19*0.05,2))*0.8,2)</f>
        <v>0.68</v>
      </c>
      <c r="AB59">
        <f t="shared" si="23"/>
        <v>0</v>
      </c>
      <c r="AC59">
        <f t="shared" si="23"/>
        <v>0</v>
      </c>
      <c r="AD59">
        <f t="shared" si="23"/>
        <v>0</v>
      </c>
      <c r="AE59">
        <f t="shared" si="23"/>
        <v>0</v>
      </c>
      <c r="AF59">
        <f t="shared" si="23"/>
        <v>0</v>
      </c>
      <c r="AG59">
        <f t="shared" si="23"/>
        <v>0</v>
      </c>
      <c r="AH59">
        <f t="shared" si="23"/>
        <v>0</v>
      </c>
      <c r="AI59">
        <f t="shared" si="23"/>
        <v>0</v>
      </c>
      <c r="AJ59">
        <f t="shared" si="23"/>
        <v>0</v>
      </c>
      <c r="AK59">
        <f t="shared" si="23"/>
        <v>0</v>
      </c>
      <c r="AL59">
        <f t="shared" si="23"/>
        <v>0</v>
      </c>
      <c r="AM59">
        <f t="shared" si="23"/>
        <v>0</v>
      </c>
      <c r="AN59">
        <f t="shared" si="23"/>
        <v>0</v>
      </c>
      <c r="AO59">
        <f t="shared" si="23"/>
        <v>0</v>
      </c>
      <c r="AP59">
        <f t="shared" si="23"/>
        <v>0</v>
      </c>
      <c r="AQ59">
        <f t="shared" si="23"/>
        <v>0</v>
      </c>
      <c r="AR59">
        <f t="shared" si="23"/>
        <v>0</v>
      </c>
      <c r="AS59">
        <f t="shared" si="23"/>
        <v>0</v>
      </c>
      <c r="AT59">
        <f t="shared" si="23"/>
        <v>0</v>
      </c>
      <c r="AU59">
        <f t="shared" si="23"/>
        <v>0</v>
      </c>
      <c r="AV59">
        <f t="shared" si="23"/>
        <v>0</v>
      </c>
      <c r="AW59">
        <f t="shared" si="23"/>
        <v>0</v>
      </c>
      <c r="AX59">
        <f t="shared" si="23"/>
        <v>0</v>
      </c>
      <c r="AY59">
        <f t="shared" si="23"/>
        <v>0</v>
      </c>
      <c r="AZ59">
        <f t="shared" si="23"/>
        <v>0</v>
      </c>
      <c r="BA59">
        <f t="shared" si="23"/>
        <v>0</v>
      </c>
      <c r="BB59">
        <f t="shared" si="23"/>
        <v>0</v>
      </c>
      <c r="BC59">
        <f t="shared" si="23"/>
        <v>0</v>
      </c>
      <c r="BD59">
        <f t="shared" si="23"/>
        <v>0</v>
      </c>
      <c r="BE59">
        <f t="shared" si="23"/>
        <v>0</v>
      </c>
      <c r="BF59">
        <f t="shared" si="23"/>
        <v>0</v>
      </c>
      <c r="BG59">
        <f t="shared" si="23"/>
        <v>0</v>
      </c>
      <c r="BH59">
        <f t="shared" si="23"/>
        <v>0</v>
      </c>
      <c r="BI59">
        <f t="shared" si="23"/>
        <v>0</v>
      </c>
      <c r="BJ59">
        <f t="shared" si="23"/>
        <v>0</v>
      </c>
      <c r="BK59">
        <f t="shared" si="23"/>
        <v>0</v>
      </c>
      <c r="BL59">
        <f t="shared" si="23"/>
        <v>0</v>
      </c>
      <c r="BM59">
        <f t="shared" si="23"/>
        <v>0</v>
      </c>
      <c r="BN59">
        <f t="shared" si="23"/>
        <v>0</v>
      </c>
      <c r="BO59">
        <f t="shared" si="23"/>
        <v>0</v>
      </c>
      <c r="BP59">
        <f t="shared" si="23"/>
        <v>0</v>
      </c>
      <c r="BQ59">
        <f t="shared" si="23"/>
        <v>0</v>
      </c>
      <c r="BR59">
        <f t="shared" si="23"/>
        <v>0</v>
      </c>
      <c r="BS59">
        <f t="shared" si="23"/>
        <v>0</v>
      </c>
      <c r="BT59">
        <f t="shared" si="23"/>
        <v>0</v>
      </c>
      <c r="BU59">
        <f t="shared" si="23"/>
        <v>0</v>
      </c>
      <c r="BV59">
        <f t="shared" si="23"/>
        <v>0</v>
      </c>
      <c r="BW59">
        <f t="shared" si="23"/>
        <v>0</v>
      </c>
      <c r="BX59">
        <f t="shared" si="23"/>
        <v>0</v>
      </c>
      <c r="BY59">
        <f t="shared" si="23"/>
        <v>0</v>
      </c>
    </row>
    <row r="60" spans="1:77" x14ac:dyDescent="0.25">
      <c r="A60" s="2" t="s">
        <v>105</v>
      </c>
      <c r="B60">
        <f t="shared" si="9"/>
        <v>11.91</v>
      </c>
      <c r="C60">
        <f t="shared" si="9"/>
        <v>11.13</v>
      </c>
      <c r="D60">
        <f t="shared" si="9"/>
        <v>11.99</v>
      </c>
      <c r="E60">
        <f t="shared" si="9"/>
        <v>11.83</v>
      </c>
      <c r="F60">
        <f t="shared" si="9"/>
        <v>11.64</v>
      </c>
      <c r="G60">
        <f t="shared" si="9"/>
        <v>11.37</v>
      </c>
      <c r="H60">
        <f t="shared" si="9"/>
        <v>10.24</v>
      </c>
      <c r="I60">
        <f t="shared" si="9"/>
        <v>10.08</v>
      </c>
      <c r="J60">
        <f t="shared" si="9"/>
        <v>11.12</v>
      </c>
      <c r="K60">
        <f t="shared" si="9"/>
        <v>12</v>
      </c>
      <c r="L60">
        <f t="shared" si="9"/>
        <v>11.17</v>
      </c>
      <c r="M60">
        <f t="shared" si="7"/>
        <v>11.6</v>
      </c>
      <c r="N60">
        <f t="shared" si="7"/>
        <v>11.05</v>
      </c>
      <c r="O60">
        <f t="shared" si="7"/>
        <v>11.18</v>
      </c>
      <c r="P60">
        <f t="shared" si="7"/>
        <v>11.18</v>
      </c>
      <c r="Q60">
        <f t="shared" si="7"/>
        <v>11.6</v>
      </c>
      <c r="R60">
        <f t="shared" si="7"/>
        <v>11.26</v>
      </c>
      <c r="S60">
        <f t="shared" si="7"/>
        <v>10.46</v>
      </c>
      <c r="T60">
        <f t="shared" si="7"/>
        <v>10.14</v>
      </c>
      <c r="U60">
        <f t="shared" si="7"/>
        <v>11.48</v>
      </c>
      <c r="V60">
        <f t="shared" si="7"/>
        <v>11.2</v>
      </c>
      <c r="W60">
        <f t="shared" si="7"/>
        <v>10.49</v>
      </c>
      <c r="X60">
        <f t="shared" si="7"/>
        <v>10.84</v>
      </c>
      <c r="Y60">
        <f t="shared" si="7"/>
        <v>10.98</v>
      </c>
      <c r="Z60">
        <f t="shared" si="7"/>
        <v>10.94</v>
      </c>
      <c r="AA60">
        <f t="shared" ref="AA60:BY60" si="24">ROUNDDOWN((AA20-ROUNDUP(AA20*0.1,2)-ROUNDUP(AA20*0.05,2))*0.8,2)</f>
        <v>10.52</v>
      </c>
      <c r="AB60">
        <f t="shared" si="24"/>
        <v>0</v>
      </c>
      <c r="AC60">
        <f t="shared" si="24"/>
        <v>0</v>
      </c>
      <c r="AD60">
        <f t="shared" si="24"/>
        <v>0</v>
      </c>
      <c r="AE60">
        <f t="shared" si="24"/>
        <v>0</v>
      </c>
      <c r="AF60">
        <f t="shared" si="24"/>
        <v>0</v>
      </c>
      <c r="AG60">
        <f t="shared" si="24"/>
        <v>0</v>
      </c>
      <c r="AH60">
        <f t="shared" si="24"/>
        <v>0</v>
      </c>
      <c r="AI60">
        <f t="shared" si="24"/>
        <v>0</v>
      </c>
      <c r="AJ60">
        <f t="shared" si="24"/>
        <v>0</v>
      </c>
      <c r="AK60">
        <f t="shared" si="24"/>
        <v>0</v>
      </c>
      <c r="AL60">
        <f t="shared" si="24"/>
        <v>0</v>
      </c>
      <c r="AM60">
        <f t="shared" si="24"/>
        <v>0</v>
      </c>
      <c r="AN60">
        <f t="shared" si="24"/>
        <v>0</v>
      </c>
      <c r="AO60">
        <f t="shared" si="24"/>
        <v>0</v>
      </c>
      <c r="AP60">
        <f t="shared" si="24"/>
        <v>0</v>
      </c>
      <c r="AQ60">
        <f t="shared" si="24"/>
        <v>0</v>
      </c>
      <c r="AR60">
        <f t="shared" si="24"/>
        <v>0</v>
      </c>
      <c r="AS60">
        <f t="shared" si="24"/>
        <v>0</v>
      </c>
      <c r="AT60">
        <f t="shared" si="24"/>
        <v>0</v>
      </c>
      <c r="AU60">
        <f t="shared" si="24"/>
        <v>0</v>
      </c>
      <c r="AV60">
        <f t="shared" si="24"/>
        <v>0</v>
      </c>
      <c r="AW60">
        <f t="shared" si="24"/>
        <v>0</v>
      </c>
      <c r="AX60">
        <f t="shared" si="24"/>
        <v>0</v>
      </c>
      <c r="AY60">
        <f t="shared" si="24"/>
        <v>0</v>
      </c>
      <c r="AZ60">
        <f t="shared" si="24"/>
        <v>0</v>
      </c>
      <c r="BA60">
        <f t="shared" si="24"/>
        <v>0</v>
      </c>
      <c r="BB60">
        <f t="shared" si="24"/>
        <v>0</v>
      </c>
      <c r="BC60">
        <f t="shared" si="24"/>
        <v>0</v>
      </c>
      <c r="BD60">
        <f t="shared" si="24"/>
        <v>0</v>
      </c>
      <c r="BE60">
        <f t="shared" si="24"/>
        <v>0</v>
      </c>
      <c r="BF60">
        <f t="shared" si="24"/>
        <v>0</v>
      </c>
      <c r="BG60">
        <f t="shared" si="24"/>
        <v>0</v>
      </c>
      <c r="BH60">
        <f t="shared" si="24"/>
        <v>0</v>
      </c>
      <c r="BI60">
        <f t="shared" si="24"/>
        <v>0</v>
      </c>
      <c r="BJ60">
        <f t="shared" si="24"/>
        <v>0</v>
      </c>
      <c r="BK60">
        <f t="shared" si="24"/>
        <v>0</v>
      </c>
      <c r="BL60">
        <f t="shared" si="24"/>
        <v>0</v>
      </c>
      <c r="BM60">
        <f t="shared" si="24"/>
        <v>0</v>
      </c>
      <c r="BN60">
        <f t="shared" si="24"/>
        <v>0</v>
      </c>
      <c r="BO60">
        <f t="shared" si="24"/>
        <v>0</v>
      </c>
      <c r="BP60">
        <f t="shared" si="24"/>
        <v>0</v>
      </c>
      <c r="BQ60">
        <f t="shared" si="24"/>
        <v>0</v>
      </c>
      <c r="BR60">
        <f t="shared" si="24"/>
        <v>0</v>
      </c>
      <c r="BS60">
        <f t="shared" si="24"/>
        <v>0</v>
      </c>
      <c r="BT60">
        <f t="shared" si="24"/>
        <v>0</v>
      </c>
      <c r="BU60">
        <f t="shared" si="24"/>
        <v>0</v>
      </c>
      <c r="BV60">
        <f t="shared" si="24"/>
        <v>0</v>
      </c>
      <c r="BW60">
        <f t="shared" si="24"/>
        <v>0</v>
      </c>
      <c r="BX60">
        <f t="shared" si="24"/>
        <v>0</v>
      </c>
      <c r="BY60">
        <f t="shared" si="24"/>
        <v>0</v>
      </c>
    </row>
    <row r="61" spans="1:77" x14ac:dyDescent="0.25">
      <c r="A61" s="2" t="s">
        <v>106</v>
      </c>
      <c r="B61">
        <f t="shared" si="9"/>
        <v>4.38</v>
      </c>
      <c r="C61">
        <f t="shared" si="9"/>
        <v>4.47</v>
      </c>
      <c r="D61">
        <f t="shared" si="9"/>
        <v>4.4000000000000004</v>
      </c>
      <c r="E61">
        <f t="shared" si="9"/>
        <v>4.28</v>
      </c>
      <c r="F61">
        <f t="shared" si="9"/>
        <v>4.22</v>
      </c>
      <c r="G61">
        <f t="shared" si="9"/>
        <v>4.22</v>
      </c>
      <c r="H61">
        <f t="shared" si="9"/>
        <v>3.91</v>
      </c>
      <c r="I61">
        <f t="shared" si="9"/>
        <v>4.22</v>
      </c>
      <c r="J61">
        <f t="shared" si="9"/>
        <v>4.07</v>
      </c>
      <c r="K61">
        <f t="shared" si="9"/>
        <v>4.07</v>
      </c>
      <c r="L61">
        <f t="shared" si="9"/>
        <v>4.08</v>
      </c>
      <c r="M61">
        <f t="shared" ref="M61:Z67" si="25">ROUNDDOWN((M21-ROUNDUP(M21*0.1,2)-ROUNDUP(M21*0.05,2))*0.8,2)</f>
        <v>3.77</v>
      </c>
      <c r="N61">
        <f t="shared" si="25"/>
        <v>3.8</v>
      </c>
      <c r="O61">
        <f t="shared" si="25"/>
        <v>3.81</v>
      </c>
      <c r="P61">
        <f t="shared" si="25"/>
        <v>3.96</v>
      </c>
      <c r="Q61">
        <f t="shared" si="25"/>
        <v>4</v>
      </c>
      <c r="R61">
        <f t="shared" si="25"/>
        <v>4</v>
      </c>
      <c r="S61">
        <f t="shared" si="25"/>
        <v>3.97</v>
      </c>
      <c r="T61">
        <f t="shared" si="25"/>
        <v>3.92</v>
      </c>
      <c r="U61">
        <f t="shared" si="25"/>
        <v>3.97</v>
      </c>
      <c r="V61">
        <f t="shared" si="25"/>
        <v>3.99</v>
      </c>
      <c r="W61">
        <f t="shared" si="25"/>
        <v>4</v>
      </c>
      <c r="X61">
        <f t="shared" si="25"/>
        <v>3.76</v>
      </c>
      <c r="Y61">
        <f t="shared" si="25"/>
        <v>3.94</v>
      </c>
      <c r="Z61">
        <f t="shared" si="25"/>
        <v>3.87</v>
      </c>
      <c r="AA61">
        <f t="shared" ref="AA61:BY61" si="26">ROUNDDOWN((AA21-ROUNDUP(AA21*0.1,2)-ROUNDUP(AA21*0.05,2))*0.8,2)</f>
        <v>4</v>
      </c>
      <c r="AB61">
        <f t="shared" si="26"/>
        <v>0</v>
      </c>
      <c r="AC61">
        <f t="shared" si="26"/>
        <v>0</v>
      </c>
      <c r="AD61">
        <f t="shared" si="26"/>
        <v>0</v>
      </c>
      <c r="AE61">
        <f t="shared" si="26"/>
        <v>0</v>
      </c>
      <c r="AF61">
        <f t="shared" si="26"/>
        <v>0</v>
      </c>
      <c r="AG61">
        <f t="shared" si="26"/>
        <v>0</v>
      </c>
      <c r="AH61">
        <f t="shared" si="26"/>
        <v>0</v>
      </c>
      <c r="AI61">
        <f t="shared" si="26"/>
        <v>0</v>
      </c>
      <c r="AJ61">
        <f t="shared" si="26"/>
        <v>0</v>
      </c>
      <c r="AK61">
        <f t="shared" si="26"/>
        <v>0</v>
      </c>
      <c r="AL61">
        <f t="shared" si="26"/>
        <v>0</v>
      </c>
      <c r="AM61">
        <f t="shared" si="26"/>
        <v>0</v>
      </c>
      <c r="AN61">
        <f t="shared" si="26"/>
        <v>0</v>
      </c>
      <c r="AO61">
        <f t="shared" si="26"/>
        <v>0</v>
      </c>
      <c r="AP61">
        <f t="shared" si="26"/>
        <v>0</v>
      </c>
      <c r="AQ61">
        <f t="shared" si="26"/>
        <v>0</v>
      </c>
      <c r="AR61">
        <f t="shared" si="26"/>
        <v>0</v>
      </c>
      <c r="AS61">
        <f t="shared" si="26"/>
        <v>0</v>
      </c>
      <c r="AT61">
        <f t="shared" si="26"/>
        <v>0</v>
      </c>
      <c r="AU61">
        <f t="shared" si="26"/>
        <v>0</v>
      </c>
      <c r="AV61">
        <f t="shared" si="26"/>
        <v>0</v>
      </c>
      <c r="AW61">
        <f t="shared" si="26"/>
        <v>0</v>
      </c>
      <c r="AX61">
        <f t="shared" si="26"/>
        <v>0</v>
      </c>
      <c r="AY61">
        <f t="shared" si="26"/>
        <v>0</v>
      </c>
      <c r="AZ61">
        <f t="shared" si="26"/>
        <v>0</v>
      </c>
      <c r="BA61">
        <f t="shared" si="26"/>
        <v>0</v>
      </c>
      <c r="BB61">
        <f t="shared" si="26"/>
        <v>0</v>
      </c>
      <c r="BC61">
        <f t="shared" si="26"/>
        <v>0</v>
      </c>
      <c r="BD61">
        <f t="shared" si="26"/>
        <v>0</v>
      </c>
      <c r="BE61">
        <f t="shared" si="26"/>
        <v>0</v>
      </c>
      <c r="BF61">
        <f t="shared" si="26"/>
        <v>0</v>
      </c>
      <c r="BG61">
        <f t="shared" si="26"/>
        <v>0</v>
      </c>
      <c r="BH61">
        <f t="shared" si="26"/>
        <v>0</v>
      </c>
      <c r="BI61">
        <f t="shared" si="26"/>
        <v>0</v>
      </c>
      <c r="BJ61">
        <f t="shared" si="26"/>
        <v>0</v>
      </c>
      <c r="BK61">
        <f t="shared" si="26"/>
        <v>0</v>
      </c>
      <c r="BL61">
        <f t="shared" si="26"/>
        <v>0</v>
      </c>
      <c r="BM61">
        <f t="shared" si="26"/>
        <v>0</v>
      </c>
      <c r="BN61">
        <f t="shared" si="26"/>
        <v>0</v>
      </c>
      <c r="BO61">
        <f t="shared" si="26"/>
        <v>0</v>
      </c>
      <c r="BP61">
        <f t="shared" si="26"/>
        <v>0</v>
      </c>
      <c r="BQ61">
        <f t="shared" si="26"/>
        <v>0</v>
      </c>
      <c r="BR61">
        <f t="shared" si="26"/>
        <v>0</v>
      </c>
      <c r="BS61">
        <f t="shared" si="26"/>
        <v>0</v>
      </c>
      <c r="BT61">
        <f t="shared" si="26"/>
        <v>0</v>
      </c>
      <c r="BU61">
        <f t="shared" si="26"/>
        <v>0</v>
      </c>
      <c r="BV61">
        <f t="shared" si="26"/>
        <v>0</v>
      </c>
      <c r="BW61">
        <f t="shared" si="26"/>
        <v>0</v>
      </c>
      <c r="BX61">
        <f t="shared" si="26"/>
        <v>0</v>
      </c>
      <c r="BY61">
        <f t="shared" si="26"/>
        <v>0</v>
      </c>
    </row>
    <row r="62" spans="1:77" x14ac:dyDescent="0.25">
      <c r="A62" s="2" t="s">
        <v>107</v>
      </c>
      <c r="B62">
        <f t="shared" si="9"/>
        <v>4.47</v>
      </c>
      <c r="C62">
        <f t="shared" si="9"/>
        <v>4.2699999999999996</v>
      </c>
      <c r="D62">
        <f t="shared" si="9"/>
        <v>3.92</v>
      </c>
      <c r="E62">
        <f t="shared" si="9"/>
        <v>4.3499999999999996</v>
      </c>
      <c r="F62">
        <f t="shared" si="9"/>
        <v>3.94</v>
      </c>
      <c r="G62">
        <f t="shared" si="9"/>
        <v>4.28</v>
      </c>
      <c r="H62">
        <f t="shared" si="9"/>
        <v>4.4000000000000004</v>
      </c>
      <c r="I62">
        <f t="shared" si="9"/>
        <v>4.1500000000000004</v>
      </c>
      <c r="J62">
        <f t="shared" si="9"/>
        <v>4.28</v>
      </c>
      <c r="K62">
        <f t="shared" si="9"/>
        <v>3.81</v>
      </c>
      <c r="L62">
        <f t="shared" si="9"/>
        <v>4.08</v>
      </c>
      <c r="M62">
        <f t="shared" si="25"/>
        <v>3.93</v>
      </c>
      <c r="N62">
        <f t="shared" si="25"/>
        <v>3.97</v>
      </c>
      <c r="O62">
        <f t="shared" si="25"/>
        <v>3.93</v>
      </c>
      <c r="P62">
        <f t="shared" si="25"/>
        <v>4.07</v>
      </c>
      <c r="Q62">
        <f t="shared" si="25"/>
        <v>4.29</v>
      </c>
      <c r="R62">
        <f t="shared" si="25"/>
        <v>4.16</v>
      </c>
      <c r="S62">
        <f t="shared" si="25"/>
        <v>4</v>
      </c>
      <c r="T62">
        <f t="shared" si="25"/>
        <v>4.28</v>
      </c>
      <c r="U62">
        <f t="shared" si="25"/>
        <v>3.76</v>
      </c>
      <c r="V62">
        <f t="shared" si="25"/>
        <v>4.0599999999999996</v>
      </c>
      <c r="W62">
        <f t="shared" si="25"/>
        <v>3.8</v>
      </c>
      <c r="X62">
        <f t="shared" si="25"/>
        <v>4.16</v>
      </c>
      <c r="Y62">
        <f t="shared" si="25"/>
        <v>3.98</v>
      </c>
      <c r="Z62">
        <f t="shared" si="25"/>
        <v>4.09</v>
      </c>
      <c r="AA62">
        <f t="shared" ref="AA62:BY62" si="27">ROUNDDOWN((AA22-ROUNDUP(AA22*0.1,2)-ROUNDUP(AA22*0.05,2))*0.8,2)</f>
        <v>4.13</v>
      </c>
      <c r="AB62">
        <f t="shared" si="27"/>
        <v>0</v>
      </c>
      <c r="AC62">
        <f t="shared" si="27"/>
        <v>0</v>
      </c>
      <c r="AD62">
        <f t="shared" si="27"/>
        <v>0</v>
      </c>
      <c r="AE62">
        <f t="shared" si="27"/>
        <v>0</v>
      </c>
      <c r="AF62">
        <f t="shared" si="27"/>
        <v>0</v>
      </c>
      <c r="AG62">
        <f t="shared" si="27"/>
        <v>0</v>
      </c>
      <c r="AH62">
        <f t="shared" si="27"/>
        <v>0</v>
      </c>
      <c r="AI62">
        <f t="shared" si="27"/>
        <v>0</v>
      </c>
      <c r="AJ62">
        <f t="shared" si="27"/>
        <v>0</v>
      </c>
      <c r="AK62">
        <f t="shared" si="27"/>
        <v>0</v>
      </c>
      <c r="AL62">
        <f t="shared" si="27"/>
        <v>0</v>
      </c>
      <c r="AM62">
        <f t="shared" si="27"/>
        <v>0</v>
      </c>
      <c r="AN62">
        <f t="shared" si="27"/>
        <v>0</v>
      </c>
      <c r="AO62">
        <f t="shared" si="27"/>
        <v>0</v>
      </c>
      <c r="AP62">
        <f t="shared" si="27"/>
        <v>0</v>
      </c>
      <c r="AQ62">
        <f t="shared" si="27"/>
        <v>0</v>
      </c>
      <c r="AR62">
        <f t="shared" si="27"/>
        <v>0</v>
      </c>
      <c r="AS62">
        <f t="shared" si="27"/>
        <v>0</v>
      </c>
      <c r="AT62">
        <f t="shared" si="27"/>
        <v>0</v>
      </c>
      <c r="AU62">
        <f t="shared" si="27"/>
        <v>0</v>
      </c>
      <c r="AV62">
        <f t="shared" si="27"/>
        <v>0</v>
      </c>
      <c r="AW62">
        <f t="shared" si="27"/>
        <v>0</v>
      </c>
      <c r="AX62">
        <f t="shared" si="27"/>
        <v>0</v>
      </c>
      <c r="AY62">
        <f t="shared" si="27"/>
        <v>0</v>
      </c>
      <c r="AZ62">
        <f t="shared" si="27"/>
        <v>0</v>
      </c>
      <c r="BA62">
        <f t="shared" si="27"/>
        <v>0</v>
      </c>
      <c r="BB62">
        <f t="shared" si="27"/>
        <v>0</v>
      </c>
      <c r="BC62">
        <f t="shared" si="27"/>
        <v>0</v>
      </c>
      <c r="BD62">
        <f t="shared" si="27"/>
        <v>0</v>
      </c>
      <c r="BE62">
        <f t="shared" si="27"/>
        <v>0</v>
      </c>
      <c r="BF62">
        <f t="shared" si="27"/>
        <v>0</v>
      </c>
      <c r="BG62">
        <f t="shared" si="27"/>
        <v>0</v>
      </c>
      <c r="BH62">
        <f t="shared" si="27"/>
        <v>0</v>
      </c>
      <c r="BI62">
        <f t="shared" si="27"/>
        <v>0</v>
      </c>
      <c r="BJ62">
        <f t="shared" si="27"/>
        <v>0</v>
      </c>
      <c r="BK62">
        <f t="shared" si="27"/>
        <v>0</v>
      </c>
      <c r="BL62">
        <f t="shared" si="27"/>
        <v>0</v>
      </c>
      <c r="BM62">
        <f t="shared" si="27"/>
        <v>0</v>
      </c>
      <c r="BN62">
        <f t="shared" si="27"/>
        <v>0</v>
      </c>
      <c r="BO62">
        <f t="shared" si="27"/>
        <v>0</v>
      </c>
      <c r="BP62">
        <f t="shared" si="27"/>
        <v>0</v>
      </c>
      <c r="BQ62">
        <f t="shared" si="27"/>
        <v>0</v>
      </c>
      <c r="BR62">
        <f t="shared" si="27"/>
        <v>0</v>
      </c>
      <c r="BS62">
        <f t="shared" si="27"/>
        <v>0</v>
      </c>
      <c r="BT62">
        <f t="shared" si="27"/>
        <v>0</v>
      </c>
      <c r="BU62">
        <f t="shared" si="27"/>
        <v>0</v>
      </c>
      <c r="BV62">
        <f t="shared" si="27"/>
        <v>0</v>
      </c>
      <c r="BW62">
        <f t="shared" si="27"/>
        <v>0</v>
      </c>
      <c r="BX62">
        <f t="shared" si="27"/>
        <v>0</v>
      </c>
      <c r="BY62">
        <f t="shared" si="27"/>
        <v>0</v>
      </c>
    </row>
    <row r="63" spans="1:77" x14ac:dyDescent="0.25">
      <c r="A63" s="2" t="s">
        <v>108</v>
      </c>
      <c r="B63">
        <f t="shared" si="9"/>
        <v>3.87</v>
      </c>
      <c r="C63">
        <f t="shared" si="9"/>
        <v>3.68</v>
      </c>
      <c r="D63">
        <f t="shared" si="9"/>
        <v>3.69</v>
      </c>
      <c r="E63">
        <f t="shared" si="9"/>
        <v>3.48</v>
      </c>
      <c r="F63">
        <f t="shared" si="9"/>
        <v>3.53</v>
      </c>
      <c r="G63">
        <f t="shared" si="9"/>
        <v>3.72</v>
      </c>
      <c r="H63">
        <f t="shared" si="9"/>
        <v>3.64</v>
      </c>
      <c r="I63">
        <f t="shared" si="9"/>
        <v>3.48</v>
      </c>
      <c r="J63">
        <f t="shared" si="9"/>
        <v>3.45</v>
      </c>
      <c r="K63">
        <f t="shared" si="9"/>
        <v>3.4</v>
      </c>
      <c r="L63">
        <f t="shared" si="9"/>
        <v>3.62</v>
      </c>
      <c r="M63">
        <f t="shared" si="25"/>
        <v>3.53</v>
      </c>
      <c r="N63">
        <f t="shared" si="25"/>
        <v>3.53</v>
      </c>
      <c r="O63">
        <f t="shared" si="25"/>
        <v>3.47</v>
      </c>
      <c r="P63">
        <f t="shared" si="25"/>
        <v>3.64</v>
      </c>
      <c r="Q63">
        <f t="shared" si="25"/>
        <v>3.64</v>
      </c>
      <c r="R63">
        <f t="shared" si="25"/>
        <v>3.56</v>
      </c>
      <c r="S63">
        <f t="shared" si="25"/>
        <v>3.55</v>
      </c>
      <c r="T63">
        <f t="shared" si="25"/>
        <v>3.51</v>
      </c>
      <c r="U63">
        <f t="shared" si="25"/>
        <v>3.4</v>
      </c>
      <c r="V63">
        <f t="shared" si="25"/>
        <v>3.62</v>
      </c>
      <c r="W63">
        <f t="shared" si="25"/>
        <v>3.37</v>
      </c>
      <c r="X63">
        <f t="shared" si="25"/>
        <v>3.64</v>
      </c>
      <c r="Y63">
        <f t="shared" si="25"/>
        <v>3.61</v>
      </c>
      <c r="Z63">
        <f t="shared" si="25"/>
        <v>3.48</v>
      </c>
      <c r="AA63">
        <f t="shared" ref="AA63:BY63" si="28">ROUNDDOWN((AA23-ROUNDUP(AA23*0.1,2)-ROUNDUP(AA23*0.05,2))*0.8,2)</f>
        <v>3.48</v>
      </c>
      <c r="AB63">
        <f t="shared" si="28"/>
        <v>0</v>
      </c>
      <c r="AC63">
        <f t="shared" si="28"/>
        <v>0</v>
      </c>
      <c r="AD63">
        <f t="shared" si="28"/>
        <v>0</v>
      </c>
      <c r="AE63">
        <f t="shared" si="28"/>
        <v>0</v>
      </c>
      <c r="AF63">
        <f t="shared" si="28"/>
        <v>0</v>
      </c>
      <c r="AG63">
        <f t="shared" si="28"/>
        <v>0</v>
      </c>
      <c r="AH63">
        <f t="shared" si="28"/>
        <v>0</v>
      </c>
      <c r="AI63">
        <f t="shared" si="28"/>
        <v>0</v>
      </c>
      <c r="AJ63">
        <f t="shared" si="28"/>
        <v>0</v>
      </c>
      <c r="AK63">
        <f t="shared" si="28"/>
        <v>0</v>
      </c>
      <c r="AL63">
        <f t="shared" si="28"/>
        <v>0</v>
      </c>
      <c r="AM63">
        <f t="shared" si="28"/>
        <v>0</v>
      </c>
      <c r="AN63">
        <f t="shared" si="28"/>
        <v>0</v>
      </c>
      <c r="AO63">
        <f t="shared" si="28"/>
        <v>0</v>
      </c>
      <c r="AP63">
        <f t="shared" si="28"/>
        <v>0</v>
      </c>
      <c r="AQ63">
        <f t="shared" si="28"/>
        <v>0</v>
      </c>
      <c r="AR63">
        <f t="shared" si="28"/>
        <v>0</v>
      </c>
      <c r="AS63">
        <f t="shared" si="28"/>
        <v>0</v>
      </c>
      <c r="AT63">
        <f t="shared" si="28"/>
        <v>0</v>
      </c>
      <c r="AU63">
        <f t="shared" si="28"/>
        <v>0</v>
      </c>
      <c r="AV63">
        <f t="shared" si="28"/>
        <v>0</v>
      </c>
      <c r="AW63">
        <f t="shared" si="28"/>
        <v>0</v>
      </c>
      <c r="AX63">
        <f t="shared" si="28"/>
        <v>0</v>
      </c>
      <c r="AY63">
        <f t="shared" si="28"/>
        <v>0</v>
      </c>
      <c r="AZ63">
        <f t="shared" si="28"/>
        <v>0</v>
      </c>
      <c r="BA63">
        <f t="shared" si="28"/>
        <v>0</v>
      </c>
      <c r="BB63">
        <f t="shared" si="28"/>
        <v>0</v>
      </c>
      <c r="BC63">
        <f t="shared" si="28"/>
        <v>0</v>
      </c>
      <c r="BD63">
        <f t="shared" si="28"/>
        <v>0</v>
      </c>
      <c r="BE63">
        <f t="shared" si="28"/>
        <v>0</v>
      </c>
      <c r="BF63">
        <f t="shared" si="28"/>
        <v>0</v>
      </c>
      <c r="BG63">
        <f t="shared" si="28"/>
        <v>0</v>
      </c>
      <c r="BH63">
        <f t="shared" si="28"/>
        <v>0</v>
      </c>
      <c r="BI63">
        <f t="shared" si="28"/>
        <v>0</v>
      </c>
      <c r="BJ63">
        <f t="shared" si="28"/>
        <v>0</v>
      </c>
      <c r="BK63">
        <f t="shared" si="28"/>
        <v>0</v>
      </c>
      <c r="BL63">
        <f t="shared" si="28"/>
        <v>0</v>
      </c>
      <c r="BM63">
        <f t="shared" si="28"/>
        <v>0</v>
      </c>
      <c r="BN63">
        <f t="shared" si="28"/>
        <v>0</v>
      </c>
      <c r="BO63">
        <f t="shared" si="28"/>
        <v>0</v>
      </c>
      <c r="BP63">
        <f t="shared" si="28"/>
        <v>0</v>
      </c>
      <c r="BQ63">
        <f t="shared" si="28"/>
        <v>0</v>
      </c>
      <c r="BR63">
        <f t="shared" si="28"/>
        <v>0</v>
      </c>
      <c r="BS63">
        <f t="shared" si="28"/>
        <v>0</v>
      </c>
      <c r="BT63">
        <f t="shared" si="28"/>
        <v>0</v>
      </c>
      <c r="BU63">
        <f t="shared" si="28"/>
        <v>0</v>
      </c>
      <c r="BV63">
        <f t="shared" si="28"/>
        <v>0</v>
      </c>
      <c r="BW63">
        <f t="shared" si="28"/>
        <v>0</v>
      </c>
      <c r="BX63">
        <f t="shared" si="28"/>
        <v>0</v>
      </c>
      <c r="BY63">
        <f t="shared" si="28"/>
        <v>0</v>
      </c>
    </row>
    <row r="64" spans="1:77" x14ac:dyDescent="0.25">
      <c r="A64" s="2" t="s">
        <v>109</v>
      </c>
      <c r="B64">
        <f t="shared" si="9"/>
        <v>19.07</v>
      </c>
      <c r="C64">
        <f t="shared" si="9"/>
        <v>20.22</v>
      </c>
      <c r="D64">
        <f t="shared" si="9"/>
        <v>18.93</v>
      </c>
      <c r="E64">
        <f t="shared" si="9"/>
        <v>21.05</v>
      </c>
      <c r="F64">
        <f t="shared" si="9"/>
        <v>20.74</v>
      </c>
      <c r="G64">
        <f t="shared" si="9"/>
        <v>20.73</v>
      </c>
      <c r="H64">
        <f t="shared" si="9"/>
        <v>21.03</v>
      </c>
      <c r="I64">
        <f t="shared" si="9"/>
        <v>18.96</v>
      </c>
      <c r="J64">
        <f t="shared" si="9"/>
        <v>20.72</v>
      </c>
      <c r="K64">
        <f t="shared" si="9"/>
        <v>19.850000000000001</v>
      </c>
      <c r="L64">
        <f t="shared" si="9"/>
        <v>20.260000000000002</v>
      </c>
      <c r="M64">
        <f t="shared" si="25"/>
        <v>20.51</v>
      </c>
      <c r="N64">
        <f t="shared" si="25"/>
        <v>20.53</v>
      </c>
      <c r="O64">
        <f t="shared" si="25"/>
        <v>20.36</v>
      </c>
      <c r="P64">
        <f t="shared" si="25"/>
        <v>18.190000000000001</v>
      </c>
      <c r="Q64">
        <f t="shared" si="25"/>
        <v>20.87</v>
      </c>
      <c r="R64">
        <f t="shared" si="25"/>
        <v>19.97</v>
      </c>
      <c r="S64">
        <f t="shared" si="25"/>
        <v>20.07</v>
      </c>
      <c r="T64">
        <f t="shared" si="25"/>
        <v>19.71</v>
      </c>
      <c r="U64">
        <f t="shared" si="25"/>
        <v>19.579999999999998</v>
      </c>
      <c r="V64">
        <f t="shared" si="25"/>
        <v>19.96</v>
      </c>
      <c r="W64">
        <f t="shared" si="25"/>
        <v>19.940000000000001</v>
      </c>
      <c r="X64">
        <f t="shared" si="25"/>
        <v>18.62</v>
      </c>
      <c r="Y64">
        <f t="shared" si="25"/>
        <v>20.07</v>
      </c>
      <c r="Z64">
        <f t="shared" si="25"/>
        <v>20.38</v>
      </c>
      <c r="AA64">
        <f t="shared" ref="AA64:BY64" si="29">ROUNDDOWN((AA24-ROUNDUP(AA24*0.1,2)-ROUNDUP(AA24*0.05,2))*0.8,2)</f>
        <v>17.79</v>
      </c>
      <c r="AB64">
        <f t="shared" si="29"/>
        <v>0</v>
      </c>
      <c r="AC64">
        <f t="shared" si="29"/>
        <v>0</v>
      </c>
      <c r="AD64">
        <f t="shared" si="29"/>
        <v>0</v>
      </c>
      <c r="AE64">
        <f t="shared" si="29"/>
        <v>0</v>
      </c>
      <c r="AF64">
        <f t="shared" si="29"/>
        <v>0</v>
      </c>
      <c r="AG64">
        <f t="shared" si="29"/>
        <v>0</v>
      </c>
      <c r="AH64">
        <f t="shared" si="29"/>
        <v>0</v>
      </c>
      <c r="AI64">
        <f t="shared" si="29"/>
        <v>0</v>
      </c>
      <c r="AJ64">
        <f t="shared" si="29"/>
        <v>0</v>
      </c>
      <c r="AK64">
        <f t="shared" si="29"/>
        <v>0</v>
      </c>
      <c r="AL64">
        <f t="shared" si="29"/>
        <v>0</v>
      </c>
      <c r="AM64">
        <f t="shared" si="29"/>
        <v>0</v>
      </c>
      <c r="AN64">
        <f t="shared" si="29"/>
        <v>0</v>
      </c>
      <c r="AO64">
        <f t="shared" si="29"/>
        <v>0</v>
      </c>
      <c r="AP64">
        <f t="shared" si="29"/>
        <v>0</v>
      </c>
      <c r="AQ64">
        <f t="shared" si="29"/>
        <v>0</v>
      </c>
      <c r="AR64">
        <f t="shared" si="29"/>
        <v>0</v>
      </c>
      <c r="AS64">
        <f t="shared" si="29"/>
        <v>0</v>
      </c>
      <c r="AT64">
        <f t="shared" si="29"/>
        <v>0</v>
      </c>
      <c r="AU64">
        <f t="shared" si="29"/>
        <v>0</v>
      </c>
      <c r="AV64">
        <f t="shared" si="29"/>
        <v>0</v>
      </c>
      <c r="AW64">
        <f t="shared" si="29"/>
        <v>0</v>
      </c>
      <c r="AX64">
        <f t="shared" si="29"/>
        <v>0</v>
      </c>
      <c r="AY64">
        <f t="shared" si="29"/>
        <v>0</v>
      </c>
      <c r="AZ64">
        <f t="shared" si="29"/>
        <v>0</v>
      </c>
      <c r="BA64">
        <f t="shared" si="29"/>
        <v>0</v>
      </c>
      <c r="BB64">
        <f t="shared" si="29"/>
        <v>0</v>
      </c>
      <c r="BC64">
        <f t="shared" si="29"/>
        <v>0</v>
      </c>
      <c r="BD64">
        <f t="shared" si="29"/>
        <v>0</v>
      </c>
      <c r="BE64">
        <f t="shared" si="29"/>
        <v>0</v>
      </c>
      <c r="BF64">
        <f t="shared" si="29"/>
        <v>0</v>
      </c>
      <c r="BG64">
        <f t="shared" si="29"/>
        <v>0</v>
      </c>
      <c r="BH64">
        <f t="shared" si="29"/>
        <v>0</v>
      </c>
      <c r="BI64">
        <f t="shared" si="29"/>
        <v>0</v>
      </c>
      <c r="BJ64">
        <f t="shared" si="29"/>
        <v>0</v>
      </c>
      <c r="BK64">
        <f t="shared" si="29"/>
        <v>0</v>
      </c>
      <c r="BL64">
        <f t="shared" si="29"/>
        <v>0</v>
      </c>
      <c r="BM64">
        <f t="shared" si="29"/>
        <v>0</v>
      </c>
      <c r="BN64">
        <f t="shared" si="29"/>
        <v>0</v>
      </c>
      <c r="BO64">
        <f t="shared" si="29"/>
        <v>0</v>
      </c>
      <c r="BP64">
        <f t="shared" si="29"/>
        <v>0</v>
      </c>
      <c r="BQ64">
        <f t="shared" si="29"/>
        <v>0</v>
      </c>
      <c r="BR64">
        <f t="shared" si="29"/>
        <v>0</v>
      </c>
      <c r="BS64">
        <f t="shared" si="29"/>
        <v>0</v>
      </c>
      <c r="BT64">
        <f t="shared" si="29"/>
        <v>0</v>
      </c>
      <c r="BU64">
        <f t="shared" si="29"/>
        <v>0</v>
      </c>
      <c r="BV64">
        <f t="shared" si="29"/>
        <v>0</v>
      </c>
      <c r="BW64">
        <f t="shared" si="29"/>
        <v>0</v>
      </c>
      <c r="BX64">
        <f t="shared" si="29"/>
        <v>0</v>
      </c>
      <c r="BY64">
        <f t="shared" si="29"/>
        <v>0</v>
      </c>
    </row>
    <row r="65" spans="1:77" x14ac:dyDescent="0.25">
      <c r="A65" s="2" t="s">
        <v>110</v>
      </c>
      <c r="B65">
        <f t="shared" si="9"/>
        <v>2.62</v>
      </c>
      <c r="C65">
        <f t="shared" si="9"/>
        <v>2.44</v>
      </c>
      <c r="D65">
        <f t="shared" si="9"/>
        <v>2.44</v>
      </c>
      <c r="E65">
        <f t="shared" si="9"/>
        <v>2.44</v>
      </c>
      <c r="F65">
        <f t="shared" si="9"/>
        <v>2.4500000000000002</v>
      </c>
      <c r="G65">
        <f t="shared" si="9"/>
        <v>2.33</v>
      </c>
      <c r="H65">
        <f t="shared" si="9"/>
        <v>2.5299999999999998</v>
      </c>
      <c r="I65">
        <f t="shared" si="9"/>
        <v>2.38</v>
      </c>
      <c r="J65">
        <f t="shared" si="9"/>
        <v>2.36</v>
      </c>
      <c r="K65">
        <f t="shared" si="9"/>
        <v>2.39</v>
      </c>
      <c r="L65">
        <f t="shared" si="9"/>
        <v>2.46</v>
      </c>
      <c r="M65">
        <f t="shared" si="25"/>
        <v>2.44</v>
      </c>
      <c r="N65">
        <f t="shared" si="25"/>
        <v>2.35</v>
      </c>
      <c r="O65">
        <f t="shared" si="25"/>
        <v>2.41</v>
      </c>
      <c r="P65">
        <f t="shared" si="25"/>
        <v>2.4700000000000002</v>
      </c>
      <c r="Q65">
        <f t="shared" si="25"/>
        <v>2.58</v>
      </c>
      <c r="R65">
        <f t="shared" si="25"/>
        <v>2.44</v>
      </c>
      <c r="S65">
        <f t="shared" si="25"/>
        <v>2.44</v>
      </c>
      <c r="T65">
        <f t="shared" si="25"/>
        <v>2.44</v>
      </c>
      <c r="U65">
        <f t="shared" si="25"/>
        <v>2.4</v>
      </c>
      <c r="V65">
        <f t="shared" si="25"/>
        <v>2.52</v>
      </c>
      <c r="W65">
        <f t="shared" si="25"/>
        <v>2.44</v>
      </c>
      <c r="X65">
        <f t="shared" si="25"/>
        <v>2.44</v>
      </c>
      <c r="Y65">
        <f t="shared" si="25"/>
        <v>2.38</v>
      </c>
      <c r="Z65">
        <f t="shared" si="25"/>
        <v>2.36</v>
      </c>
      <c r="AA65">
        <f t="shared" ref="AA65:BY65" si="30">ROUNDDOWN((AA25-ROUNDUP(AA25*0.1,2)-ROUNDUP(AA25*0.05,2))*0.8,2)</f>
        <v>2.33</v>
      </c>
      <c r="AB65">
        <f t="shared" si="30"/>
        <v>0</v>
      </c>
      <c r="AC65">
        <f t="shared" si="30"/>
        <v>0</v>
      </c>
      <c r="AD65">
        <f t="shared" si="30"/>
        <v>0</v>
      </c>
      <c r="AE65">
        <f t="shared" si="30"/>
        <v>0</v>
      </c>
      <c r="AF65">
        <f t="shared" si="30"/>
        <v>0</v>
      </c>
      <c r="AG65">
        <f t="shared" si="30"/>
        <v>0</v>
      </c>
      <c r="AH65">
        <f t="shared" si="30"/>
        <v>0</v>
      </c>
      <c r="AI65">
        <f t="shared" si="30"/>
        <v>0</v>
      </c>
      <c r="AJ65">
        <f t="shared" si="30"/>
        <v>0</v>
      </c>
      <c r="AK65">
        <f t="shared" si="30"/>
        <v>0</v>
      </c>
      <c r="AL65">
        <f t="shared" si="30"/>
        <v>0</v>
      </c>
      <c r="AM65">
        <f t="shared" si="30"/>
        <v>0</v>
      </c>
      <c r="AN65">
        <f t="shared" si="30"/>
        <v>0</v>
      </c>
      <c r="AO65">
        <f t="shared" si="30"/>
        <v>0</v>
      </c>
      <c r="AP65">
        <f t="shared" si="30"/>
        <v>0</v>
      </c>
      <c r="AQ65">
        <f t="shared" si="30"/>
        <v>0</v>
      </c>
      <c r="AR65">
        <f t="shared" si="30"/>
        <v>0</v>
      </c>
      <c r="AS65">
        <f t="shared" si="30"/>
        <v>0</v>
      </c>
      <c r="AT65">
        <f t="shared" si="30"/>
        <v>0</v>
      </c>
      <c r="AU65">
        <f t="shared" si="30"/>
        <v>0</v>
      </c>
      <c r="AV65">
        <f t="shared" si="30"/>
        <v>0</v>
      </c>
      <c r="AW65">
        <f t="shared" si="30"/>
        <v>0</v>
      </c>
      <c r="AX65">
        <f t="shared" si="30"/>
        <v>0</v>
      </c>
      <c r="AY65">
        <f t="shared" si="30"/>
        <v>0</v>
      </c>
      <c r="AZ65">
        <f t="shared" si="30"/>
        <v>0</v>
      </c>
      <c r="BA65">
        <f t="shared" si="30"/>
        <v>0</v>
      </c>
      <c r="BB65">
        <f t="shared" si="30"/>
        <v>0</v>
      </c>
      <c r="BC65">
        <f t="shared" si="30"/>
        <v>0</v>
      </c>
      <c r="BD65">
        <f t="shared" si="30"/>
        <v>0</v>
      </c>
      <c r="BE65">
        <f t="shared" si="30"/>
        <v>0</v>
      </c>
      <c r="BF65">
        <f t="shared" si="30"/>
        <v>0</v>
      </c>
      <c r="BG65">
        <f t="shared" si="30"/>
        <v>0</v>
      </c>
      <c r="BH65">
        <f t="shared" si="30"/>
        <v>0</v>
      </c>
      <c r="BI65">
        <f t="shared" si="30"/>
        <v>0</v>
      </c>
      <c r="BJ65">
        <f t="shared" si="30"/>
        <v>0</v>
      </c>
      <c r="BK65">
        <f t="shared" si="30"/>
        <v>0</v>
      </c>
      <c r="BL65">
        <f t="shared" si="30"/>
        <v>0</v>
      </c>
      <c r="BM65">
        <f t="shared" si="30"/>
        <v>0</v>
      </c>
      <c r="BN65">
        <f t="shared" si="30"/>
        <v>0</v>
      </c>
      <c r="BO65">
        <f t="shared" si="30"/>
        <v>0</v>
      </c>
      <c r="BP65">
        <f t="shared" si="30"/>
        <v>0</v>
      </c>
      <c r="BQ65">
        <f t="shared" si="30"/>
        <v>0</v>
      </c>
      <c r="BR65">
        <f t="shared" si="30"/>
        <v>0</v>
      </c>
      <c r="BS65">
        <f t="shared" si="30"/>
        <v>0</v>
      </c>
      <c r="BT65">
        <f t="shared" si="30"/>
        <v>0</v>
      </c>
      <c r="BU65">
        <f t="shared" si="30"/>
        <v>0</v>
      </c>
      <c r="BV65">
        <f t="shared" si="30"/>
        <v>0</v>
      </c>
      <c r="BW65">
        <f t="shared" si="30"/>
        <v>0</v>
      </c>
      <c r="BX65">
        <f t="shared" si="30"/>
        <v>0</v>
      </c>
      <c r="BY65">
        <f t="shared" si="30"/>
        <v>0</v>
      </c>
    </row>
    <row r="66" spans="1:77" x14ac:dyDescent="0.25">
      <c r="A66" s="2" t="s">
        <v>111</v>
      </c>
      <c r="B66">
        <f t="shared" si="9"/>
        <v>59.67</v>
      </c>
      <c r="C66">
        <f t="shared" si="9"/>
        <v>57.43</v>
      </c>
      <c r="D66">
        <f t="shared" si="9"/>
        <v>60.17</v>
      </c>
      <c r="E66">
        <f t="shared" si="9"/>
        <v>60.17</v>
      </c>
      <c r="F66">
        <f t="shared" si="9"/>
        <v>60.17</v>
      </c>
      <c r="G66">
        <f t="shared" si="9"/>
        <v>60.03</v>
      </c>
      <c r="H66">
        <f t="shared" si="9"/>
        <v>62.21</v>
      </c>
      <c r="I66">
        <f t="shared" si="9"/>
        <v>62.21</v>
      </c>
      <c r="J66">
        <f t="shared" si="9"/>
        <v>61.8</v>
      </c>
      <c r="K66">
        <f t="shared" si="9"/>
        <v>62.1</v>
      </c>
      <c r="L66">
        <f t="shared" si="9"/>
        <v>58.37</v>
      </c>
      <c r="M66">
        <f t="shared" si="25"/>
        <v>62.32</v>
      </c>
      <c r="N66">
        <f t="shared" si="25"/>
        <v>59.67</v>
      </c>
      <c r="O66">
        <f t="shared" si="25"/>
        <v>62.35</v>
      </c>
      <c r="P66">
        <f t="shared" si="25"/>
        <v>61.42</v>
      </c>
      <c r="Q66">
        <f t="shared" si="25"/>
        <v>64.48</v>
      </c>
      <c r="R66">
        <f t="shared" si="25"/>
        <v>66.72</v>
      </c>
      <c r="S66">
        <f t="shared" si="25"/>
        <v>64.790000000000006</v>
      </c>
      <c r="T66">
        <f t="shared" si="25"/>
        <v>65.08</v>
      </c>
      <c r="U66">
        <f t="shared" si="25"/>
        <v>79.86</v>
      </c>
      <c r="V66">
        <f t="shared" si="25"/>
        <v>79.86</v>
      </c>
      <c r="W66">
        <f t="shared" si="25"/>
        <v>74.5</v>
      </c>
      <c r="X66">
        <f t="shared" si="25"/>
        <v>73.23</v>
      </c>
      <c r="Y66">
        <f t="shared" si="25"/>
        <v>72.63</v>
      </c>
      <c r="Z66">
        <f t="shared" si="25"/>
        <v>70.760000000000005</v>
      </c>
      <c r="AA66">
        <f t="shared" ref="AA66:BY66" si="31">ROUNDDOWN((AA26-ROUNDUP(AA26*0.1,2)-ROUNDUP(AA26*0.05,2))*0.8,2)</f>
        <v>79.14</v>
      </c>
      <c r="AB66">
        <f t="shared" si="31"/>
        <v>0</v>
      </c>
      <c r="AC66">
        <f t="shared" si="31"/>
        <v>0</v>
      </c>
      <c r="AD66">
        <f t="shared" si="31"/>
        <v>0</v>
      </c>
      <c r="AE66">
        <f t="shared" si="31"/>
        <v>0</v>
      </c>
      <c r="AF66">
        <f t="shared" si="31"/>
        <v>0</v>
      </c>
      <c r="AG66">
        <f t="shared" si="31"/>
        <v>0</v>
      </c>
      <c r="AH66">
        <f t="shared" si="31"/>
        <v>0</v>
      </c>
      <c r="AI66">
        <f t="shared" si="31"/>
        <v>0</v>
      </c>
      <c r="AJ66">
        <f t="shared" si="31"/>
        <v>0</v>
      </c>
      <c r="AK66">
        <f t="shared" si="31"/>
        <v>0</v>
      </c>
      <c r="AL66">
        <f t="shared" si="31"/>
        <v>0</v>
      </c>
      <c r="AM66">
        <f t="shared" si="31"/>
        <v>0</v>
      </c>
      <c r="AN66">
        <f t="shared" si="31"/>
        <v>0</v>
      </c>
      <c r="AO66">
        <f t="shared" si="31"/>
        <v>0</v>
      </c>
      <c r="AP66">
        <f t="shared" si="31"/>
        <v>0</v>
      </c>
      <c r="AQ66">
        <f t="shared" si="31"/>
        <v>0</v>
      </c>
      <c r="AR66">
        <f t="shared" si="31"/>
        <v>0</v>
      </c>
      <c r="AS66">
        <f t="shared" si="31"/>
        <v>0</v>
      </c>
      <c r="AT66">
        <f t="shared" si="31"/>
        <v>0</v>
      </c>
      <c r="AU66">
        <f t="shared" si="31"/>
        <v>0</v>
      </c>
      <c r="AV66">
        <f t="shared" si="31"/>
        <v>0</v>
      </c>
      <c r="AW66">
        <f t="shared" si="31"/>
        <v>0</v>
      </c>
      <c r="AX66">
        <f t="shared" si="31"/>
        <v>0</v>
      </c>
      <c r="AY66">
        <f t="shared" si="31"/>
        <v>0</v>
      </c>
      <c r="AZ66">
        <f t="shared" si="31"/>
        <v>0</v>
      </c>
      <c r="BA66">
        <f t="shared" si="31"/>
        <v>0</v>
      </c>
      <c r="BB66">
        <f t="shared" si="31"/>
        <v>0</v>
      </c>
      <c r="BC66">
        <f t="shared" si="31"/>
        <v>0</v>
      </c>
      <c r="BD66">
        <f t="shared" si="31"/>
        <v>0</v>
      </c>
      <c r="BE66">
        <f t="shared" si="31"/>
        <v>0</v>
      </c>
      <c r="BF66">
        <f t="shared" si="31"/>
        <v>0</v>
      </c>
      <c r="BG66">
        <f t="shared" si="31"/>
        <v>0</v>
      </c>
      <c r="BH66">
        <f t="shared" si="31"/>
        <v>0</v>
      </c>
      <c r="BI66">
        <f t="shared" si="31"/>
        <v>0</v>
      </c>
      <c r="BJ66">
        <f t="shared" si="31"/>
        <v>0</v>
      </c>
      <c r="BK66">
        <f t="shared" si="31"/>
        <v>0</v>
      </c>
      <c r="BL66">
        <f t="shared" si="31"/>
        <v>0</v>
      </c>
      <c r="BM66">
        <f t="shared" si="31"/>
        <v>0</v>
      </c>
      <c r="BN66">
        <f t="shared" si="31"/>
        <v>0</v>
      </c>
      <c r="BO66">
        <f t="shared" si="31"/>
        <v>0</v>
      </c>
      <c r="BP66">
        <f t="shared" si="31"/>
        <v>0</v>
      </c>
      <c r="BQ66">
        <f t="shared" si="31"/>
        <v>0</v>
      </c>
      <c r="BR66">
        <f t="shared" si="31"/>
        <v>0</v>
      </c>
      <c r="BS66">
        <f t="shared" si="31"/>
        <v>0</v>
      </c>
      <c r="BT66">
        <f t="shared" si="31"/>
        <v>0</v>
      </c>
      <c r="BU66">
        <f t="shared" si="31"/>
        <v>0</v>
      </c>
      <c r="BV66">
        <f t="shared" si="31"/>
        <v>0</v>
      </c>
      <c r="BW66">
        <f t="shared" si="31"/>
        <v>0</v>
      </c>
      <c r="BX66">
        <f t="shared" si="31"/>
        <v>0</v>
      </c>
      <c r="BY66">
        <f t="shared" si="31"/>
        <v>0</v>
      </c>
    </row>
    <row r="67" spans="1:77" x14ac:dyDescent="0.25">
      <c r="A67" s="2" t="s">
        <v>112</v>
      </c>
      <c r="B67">
        <f t="shared" si="9"/>
        <v>29.09</v>
      </c>
      <c r="C67">
        <f t="shared" si="9"/>
        <v>27.6</v>
      </c>
      <c r="D67">
        <f t="shared" si="9"/>
        <v>27.6</v>
      </c>
      <c r="E67">
        <f t="shared" si="9"/>
        <v>29.58</v>
      </c>
      <c r="F67">
        <f t="shared" si="9"/>
        <v>28.4</v>
      </c>
      <c r="G67">
        <f t="shared" si="9"/>
        <v>27.53</v>
      </c>
      <c r="H67">
        <f t="shared" si="9"/>
        <v>28.68</v>
      </c>
      <c r="I67">
        <f t="shared" si="9"/>
        <v>29.48</v>
      </c>
      <c r="J67">
        <f t="shared" si="9"/>
        <v>29.42</v>
      </c>
      <c r="K67">
        <f t="shared" si="9"/>
        <v>29.1</v>
      </c>
      <c r="L67">
        <f t="shared" si="9"/>
        <v>27.62</v>
      </c>
      <c r="M67">
        <f t="shared" si="25"/>
        <v>28.36</v>
      </c>
      <c r="N67">
        <f t="shared" si="25"/>
        <v>26.84</v>
      </c>
      <c r="O67">
        <f t="shared" si="25"/>
        <v>27.52</v>
      </c>
      <c r="P67">
        <f t="shared" si="25"/>
        <v>27.85</v>
      </c>
      <c r="Q67">
        <f t="shared" si="25"/>
        <v>27.06</v>
      </c>
      <c r="R67">
        <f t="shared" si="25"/>
        <v>29.88</v>
      </c>
      <c r="S67">
        <f t="shared" si="25"/>
        <v>29.92</v>
      </c>
      <c r="T67">
        <f t="shared" si="25"/>
        <v>27.38</v>
      </c>
      <c r="U67">
        <f t="shared" si="25"/>
        <v>28.56</v>
      </c>
      <c r="V67">
        <f t="shared" si="25"/>
        <v>29.78</v>
      </c>
      <c r="W67">
        <f t="shared" si="25"/>
        <v>28.19</v>
      </c>
      <c r="X67">
        <f t="shared" si="25"/>
        <v>27.39</v>
      </c>
      <c r="Y67">
        <f t="shared" si="25"/>
        <v>28.2</v>
      </c>
      <c r="Z67">
        <f t="shared" si="25"/>
        <v>28.57</v>
      </c>
      <c r="AA67">
        <f t="shared" ref="AA67:BY67" si="32">ROUNDDOWN((AA27-ROUNDUP(AA27*0.1,2)-ROUNDUP(AA27*0.05,2))*0.8,2)</f>
        <v>28.17</v>
      </c>
      <c r="AB67">
        <f t="shared" si="32"/>
        <v>0</v>
      </c>
      <c r="AC67">
        <f t="shared" si="32"/>
        <v>0</v>
      </c>
      <c r="AD67">
        <f t="shared" si="32"/>
        <v>0</v>
      </c>
      <c r="AE67">
        <f t="shared" si="32"/>
        <v>0</v>
      </c>
      <c r="AF67">
        <f t="shared" si="32"/>
        <v>0</v>
      </c>
      <c r="AG67">
        <f t="shared" si="32"/>
        <v>0</v>
      </c>
      <c r="AH67">
        <f t="shared" si="32"/>
        <v>0</v>
      </c>
      <c r="AI67">
        <f t="shared" si="32"/>
        <v>0</v>
      </c>
      <c r="AJ67">
        <f t="shared" si="32"/>
        <v>0</v>
      </c>
      <c r="AK67">
        <f t="shared" si="32"/>
        <v>0</v>
      </c>
      <c r="AL67">
        <f t="shared" si="32"/>
        <v>0</v>
      </c>
      <c r="AM67">
        <f t="shared" si="32"/>
        <v>0</v>
      </c>
      <c r="AN67">
        <f t="shared" si="32"/>
        <v>0</v>
      </c>
      <c r="AO67">
        <f t="shared" si="32"/>
        <v>0</v>
      </c>
      <c r="AP67">
        <f t="shared" si="32"/>
        <v>0</v>
      </c>
      <c r="AQ67">
        <f t="shared" si="32"/>
        <v>0</v>
      </c>
      <c r="AR67">
        <f t="shared" si="32"/>
        <v>0</v>
      </c>
      <c r="AS67">
        <f t="shared" si="32"/>
        <v>0</v>
      </c>
      <c r="AT67">
        <f t="shared" si="32"/>
        <v>0</v>
      </c>
      <c r="AU67">
        <f t="shared" si="32"/>
        <v>0</v>
      </c>
      <c r="AV67">
        <f t="shared" si="32"/>
        <v>0</v>
      </c>
      <c r="AW67">
        <f t="shared" si="32"/>
        <v>0</v>
      </c>
      <c r="AX67">
        <f t="shared" si="32"/>
        <v>0</v>
      </c>
      <c r="AY67">
        <f t="shared" si="32"/>
        <v>0</v>
      </c>
      <c r="AZ67">
        <f t="shared" si="32"/>
        <v>0</v>
      </c>
      <c r="BA67">
        <f t="shared" si="32"/>
        <v>0</v>
      </c>
      <c r="BB67">
        <f t="shared" si="32"/>
        <v>0</v>
      </c>
      <c r="BC67">
        <f t="shared" si="32"/>
        <v>0</v>
      </c>
      <c r="BD67">
        <f t="shared" si="32"/>
        <v>0</v>
      </c>
      <c r="BE67">
        <f t="shared" si="32"/>
        <v>0</v>
      </c>
      <c r="BF67">
        <f t="shared" si="32"/>
        <v>0</v>
      </c>
      <c r="BG67">
        <f t="shared" si="32"/>
        <v>0</v>
      </c>
      <c r="BH67">
        <f t="shared" si="32"/>
        <v>0</v>
      </c>
      <c r="BI67">
        <f t="shared" si="32"/>
        <v>0</v>
      </c>
      <c r="BJ67">
        <f t="shared" si="32"/>
        <v>0</v>
      </c>
      <c r="BK67">
        <f t="shared" si="32"/>
        <v>0</v>
      </c>
      <c r="BL67">
        <f t="shared" si="32"/>
        <v>0</v>
      </c>
      <c r="BM67">
        <f t="shared" si="32"/>
        <v>0</v>
      </c>
      <c r="BN67">
        <f t="shared" si="32"/>
        <v>0</v>
      </c>
      <c r="BO67">
        <f t="shared" si="32"/>
        <v>0</v>
      </c>
      <c r="BP67">
        <f t="shared" si="32"/>
        <v>0</v>
      </c>
      <c r="BQ67">
        <f t="shared" si="32"/>
        <v>0</v>
      </c>
      <c r="BR67">
        <f t="shared" si="32"/>
        <v>0</v>
      </c>
      <c r="BS67">
        <f t="shared" si="32"/>
        <v>0</v>
      </c>
      <c r="BT67">
        <f t="shared" si="32"/>
        <v>0</v>
      </c>
      <c r="BU67">
        <f t="shared" si="32"/>
        <v>0</v>
      </c>
      <c r="BV67">
        <f t="shared" si="32"/>
        <v>0</v>
      </c>
      <c r="BW67">
        <f t="shared" si="32"/>
        <v>0</v>
      </c>
      <c r="BX67">
        <f t="shared" si="32"/>
        <v>0</v>
      </c>
      <c r="BY67">
        <f t="shared" si="32"/>
        <v>0</v>
      </c>
    </row>
    <row r="68" spans="1:77" x14ac:dyDescent="0.25">
      <c r="A68" s="2" t="s">
        <v>113</v>
      </c>
      <c r="B68">
        <f t="shared" si="9"/>
        <v>1.25</v>
      </c>
      <c r="C68">
        <f t="shared" si="9"/>
        <v>1.24</v>
      </c>
      <c r="D68">
        <f t="shared" si="9"/>
        <v>1.1100000000000001</v>
      </c>
      <c r="E68">
        <f t="shared" si="9"/>
        <v>1.21</v>
      </c>
      <c r="F68">
        <f t="shared" si="9"/>
        <v>1.21</v>
      </c>
      <c r="G68">
        <f t="shared" si="9"/>
        <v>1.22</v>
      </c>
      <c r="H68">
        <f t="shared" ref="C68:L75" si="33">ROUNDDOWN((H28-ROUNDUP(H28*0.1,2)-ROUNDUP(H28*0.05,2))*0.8,2)</f>
        <v>1.1599999999999999</v>
      </c>
      <c r="I68">
        <f t="shared" si="33"/>
        <v>1.18</v>
      </c>
      <c r="J68">
        <f t="shared" si="33"/>
        <v>1.1000000000000001</v>
      </c>
      <c r="K68">
        <f t="shared" si="33"/>
        <v>1.18</v>
      </c>
      <c r="L68">
        <f t="shared" si="33"/>
        <v>1.1200000000000001</v>
      </c>
      <c r="M68">
        <f t="shared" ref="M68:Z68" si="34">ROUNDDOWN((M28-ROUNDUP(M28*0.1,2)-ROUNDUP(M28*0.05,2))*0.8,2)</f>
        <v>1.1100000000000001</v>
      </c>
      <c r="N68">
        <f t="shared" si="34"/>
        <v>1.1000000000000001</v>
      </c>
      <c r="O68">
        <f t="shared" si="34"/>
        <v>1.04</v>
      </c>
      <c r="P68">
        <f t="shared" si="34"/>
        <v>1.0900000000000001</v>
      </c>
      <c r="Q68">
        <f t="shared" si="34"/>
        <v>1.1000000000000001</v>
      </c>
      <c r="R68">
        <f t="shared" si="34"/>
        <v>1.04</v>
      </c>
      <c r="S68">
        <f t="shared" si="34"/>
        <v>1.08</v>
      </c>
      <c r="T68">
        <f t="shared" si="34"/>
        <v>1.0900000000000001</v>
      </c>
      <c r="U68">
        <f t="shared" si="34"/>
        <v>0.99</v>
      </c>
      <c r="V68">
        <f t="shared" si="34"/>
        <v>1.08</v>
      </c>
      <c r="W68">
        <f t="shared" si="34"/>
        <v>1.08</v>
      </c>
      <c r="X68">
        <f t="shared" si="34"/>
        <v>0.99</v>
      </c>
      <c r="Y68">
        <f t="shared" si="34"/>
        <v>0.99</v>
      </c>
      <c r="Z68">
        <f t="shared" si="34"/>
        <v>1.08</v>
      </c>
      <c r="AA68">
        <f t="shared" ref="AA68:BY68" si="35">ROUNDDOWN((AA28-ROUNDUP(AA28*0.1,2)-ROUNDUP(AA28*0.05,2))*0.8,2)</f>
        <v>1.06</v>
      </c>
      <c r="AB68">
        <f t="shared" si="35"/>
        <v>0</v>
      </c>
      <c r="AC68">
        <f t="shared" si="35"/>
        <v>0</v>
      </c>
      <c r="AD68">
        <f t="shared" si="35"/>
        <v>0</v>
      </c>
      <c r="AE68">
        <f t="shared" si="35"/>
        <v>0</v>
      </c>
      <c r="AF68">
        <f t="shared" si="35"/>
        <v>0</v>
      </c>
      <c r="AG68">
        <f t="shared" si="35"/>
        <v>0</v>
      </c>
      <c r="AH68">
        <f t="shared" si="35"/>
        <v>0</v>
      </c>
      <c r="AI68">
        <f t="shared" si="35"/>
        <v>0</v>
      </c>
      <c r="AJ68">
        <f t="shared" si="35"/>
        <v>0</v>
      </c>
      <c r="AK68">
        <f t="shared" si="35"/>
        <v>0</v>
      </c>
      <c r="AL68">
        <f t="shared" si="35"/>
        <v>0</v>
      </c>
      <c r="AM68">
        <f t="shared" si="35"/>
        <v>0</v>
      </c>
      <c r="AN68">
        <f t="shared" si="35"/>
        <v>0</v>
      </c>
      <c r="AO68">
        <f t="shared" si="35"/>
        <v>0</v>
      </c>
      <c r="AP68">
        <f t="shared" si="35"/>
        <v>0</v>
      </c>
      <c r="AQ68">
        <f t="shared" si="35"/>
        <v>0</v>
      </c>
      <c r="AR68">
        <f t="shared" si="35"/>
        <v>0</v>
      </c>
      <c r="AS68">
        <f t="shared" si="35"/>
        <v>0</v>
      </c>
      <c r="AT68">
        <f t="shared" si="35"/>
        <v>0</v>
      </c>
      <c r="AU68">
        <f t="shared" si="35"/>
        <v>0</v>
      </c>
      <c r="AV68">
        <f t="shared" si="35"/>
        <v>0</v>
      </c>
      <c r="AW68">
        <f t="shared" si="35"/>
        <v>0</v>
      </c>
      <c r="AX68">
        <f t="shared" si="35"/>
        <v>0</v>
      </c>
      <c r="AY68">
        <f t="shared" si="35"/>
        <v>0</v>
      </c>
      <c r="AZ68">
        <f t="shared" si="35"/>
        <v>0</v>
      </c>
      <c r="BA68">
        <f t="shared" si="35"/>
        <v>0</v>
      </c>
      <c r="BB68">
        <f t="shared" si="35"/>
        <v>0</v>
      </c>
      <c r="BC68">
        <f t="shared" si="35"/>
        <v>0</v>
      </c>
      <c r="BD68">
        <f t="shared" si="35"/>
        <v>0</v>
      </c>
      <c r="BE68">
        <f t="shared" si="35"/>
        <v>0</v>
      </c>
      <c r="BF68">
        <f t="shared" si="35"/>
        <v>0</v>
      </c>
      <c r="BG68">
        <f t="shared" si="35"/>
        <v>0</v>
      </c>
      <c r="BH68">
        <f t="shared" si="35"/>
        <v>0</v>
      </c>
      <c r="BI68">
        <f t="shared" si="35"/>
        <v>0</v>
      </c>
      <c r="BJ68">
        <f t="shared" si="35"/>
        <v>0</v>
      </c>
      <c r="BK68">
        <f t="shared" si="35"/>
        <v>0</v>
      </c>
      <c r="BL68">
        <f t="shared" si="35"/>
        <v>0</v>
      </c>
      <c r="BM68">
        <f t="shared" si="35"/>
        <v>0</v>
      </c>
      <c r="BN68">
        <f t="shared" si="35"/>
        <v>0</v>
      </c>
      <c r="BO68">
        <f t="shared" si="35"/>
        <v>0</v>
      </c>
      <c r="BP68">
        <f t="shared" si="35"/>
        <v>0</v>
      </c>
      <c r="BQ68">
        <f t="shared" si="35"/>
        <v>0</v>
      </c>
      <c r="BR68">
        <f t="shared" si="35"/>
        <v>0</v>
      </c>
      <c r="BS68">
        <f t="shared" si="35"/>
        <v>0</v>
      </c>
      <c r="BT68">
        <f t="shared" si="35"/>
        <v>0</v>
      </c>
      <c r="BU68">
        <f t="shared" si="35"/>
        <v>0</v>
      </c>
      <c r="BV68">
        <f t="shared" si="35"/>
        <v>0</v>
      </c>
      <c r="BW68">
        <f t="shared" si="35"/>
        <v>0</v>
      </c>
      <c r="BX68">
        <f t="shared" si="35"/>
        <v>0</v>
      </c>
      <c r="BY68">
        <f t="shared" si="35"/>
        <v>0</v>
      </c>
    </row>
    <row r="69" spans="1:77" x14ac:dyDescent="0.25">
      <c r="A69" s="2" t="s">
        <v>114</v>
      </c>
      <c r="B69">
        <f t="shared" si="9"/>
        <v>1.52</v>
      </c>
      <c r="C69">
        <f t="shared" si="33"/>
        <v>1.42</v>
      </c>
      <c r="D69">
        <f t="shared" si="33"/>
        <v>1.49</v>
      </c>
      <c r="E69">
        <f t="shared" si="33"/>
        <v>1.52</v>
      </c>
      <c r="F69">
        <f t="shared" si="33"/>
        <v>1.42</v>
      </c>
      <c r="G69">
        <f t="shared" si="33"/>
        <v>1.48</v>
      </c>
      <c r="H69">
        <f t="shared" si="33"/>
        <v>1.46</v>
      </c>
      <c r="I69">
        <f t="shared" si="33"/>
        <v>1.49</v>
      </c>
      <c r="J69">
        <f t="shared" si="33"/>
        <v>1.53</v>
      </c>
      <c r="K69">
        <f t="shared" si="33"/>
        <v>1.56</v>
      </c>
      <c r="L69">
        <f t="shared" si="33"/>
        <v>1.49</v>
      </c>
      <c r="M69">
        <f t="shared" ref="M69:Z69" si="36">ROUNDDOWN((M29-ROUNDUP(M29*0.1,2)-ROUNDUP(M29*0.05,2))*0.8,2)</f>
        <v>1.51</v>
      </c>
      <c r="N69">
        <f t="shared" si="36"/>
        <v>1.44</v>
      </c>
      <c r="O69">
        <f t="shared" si="36"/>
        <v>1.42</v>
      </c>
      <c r="P69">
        <f t="shared" si="36"/>
        <v>1.33</v>
      </c>
      <c r="Q69">
        <f t="shared" si="36"/>
        <v>1.41</v>
      </c>
      <c r="R69">
        <f t="shared" si="36"/>
        <v>1.41</v>
      </c>
      <c r="S69">
        <f t="shared" si="36"/>
        <v>1.5</v>
      </c>
      <c r="T69">
        <f t="shared" si="36"/>
        <v>1.48</v>
      </c>
      <c r="U69">
        <f t="shared" si="36"/>
        <v>1.44</v>
      </c>
      <c r="V69">
        <f t="shared" si="36"/>
        <v>1.49</v>
      </c>
      <c r="W69">
        <f t="shared" si="36"/>
        <v>1.44</v>
      </c>
      <c r="X69">
        <f t="shared" si="36"/>
        <v>1.56</v>
      </c>
      <c r="Y69">
        <f t="shared" si="36"/>
        <v>1.53</v>
      </c>
      <c r="Z69">
        <f t="shared" si="36"/>
        <v>1.4</v>
      </c>
      <c r="AA69">
        <f t="shared" ref="AA69:BY69" si="37">ROUNDDOWN((AA29-ROUNDUP(AA29*0.1,2)-ROUNDUP(AA29*0.05,2))*0.8,2)</f>
        <v>1.36</v>
      </c>
      <c r="AB69">
        <f t="shared" si="37"/>
        <v>0</v>
      </c>
      <c r="AC69">
        <f t="shared" si="37"/>
        <v>0</v>
      </c>
      <c r="AD69">
        <f t="shared" si="37"/>
        <v>0</v>
      </c>
      <c r="AE69">
        <f t="shared" si="37"/>
        <v>0</v>
      </c>
      <c r="AF69">
        <f t="shared" si="37"/>
        <v>0</v>
      </c>
      <c r="AG69">
        <f t="shared" si="37"/>
        <v>0</v>
      </c>
      <c r="AH69">
        <f t="shared" si="37"/>
        <v>0</v>
      </c>
      <c r="AI69">
        <f t="shared" si="37"/>
        <v>0</v>
      </c>
      <c r="AJ69">
        <f t="shared" si="37"/>
        <v>0</v>
      </c>
      <c r="AK69">
        <f t="shared" si="37"/>
        <v>0</v>
      </c>
      <c r="AL69">
        <f t="shared" si="37"/>
        <v>0</v>
      </c>
      <c r="AM69">
        <f t="shared" si="37"/>
        <v>0</v>
      </c>
      <c r="AN69">
        <f t="shared" si="37"/>
        <v>0</v>
      </c>
      <c r="AO69">
        <f t="shared" si="37"/>
        <v>0</v>
      </c>
      <c r="AP69">
        <f t="shared" si="37"/>
        <v>0</v>
      </c>
      <c r="AQ69">
        <f t="shared" si="37"/>
        <v>0</v>
      </c>
      <c r="AR69">
        <f t="shared" si="37"/>
        <v>0</v>
      </c>
      <c r="AS69">
        <f t="shared" si="37"/>
        <v>0</v>
      </c>
      <c r="AT69">
        <f t="shared" si="37"/>
        <v>0</v>
      </c>
      <c r="AU69">
        <f t="shared" si="37"/>
        <v>0</v>
      </c>
      <c r="AV69">
        <f t="shared" si="37"/>
        <v>0</v>
      </c>
      <c r="AW69">
        <f t="shared" si="37"/>
        <v>0</v>
      </c>
      <c r="AX69">
        <f t="shared" si="37"/>
        <v>0</v>
      </c>
      <c r="AY69">
        <f t="shared" si="37"/>
        <v>0</v>
      </c>
      <c r="AZ69">
        <f t="shared" si="37"/>
        <v>0</v>
      </c>
      <c r="BA69">
        <f t="shared" si="37"/>
        <v>0</v>
      </c>
      <c r="BB69">
        <f t="shared" si="37"/>
        <v>0</v>
      </c>
      <c r="BC69">
        <f t="shared" si="37"/>
        <v>0</v>
      </c>
      <c r="BD69">
        <f t="shared" si="37"/>
        <v>0</v>
      </c>
      <c r="BE69">
        <f t="shared" si="37"/>
        <v>0</v>
      </c>
      <c r="BF69">
        <f t="shared" si="37"/>
        <v>0</v>
      </c>
      <c r="BG69">
        <f t="shared" si="37"/>
        <v>0</v>
      </c>
      <c r="BH69">
        <f t="shared" si="37"/>
        <v>0</v>
      </c>
      <c r="BI69">
        <f t="shared" si="37"/>
        <v>0</v>
      </c>
      <c r="BJ69">
        <f t="shared" si="37"/>
        <v>0</v>
      </c>
      <c r="BK69">
        <f t="shared" si="37"/>
        <v>0</v>
      </c>
      <c r="BL69">
        <f t="shared" si="37"/>
        <v>0</v>
      </c>
      <c r="BM69">
        <f t="shared" si="37"/>
        <v>0</v>
      </c>
      <c r="BN69">
        <f t="shared" si="37"/>
        <v>0</v>
      </c>
      <c r="BO69">
        <f t="shared" si="37"/>
        <v>0</v>
      </c>
      <c r="BP69">
        <f t="shared" si="37"/>
        <v>0</v>
      </c>
      <c r="BQ69">
        <f t="shared" si="37"/>
        <v>0</v>
      </c>
      <c r="BR69">
        <f t="shared" si="37"/>
        <v>0</v>
      </c>
      <c r="BS69">
        <f t="shared" si="37"/>
        <v>0</v>
      </c>
      <c r="BT69">
        <f t="shared" si="37"/>
        <v>0</v>
      </c>
      <c r="BU69">
        <f t="shared" si="37"/>
        <v>0</v>
      </c>
      <c r="BV69">
        <f t="shared" si="37"/>
        <v>0</v>
      </c>
      <c r="BW69">
        <f t="shared" si="37"/>
        <v>0</v>
      </c>
      <c r="BX69">
        <f t="shared" si="37"/>
        <v>0</v>
      </c>
      <c r="BY69">
        <f t="shared" si="37"/>
        <v>0</v>
      </c>
    </row>
    <row r="70" spans="1:77" x14ac:dyDescent="0.25">
      <c r="A70" s="2" t="s">
        <v>115</v>
      </c>
      <c r="B70">
        <f t="shared" si="9"/>
        <v>0.26</v>
      </c>
      <c r="C70">
        <f t="shared" si="33"/>
        <v>0.28000000000000003</v>
      </c>
      <c r="D70">
        <f t="shared" si="33"/>
        <v>0.26</v>
      </c>
      <c r="E70">
        <f t="shared" si="33"/>
        <v>0.26</v>
      </c>
      <c r="F70">
        <f t="shared" si="33"/>
        <v>0.3</v>
      </c>
      <c r="G70">
        <f t="shared" si="33"/>
        <v>0.32</v>
      </c>
      <c r="H70">
        <f t="shared" si="33"/>
        <v>0.35</v>
      </c>
      <c r="I70">
        <f t="shared" si="33"/>
        <v>0.36</v>
      </c>
      <c r="J70">
        <f t="shared" si="33"/>
        <v>0.4</v>
      </c>
      <c r="K70">
        <f t="shared" si="33"/>
        <v>0.4</v>
      </c>
      <c r="L70">
        <f t="shared" si="33"/>
        <v>0.53</v>
      </c>
      <c r="M70">
        <f t="shared" ref="M70:Z70" si="38">ROUNDDOWN((M30-ROUNDUP(M30*0.1,2)-ROUNDUP(M30*0.05,2))*0.8,2)</f>
        <v>0.52</v>
      </c>
      <c r="N70">
        <f t="shared" si="38"/>
        <v>0.47</v>
      </c>
      <c r="O70">
        <f t="shared" si="38"/>
        <v>0.43</v>
      </c>
      <c r="P70">
        <f t="shared" si="38"/>
        <v>0.4</v>
      </c>
      <c r="Q70">
        <f t="shared" si="38"/>
        <v>0.38</v>
      </c>
      <c r="R70">
        <f t="shared" si="38"/>
        <v>0.36</v>
      </c>
      <c r="S70">
        <f t="shared" si="38"/>
        <v>0.4</v>
      </c>
      <c r="T70">
        <f t="shared" si="38"/>
        <v>0.42</v>
      </c>
      <c r="U70">
        <f t="shared" si="38"/>
        <v>0.48</v>
      </c>
      <c r="V70">
        <f t="shared" si="38"/>
        <v>0.57999999999999996</v>
      </c>
      <c r="W70">
        <f t="shared" si="38"/>
        <v>0.49</v>
      </c>
      <c r="X70">
        <f t="shared" si="38"/>
        <v>0.51</v>
      </c>
      <c r="Y70">
        <f t="shared" si="38"/>
        <v>0.56999999999999995</v>
      </c>
      <c r="Z70">
        <f t="shared" si="38"/>
        <v>0.54</v>
      </c>
      <c r="AA70">
        <f t="shared" ref="AA70:BY70" si="39">ROUNDDOWN((AA30-ROUNDUP(AA30*0.1,2)-ROUNDUP(AA30*0.05,2))*0.8,2)</f>
        <v>0.61</v>
      </c>
      <c r="AB70">
        <f t="shared" si="39"/>
        <v>0</v>
      </c>
      <c r="AC70">
        <f t="shared" si="39"/>
        <v>0</v>
      </c>
      <c r="AD70">
        <f t="shared" si="39"/>
        <v>0</v>
      </c>
      <c r="AE70">
        <f t="shared" si="39"/>
        <v>0</v>
      </c>
      <c r="AF70">
        <f t="shared" si="39"/>
        <v>0</v>
      </c>
      <c r="AG70">
        <f t="shared" si="39"/>
        <v>0</v>
      </c>
      <c r="AH70">
        <f t="shared" si="39"/>
        <v>0</v>
      </c>
      <c r="AI70">
        <f t="shared" si="39"/>
        <v>0</v>
      </c>
      <c r="AJ70">
        <f t="shared" si="39"/>
        <v>0</v>
      </c>
      <c r="AK70">
        <f t="shared" si="39"/>
        <v>0</v>
      </c>
      <c r="AL70">
        <f t="shared" si="39"/>
        <v>0</v>
      </c>
      <c r="AM70">
        <f t="shared" si="39"/>
        <v>0</v>
      </c>
      <c r="AN70">
        <f t="shared" si="39"/>
        <v>0</v>
      </c>
      <c r="AO70">
        <f t="shared" si="39"/>
        <v>0</v>
      </c>
      <c r="AP70">
        <f t="shared" si="39"/>
        <v>0</v>
      </c>
      <c r="AQ70">
        <f t="shared" si="39"/>
        <v>0</v>
      </c>
      <c r="AR70">
        <f t="shared" si="39"/>
        <v>0</v>
      </c>
      <c r="AS70">
        <f t="shared" si="39"/>
        <v>0</v>
      </c>
      <c r="AT70">
        <f t="shared" si="39"/>
        <v>0</v>
      </c>
      <c r="AU70">
        <f t="shared" si="39"/>
        <v>0</v>
      </c>
      <c r="AV70">
        <f t="shared" si="39"/>
        <v>0</v>
      </c>
      <c r="AW70">
        <f t="shared" si="39"/>
        <v>0</v>
      </c>
      <c r="AX70">
        <f t="shared" si="39"/>
        <v>0</v>
      </c>
      <c r="AY70">
        <f t="shared" si="39"/>
        <v>0</v>
      </c>
      <c r="AZ70">
        <f t="shared" si="39"/>
        <v>0</v>
      </c>
      <c r="BA70">
        <f t="shared" si="39"/>
        <v>0</v>
      </c>
      <c r="BB70">
        <f t="shared" si="39"/>
        <v>0</v>
      </c>
      <c r="BC70">
        <f t="shared" si="39"/>
        <v>0</v>
      </c>
      <c r="BD70">
        <f t="shared" si="39"/>
        <v>0</v>
      </c>
      <c r="BE70">
        <f t="shared" si="39"/>
        <v>0</v>
      </c>
      <c r="BF70">
        <f t="shared" si="39"/>
        <v>0</v>
      </c>
      <c r="BG70">
        <f t="shared" si="39"/>
        <v>0</v>
      </c>
      <c r="BH70">
        <f t="shared" si="39"/>
        <v>0</v>
      </c>
      <c r="BI70">
        <f t="shared" si="39"/>
        <v>0</v>
      </c>
      <c r="BJ70">
        <f t="shared" si="39"/>
        <v>0</v>
      </c>
      <c r="BK70">
        <f t="shared" si="39"/>
        <v>0</v>
      </c>
      <c r="BL70">
        <f t="shared" si="39"/>
        <v>0</v>
      </c>
      <c r="BM70">
        <f t="shared" si="39"/>
        <v>0</v>
      </c>
      <c r="BN70">
        <f t="shared" si="39"/>
        <v>0</v>
      </c>
      <c r="BO70">
        <f t="shared" si="39"/>
        <v>0</v>
      </c>
      <c r="BP70">
        <f t="shared" si="39"/>
        <v>0</v>
      </c>
      <c r="BQ70">
        <f t="shared" si="39"/>
        <v>0</v>
      </c>
      <c r="BR70">
        <f t="shared" si="39"/>
        <v>0</v>
      </c>
      <c r="BS70">
        <f t="shared" si="39"/>
        <v>0</v>
      </c>
      <c r="BT70">
        <f t="shared" si="39"/>
        <v>0</v>
      </c>
      <c r="BU70">
        <f t="shared" si="39"/>
        <v>0</v>
      </c>
      <c r="BV70">
        <f t="shared" si="39"/>
        <v>0</v>
      </c>
      <c r="BW70">
        <f t="shared" si="39"/>
        <v>0</v>
      </c>
      <c r="BX70">
        <f t="shared" si="39"/>
        <v>0</v>
      </c>
      <c r="BY70">
        <f t="shared" si="39"/>
        <v>0</v>
      </c>
    </row>
    <row r="71" spans="1:77" x14ac:dyDescent="0.25">
      <c r="A71" s="2" t="s">
        <v>116</v>
      </c>
      <c r="B71">
        <f t="shared" si="9"/>
        <v>6.2</v>
      </c>
      <c r="C71">
        <f t="shared" si="33"/>
        <v>6.13</v>
      </c>
      <c r="D71">
        <f t="shared" si="33"/>
        <v>5.87</v>
      </c>
      <c r="E71">
        <f t="shared" si="33"/>
        <v>6.49</v>
      </c>
      <c r="F71">
        <f t="shared" si="33"/>
        <v>6.11</v>
      </c>
      <c r="G71">
        <f t="shared" si="33"/>
        <v>6.84</v>
      </c>
      <c r="H71">
        <f t="shared" si="33"/>
        <v>6.18</v>
      </c>
      <c r="I71">
        <f t="shared" si="33"/>
        <v>6.52</v>
      </c>
      <c r="J71">
        <f t="shared" si="33"/>
        <v>6.51</v>
      </c>
      <c r="K71">
        <f t="shared" si="33"/>
        <v>6.44</v>
      </c>
      <c r="L71">
        <f t="shared" si="33"/>
        <v>7.71</v>
      </c>
      <c r="M71">
        <f t="shared" ref="M71:Z71" si="40">ROUNDDOWN((M31-ROUNDUP(M31*0.1,2)-ROUNDUP(M31*0.05,2))*0.8,2)</f>
        <v>8.3800000000000008</v>
      </c>
      <c r="N71">
        <f t="shared" si="40"/>
        <v>8.2799999999999994</v>
      </c>
      <c r="O71">
        <f t="shared" si="40"/>
        <v>8.14</v>
      </c>
      <c r="P71">
        <f t="shared" si="40"/>
        <v>8.1999999999999993</v>
      </c>
      <c r="Q71">
        <f t="shared" si="40"/>
        <v>8</v>
      </c>
      <c r="R71">
        <f t="shared" si="40"/>
        <v>8.2899999999999991</v>
      </c>
      <c r="S71">
        <f t="shared" si="40"/>
        <v>8.2200000000000006</v>
      </c>
      <c r="T71">
        <f t="shared" si="40"/>
        <v>9.31</v>
      </c>
      <c r="U71">
        <f t="shared" si="40"/>
        <v>9.06</v>
      </c>
      <c r="V71">
        <f t="shared" si="40"/>
        <v>9.07</v>
      </c>
      <c r="W71">
        <f t="shared" si="40"/>
        <v>8.51</v>
      </c>
      <c r="X71">
        <f t="shared" si="40"/>
        <v>8.23</v>
      </c>
      <c r="Y71">
        <f t="shared" si="40"/>
        <v>8.4499999999999993</v>
      </c>
      <c r="Z71">
        <f t="shared" si="40"/>
        <v>8.41</v>
      </c>
      <c r="AA71">
        <f t="shared" ref="AA71:BY71" si="41">ROUNDDOWN((AA31-ROUNDUP(AA31*0.1,2)-ROUNDUP(AA31*0.05,2))*0.8,2)</f>
        <v>8.59</v>
      </c>
      <c r="AB71">
        <f t="shared" si="41"/>
        <v>0</v>
      </c>
      <c r="AC71">
        <f t="shared" si="41"/>
        <v>0</v>
      </c>
      <c r="AD71">
        <f t="shared" si="41"/>
        <v>0</v>
      </c>
      <c r="AE71">
        <f t="shared" si="41"/>
        <v>0</v>
      </c>
      <c r="AF71">
        <f t="shared" si="41"/>
        <v>0</v>
      </c>
      <c r="AG71">
        <f t="shared" si="41"/>
        <v>0</v>
      </c>
      <c r="AH71">
        <f t="shared" si="41"/>
        <v>0</v>
      </c>
      <c r="AI71">
        <f t="shared" si="41"/>
        <v>0</v>
      </c>
      <c r="AJ71">
        <f t="shared" si="41"/>
        <v>0</v>
      </c>
      <c r="AK71">
        <f t="shared" si="41"/>
        <v>0</v>
      </c>
      <c r="AL71">
        <f t="shared" si="41"/>
        <v>0</v>
      </c>
      <c r="AM71">
        <f t="shared" si="41"/>
        <v>0</v>
      </c>
      <c r="AN71">
        <f t="shared" si="41"/>
        <v>0</v>
      </c>
      <c r="AO71">
        <f t="shared" si="41"/>
        <v>0</v>
      </c>
      <c r="AP71">
        <f t="shared" si="41"/>
        <v>0</v>
      </c>
      <c r="AQ71">
        <f t="shared" si="41"/>
        <v>0</v>
      </c>
      <c r="AR71">
        <f t="shared" si="41"/>
        <v>0</v>
      </c>
      <c r="AS71">
        <f t="shared" si="41"/>
        <v>0</v>
      </c>
      <c r="AT71">
        <f t="shared" si="41"/>
        <v>0</v>
      </c>
      <c r="AU71">
        <f t="shared" si="41"/>
        <v>0</v>
      </c>
      <c r="AV71">
        <f t="shared" si="41"/>
        <v>0</v>
      </c>
      <c r="AW71">
        <f t="shared" si="41"/>
        <v>0</v>
      </c>
      <c r="AX71">
        <f t="shared" si="41"/>
        <v>0</v>
      </c>
      <c r="AY71">
        <f t="shared" si="41"/>
        <v>0</v>
      </c>
      <c r="AZ71">
        <f t="shared" si="41"/>
        <v>0</v>
      </c>
      <c r="BA71">
        <f t="shared" si="41"/>
        <v>0</v>
      </c>
      <c r="BB71">
        <f t="shared" si="41"/>
        <v>0</v>
      </c>
      <c r="BC71">
        <f t="shared" si="41"/>
        <v>0</v>
      </c>
      <c r="BD71">
        <f t="shared" si="41"/>
        <v>0</v>
      </c>
      <c r="BE71">
        <f t="shared" si="41"/>
        <v>0</v>
      </c>
      <c r="BF71">
        <f t="shared" si="41"/>
        <v>0</v>
      </c>
      <c r="BG71">
        <f t="shared" si="41"/>
        <v>0</v>
      </c>
      <c r="BH71">
        <f t="shared" si="41"/>
        <v>0</v>
      </c>
      <c r="BI71">
        <f t="shared" si="41"/>
        <v>0</v>
      </c>
      <c r="BJ71">
        <f t="shared" si="41"/>
        <v>0</v>
      </c>
      <c r="BK71">
        <f t="shared" si="41"/>
        <v>0</v>
      </c>
      <c r="BL71">
        <f t="shared" si="41"/>
        <v>0</v>
      </c>
      <c r="BM71">
        <f t="shared" si="41"/>
        <v>0</v>
      </c>
      <c r="BN71">
        <f t="shared" si="41"/>
        <v>0</v>
      </c>
      <c r="BO71">
        <f t="shared" si="41"/>
        <v>0</v>
      </c>
      <c r="BP71">
        <f t="shared" si="41"/>
        <v>0</v>
      </c>
      <c r="BQ71">
        <f t="shared" si="41"/>
        <v>0</v>
      </c>
      <c r="BR71">
        <f t="shared" si="41"/>
        <v>0</v>
      </c>
      <c r="BS71">
        <f t="shared" si="41"/>
        <v>0</v>
      </c>
      <c r="BT71">
        <f t="shared" si="41"/>
        <v>0</v>
      </c>
      <c r="BU71">
        <f t="shared" si="41"/>
        <v>0</v>
      </c>
      <c r="BV71">
        <f t="shared" si="41"/>
        <v>0</v>
      </c>
      <c r="BW71">
        <f t="shared" si="41"/>
        <v>0</v>
      </c>
      <c r="BX71">
        <f t="shared" si="41"/>
        <v>0</v>
      </c>
      <c r="BY71">
        <f t="shared" si="41"/>
        <v>0</v>
      </c>
    </row>
    <row r="72" spans="1:77" x14ac:dyDescent="0.25">
      <c r="A72" s="2" t="s">
        <v>117</v>
      </c>
      <c r="B72">
        <f t="shared" si="9"/>
        <v>7.75</v>
      </c>
      <c r="C72">
        <f t="shared" si="33"/>
        <v>7.71</v>
      </c>
      <c r="D72">
        <f t="shared" si="33"/>
        <v>7.49</v>
      </c>
      <c r="E72">
        <f t="shared" si="33"/>
        <v>8.36</v>
      </c>
      <c r="F72">
        <f t="shared" si="33"/>
        <v>8.36</v>
      </c>
      <c r="G72">
        <f t="shared" si="33"/>
        <v>8.3800000000000008</v>
      </c>
      <c r="H72">
        <f t="shared" si="33"/>
        <v>9.66</v>
      </c>
      <c r="I72">
        <f t="shared" si="33"/>
        <v>12.47</v>
      </c>
      <c r="J72">
        <f t="shared" si="33"/>
        <v>13.21</v>
      </c>
      <c r="K72">
        <f t="shared" si="33"/>
        <v>17.48</v>
      </c>
      <c r="L72">
        <f t="shared" si="33"/>
        <v>20.57</v>
      </c>
      <c r="M72">
        <f t="shared" ref="M72:Z72" si="42">ROUNDDOWN((M32-ROUNDUP(M32*0.1,2)-ROUNDUP(M32*0.05,2))*0.8,2)</f>
        <v>16.8</v>
      </c>
      <c r="N72">
        <f t="shared" si="42"/>
        <v>19.8</v>
      </c>
      <c r="O72">
        <f t="shared" si="42"/>
        <v>18.309999999999999</v>
      </c>
      <c r="P72">
        <f t="shared" si="42"/>
        <v>17.8</v>
      </c>
      <c r="Q72">
        <f t="shared" si="42"/>
        <v>17.829999999999998</v>
      </c>
      <c r="R72">
        <f t="shared" si="42"/>
        <v>17.87</v>
      </c>
      <c r="S72">
        <f t="shared" si="42"/>
        <v>24.75</v>
      </c>
      <c r="T72">
        <f t="shared" si="42"/>
        <v>26.44</v>
      </c>
      <c r="U72">
        <f t="shared" si="42"/>
        <v>29.09</v>
      </c>
      <c r="V72">
        <f t="shared" si="42"/>
        <v>27.21</v>
      </c>
      <c r="W72">
        <f t="shared" si="42"/>
        <v>27.05</v>
      </c>
      <c r="X72">
        <f t="shared" si="42"/>
        <v>27.53</v>
      </c>
      <c r="Y72">
        <f t="shared" si="42"/>
        <v>29.04</v>
      </c>
      <c r="Z72">
        <f t="shared" si="42"/>
        <v>29.52</v>
      </c>
      <c r="AA72">
        <f t="shared" ref="AA72:BY72" si="43">ROUNDDOWN((AA32-ROUNDUP(AA32*0.1,2)-ROUNDUP(AA32*0.05,2))*0.8,2)</f>
        <v>29.45</v>
      </c>
      <c r="AB72">
        <f t="shared" si="43"/>
        <v>0</v>
      </c>
      <c r="AC72">
        <f t="shared" si="43"/>
        <v>0</v>
      </c>
      <c r="AD72">
        <f t="shared" si="43"/>
        <v>0</v>
      </c>
      <c r="AE72">
        <f t="shared" si="43"/>
        <v>0</v>
      </c>
      <c r="AF72">
        <f t="shared" si="43"/>
        <v>0</v>
      </c>
      <c r="AG72">
        <f t="shared" si="43"/>
        <v>0</v>
      </c>
      <c r="AH72">
        <f t="shared" si="43"/>
        <v>0</v>
      </c>
      <c r="AI72">
        <f t="shared" si="43"/>
        <v>0</v>
      </c>
      <c r="AJ72">
        <f t="shared" si="43"/>
        <v>0</v>
      </c>
      <c r="AK72">
        <f t="shared" si="43"/>
        <v>0</v>
      </c>
      <c r="AL72">
        <f t="shared" si="43"/>
        <v>0</v>
      </c>
      <c r="AM72">
        <f t="shared" si="43"/>
        <v>0</v>
      </c>
      <c r="AN72">
        <f t="shared" si="43"/>
        <v>0</v>
      </c>
      <c r="AO72">
        <f t="shared" si="43"/>
        <v>0</v>
      </c>
      <c r="AP72">
        <f t="shared" si="43"/>
        <v>0</v>
      </c>
      <c r="AQ72">
        <f t="shared" si="43"/>
        <v>0</v>
      </c>
      <c r="AR72">
        <f t="shared" si="43"/>
        <v>0</v>
      </c>
      <c r="AS72">
        <f t="shared" si="43"/>
        <v>0</v>
      </c>
      <c r="AT72">
        <f t="shared" si="43"/>
        <v>0</v>
      </c>
      <c r="AU72">
        <f t="shared" si="43"/>
        <v>0</v>
      </c>
      <c r="AV72">
        <f t="shared" si="43"/>
        <v>0</v>
      </c>
      <c r="AW72">
        <f t="shared" si="43"/>
        <v>0</v>
      </c>
      <c r="AX72">
        <f t="shared" si="43"/>
        <v>0</v>
      </c>
      <c r="AY72">
        <f t="shared" si="43"/>
        <v>0</v>
      </c>
      <c r="AZ72">
        <f t="shared" si="43"/>
        <v>0</v>
      </c>
      <c r="BA72">
        <f t="shared" si="43"/>
        <v>0</v>
      </c>
      <c r="BB72">
        <f t="shared" si="43"/>
        <v>0</v>
      </c>
      <c r="BC72">
        <f t="shared" si="43"/>
        <v>0</v>
      </c>
      <c r="BD72">
        <f t="shared" si="43"/>
        <v>0</v>
      </c>
      <c r="BE72">
        <f t="shared" si="43"/>
        <v>0</v>
      </c>
      <c r="BF72">
        <f t="shared" si="43"/>
        <v>0</v>
      </c>
      <c r="BG72">
        <f t="shared" si="43"/>
        <v>0</v>
      </c>
      <c r="BH72">
        <f t="shared" si="43"/>
        <v>0</v>
      </c>
      <c r="BI72">
        <f t="shared" si="43"/>
        <v>0</v>
      </c>
      <c r="BJ72">
        <f t="shared" si="43"/>
        <v>0</v>
      </c>
      <c r="BK72">
        <f t="shared" si="43"/>
        <v>0</v>
      </c>
      <c r="BL72">
        <f t="shared" si="43"/>
        <v>0</v>
      </c>
      <c r="BM72">
        <f t="shared" si="43"/>
        <v>0</v>
      </c>
      <c r="BN72">
        <f t="shared" si="43"/>
        <v>0</v>
      </c>
      <c r="BO72">
        <f t="shared" si="43"/>
        <v>0</v>
      </c>
      <c r="BP72">
        <f t="shared" si="43"/>
        <v>0</v>
      </c>
      <c r="BQ72">
        <f t="shared" si="43"/>
        <v>0</v>
      </c>
      <c r="BR72">
        <f t="shared" si="43"/>
        <v>0</v>
      </c>
      <c r="BS72">
        <f t="shared" si="43"/>
        <v>0</v>
      </c>
      <c r="BT72">
        <f t="shared" si="43"/>
        <v>0</v>
      </c>
      <c r="BU72">
        <f t="shared" si="43"/>
        <v>0</v>
      </c>
      <c r="BV72">
        <f t="shared" si="43"/>
        <v>0</v>
      </c>
      <c r="BW72">
        <f t="shared" si="43"/>
        <v>0</v>
      </c>
      <c r="BX72">
        <f t="shared" si="43"/>
        <v>0</v>
      </c>
      <c r="BY72">
        <f t="shared" si="43"/>
        <v>0</v>
      </c>
    </row>
    <row r="73" spans="1:77" x14ac:dyDescent="0.25">
      <c r="A73" s="2" t="s">
        <v>118</v>
      </c>
      <c r="B73">
        <f t="shared" si="9"/>
        <v>0.48</v>
      </c>
      <c r="C73">
        <f t="shared" si="33"/>
        <v>0.48</v>
      </c>
      <c r="D73">
        <f t="shared" si="33"/>
        <v>0.49</v>
      </c>
      <c r="E73">
        <f t="shared" si="33"/>
        <v>0.54</v>
      </c>
      <c r="F73">
        <f t="shared" si="33"/>
        <v>0.54</v>
      </c>
      <c r="G73">
        <f t="shared" si="33"/>
        <v>0.54</v>
      </c>
      <c r="H73">
        <f t="shared" si="33"/>
        <v>0.53</v>
      </c>
      <c r="I73">
        <f t="shared" si="33"/>
        <v>0.54</v>
      </c>
      <c r="J73">
        <f t="shared" si="33"/>
        <v>0.54</v>
      </c>
      <c r="K73">
        <f t="shared" si="33"/>
        <v>0.53</v>
      </c>
      <c r="L73">
        <f t="shared" si="33"/>
        <v>0.54</v>
      </c>
      <c r="M73">
        <f t="shared" ref="M73:Z73" si="44">ROUNDDOWN((M33-ROUNDUP(M33*0.1,2)-ROUNDUP(M33*0.05,2))*0.8,2)</f>
        <v>0.54</v>
      </c>
      <c r="N73">
        <f t="shared" si="44"/>
        <v>0.54</v>
      </c>
      <c r="O73">
        <f t="shared" si="44"/>
        <v>0.53</v>
      </c>
      <c r="P73">
        <f t="shared" si="44"/>
        <v>0.56000000000000005</v>
      </c>
      <c r="Q73">
        <f t="shared" si="44"/>
        <v>0.52</v>
      </c>
      <c r="R73">
        <f t="shared" si="44"/>
        <v>0.56000000000000005</v>
      </c>
      <c r="S73">
        <f t="shared" si="44"/>
        <v>0.53</v>
      </c>
      <c r="T73">
        <f t="shared" si="44"/>
        <v>0.56000000000000005</v>
      </c>
      <c r="U73">
        <f t="shared" si="44"/>
        <v>0.56000000000000005</v>
      </c>
      <c r="V73">
        <f t="shared" si="44"/>
        <v>0.56999999999999995</v>
      </c>
      <c r="W73">
        <f t="shared" si="44"/>
        <v>0.61</v>
      </c>
      <c r="X73">
        <f t="shared" si="44"/>
        <v>0.54</v>
      </c>
      <c r="Y73">
        <f t="shared" si="44"/>
        <v>0.56000000000000005</v>
      </c>
      <c r="Z73">
        <f t="shared" si="44"/>
        <v>0.52</v>
      </c>
      <c r="AA73">
        <f t="shared" ref="AA73:BY73" si="45">ROUNDDOWN((AA33-ROUNDUP(AA33*0.1,2)-ROUNDUP(AA33*0.05,2))*0.8,2)</f>
        <v>0.52</v>
      </c>
      <c r="AB73">
        <f t="shared" si="45"/>
        <v>0</v>
      </c>
      <c r="AC73">
        <f t="shared" si="45"/>
        <v>0</v>
      </c>
      <c r="AD73">
        <f t="shared" si="45"/>
        <v>0</v>
      </c>
      <c r="AE73">
        <f t="shared" si="45"/>
        <v>0</v>
      </c>
      <c r="AF73">
        <f t="shared" si="45"/>
        <v>0</v>
      </c>
      <c r="AG73">
        <f t="shared" si="45"/>
        <v>0</v>
      </c>
      <c r="AH73">
        <f t="shared" si="45"/>
        <v>0</v>
      </c>
      <c r="AI73">
        <f t="shared" si="45"/>
        <v>0</v>
      </c>
      <c r="AJ73">
        <f t="shared" si="45"/>
        <v>0</v>
      </c>
      <c r="AK73">
        <f t="shared" si="45"/>
        <v>0</v>
      </c>
      <c r="AL73">
        <f t="shared" si="45"/>
        <v>0</v>
      </c>
      <c r="AM73">
        <f t="shared" si="45"/>
        <v>0</v>
      </c>
      <c r="AN73">
        <f t="shared" si="45"/>
        <v>0</v>
      </c>
      <c r="AO73">
        <f t="shared" si="45"/>
        <v>0</v>
      </c>
      <c r="AP73">
        <f t="shared" si="45"/>
        <v>0</v>
      </c>
      <c r="AQ73">
        <f t="shared" si="45"/>
        <v>0</v>
      </c>
      <c r="AR73">
        <f t="shared" si="45"/>
        <v>0</v>
      </c>
      <c r="AS73">
        <f t="shared" si="45"/>
        <v>0</v>
      </c>
      <c r="AT73">
        <f t="shared" si="45"/>
        <v>0</v>
      </c>
      <c r="AU73">
        <f t="shared" si="45"/>
        <v>0</v>
      </c>
      <c r="AV73">
        <f t="shared" si="45"/>
        <v>0</v>
      </c>
      <c r="AW73">
        <f t="shared" si="45"/>
        <v>0</v>
      </c>
      <c r="AX73">
        <f t="shared" si="45"/>
        <v>0</v>
      </c>
      <c r="AY73">
        <f t="shared" si="45"/>
        <v>0</v>
      </c>
      <c r="AZ73">
        <f t="shared" si="45"/>
        <v>0</v>
      </c>
      <c r="BA73">
        <f t="shared" si="45"/>
        <v>0</v>
      </c>
      <c r="BB73">
        <f t="shared" si="45"/>
        <v>0</v>
      </c>
      <c r="BC73">
        <f t="shared" si="45"/>
        <v>0</v>
      </c>
      <c r="BD73">
        <f t="shared" si="45"/>
        <v>0</v>
      </c>
      <c r="BE73">
        <f t="shared" si="45"/>
        <v>0</v>
      </c>
      <c r="BF73">
        <f t="shared" si="45"/>
        <v>0</v>
      </c>
      <c r="BG73">
        <f t="shared" si="45"/>
        <v>0</v>
      </c>
      <c r="BH73">
        <f t="shared" si="45"/>
        <v>0</v>
      </c>
      <c r="BI73">
        <f t="shared" si="45"/>
        <v>0</v>
      </c>
      <c r="BJ73">
        <f t="shared" si="45"/>
        <v>0</v>
      </c>
      <c r="BK73">
        <f t="shared" si="45"/>
        <v>0</v>
      </c>
      <c r="BL73">
        <f t="shared" si="45"/>
        <v>0</v>
      </c>
      <c r="BM73">
        <f t="shared" si="45"/>
        <v>0</v>
      </c>
      <c r="BN73">
        <f t="shared" si="45"/>
        <v>0</v>
      </c>
      <c r="BO73">
        <f t="shared" si="45"/>
        <v>0</v>
      </c>
      <c r="BP73">
        <f t="shared" si="45"/>
        <v>0</v>
      </c>
      <c r="BQ73">
        <f t="shared" si="45"/>
        <v>0</v>
      </c>
      <c r="BR73">
        <f t="shared" si="45"/>
        <v>0</v>
      </c>
      <c r="BS73">
        <f t="shared" si="45"/>
        <v>0</v>
      </c>
      <c r="BT73">
        <f t="shared" si="45"/>
        <v>0</v>
      </c>
      <c r="BU73">
        <f t="shared" si="45"/>
        <v>0</v>
      </c>
      <c r="BV73">
        <f t="shared" si="45"/>
        <v>0</v>
      </c>
      <c r="BW73">
        <f t="shared" si="45"/>
        <v>0</v>
      </c>
      <c r="BX73">
        <f t="shared" si="45"/>
        <v>0</v>
      </c>
      <c r="BY73">
        <f t="shared" si="45"/>
        <v>0</v>
      </c>
    </row>
    <row r="74" spans="1:77" x14ac:dyDescent="0.25">
      <c r="A74" s="2" t="s">
        <v>119</v>
      </c>
      <c r="B74">
        <f t="shared" si="9"/>
        <v>3.14</v>
      </c>
      <c r="C74">
        <f t="shared" si="33"/>
        <v>3.1</v>
      </c>
      <c r="D74">
        <f t="shared" si="33"/>
        <v>3</v>
      </c>
      <c r="E74">
        <f t="shared" si="33"/>
        <v>2.74</v>
      </c>
      <c r="F74">
        <f t="shared" si="33"/>
        <v>2.92</v>
      </c>
      <c r="G74">
        <f t="shared" si="33"/>
        <v>2.84</v>
      </c>
      <c r="H74">
        <f t="shared" si="33"/>
        <v>3.15</v>
      </c>
      <c r="I74">
        <f t="shared" si="33"/>
        <v>2.85</v>
      </c>
      <c r="J74">
        <f t="shared" si="33"/>
        <v>2.97</v>
      </c>
      <c r="K74">
        <f t="shared" si="33"/>
        <v>2.99</v>
      </c>
      <c r="L74">
        <f t="shared" si="33"/>
        <v>2.88</v>
      </c>
      <c r="M74">
        <f t="shared" ref="M74:Z74" si="46">ROUNDDOWN((M34-ROUNDUP(M34*0.1,2)-ROUNDUP(M34*0.05,2))*0.8,2)</f>
        <v>2.92</v>
      </c>
      <c r="N74">
        <f t="shared" si="46"/>
        <v>2.85</v>
      </c>
      <c r="O74">
        <f t="shared" si="46"/>
        <v>2.91</v>
      </c>
      <c r="P74">
        <f t="shared" si="46"/>
        <v>2.93</v>
      </c>
      <c r="Q74">
        <f t="shared" si="46"/>
        <v>2.94</v>
      </c>
      <c r="R74">
        <f t="shared" si="46"/>
        <v>2.91</v>
      </c>
      <c r="S74">
        <f t="shared" si="46"/>
        <v>2.94</v>
      </c>
      <c r="T74">
        <f t="shared" si="46"/>
        <v>2.78</v>
      </c>
      <c r="U74">
        <f t="shared" si="46"/>
        <v>2.85</v>
      </c>
      <c r="V74">
        <f t="shared" si="46"/>
        <v>2.83</v>
      </c>
      <c r="W74">
        <f t="shared" si="46"/>
        <v>2.78</v>
      </c>
      <c r="X74">
        <f t="shared" si="46"/>
        <v>2.92</v>
      </c>
      <c r="Y74">
        <f t="shared" si="46"/>
        <v>2.72</v>
      </c>
      <c r="Z74">
        <f t="shared" si="46"/>
        <v>2.9</v>
      </c>
      <c r="AA74">
        <f t="shared" ref="AA74:BY74" si="47">ROUNDDOWN((AA34-ROUNDUP(AA34*0.1,2)-ROUNDUP(AA34*0.05,2))*0.8,2)</f>
        <v>2.92</v>
      </c>
      <c r="AB74">
        <f t="shared" si="47"/>
        <v>0</v>
      </c>
      <c r="AC74">
        <f t="shared" si="47"/>
        <v>0</v>
      </c>
      <c r="AD74">
        <f t="shared" si="47"/>
        <v>0</v>
      </c>
      <c r="AE74">
        <f t="shared" si="47"/>
        <v>0</v>
      </c>
      <c r="AF74">
        <f t="shared" si="47"/>
        <v>0</v>
      </c>
      <c r="AG74">
        <f t="shared" si="47"/>
        <v>0</v>
      </c>
      <c r="AH74">
        <f t="shared" si="47"/>
        <v>0</v>
      </c>
      <c r="AI74">
        <f t="shared" si="47"/>
        <v>0</v>
      </c>
      <c r="AJ74">
        <f t="shared" si="47"/>
        <v>0</v>
      </c>
      <c r="AK74">
        <f t="shared" si="47"/>
        <v>0</v>
      </c>
      <c r="AL74">
        <f t="shared" si="47"/>
        <v>0</v>
      </c>
      <c r="AM74">
        <f t="shared" si="47"/>
        <v>0</v>
      </c>
      <c r="AN74">
        <f t="shared" si="47"/>
        <v>0</v>
      </c>
      <c r="AO74">
        <f t="shared" si="47"/>
        <v>0</v>
      </c>
      <c r="AP74">
        <f t="shared" si="47"/>
        <v>0</v>
      </c>
      <c r="AQ74">
        <f t="shared" si="47"/>
        <v>0</v>
      </c>
      <c r="AR74">
        <f t="shared" si="47"/>
        <v>0</v>
      </c>
      <c r="AS74">
        <f t="shared" si="47"/>
        <v>0</v>
      </c>
      <c r="AT74">
        <f t="shared" si="47"/>
        <v>0</v>
      </c>
      <c r="AU74">
        <f t="shared" si="47"/>
        <v>0</v>
      </c>
      <c r="AV74">
        <f t="shared" si="47"/>
        <v>0</v>
      </c>
      <c r="AW74">
        <f t="shared" si="47"/>
        <v>0</v>
      </c>
      <c r="AX74">
        <f t="shared" si="47"/>
        <v>0</v>
      </c>
      <c r="AY74">
        <f t="shared" si="47"/>
        <v>0</v>
      </c>
      <c r="AZ74">
        <f t="shared" si="47"/>
        <v>0</v>
      </c>
      <c r="BA74">
        <f t="shared" si="47"/>
        <v>0</v>
      </c>
      <c r="BB74">
        <f t="shared" si="47"/>
        <v>0</v>
      </c>
      <c r="BC74">
        <f t="shared" si="47"/>
        <v>0</v>
      </c>
      <c r="BD74">
        <f t="shared" si="47"/>
        <v>0</v>
      </c>
      <c r="BE74">
        <f t="shared" si="47"/>
        <v>0</v>
      </c>
      <c r="BF74">
        <f t="shared" si="47"/>
        <v>0</v>
      </c>
      <c r="BG74">
        <f t="shared" si="47"/>
        <v>0</v>
      </c>
      <c r="BH74">
        <f t="shared" si="47"/>
        <v>0</v>
      </c>
      <c r="BI74">
        <f t="shared" si="47"/>
        <v>0</v>
      </c>
      <c r="BJ74">
        <f t="shared" si="47"/>
        <v>0</v>
      </c>
      <c r="BK74">
        <f t="shared" si="47"/>
        <v>0</v>
      </c>
      <c r="BL74">
        <f t="shared" si="47"/>
        <v>0</v>
      </c>
      <c r="BM74">
        <f t="shared" si="47"/>
        <v>0</v>
      </c>
      <c r="BN74">
        <f t="shared" si="47"/>
        <v>0</v>
      </c>
      <c r="BO74">
        <f t="shared" si="47"/>
        <v>0</v>
      </c>
      <c r="BP74">
        <f t="shared" si="47"/>
        <v>0</v>
      </c>
      <c r="BQ74">
        <f t="shared" si="47"/>
        <v>0</v>
      </c>
      <c r="BR74">
        <f t="shared" si="47"/>
        <v>0</v>
      </c>
      <c r="BS74">
        <f t="shared" si="47"/>
        <v>0</v>
      </c>
      <c r="BT74">
        <f t="shared" si="47"/>
        <v>0</v>
      </c>
      <c r="BU74">
        <f t="shared" si="47"/>
        <v>0</v>
      </c>
      <c r="BV74">
        <f t="shared" si="47"/>
        <v>0</v>
      </c>
      <c r="BW74">
        <f t="shared" si="47"/>
        <v>0</v>
      </c>
      <c r="BX74">
        <f t="shared" si="47"/>
        <v>0</v>
      </c>
      <c r="BY74">
        <f t="shared" si="47"/>
        <v>0</v>
      </c>
    </row>
    <row r="75" spans="1:77" x14ac:dyDescent="0.25">
      <c r="A75" s="2" t="s">
        <v>120</v>
      </c>
      <c r="B75">
        <f t="shared" si="9"/>
        <v>0.61</v>
      </c>
      <c r="C75">
        <f t="shared" si="33"/>
        <v>0.56000000000000005</v>
      </c>
      <c r="D75">
        <f t="shared" si="33"/>
        <v>0.57999999999999996</v>
      </c>
      <c r="E75">
        <f t="shared" si="33"/>
        <v>0.62</v>
      </c>
      <c r="F75">
        <f t="shared" si="33"/>
        <v>0.61</v>
      </c>
      <c r="G75">
        <f t="shared" si="33"/>
        <v>0.62</v>
      </c>
      <c r="H75">
        <f t="shared" si="33"/>
        <v>0.56999999999999995</v>
      </c>
      <c r="I75">
        <f t="shared" si="33"/>
        <v>0.65</v>
      </c>
      <c r="J75">
        <f t="shared" si="33"/>
        <v>0.56000000000000005</v>
      </c>
      <c r="K75">
        <f t="shared" si="33"/>
        <v>0.63</v>
      </c>
      <c r="L75">
        <f t="shared" si="33"/>
        <v>0.62</v>
      </c>
      <c r="M75">
        <f t="shared" ref="M75:Z75" si="48">ROUNDDOWN((M35-ROUNDUP(M35*0.1,2)-ROUNDUP(M35*0.05,2))*0.8,2)</f>
        <v>0.56000000000000005</v>
      </c>
      <c r="N75">
        <f t="shared" si="48"/>
        <v>0.56999999999999995</v>
      </c>
      <c r="O75">
        <f t="shared" si="48"/>
        <v>0.56999999999999995</v>
      </c>
      <c r="P75">
        <f t="shared" si="48"/>
        <v>0.59</v>
      </c>
      <c r="Q75">
        <f t="shared" si="48"/>
        <v>0.59</v>
      </c>
      <c r="R75">
        <f t="shared" si="48"/>
        <v>0.57999999999999996</v>
      </c>
      <c r="S75">
        <f t="shared" si="48"/>
        <v>0.59</v>
      </c>
      <c r="T75">
        <f t="shared" si="48"/>
        <v>0.56000000000000005</v>
      </c>
      <c r="U75">
        <f t="shared" si="48"/>
        <v>0.56999999999999995</v>
      </c>
      <c r="V75">
        <f t="shared" si="48"/>
        <v>0.56999999999999995</v>
      </c>
      <c r="W75">
        <f t="shared" si="48"/>
        <v>0.57999999999999996</v>
      </c>
      <c r="X75">
        <f t="shared" si="48"/>
        <v>0.59</v>
      </c>
      <c r="Y75">
        <f t="shared" si="48"/>
        <v>0.56000000000000005</v>
      </c>
      <c r="Z75">
        <f t="shared" si="48"/>
        <v>0.56000000000000005</v>
      </c>
      <c r="AA75">
        <f t="shared" ref="AA75:BY75" si="49">ROUNDDOWN((AA35-ROUNDUP(AA35*0.1,2)-ROUNDUP(AA35*0.05,2))*0.8,2)</f>
        <v>0.6</v>
      </c>
      <c r="AB75">
        <f t="shared" si="49"/>
        <v>0</v>
      </c>
      <c r="AC75">
        <f t="shared" si="49"/>
        <v>0</v>
      </c>
      <c r="AD75">
        <f t="shared" si="49"/>
        <v>0</v>
      </c>
      <c r="AE75">
        <f t="shared" si="49"/>
        <v>0</v>
      </c>
      <c r="AF75">
        <f t="shared" si="49"/>
        <v>0</v>
      </c>
      <c r="AG75">
        <f t="shared" si="49"/>
        <v>0</v>
      </c>
      <c r="AH75">
        <f t="shared" si="49"/>
        <v>0</v>
      </c>
      <c r="AI75">
        <f t="shared" si="49"/>
        <v>0</v>
      </c>
      <c r="AJ75">
        <f t="shared" si="49"/>
        <v>0</v>
      </c>
      <c r="AK75">
        <f t="shared" si="49"/>
        <v>0</v>
      </c>
      <c r="AL75">
        <f t="shared" si="49"/>
        <v>0</v>
      </c>
      <c r="AM75">
        <f t="shared" si="49"/>
        <v>0</v>
      </c>
      <c r="AN75">
        <f t="shared" si="49"/>
        <v>0</v>
      </c>
      <c r="AO75">
        <f t="shared" si="49"/>
        <v>0</v>
      </c>
      <c r="AP75">
        <f t="shared" si="49"/>
        <v>0</v>
      </c>
      <c r="AQ75">
        <f t="shared" si="49"/>
        <v>0</v>
      </c>
      <c r="AR75">
        <f t="shared" si="49"/>
        <v>0</v>
      </c>
      <c r="AS75">
        <f t="shared" si="49"/>
        <v>0</v>
      </c>
      <c r="AT75">
        <f t="shared" si="49"/>
        <v>0</v>
      </c>
      <c r="AU75">
        <f t="shared" si="49"/>
        <v>0</v>
      </c>
      <c r="AV75">
        <f t="shared" si="49"/>
        <v>0</v>
      </c>
      <c r="AW75">
        <f t="shared" si="49"/>
        <v>0</v>
      </c>
      <c r="AX75">
        <f t="shared" si="49"/>
        <v>0</v>
      </c>
      <c r="AY75">
        <f t="shared" si="49"/>
        <v>0</v>
      </c>
      <c r="AZ75">
        <f t="shared" si="49"/>
        <v>0</v>
      </c>
      <c r="BA75">
        <f t="shared" si="49"/>
        <v>0</v>
      </c>
      <c r="BB75">
        <f t="shared" si="49"/>
        <v>0</v>
      </c>
      <c r="BC75">
        <f t="shared" si="49"/>
        <v>0</v>
      </c>
      <c r="BD75">
        <f t="shared" si="49"/>
        <v>0</v>
      </c>
      <c r="BE75">
        <f t="shared" si="49"/>
        <v>0</v>
      </c>
      <c r="BF75">
        <f t="shared" si="49"/>
        <v>0</v>
      </c>
      <c r="BG75">
        <f t="shared" si="49"/>
        <v>0</v>
      </c>
      <c r="BH75">
        <f t="shared" si="49"/>
        <v>0</v>
      </c>
      <c r="BI75">
        <f t="shared" si="49"/>
        <v>0</v>
      </c>
      <c r="BJ75">
        <f t="shared" si="49"/>
        <v>0</v>
      </c>
      <c r="BK75">
        <f t="shared" si="49"/>
        <v>0</v>
      </c>
      <c r="BL75">
        <f t="shared" si="49"/>
        <v>0</v>
      </c>
      <c r="BM75">
        <f t="shared" si="49"/>
        <v>0</v>
      </c>
      <c r="BN75">
        <f t="shared" si="49"/>
        <v>0</v>
      </c>
      <c r="BO75">
        <f t="shared" si="49"/>
        <v>0</v>
      </c>
      <c r="BP75">
        <f t="shared" si="49"/>
        <v>0</v>
      </c>
      <c r="BQ75">
        <f t="shared" si="49"/>
        <v>0</v>
      </c>
      <c r="BR75">
        <f t="shared" si="49"/>
        <v>0</v>
      </c>
      <c r="BS75">
        <f t="shared" si="49"/>
        <v>0</v>
      </c>
      <c r="BT75">
        <f t="shared" si="49"/>
        <v>0</v>
      </c>
      <c r="BU75">
        <f t="shared" si="49"/>
        <v>0</v>
      </c>
      <c r="BV75">
        <f t="shared" si="49"/>
        <v>0</v>
      </c>
      <c r="BW75">
        <f t="shared" si="49"/>
        <v>0</v>
      </c>
      <c r="BX75">
        <f t="shared" si="49"/>
        <v>0</v>
      </c>
      <c r="BY75">
        <f t="shared" si="49"/>
        <v>0</v>
      </c>
    </row>
    <row r="77" spans="1:77" x14ac:dyDescent="0.25">
      <c r="B77" s="2">
        <f>SUM(B45:B75)</f>
        <v>235.34</v>
      </c>
      <c r="C77" s="2">
        <f t="shared" ref="C77:F77" si="50">SUM(C45:C75)</f>
        <v>231.30999999999997</v>
      </c>
      <c r="D77" s="2">
        <f t="shared" si="50"/>
        <v>232.52000000000004</v>
      </c>
      <c r="E77" s="2">
        <f t="shared" si="50"/>
        <v>237.59</v>
      </c>
      <c r="F77" s="2">
        <f t="shared" si="50"/>
        <v>234.61</v>
      </c>
      <c r="G77" s="2">
        <f>SUM(G45:G75)</f>
        <v>235.98999999999995</v>
      </c>
      <c r="H77" s="2">
        <f t="shared" ref="H77:L77" si="51">SUM(H45:H75)</f>
        <v>238.26999999999998</v>
      </c>
      <c r="I77" s="2">
        <f t="shared" si="51"/>
        <v>237.48000000000005</v>
      </c>
      <c r="J77" s="2">
        <f t="shared" si="51"/>
        <v>241.04000000000002</v>
      </c>
      <c r="K77" s="2">
        <f t="shared" si="51"/>
        <v>244.97000000000003</v>
      </c>
      <c r="L77" s="2">
        <f t="shared" si="51"/>
        <v>243.01999999999998</v>
      </c>
      <c r="M77" s="2">
        <f t="shared" ref="M77:Z77" si="52">SUM(M45:M75)</f>
        <v>244.43000000000004</v>
      </c>
      <c r="N77" s="2">
        <f t="shared" si="52"/>
        <v>242.61999999999998</v>
      </c>
      <c r="O77" s="2">
        <f t="shared" si="52"/>
        <v>242.17000000000002</v>
      </c>
      <c r="P77" s="2">
        <f t="shared" si="52"/>
        <v>239.37000000000003</v>
      </c>
      <c r="Q77" s="2">
        <f t="shared" si="52"/>
        <v>247.53000000000003</v>
      </c>
      <c r="R77" s="2">
        <f t="shared" si="52"/>
        <v>251.39000000000001</v>
      </c>
      <c r="S77" s="2">
        <f t="shared" si="52"/>
        <v>254.46000000000006</v>
      </c>
      <c r="T77" s="2">
        <f t="shared" si="52"/>
        <v>255.03999999999996</v>
      </c>
      <c r="U77" s="2">
        <f t="shared" si="52"/>
        <v>272.67</v>
      </c>
      <c r="V77" s="2">
        <f t="shared" si="52"/>
        <v>273.84999999999997</v>
      </c>
      <c r="W77" s="2">
        <f t="shared" si="52"/>
        <v>264.72999999999996</v>
      </c>
      <c r="X77" s="2">
        <f t="shared" si="52"/>
        <v>262.17</v>
      </c>
      <c r="Y77" s="2">
        <f t="shared" si="52"/>
        <v>266.25</v>
      </c>
      <c r="Z77" s="2">
        <f t="shared" si="52"/>
        <v>266.46999999999997</v>
      </c>
      <c r="AA77" s="2">
        <f t="shared" ref="AA77:BY77" si="53">SUM(AA45:AA75)</f>
        <v>271.34000000000009</v>
      </c>
      <c r="AB77" s="2">
        <f t="shared" si="53"/>
        <v>0</v>
      </c>
      <c r="AC77" s="2">
        <f t="shared" si="53"/>
        <v>0</v>
      </c>
      <c r="AD77" s="2">
        <f t="shared" si="53"/>
        <v>0</v>
      </c>
      <c r="AE77" s="2">
        <f t="shared" si="53"/>
        <v>0</v>
      </c>
      <c r="AF77" s="2">
        <f t="shared" si="53"/>
        <v>0</v>
      </c>
      <c r="AG77" s="2">
        <f t="shared" si="53"/>
        <v>0</v>
      </c>
      <c r="AH77" s="2">
        <f t="shared" si="53"/>
        <v>0</v>
      </c>
      <c r="AI77" s="2">
        <f t="shared" si="53"/>
        <v>0</v>
      </c>
      <c r="AJ77" s="2">
        <f t="shared" si="53"/>
        <v>0</v>
      </c>
      <c r="AK77" s="2">
        <f t="shared" si="53"/>
        <v>0</v>
      </c>
      <c r="AL77" s="2">
        <f t="shared" si="53"/>
        <v>0</v>
      </c>
      <c r="AM77" s="2">
        <f t="shared" si="53"/>
        <v>0</v>
      </c>
      <c r="AN77" s="2">
        <f t="shared" si="53"/>
        <v>0</v>
      </c>
      <c r="AO77" s="2">
        <f t="shared" si="53"/>
        <v>0</v>
      </c>
      <c r="AP77" s="2">
        <f t="shared" si="53"/>
        <v>0</v>
      </c>
      <c r="AQ77" s="2">
        <f t="shared" si="53"/>
        <v>0</v>
      </c>
      <c r="AR77" s="2">
        <f t="shared" si="53"/>
        <v>0</v>
      </c>
      <c r="AS77" s="2">
        <f t="shared" si="53"/>
        <v>0</v>
      </c>
      <c r="AT77" s="2">
        <f t="shared" si="53"/>
        <v>0</v>
      </c>
      <c r="AU77" s="2">
        <f t="shared" si="53"/>
        <v>0</v>
      </c>
      <c r="AV77" s="2">
        <f t="shared" si="53"/>
        <v>0</v>
      </c>
      <c r="AW77" s="2">
        <f t="shared" si="53"/>
        <v>0</v>
      </c>
      <c r="AX77" s="2">
        <f t="shared" si="53"/>
        <v>0</v>
      </c>
      <c r="AY77" s="2">
        <f t="shared" si="53"/>
        <v>0</v>
      </c>
      <c r="AZ77" s="2">
        <f t="shared" si="53"/>
        <v>0</v>
      </c>
      <c r="BA77" s="2">
        <f t="shared" si="53"/>
        <v>0</v>
      </c>
      <c r="BB77" s="2">
        <f t="shared" si="53"/>
        <v>0</v>
      </c>
      <c r="BC77" s="2">
        <f t="shared" si="53"/>
        <v>0</v>
      </c>
      <c r="BD77" s="2">
        <f t="shared" si="53"/>
        <v>0</v>
      </c>
      <c r="BE77" s="2">
        <f t="shared" si="53"/>
        <v>0</v>
      </c>
      <c r="BF77" s="2">
        <f t="shared" si="53"/>
        <v>0</v>
      </c>
      <c r="BG77" s="2">
        <f t="shared" si="53"/>
        <v>0</v>
      </c>
      <c r="BH77" s="2">
        <f t="shared" si="53"/>
        <v>0</v>
      </c>
      <c r="BI77" s="2">
        <f t="shared" si="53"/>
        <v>0</v>
      </c>
      <c r="BJ77" s="2">
        <f t="shared" si="53"/>
        <v>0</v>
      </c>
      <c r="BK77" s="2">
        <f t="shared" si="53"/>
        <v>0</v>
      </c>
      <c r="BL77" s="2">
        <f t="shared" si="53"/>
        <v>0</v>
      </c>
      <c r="BM77" s="2">
        <f t="shared" si="53"/>
        <v>0</v>
      </c>
      <c r="BN77" s="2">
        <f t="shared" si="53"/>
        <v>0</v>
      </c>
      <c r="BO77" s="2">
        <f t="shared" si="53"/>
        <v>0</v>
      </c>
      <c r="BP77" s="2">
        <f t="shared" si="53"/>
        <v>0</v>
      </c>
      <c r="BQ77" s="2">
        <f t="shared" si="53"/>
        <v>0</v>
      </c>
      <c r="BR77" s="2">
        <f t="shared" si="53"/>
        <v>0</v>
      </c>
      <c r="BS77" s="2">
        <f t="shared" si="53"/>
        <v>0</v>
      </c>
      <c r="BT77" s="2">
        <f t="shared" si="53"/>
        <v>0</v>
      </c>
      <c r="BU77" s="2">
        <f t="shared" si="53"/>
        <v>0</v>
      </c>
      <c r="BV77" s="2">
        <f t="shared" si="53"/>
        <v>0</v>
      </c>
      <c r="BW77" s="2">
        <f t="shared" si="53"/>
        <v>0</v>
      </c>
      <c r="BX77" s="2">
        <f t="shared" si="53"/>
        <v>0</v>
      </c>
      <c r="BY77" s="2">
        <f t="shared" si="53"/>
        <v>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5255-DD8D-4D80-8290-E15BB20EBD30}">
  <dimension ref="A1:BY48"/>
  <sheetViews>
    <sheetView tabSelected="1" zoomScale="90" zoomScaleNormal="90" workbookViewId="0">
      <pane xSplit="1" topLeftCell="V1" activePane="topRight" state="frozen"/>
      <selection pane="topRight" activeCell="AA6" sqref="AA6"/>
    </sheetView>
  </sheetViews>
  <sheetFormatPr defaultRowHeight="15" x14ac:dyDescent="0.25"/>
  <cols>
    <col min="1" max="1" width="31.42578125" customWidth="1"/>
    <col min="2" max="31" width="12" customWidth="1"/>
    <col min="32" max="77" width="11.5703125" customWidth="1"/>
  </cols>
  <sheetData>
    <row r="1" spans="1:77" ht="31.5" x14ac:dyDescent="0.5">
      <c r="A1" s="4" t="s">
        <v>129</v>
      </c>
    </row>
    <row r="3" spans="1:77" x14ac:dyDescent="0.25">
      <c r="A3" t="s">
        <v>12</v>
      </c>
    </row>
    <row r="4" spans="1:77" x14ac:dyDescent="0.25">
      <c r="B4" s="1">
        <f>Pistol!B4</f>
        <v>44331</v>
      </c>
      <c r="C4" s="1">
        <f>Pistol!C4</f>
        <v>44332</v>
      </c>
      <c r="D4" s="1">
        <f>Pistol!D4</f>
        <v>44334</v>
      </c>
      <c r="E4" s="1">
        <f>Pistol!E4</f>
        <v>44336</v>
      </c>
      <c r="F4" s="1">
        <f>Pistol!F4</f>
        <v>44337</v>
      </c>
      <c r="G4" s="1">
        <f>Pistol!G4</f>
        <v>44338</v>
      </c>
      <c r="H4" s="1">
        <f>Pistol!H4</f>
        <v>44339</v>
      </c>
      <c r="I4" s="1">
        <f>Pistol!I4</f>
        <v>44340</v>
      </c>
      <c r="J4" s="1">
        <f>Pistol!J4</f>
        <v>44341</v>
      </c>
      <c r="K4" s="1">
        <f>Pistol!K4</f>
        <v>44342</v>
      </c>
      <c r="L4" s="1">
        <f>Pistol!L4</f>
        <v>44343</v>
      </c>
      <c r="M4" s="1">
        <f>Pistol!M4</f>
        <v>44344</v>
      </c>
      <c r="N4" s="1">
        <f>Pistol!N4</f>
        <v>44345</v>
      </c>
      <c r="O4" s="1">
        <f>Pistol!O4</f>
        <v>44346</v>
      </c>
      <c r="P4" s="1">
        <f>Pistol!P4</f>
        <v>44347</v>
      </c>
      <c r="Q4" s="1">
        <f>Pistol!Q4</f>
        <v>44348</v>
      </c>
      <c r="R4" s="1">
        <f>Pistol!R4</f>
        <v>44349</v>
      </c>
      <c r="S4" s="1">
        <f>Pistol!S4</f>
        <v>44350</v>
      </c>
      <c r="T4" s="1">
        <f>Pistol!T4</f>
        <v>44351</v>
      </c>
      <c r="U4" s="1">
        <f>Pistol!U4</f>
        <v>44352</v>
      </c>
      <c r="V4" s="1">
        <f>Pistol!V4</f>
        <v>44353</v>
      </c>
      <c r="W4" s="1">
        <f>Pistol!W4</f>
        <v>44354</v>
      </c>
      <c r="X4" s="1">
        <f>Pistol!X4</f>
        <v>44355</v>
      </c>
      <c r="Y4" s="1">
        <f>Pistol!Y4</f>
        <v>44356</v>
      </c>
      <c r="Z4" s="1">
        <f>Pistol!Z4</f>
        <v>44357</v>
      </c>
      <c r="AA4" s="1">
        <f>Pistol!AA4</f>
        <v>44358</v>
      </c>
      <c r="AB4" s="1">
        <f>Pistol!AB4</f>
        <v>44359</v>
      </c>
      <c r="AC4" s="1">
        <f>Pistol!AC4</f>
        <v>44360</v>
      </c>
      <c r="AD4" s="1">
        <f>Pistol!AD4</f>
        <v>44361</v>
      </c>
      <c r="AE4" s="1">
        <f>Pistol!AE4</f>
        <v>44362</v>
      </c>
      <c r="AF4" s="1">
        <f>Pistol!AF4</f>
        <v>44363</v>
      </c>
      <c r="AG4" s="1">
        <f>Pistol!AG4</f>
        <v>44364</v>
      </c>
      <c r="AH4" s="1">
        <f>Pistol!AH4</f>
        <v>44365</v>
      </c>
      <c r="AI4" s="1">
        <f>Pistol!AI4</f>
        <v>44366</v>
      </c>
      <c r="AJ4" s="1">
        <f>Pistol!AJ4</f>
        <v>44367</v>
      </c>
      <c r="AK4" s="1">
        <f>Pistol!AK4</f>
        <v>44368</v>
      </c>
      <c r="AL4" s="1">
        <f>Pistol!AL4</f>
        <v>44369</v>
      </c>
      <c r="AM4" s="1">
        <f>Pistol!AM4</f>
        <v>44370</v>
      </c>
      <c r="AN4" s="1">
        <f>Pistol!AN4</f>
        <v>44371</v>
      </c>
      <c r="AO4" s="1">
        <f>Pistol!AO4</f>
        <v>44372</v>
      </c>
      <c r="AP4" s="1">
        <f>Pistol!AP4</f>
        <v>44373</v>
      </c>
      <c r="AQ4" s="1">
        <f>Pistol!AQ4</f>
        <v>44374</v>
      </c>
      <c r="AR4" s="1">
        <f>Pistol!AR4</f>
        <v>44375</v>
      </c>
      <c r="AS4" s="1">
        <f>Pistol!AS4</f>
        <v>44376</v>
      </c>
      <c r="AT4" s="1">
        <f>Pistol!AT4</f>
        <v>44377</v>
      </c>
      <c r="AU4" s="1">
        <f>Pistol!AU4</f>
        <v>44378</v>
      </c>
      <c r="AV4" s="1">
        <f>Pistol!AV4</f>
        <v>44379</v>
      </c>
      <c r="AW4" s="1">
        <f>Pistol!AW4</f>
        <v>44380</v>
      </c>
      <c r="AX4" s="1">
        <f>Pistol!AX4</f>
        <v>44381</v>
      </c>
      <c r="AY4" s="1">
        <f>Pistol!AY4</f>
        <v>44382</v>
      </c>
      <c r="AZ4" s="1">
        <f>Pistol!AZ4</f>
        <v>44383</v>
      </c>
      <c r="BA4" s="1">
        <f>Pistol!BA4</f>
        <v>44384</v>
      </c>
      <c r="BB4" s="1">
        <f>Pistol!BB4</f>
        <v>44385</v>
      </c>
      <c r="BC4" s="1">
        <f>Pistol!BC4</f>
        <v>44386</v>
      </c>
      <c r="BD4" s="1">
        <f>Pistol!BD4</f>
        <v>44387</v>
      </c>
      <c r="BE4" s="1">
        <f>Pistol!BE4</f>
        <v>44388</v>
      </c>
      <c r="BF4" s="1">
        <f>Pistol!BF4</f>
        <v>44389</v>
      </c>
      <c r="BG4" s="1">
        <f>Pistol!BG4</f>
        <v>44390</v>
      </c>
      <c r="BH4" s="1">
        <f>Pistol!BH4</f>
        <v>44391</v>
      </c>
      <c r="BI4" s="1">
        <f>Pistol!BI4</f>
        <v>44392</v>
      </c>
      <c r="BJ4" s="1">
        <f>Pistol!BJ4</f>
        <v>44393</v>
      </c>
      <c r="BK4" s="1">
        <f>Pistol!BK4</f>
        <v>44394</v>
      </c>
      <c r="BL4" s="1">
        <f>Pistol!BL4</f>
        <v>44395</v>
      </c>
      <c r="BM4" s="1">
        <f>Pistol!BM4</f>
        <v>44396</v>
      </c>
      <c r="BN4" s="1">
        <f>Pistol!BN4</f>
        <v>44397</v>
      </c>
      <c r="BO4" s="1">
        <f>Pistol!BO4</f>
        <v>44398</v>
      </c>
      <c r="BP4" s="1">
        <f>Pistol!BP4</f>
        <v>44399</v>
      </c>
      <c r="BQ4" s="1">
        <f>Pistol!BQ4</f>
        <v>44400</v>
      </c>
      <c r="BR4" s="1">
        <f>Pistol!BR4</f>
        <v>44401</v>
      </c>
      <c r="BS4" s="1">
        <f>Pistol!BS4</f>
        <v>44402</v>
      </c>
      <c r="BT4" s="1">
        <f>Pistol!BT4</f>
        <v>44403</v>
      </c>
      <c r="BU4" s="1">
        <f>Pistol!BU4</f>
        <v>44404</v>
      </c>
      <c r="BV4" s="1">
        <f>Pistol!BV4</f>
        <v>44405</v>
      </c>
      <c r="BW4" s="1">
        <f>Pistol!BW4</f>
        <v>44406</v>
      </c>
      <c r="BX4" s="1">
        <f>Pistol!BX4</f>
        <v>44407</v>
      </c>
      <c r="BY4" s="1">
        <f>Pistol!BY4</f>
        <v>44408</v>
      </c>
    </row>
    <row r="5" spans="1:77" x14ac:dyDescent="0.25">
      <c r="A5" s="2" t="s">
        <v>130</v>
      </c>
      <c r="H5">
        <v>3.05</v>
      </c>
      <c r="I5">
        <v>3.02</v>
      </c>
      <c r="J5">
        <v>3.19</v>
      </c>
      <c r="K5">
        <v>2.91</v>
      </c>
      <c r="L5">
        <v>3.04</v>
      </c>
      <c r="M5">
        <v>3.11</v>
      </c>
      <c r="N5">
        <v>3.11</v>
      </c>
      <c r="O5">
        <v>3.07</v>
      </c>
      <c r="P5">
        <v>2.78</v>
      </c>
      <c r="Q5">
        <v>2.82</v>
      </c>
      <c r="R5">
        <v>3.1</v>
      </c>
      <c r="S5">
        <v>3.1</v>
      </c>
      <c r="T5">
        <v>2.9</v>
      </c>
      <c r="U5">
        <v>3.17</v>
      </c>
      <c r="V5">
        <v>3</v>
      </c>
      <c r="W5">
        <v>3.02</v>
      </c>
      <c r="X5">
        <v>2.82</v>
      </c>
      <c r="Y5">
        <v>2.72</v>
      </c>
      <c r="Z5">
        <v>2.72</v>
      </c>
      <c r="AA5">
        <v>2.72</v>
      </c>
    </row>
    <row r="6" spans="1:77" x14ac:dyDescent="0.25">
      <c r="A6" s="2" t="s">
        <v>131</v>
      </c>
      <c r="H6">
        <v>4.5599999999999996</v>
      </c>
      <c r="I6">
        <v>4.63</v>
      </c>
      <c r="J6">
        <v>4.3899999999999997</v>
      </c>
      <c r="K6">
        <v>4.79</v>
      </c>
      <c r="L6">
        <v>4.8</v>
      </c>
      <c r="M6">
        <v>4.8499999999999996</v>
      </c>
      <c r="N6">
        <v>4.79</v>
      </c>
      <c r="O6">
        <v>4.84</v>
      </c>
      <c r="P6">
        <v>4.53</v>
      </c>
      <c r="Q6">
        <v>4.6100000000000003</v>
      </c>
      <c r="R6">
        <v>4.75</v>
      </c>
      <c r="S6">
        <v>4.41</v>
      </c>
      <c r="T6">
        <v>4.34</v>
      </c>
      <c r="U6">
        <v>4.72</v>
      </c>
      <c r="V6">
        <v>4.5599999999999996</v>
      </c>
      <c r="W6">
        <v>4.72</v>
      </c>
      <c r="X6">
        <v>4.72</v>
      </c>
      <c r="Y6">
        <v>4.5999999999999996</v>
      </c>
      <c r="Z6">
        <v>4.6100000000000003</v>
      </c>
      <c r="AA6">
        <v>4.7699999999999996</v>
      </c>
    </row>
    <row r="7" spans="1:77" x14ac:dyDescent="0.25">
      <c r="A7" s="2" t="s">
        <v>146</v>
      </c>
      <c r="H7">
        <v>3.35</v>
      </c>
      <c r="I7">
        <v>3.64</v>
      </c>
      <c r="J7">
        <v>3.58</v>
      </c>
      <c r="K7">
        <v>3.53</v>
      </c>
      <c r="L7">
        <v>3.59</v>
      </c>
      <c r="M7">
        <v>3.52</v>
      </c>
      <c r="N7">
        <v>3.47</v>
      </c>
      <c r="O7">
        <v>3.36</v>
      </c>
      <c r="P7">
        <v>3.65</v>
      </c>
      <c r="Q7">
        <v>3.51</v>
      </c>
      <c r="R7">
        <v>3.6</v>
      </c>
      <c r="S7">
        <v>3.63</v>
      </c>
      <c r="T7">
        <v>3.7</v>
      </c>
      <c r="U7">
        <v>3.91</v>
      </c>
      <c r="V7">
        <v>3.46</v>
      </c>
      <c r="W7">
        <v>3.37</v>
      </c>
      <c r="X7">
        <v>3.39</v>
      </c>
      <c r="Y7">
        <v>3.46</v>
      </c>
      <c r="Z7">
        <v>3.4</v>
      </c>
      <c r="AA7">
        <v>3.15</v>
      </c>
    </row>
    <row r="8" spans="1:77" x14ac:dyDescent="0.25">
      <c r="A8" s="2" t="s">
        <v>132</v>
      </c>
      <c r="H8">
        <v>38.950000000000003</v>
      </c>
      <c r="I8">
        <v>36.61</v>
      </c>
      <c r="J8">
        <v>36.29</v>
      </c>
      <c r="K8">
        <v>39.28</v>
      </c>
      <c r="L8">
        <v>40.54</v>
      </c>
      <c r="M8">
        <v>39.83</v>
      </c>
      <c r="N8">
        <v>38.07</v>
      </c>
      <c r="O8">
        <v>40.049999999999997</v>
      </c>
      <c r="P8">
        <v>41</v>
      </c>
      <c r="Q8">
        <v>42.59</v>
      </c>
      <c r="R8">
        <v>41.24</v>
      </c>
      <c r="S8">
        <v>40.450000000000003</v>
      </c>
      <c r="T8">
        <v>39.5</v>
      </c>
      <c r="U8">
        <v>42.38</v>
      </c>
      <c r="V8">
        <v>39.64</v>
      </c>
      <c r="W8">
        <v>41.86</v>
      </c>
      <c r="X8">
        <v>44.09</v>
      </c>
      <c r="Y8">
        <v>41.93</v>
      </c>
      <c r="Z8">
        <v>42.52</v>
      </c>
      <c r="AA8">
        <v>41.49</v>
      </c>
    </row>
    <row r="9" spans="1:77" x14ac:dyDescent="0.25">
      <c r="A9" s="2" t="s">
        <v>134</v>
      </c>
      <c r="H9">
        <v>3.71</v>
      </c>
      <c r="I9">
        <v>3.54</v>
      </c>
      <c r="J9">
        <v>3.52</v>
      </c>
      <c r="K9">
        <v>3.61</v>
      </c>
      <c r="L9">
        <v>3.58</v>
      </c>
      <c r="M9">
        <v>3.65</v>
      </c>
      <c r="N9">
        <v>3.64</v>
      </c>
      <c r="O9">
        <v>3.47</v>
      </c>
      <c r="P9">
        <v>3.77</v>
      </c>
      <c r="Q9">
        <v>3.75</v>
      </c>
      <c r="R9">
        <v>3.69</v>
      </c>
      <c r="S9">
        <v>3.59</v>
      </c>
      <c r="T9">
        <v>3.48</v>
      </c>
      <c r="U9">
        <v>3.58</v>
      </c>
      <c r="V9">
        <v>3.61</v>
      </c>
      <c r="W9">
        <v>3.57</v>
      </c>
      <c r="X9">
        <v>3.33</v>
      </c>
      <c r="Y9">
        <v>3.52</v>
      </c>
      <c r="Z9">
        <v>3.35</v>
      </c>
      <c r="AA9">
        <v>3.52</v>
      </c>
    </row>
    <row r="10" spans="1:77" x14ac:dyDescent="0.25">
      <c r="A10" s="2" t="s">
        <v>133</v>
      </c>
      <c r="H10">
        <v>1.07</v>
      </c>
      <c r="I10">
        <v>1.17</v>
      </c>
      <c r="J10">
        <v>1.1000000000000001</v>
      </c>
      <c r="K10">
        <v>1.18</v>
      </c>
      <c r="L10">
        <v>1.1100000000000001</v>
      </c>
      <c r="M10">
        <v>1.06</v>
      </c>
      <c r="N10">
        <v>1.1100000000000001</v>
      </c>
      <c r="O10">
        <v>1.06</v>
      </c>
      <c r="P10">
        <v>1.1499999999999999</v>
      </c>
      <c r="Q10">
        <v>1.2</v>
      </c>
      <c r="R10">
        <v>1.0900000000000001</v>
      </c>
      <c r="S10">
        <v>1.1200000000000001</v>
      </c>
      <c r="T10">
        <v>1.1200000000000001</v>
      </c>
      <c r="U10">
        <v>1.08</v>
      </c>
      <c r="V10">
        <v>1.01</v>
      </c>
      <c r="W10">
        <v>1.01</v>
      </c>
      <c r="X10">
        <v>1.1000000000000001</v>
      </c>
      <c r="Y10">
        <v>1.1100000000000001</v>
      </c>
      <c r="Z10">
        <v>1.05</v>
      </c>
      <c r="AA10">
        <v>1.04</v>
      </c>
    </row>
    <row r="11" spans="1:77" x14ac:dyDescent="0.25">
      <c r="A11" s="2" t="s">
        <v>135</v>
      </c>
      <c r="H11">
        <v>6.22</v>
      </c>
      <c r="I11">
        <v>6.24</v>
      </c>
      <c r="J11">
        <v>6.41</v>
      </c>
      <c r="K11">
        <v>6.04</v>
      </c>
      <c r="L11">
        <v>6.51</v>
      </c>
      <c r="M11">
        <v>6.35</v>
      </c>
      <c r="N11">
        <v>5.89</v>
      </c>
      <c r="O11">
        <v>6.11</v>
      </c>
      <c r="P11">
        <v>6.27</v>
      </c>
      <c r="Q11">
        <v>6.52</v>
      </c>
      <c r="R11">
        <v>6.3</v>
      </c>
      <c r="S11">
        <v>6.39</v>
      </c>
      <c r="T11">
        <v>6.34</v>
      </c>
      <c r="U11">
        <v>6.46</v>
      </c>
      <c r="V11">
        <v>6.26</v>
      </c>
      <c r="W11">
        <v>6.29</v>
      </c>
      <c r="X11">
        <v>6.29</v>
      </c>
      <c r="Y11">
        <v>6.24</v>
      </c>
      <c r="Z11">
        <v>5.87</v>
      </c>
      <c r="AA11">
        <v>6.18</v>
      </c>
    </row>
    <row r="12" spans="1:77" x14ac:dyDescent="0.25">
      <c r="A12" s="2" t="s">
        <v>136</v>
      </c>
      <c r="H12">
        <v>10.85</v>
      </c>
      <c r="I12">
        <v>9.94</v>
      </c>
      <c r="J12">
        <v>10.85</v>
      </c>
      <c r="K12">
        <v>10.87</v>
      </c>
      <c r="L12">
        <v>10.86</v>
      </c>
      <c r="M12">
        <v>11.36</v>
      </c>
      <c r="N12">
        <v>11.61</v>
      </c>
      <c r="O12">
        <v>11.59</v>
      </c>
      <c r="P12">
        <v>11.47</v>
      </c>
      <c r="Q12">
        <v>11.23</v>
      </c>
      <c r="R12">
        <v>11.13</v>
      </c>
      <c r="S12">
        <v>11.42</v>
      </c>
      <c r="T12">
        <v>11.87</v>
      </c>
      <c r="U12">
        <v>14.44</v>
      </c>
      <c r="V12">
        <v>13.98</v>
      </c>
      <c r="W12">
        <v>12.68</v>
      </c>
      <c r="X12">
        <v>12.12</v>
      </c>
      <c r="Y12">
        <v>12.48</v>
      </c>
      <c r="Z12">
        <v>12.9</v>
      </c>
      <c r="AA12">
        <v>11.79</v>
      </c>
    </row>
    <row r="13" spans="1:77" x14ac:dyDescent="0.25">
      <c r="A13" s="2" t="s">
        <v>137</v>
      </c>
      <c r="H13">
        <v>3.38</v>
      </c>
      <c r="I13">
        <v>3.1</v>
      </c>
      <c r="J13">
        <v>3.23</v>
      </c>
      <c r="K13">
        <v>3.13</v>
      </c>
      <c r="L13">
        <v>3.24</v>
      </c>
      <c r="M13">
        <v>2.93</v>
      </c>
      <c r="N13">
        <v>2.76</v>
      </c>
      <c r="O13">
        <v>3.06</v>
      </c>
      <c r="P13">
        <v>2.93</v>
      </c>
      <c r="Q13">
        <v>2.79</v>
      </c>
      <c r="R13">
        <v>2.82</v>
      </c>
      <c r="S13">
        <v>2.81</v>
      </c>
      <c r="T13">
        <v>2.85</v>
      </c>
      <c r="U13">
        <v>2.82</v>
      </c>
      <c r="V13">
        <v>2.7</v>
      </c>
      <c r="W13">
        <v>3.12</v>
      </c>
      <c r="X13">
        <v>3.13</v>
      </c>
      <c r="Y13">
        <v>3.19</v>
      </c>
      <c r="Z13">
        <v>3.28</v>
      </c>
      <c r="AA13">
        <v>3.18</v>
      </c>
    </row>
    <row r="14" spans="1:77" x14ac:dyDescent="0.25">
      <c r="A14" s="2" t="s">
        <v>138</v>
      </c>
      <c r="H14">
        <v>18.91</v>
      </c>
      <c r="I14">
        <v>17.989999999999998</v>
      </c>
      <c r="J14">
        <v>20.02</v>
      </c>
      <c r="K14">
        <v>19.47</v>
      </c>
      <c r="L14">
        <v>19.440000000000001</v>
      </c>
      <c r="M14">
        <v>19.55</v>
      </c>
      <c r="N14">
        <v>19.579999999999998</v>
      </c>
      <c r="O14">
        <v>19.96</v>
      </c>
      <c r="P14">
        <v>18.88</v>
      </c>
      <c r="Q14">
        <v>19.25</v>
      </c>
      <c r="R14">
        <v>18.98</v>
      </c>
      <c r="S14">
        <v>18.920000000000002</v>
      </c>
      <c r="T14">
        <v>18.66</v>
      </c>
      <c r="U14">
        <v>19.93</v>
      </c>
      <c r="V14">
        <v>19.72</v>
      </c>
      <c r="W14">
        <v>17.55</v>
      </c>
      <c r="X14">
        <v>18.78</v>
      </c>
      <c r="Y14">
        <v>18.03</v>
      </c>
      <c r="Z14">
        <v>19.27</v>
      </c>
      <c r="AA14">
        <v>19.27</v>
      </c>
    </row>
    <row r="15" spans="1:77" x14ac:dyDescent="0.25">
      <c r="A15" s="2" t="s">
        <v>139</v>
      </c>
      <c r="H15">
        <v>1.1000000000000001</v>
      </c>
      <c r="I15">
        <v>1.1000000000000001</v>
      </c>
      <c r="J15">
        <v>1.1000000000000001</v>
      </c>
      <c r="K15">
        <v>1.52</v>
      </c>
      <c r="L15">
        <v>1.61</v>
      </c>
      <c r="M15">
        <v>1.41</v>
      </c>
      <c r="N15">
        <v>1.45</v>
      </c>
      <c r="O15">
        <v>1.42</v>
      </c>
      <c r="P15">
        <v>1.46</v>
      </c>
      <c r="Q15">
        <v>1.46</v>
      </c>
      <c r="R15">
        <v>1.44</v>
      </c>
      <c r="S15">
        <v>1.41</v>
      </c>
      <c r="T15">
        <v>1.42</v>
      </c>
      <c r="U15">
        <v>1.44</v>
      </c>
      <c r="V15">
        <v>1.56</v>
      </c>
      <c r="W15">
        <v>1.8</v>
      </c>
      <c r="X15">
        <v>1.8</v>
      </c>
      <c r="Y15">
        <v>1.58</v>
      </c>
      <c r="Z15">
        <v>1.8</v>
      </c>
      <c r="AA15">
        <v>1.75</v>
      </c>
    </row>
    <row r="16" spans="1:77" x14ac:dyDescent="0.25">
      <c r="A16" s="2" t="s">
        <v>140</v>
      </c>
      <c r="H16">
        <v>1.0900000000000001</v>
      </c>
      <c r="I16">
        <v>1.35</v>
      </c>
      <c r="J16">
        <v>1.28</v>
      </c>
      <c r="K16">
        <v>1.58</v>
      </c>
      <c r="L16">
        <v>1.67</v>
      </c>
      <c r="M16">
        <v>1.58</v>
      </c>
      <c r="N16">
        <v>1.53</v>
      </c>
      <c r="O16">
        <v>1.47</v>
      </c>
      <c r="P16">
        <v>1.38</v>
      </c>
      <c r="Q16">
        <v>1.4</v>
      </c>
      <c r="R16">
        <v>1.26</v>
      </c>
      <c r="S16">
        <v>1.49</v>
      </c>
      <c r="T16">
        <v>1.52</v>
      </c>
      <c r="U16">
        <v>1.56</v>
      </c>
      <c r="V16">
        <v>1.69</v>
      </c>
      <c r="W16">
        <v>1.65</v>
      </c>
      <c r="X16">
        <v>1.69</v>
      </c>
      <c r="Y16">
        <v>1.64</v>
      </c>
      <c r="Z16">
        <v>1.68</v>
      </c>
      <c r="AA16">
        <v>1.77</v>
      </c>
    </row>
    <row r="17" spans="1:77" x14ac:dyDescent="0.25">
      <c r="A17" s="2" t="s">
        <v>141</v>
      </c>
      <c r="H17">
        <v>1.26</v>
      </c>
      <c r="I17">
        <v>1.27</v>
      </c>
      <c r="J17">
        <v>1.26</v>
      </c>
      <c r="K17">
        <v>1.24</v>
      </c>
      <c r="L17">
        <v>1.26</v>
      </c>
      <c r="M17">
        <v>1.26</v>
      </c>
      <c r="N17">
        <v>1.26</v>
      </c>
      <c r="O17">
        <v>1.3</v>
      </c>
      <c r="P17">
        <v>1.33</v>
      </c>
      <c r="Q17">
        <v>1.43</v>
      </c>
      <c r="R17">
        <v>1.43</v>
      </c>
      <c r="S17">
        <v>1.39</v>
      </c>
      <c r="T17">
        <v>1.43</v>
      </c>
      <c r="U17">
        <v>1.46</v>
      </c>
      <c r="V17">
        <v>1.47</v>
      </c>
      <c r="W17">
        <v>1.43</v>
      </c>
      <c r="X17">
        <v>1.44</v>
      </c>
      <c r="Y17">
        <v>1.51</v>
      </c>
      <c r="Z17">
        <v>1.51</v>
      </c>
      <c r="AA17">
        <v>1.47</v>
      </c>
    </row>
    <row r="18" spans="1:77" x14ac:dyDescent="0.25">
      <c r="A18" s="2" t="s">
        <v>142</v>
      </c>
      <c r="H18">
        <v>3.82</v>
      </c>
      <c r="I18">
        <v>3.83</v>
      </c>
      <c r="J18">
        <v>3.77</v>
      </c>
      <c r="K18">
        <v>3.72</v>
      </c>
      <c r="L18">
        <v>3.69</v>
      </c>
      <c r="M18">
        <v>3.68</v>
      </c>
      <c r="N18">
        <v>3.68</v>
      </c>
      <c r="O18">
        <v>3.74</v>
      </c>
      <c r="P18">
        <v>3.73</v>
      </c>
      <c r="Q18">
        <v>3.64</v>
      </c>
      <c r="R18">
        <v>3.61</v>
      </c>
      <c r="S18">
        <v>3.63</v>
      </c>
      <c r="T18">
        <v>3.53</v>
      </c>
      <c r="U18">
        <v>3.58</v>
      </c>
      <c r="V18">
        <v>3.51</v>
      </c>
      <c r="W18">
        <v>3.28</v>
      </c>
      <c r="X18">
        <v>3.51</v>
      </c>
      <c r="Y18">
        <v>3.34</v>
      </c>
      <c r="Z18">
        <v>3.49</v>
      </c>
      <c r="AA18">
        <v>3.39</v>
      </c>
    </row>
    <row r="19" spans="1:77" x14ac:dyDescent="0.25">
      <c r="A19" s="2" t="s">
        <v>143</v>
      </c>
      <c r="H19">
        <v>0.5</v>
      </c>
      <c r="I19">
        <v>0.49</v>
      </c>
      <c r="J19">
        <v>0.5</v>
      </c>
      <c r="K19">
        <v>0.46</v>
      </c>
      <c r="L19">
        <v>0.47</v>
      </c>
      <c r="M19">
        <v>0.47</v>
      </c>
      <c r="N19">
        <v>0.5</v>
      </c>
      <c r="O19">
        <v>0.51</v>
      </c>
      <c r="P19">
        <v>0.47</v>
      </c>
      <c r="Q19">
        <v>0.46</v>
      </c>
      <c r="R19">
        <v>0.49</v>
      </c>
      <c r="S19">
        <v>0.5</v>
      </c>
      <c r="T19">
        <v>0.49</v>
      </c>
      <c r="U19">
        <v>0.47</v>
      </c>
      <c r="V19">
        <v>0.49</v>
      </c>
      <c r="W19">
        <v>0.49</v>
      </c>
      <c r="X19">
        <v>0.49</v>
      </c>
      <c r="Y19">
        <v>0.47</v>
      </c>
      <c r="Z19">
        <v>0.46</v>
      </c>
      <c r="AA19">
        <v>0.47</v>
      </c>
    </row>
    <row r="20" spans="1:77" x14ac:dyDescent="0.25">
      <c r="A20" s="2" t="s">
        <v>144</v>
      </c>
      <c r="H20">
        <v>0.32</v>
      </c>
      <c r="I20">
        <v>0.34</v>
      </c>
      <c r="J20">
        <v>0.32</v>
      </c>
      <c r="K20">
        <v>0.32</v>
      </c>
      <c r="L20">
        <v>0.32</v>
      </c>
      <c r="M20">
        <v>0.32</v>
      </c>
      <c r="N20">
        <v>0.3</v>
      </c>
      <c r="O20">
        <v>0.31</v>
      </c>
      <c r="P20">
        <v>0.28999999999999998</v>
      </c>
      <c r="Q20">
        <v>0.28999999999999998</v>
      </c>
      <c r="R20">
        <v>0.28000000000000003</v>
      </c>
      <c r="S20">
        <v>0.3</v>
      </c>
      <c r="T20">
        <v>0.28999999999999998</v>
      </c>
      <c r="U20">
        <v>0.28000000000000003</v>
      </c>
      <c r="V20">
        <v>0.28999999999999998</v>
      </c>
      <c r="W20">
        <v>0.26</v>
      </c>
      <c r="X20">
        <v>0.27</v>
      </c>
      <c r="Y20">
        <v>0.26</v>
      </c>
      <c r="Z20">
        <v>0.28000000000000003</v>
      </c>
      <c r="AA20">
        <v>0.27</v>
      </c>
    </row>
    <row r="21" spans="1:77" x14ac:dyDescent="0.25">
      <c r="A21" s="2" t="s">
        <v>145</v>
      </c>
      <c r="H21">
        <v>0.34</v>
      </c>
      <c r="I21">
        <v>0.3</v>
      </c>
      <c r="J21">
        <v>0.32</v>
      </c>
      <c r="K21">
        <v>0.32</v>
      </c>
      <c r="L21">
        <v>0.32</v>
      </c>
      <c r="M21">
        <v>0.31</v>
      </c>
      <c r="N21">
        <v>0.3</v>
      </c>
      <c r="O21">
        <v>0.32</v>
      </c>
      <c r="P21">
        <v>0.31</v>
      </c>
      <c r="Q21">
        <v>0.31</v>
      </c>
      <c r="R21">
        <v>0.31</v>
      </c>
      <c r="S21">
        <v>0.31</v>
      </c>
      <c r="T21">
        <v>0.28999999999999998</v>
      </c>
      <c r="U21">
        <v>0.3</v>
      </c>
      <c r="V21">
        <v>0.32</v>
      </c>
      <c r="W21">
        <v>0.31</v>
      </c>
      <c r="X21">
        <v>0.31</v>
      </c>
      <c r="Y21">
        <v>0.32</v>
      </c>
      <c r="Z21">
        <v>0.32</v>
      </c>
      <c r="AA21">
        <v>0.3</v>
      </c>
    </row>
    <row r="23" spans="1:77" x14ac:dyDescent="0.25">
      <c r="B23">
        <f>SUM(B5:B21)</f>
        <v>0</v>
      </c>
      <c r="C23">
        <f t="shared" ref="C23:L23" si="0">SUM(C5:C21)</f>
        <v>0</v>
      </c>
      <c r="D23">
        <f t="shared" si="0"/>
        <v>0</v>
      </c>
      <c r="E23">
        <f t="shared" si="0"/>
        <v>0</v>
      </c>
      <c r="F23">
        <f t="shared" si="0"/>
        <v>0</v>
      </c>
      <c r="G23">
        <f t="shared" si="0"/>
        <v>0</v>
      </c>
      <c r="H23">
        <f t="shared" si="0"/>
        <v>102.47999999999999</v>
      </c>
      <c r="I23">
        <f>SUM(I5:I21)</f>
        <v>98.559999999999974</v>
      </c>
      <c r="J23">
        <f t="shared" si="0"/>
        <v>101.12999999999998</v>
      </c>
      <c r="K23">
        <f t="shared" si="0"/>
        <v>103.96999999999997</v>
      </c>
      <c r="L23">
        <f t="shared" si="0"/>
        <v>106.04999999999998</v>
      </c>
      <c r="M23">
        <f t="shared" ref="M23:Z23" si="1">SUM(M5:M21)</f>
        <v>105.24</v>
      </c>
      <c r="N23">
        <f t="shared" si="1"/>
        <v>103.05000000000001</v>
      </c>
      <c r="O23">
        <f t="shared" si="1"/>
        <v>105.63999999999999</v>
      </c>
      <c r="P23">
        <f t="shared" si="1"/>
        <v>105.4</v>
      </c>
      <c r="Q23">
        <f t="shared" si="1"/>
        <v>107.26000000000002</v>
      </c>
      <c r="R23">
        <f t="shared" si="1"/>
        <v>105.52</v>
      </c>
      <c r="S23">
        <f t="shared" si="1"/>
        <v>104.86999999999999</v>
      </c>
      <c r="T23">
        <f t="shared" si="1"/>
        <v>103.73</v>
      </c>
      <c r="U23">
        <f t="shared" si="1"/>
        <v>111.57999999999997</v>
      </c>
      <c r="V23">
        <f t="shared" si="1"/>
        <v>107.27</v>
      </c>
      <c r="W23">
        <f t="shared" si="1"/>
        <v>106.41000000000001</v>
      </c>
      <c r="X23">
        <f t="shared" si="1"/>
        <v>109.28</v>
      </c>
      <c r="Y23">
        <f t="shared" si="1"/>
        <v>106.4</v>
      </c>
      <c r="Z23">
        <f t="shared" si="1"/>
        <v>108.50999999999999</v>
      </c>
      <c r="AA23">
        <f t="shared" ref="AA23:BY23" si="2">SUM(AA5:AA21)</f>
        <v>106.52999999999999</v>
      </c>
      <c r="AB23">
        <f t="shared" si="2"/>
        <v>0</v>
      </c>
      <c r="AC23">
        <f t="shared" si="2"/>
        <v>0</v>
      </c>
      <c r="AD23">
        <f t="shared" si="2"/>
        <v>0</v>
      </c>
      <c r="AE23">
        <f t="shared" si="2"/>
        <v>0</v>
      </c>
      <c r="AF23">
        <f t="shared" si="2"/>
        <v>0</v>
      </c>
      <c r="AG23">
        <f t="shared" si="2"/>
        <v>0</v>
      </c>
      <c r="AH23">
        <f t="shared" si="2"/>
        <v>0</v>
      </c>
      <c r="AI23">
        <f t="shared" si="2"/>
        <v>0</v>
      </c>
      <c r="AJ23">
        <f t="shared" si="2"/>
        <v>0</v>
      </c>
      <c r="AK23">
        <f t="shared" si="2"/>
        <v>0</v>
      </c>
      <c r="AL23">
        <f t="shared" si="2"/>
        <v>0</v>
      </c>
      <c r="AM23">
        <f t="shared" si="2"/>
        <v>0</v>
      </c>
      <c r="AN23">
        <f t="shared" si="2"/>
        <v>0</v>
      </c>
      <c r="AO23">
        <f t="shared" si="2"/>
        <v>0</v>
      </c>
      <c r="AP23">
        <f t="shared" si="2"/>
        <v>0</v>
      </c>
      <c r="AQ23">
        <f t="shared" si="2"/>
        <v>0</v>
      </c>
      <c r="AR23">
        <f t="shared" si="2"/>
        <v>0</v>
      </c>
      <c r="AS23">
        <f t="shared" si="2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  <c r="BB23">
        <f t="shared" si="2"/>
        <v>0</v>
      </c>
      <c r="BC23">
        <f t="shared" si="2"/>
        <v>0</v>
      </c>
      <c r="BD23">
        <f t="shared" si="2"/>
        <v>0</v>
      </c>
      <c r="BE23">
        <f t="shared" si="2"/>
        <v>0</v>
      </c>
      <c r="BF23">
        <f t="shared" si="2"/>
        <v>0</v>
      </c>
      <c r="BG23">
        <f t="shared" si="2"/>
        <v>0</v>
      </c>
      <c r="BH23">
        <f t="shared" si="2"/>
        <v>0</v>
      </c>
      <c r="BI23">
        <f t="shared" si="2"/>
        <v>0</v>
      </c>
      <c r="BJ23">
        <f t="shared" si="2"/>
        <v>0</v>
      </c>
      <c r="BK23">
        <f t="shared" si="2"/>
        <v>0</v>
      </c>
      <c r="BL23">
        <f t="shared" si="2"/>
        <v>0</v>
      </c>
      <c r="BM23">
        <f t="shared" si="2"/>
        <v>0</v>
      </c>
      <c r="BN23">
        <f t="shared" si="2"/>
        <v>0</v>
      </c>
      <c r="BO23">
        <f t="shared" si="2"/>
        <v>0</v>
      </c>
      <c r="BP23">
        <f t="shared" si="2"/>
        <v>0</v>
      </c>
      <c r="BQ23">
        <f t="shared" si="2"/>
        <v>0</v>
      </c>
      <c r="BR23">
        <f t="shared" si="2"/>
        <v>0</v>
      </c>
      <c r="BS23">
        <f t="shared" si="2"/>
        <v>0</v>
      </c>
      <c r="BT23">
        <f t="shared" si="2"/>
        <v>0</v>
      </c>
      <c r="BU23">
        <f t="shared" si="2"/>
        <v>0</v>
      </c>
      <c r="BV23">
        <f t="shared" si="2"/>
        <v>0</v>
      </c>
      <c r="BW23">
        <f t="shared" si="2"/>
        <v>0</v>
      </c>
      <c r="BX23">
        <f t="shared" si="2"/>
        <v>0</v>
      </c>
      <c r="BY23">
        <f t="shared" si="2"/>
        <v>0</v>
      </c>
    </row>
    <row r="26" spans="1:77" ht="21" x14ac:dyDescent="0.35">
      <c r="A26" s="5" t="s">
        <v>33</v>
      </c>
    </row>
    <row r="28" spans="1:77" x14ac:dyDescent="0.25">
      <c r="A28" t="s">
        <v>12</v>
      </c>
    </row>
    <row r="29" spans="1:77" x14ac:dyDescent="0.25">
      <c r="B29" s="1">
        <f>B4</f>
        <v>44331</v>
      </c>
      <c r="C29" s="1">
        <f t="shared" ref="C29:L29" si="3">C4</f>
        <v>44332</v>
      </c>
      <c r="D29" s="1">
        <f t="shared" si="3"/>
        <v>44334</v>
      </c>
      <c r="E29" s="1">
        <f t="shared" si="3"/>
        <v>44336</v>
      </c>
      <c r="F29" s="1">
        <f t="shared" si="3"/>
        <v>44337</v>
      </c>
      <c r="G29" s="1">
        <f t="shared" si="3"/>
        <v>44338</v>
      </c>
      <c r="H29" s="1">
        <f t="shared" si="3"/>
        <v>44339</v>
      </c>
      <c r="I29" s="1">
        <f t="shared" si="3"/>
        <v>44340</v>
      </c>
      <c r="J29" s="1">
        <f t="shared" si="3"/>
        <v>44341</v>
      </c>
      <c r="K29" s="1">
        <f t="shared" si="3"/>
        <v>44342</v>
      </c>
      <c r="L29" s="1">
        <f t="shared" si="3"/>
        <v>44343</v>
      </c>
      <c r="M29" s="1">
        <f t="shared" ref="M29:Z29" si="4">M4</f>
        <v>44344</v>
      </c>
      <c r="N29" s="1">
        <f t="shared" si="4"/>
        <v>44345</v>
      </c>
      <c r="O29" s="1">
        <f t="shared" si="4"/>
        <v>44346</v>
      </c>
      <c r="P29" s="1">
        <f t="shared" si="4"/>
        <v>44347</v>
      </c>
      <c r="Q29" s="1">
        <f t="shared" si="4"/>
        <v>44348</v>
      </c>
      <c r="R29" s="1">
        <f t="shared" si="4"/>
        <v>44349</v>
      </c>
      <c r="S29" s="1">
        <f t="shared" si="4"/>
        <v>44350</v>
      </c>
      <c r="T29" s="1">
        <f t="shared" si="4"/>
        <v>44351</v>
      </c>
      <c r="U29" s="1">
        <f t="shared" si="4"/>
        <v>44352</v>
      </c>
      <c r="V29" s="1">
        <f t="shared" si="4"/>
        <v>44353</v>
      </c>
      <c r="W29" s="1">
        <f t="shared" si="4"/>
        <v>44354</v>
      </c>
      <c r="X29" s="1">
        <f t="shared" si="4"/>
        <v>44355</v>
      </c>
      <c r="Y29" s="1">
        <f t="shared" si="4"/>
        <v>44356</v>
      </c>
      <c r="Z29" s="1">
        <f t="shared" si="4"/>
        <v>44357</v>
      </c>
      <c r="AA29" s="1">
        <f t="shared" ref="AA29:BY29" si="5">AA4</f>
        <v>44358</v>
      </c>
      <c r="AB29" s="1">
        <f t="shared" si="5"/>
        <v>44359</v>
      </c>
      <c r="AC29" s="1">
        <f t="shared" si="5"/>
        <v>44360</v>
      </c>
      <c r="AD29" s="1">
        <f t="shared" si="5"/>
        <v>44361</v>
      </c>
      <c r="AE29" s="1">
        <f t="shared" si="5"/>
        <v>44362</v>
      </c>
      <c r="AF29" s="1">
        <f t="shared" si="5"/>
        <v>44363</v>
      </c>
      <c r="AG29" s="1">
        <f t="shared" si="5"/>
        <v>44364</v>
      </c>
      <c r="AH29" s="1">
        <f t="shared" si="5"/>
        <v>44365</v>
      </c>
      <c r="AI29" s="1">
        <f t="shared" si="5"/>
        <v>44366</v>
      </c>
      <c r="AJ29" s="1">
        <f t="shared" si="5"/>
        <v>44367</v>
      </c>
      <c r="AK29" s="1">
        <f t="shared" si="5"/>
        <v>44368</v>
      </c>
      <c r="AL29" s="1">
        <f t="shared" si="5"/>
        <v>44369</v>
      </c>
      <c r="AM29" s="1">
        <f t="shared" si="5"/>
        <v>44370</v>
      </c>
      <c r="AN29" s="1">
        <f t="shared" si="5"/>
        <v>44371</v>
      </c>
      <c r="AO29" s="1">
        <f t="shared" si="5"/>
        <v>44372</v>
      </c>
      <c r="AP29" s="1">
        <f t="shared" si="5"/>
        <v>44373</v>
      </c>
      <c r="AQ29" s="1">
        <f t="shared" si="5"/>
        <v>44374</v>
      </c>
      <c r="AR29" s="1">
        <f t="shared" si="5"/>
        <v>44375</v>
      </c>
      <c r="AS29" s="1">
        <f t="shared" si="5"/>
        <v>44376</v>
      </c>
      <c r="AT29" s="1">
        <f t="shared" si="5"/>
        <v>44377</v>
      </c>
      <c r="AU29" s="1">
        <f t="shared" si="5"/>
        <v>44378</v>
      </c>
      <c r="AV29" s="1">
        <f t="shared" si="5"/>
        <v>44379</v>
      </c>
      <c r="AW29" s="1">
        <f t="shared" si="5"/>
        <v>44380</v>
      </c>
      <c r="AX29" s="1">
        <f t="shared" si="5"/>
        <v>44381</v>
      </c>
      <c r="AY29" s="1">
        <f t="shared" si="5"/>
        <v>44382</v>
      </c>
      <c r="AZ29" s="1">
        <f t="shared" si="5"/>
        <v>44383</v>
      </c>
      <c r="BA29" s="1">
        <f t="shared" si="5"/>
        <v>44384</v>
      </c>
      <c r="BB29" s="1">
        <f t="shared" si="5"/>
        <v>44385</v>
      </c>
      <c r="BC29" s="1">
        <f t="shared" si="5"/>
        <v>44386</v>
      </c>
      <c r="BD29" s="1">
        <f t="shared" si="5"/>
        <v>44387</v>
      </c>
      <c r="BE29" s="1">
        <f t="shared" si="5"/>
        <v>44388</v>
      </c>
      <c r="BF29" s="1">
        <f t="shared" si="5"/>
        <v>44389</v>
      </c>
      <c r="BG29" s="1">
        <f t="shared" si="5"/>
        <v>44390</v>
      </c>
      <c r="BH29" s="1">
        <f t="shared" si="5"/>
        <v>44391</v>
      </c>
      <c r="BI29" s="1">
        <f t="shared" si="5"/>
        <v>44392</v>
      </c>
      <c r="BJ29" s="1">
        <f t="shared" si="5"/>
        <v>44393</v>
      </c>
      <c r="BK29" s="1">
        <f t="shared" si="5"/>
        <v>44394</v>
      </c>
      <c r="BL29" s="1">
        <f t="shared" si="5"/>
        <v>44395</v>
      </c>
      <c r="BM29" s="1">
        <f t="shared" si="5"/>
        <v>44396</v>
      </c>
      <c r="BN29" s="1">
        <f t="shared" si="5"/>
        <v>44397</v>
      </c>
      <c r="BO29" s="1">
        <f t="shared" si="5"/>
        <v>44398</v>
      </c>
      <c r="BP29" s="1">
        <f t="shared" si="5"/>
        <v>44399</v>
      </c>
      <c r="BQ29" s="1">
        <f t="shared" si="5"/>
        <v>44400</v>
      </c>
      <c r="BR29" s="1">
        <f t="shared" si="5"/>
        <v>44401</v>
      </c>
      <c r="BS29" s="1">
        <f t="shared" si="5"/>
        <v>44402</v>
      </c>
      <c r="BT29" s="1">
        <f t="shared" si="5"/>
        <v>44403</v>
      </c>
      <c r="BU29" s="1">
        <f t="shared" si="5"/>
        <v>44404</v>
      </c>
      <c r="BV29" s="1">
        <f t="shared" si="5"/>
        <v>44405</v>
      </c>
      <c r="BW29" s="1">
        <f t="shared" si="5"/>
        <v>44406</v>
      </c>
      <c r="BX29" s="1">
        <f t="shared" si="5"/>
        <v>44407</v>
      </c>
      <c r="BY29" s="1">
        <f t="shared" si="5"/>
        <v>44408</v>
      </c>
    </row>
    <row r="30" spans="1:77" x14ac:dyDescent="0.25">
      <c r="A30" s="2" t="str">
        <f>A5</f>
        <v>SCAR-20 Cardiac FT</v>
      </c>
      <c r="B30">
        <f>ROUNDDOWN((B5-ROUNDUP(B5*0.1,2)-ROUNDUP(B5*0.05,2))*0.8,2)</f>
        <v>0</v>
      </c>
      <c r="C30">
        <f t="shared" ref="C30:H30" si="6">ROUNDDOWN((C5-ROUNDUP(C5*0.1,2)-ROUNDUP(C5*0.05,2))*0.8,2)</f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2.06</v>
      </c>
      <c r="I30">
        <f>ROUNDDOWN((I5-ROUNDUP(I5*0.1,2)-ROUNDUP(I5*0.05,2))*0.8,2)</f>
        <v>2.04</v>
      </c>
      <c r="J30">
        <f t="shared" ref="J30:L30" si="7">ROUNDDOWN((J5-ROUNDUP(J5*0.1,2)-ROUNDUP(J5*0.05,2))*0.8,2)</f>
        <v>2.16</v>
      </c>
      <c r="K30">
        <f t="shared" si="7"/>
        <v>1.96</v>
      </c>
      <c r="L30">
        <f t="shared" si="7"/>
        <v>2.0499999999999998</v>
      </c>
      <c r="M30">
        <f t="shared" ref="M30:Z30" si="8">ROUNDDOWN((M5-ROUNDUP(M5*0.1,2)-ROUNDUP(M5*0.05,2))*0.8,2)</f>
        <v>2.1</v>
      </c>
      <c r="N30">
        <f t="shared" si="8"/>
        <v>2.1</v>
      </c>
      <c r="O30">
        <f t="shared" si="8"/>
        <v>2.08</v>
      </c>
      <c r="P30">
        <f t="shared" si="8"/>
        <v>1.88</v>
      </c>
      <c r="Q30">
        <f t="shared" si="8"/>
        <v>1.9</v>
      </c>
      <c r="R30">
        <f t="shared" si="8"/>
        <v>2.1</v>
      </c>
      <c r="S30">
        <f t="shared" si="8"/>
        <v>2.1</v>
      </c>
      <c r="T30">
        <f t="shared" si="8"/>
        <v>1.96</v>
      </c>
      <c r="U30">
        <f t="shared" si="8"/>
        <v>2.15</v>
      </c>
      <c r="V30">
        <f t="shared" si="8"/>
        <v>2.04</v>
      </c>
      <c r="W30">
        <f t="shared" si="8"/>
        <v>2.04</v>
      </c>
      <c r="X30">
        <f t="shared" si="8"/>
        <v>1.9</v>
      </c>
      <c r="Y30">
        <f t="shared" si="8"/>
        <v>1.84</v>
      </c>
      <c r="Z30">
        <f t="shared" si="8"/>
        <v>1.84</v>
      </c>
      <c r="AA30">
        <f t="shared" ref="AA30:BY30" si="9">ROUNDDOWN((AA5-ROUNDUP(AA5*0.1,2)-ROUNDUP(AA5*0.05,2))*0.8,2)</f>
        <v>1.84</v>
      </c>
      <c r="AB30">
        <f t="shared" si="9"/>
        <v>0</v>
      </c>
      <c r="AC30">
        <f t="shared" si="9"/>
        <v>0</v>
      </c>
      <c r="AD30">
        <f t="shared" si="9"/>
        <v>0</v>
      </c>
      <c r="AE30">
        <f t="shared" si="9"/>
        <v>0</v>
      </c>
      <c r="AF30">
        <f t="shared" si="9"/>
        <v>0</v>
      </c>
      <c r="AG30">
        <f t="shared" si="9"/>
        <v>0</v>
      </c>
      <c r="AH30">
        <f t="shared" si="9"/>
        <v>0</v>
      </c>
      <c r="AI30">
        <f t="shared" si="9"/>
        <v>0</v>
      </c>
      <c r="AJ30">
        <f t="shared" si="9"/>
        <v>0</v>
      </c>
      <c r="AK30">
        <f t="shared" si="9"/>
        <v>0</v>
      </c>
      <c r="AL30">
        <f t="shared" si="9"/>
        <v>0</v>
      </c>
      <c r="AM30">
        <f t="shared" si="9"/>
        <v>0</v>
      </c>
      <c r="AN30">
        <f t="shared" si="9"/>
        <v>0</v>
      </c>
      <c r="AO30">
        <f t="shared" si="9"/>
        <v>0</v>
      </c>
      <c r="AP30">
        <f t="shared" si="9"/>
        <v>0</v>
      </c>
      <c r="AQ30">
        <f t="shared" si="9"/>
        <v>0</v>
      </c>
      <c r="AR30">
        <f t="shared" si="9"/>
        <v>0</v>
      </c>
      <c r="AS30">
        <f t="shared" si="9"/>
        <v>0</v>
      </c>
      <c r="AT30">
        <f t="shared" si="9"/>
        <v>0</v>
      </c>
      <c r="AU30">
        <f t="shared" si="9"/>
        <v>0</v>
      </c>
      <c r="AV30">
        <f t="shared" si="9"/>
        <v>0</v>
      </c>
      <c r="AW30">
        <f t="shared" si="9"/>
        <v>0</v>
      </c>
      <c r="AX30">
        <f t="shared" si="9"/>
        <v>0</v>
      </c>
      <c r="AY30">
        <f t="shared" si="9"/>
        <v>0</v>
      </c>
      <c r="AZ30">
        <f t="shared" si="9"/>
        <v>0</v>
      </c>
      <c r="BA30">
        <f t="shared" si="9"/>
        <v>0</v>
      </c>
      <c r="BB30">
        <f t="shared" si="9"/>
        <v>0</v>
      </c>
      <c r="BC30">
        <f t="shared" si="9"/>
        <v>0</v>
      </c>
      <c r="BD30">
        <f t="shared" si="9"/>
        <v>0</v>
      </c>
      <c r="BE30">
        <f t="shared" si="9"/>
        <v>0</v>
      </c>
      <c r="BF30">
        <f t="shared" si="9"/>
        <v>0</v>
      </c>
      <c r="BG30">
        <f t="shared" si="9"/>
        <v>0</v>
      </c>
      <c r="BH30">
        <f t="shared" si="9"/>
        <v>0</v>
      </c>
      <c r="BI30">
        <f t="shared" si="9"/>
        <v>0</v>
      </c>
      <c r="BJ30">
        <f t="shared" si="9"/>
        <v>0</v>
      </c>
      <c r="BK30">
        <f t="shared" si="9"/>
        <v>0</v>
      </c>
      <c r="BL30">
        <f t="shared" si="9"/>
        <v>0</v>
      </c>
      <c r="BM30">
        <f t="shared" si="9"/>
        <v>0</v>
      </c>
      <c r="BN30">
        <f t="shared" si="9"/>
        <v>0</v>
      </c>
      <c r="BO30">
        <f t="shared" si="9"/>
        <v>0</v>
      </c>
      <c r="BP30">
        <f t="shared" si="9"/>
        <v>0</v>
      </c>
      <c r="BQ30">
        <f t="shared" si="9"/>
        <v>0</v>
      </c>
      <c r="BR30">
        <f t="shared" si="9"/>
        <v>0</v>
      </c>
      <c r="BS30">
        <f t="shared" si="9"/>
        <v>0</v>
      </c>
      <c r="BT30">
        <f t="shared" si="9"/>
        <v>0</v>
      </c>
      <c r="BU30">
        <f t="shared" si="9"/>
        <v>0</v>
      </c>
      <c r="BV30">
        <f t="shared" si="9"/>
        <v>0</v>
      </c>
      <c r="BW30">
        <f t="shared" si="9"/>
        <v>0</v>
      </c>
      <c r="BX30">
        <f t="shared" si="9"/>
        <v>0</v>
      </c>
      <c r="BY30">
        <f t="shared" si="9"/>
        <v>0</v>
      </c>
    </row>
    <row r="31" spans="1:77" x14ac:dyDescent="0.25">
      <c r="A31" s="2" t="str">
        <f t="shared" ref="A31:A46" si="10">A6</f>
        <v>AUG Chameleon MW</v>
      </c>
      <c r="B31">
        <f t="shared" ref="B31:H46" si="11">ROUNDDOWN((B6-ROUNDUP(B6*0.1,2)-ROUNDUP(B6*0.05,2))*0.8,2)</f>
        <v>0</v>
      </c>
      <c r="C31">
        <f t="shared" si="11"/>
        <v>0</v>
      </c>
      <c r="D31">
        <f t="shared" si="11"/>
        <v>0</v>
      </c>
      <c r="E31">
        <f t="shared" si="11"/>
        <v>0</v>
      </c>
      <c r="F31">
        <f t="shared" si="11"/>
        <v>0</v>
      </c>
      <c r="G31">
        <f t="shared" si="11"/>
        <v>0</v>
      </c>
      <c r="H31">
        <f t="shared" si="11"/>
        <v>3.09</v>
      </c>
      <c r="I31">
        <f t="shared" ref="I31:L31" si="12">ROUNDDOWN((I6-ROUNDUP(I6*0.1,2)-ROUNDUP(I6*0.05,2))*0.8,2)</f>
        <v>3.13</v>
      </c>
      <c r="J31">
        <f t="shared" si="12"/>
        <v>2.98</v>
      </c>
      <c r="K31">
        <f t="shared" si="12"/>
        <v>3.25</v>
      </c>
      <c r="L31">
        <f t="shared" si="12"/>
        <v>3.26</v>
      </c>
      <c r="M31">
        <f t="shared" ref="M31:Z31" si="13">ROUNDDOWN((M6-ROUNDUP(M6*0.1,2)-ROUNDUP(M6*0.05,2))*0.8,2)</f>
        <v>3.28</v>
      </c>
      <c r="N31">
        <f t="shared" si="13"/>
        <v>3.25</v>
      </c>
      <c r="O31">
        <f t="shared" si="13"/>
        <v>3.28</v>
      </c>
      <c r="P31">
        <f t="shared" si="13"/>
        <v>3.07</v>
      </c>
      <c r="Q31">
        <f t="shared" si="13"/>
        <v>3.12</v>
      </c>
      <c r="R31">
        <f t="shared" si="13"/>
        <v>3.22</v>
      </c>
      <c r="S31">
        <f t="shared" si="13"/>
        <v>2.98</v>
      </c>
      <c r="T31">
        <f t="shared" si="13"/>
        <v>2.94</v>
      </c>
      <c r="U31">
        <f t="shared" si="13"/>
        <v>3.2</v>
      </c>
      <c r="V31">
        <f t="shared" si="13"/>
        <v>3.09</v>
      </c>
      <c r="W31">
        <f t="shared" si="13"/>
        <v>3.2</v>
      </c>
      <c r="X31">
        <f t="shared" si="13"/>
        <v>3.2</v>
      </c>
      <c r="Y31">
        <f t="shared" si="13"/>
        <v>3.12</v>
      </c>
      <c r="Z31">
        <f t="shared" si="13"/>
        <v>3.12</v>
      </c>
      <c r="AA31">
        <f t="shared" ref="AA31:BY31" si="14">ROUNDDOWN((AA6-ROUNDUP(AA6*0.1,2)-ROUNDUP(AA6*0.05,2))*0.8,2)</f>
        <v>3.24</v>
      </c>
      <c r="AB31">
        <f t="shared" si="14"/>
        <v>0</v>
      </c>
      <c r="AC31">
        <f t="shared" si="14"/>
        <v>0</v>
      </c>
      <c r="AD31">
        <f t="shared" si="14"/>
        <v>0</v>
      </c>
      <c r="AE31">
        <f t="shared" si="14"/>
        <v>0</v>
      </c>
      <c r="AF31">
        <f t="shared" si="14"/>
        <v>0</v>
      </c>
      <c r="AG31">
        <f t="shared" si="14"/>
        <v>0</v>
      </c>
      <c r="AH31">
        <f t="shared" si="14"/>
        <v>0</v>
      </c>
      <c r="AI31">
        <f t="shared" si="14"/>
        <v>0</v>
      </c>
      <c r="AJ31">
        <f t="shared" si="14"/>
        <v>0</v>
      </c>
      <c r="AK31">
        <f t="shared" si="14"/>
        <v>0</v>
      </c>
      <c r="AL31">
        <f t="shared" si="14"/>
        <v>0</v>
      </c>
      <c r="AM31">
        <f t="shared" si="14"/>
        <v>0</v>
      </c>
      <c r="AN31">
        <f t="shared" si="14"/>
        <v>0</v>
      </c>
      <c r="AO31">
        <f t="shared" si="14"/>
        <v>0</v>
      </c>
      <c r="AP31">
        <f t="shared" si="14"/>
        <v>0</v>
      </c>
      <c r="AQ31">
        <f t="shared" si="14"/>
        <v>0</v>
      </c>
      <c r="AR31">
        <f t="shared" si="14"/>
        <v>0</v>
      </c>
      <c r="AS31">
        <f t="shared" si="14"/>
        <v>0</v>
      </c>
      <c r="AT31">
        <f t="shared" si="14"/>
        <v>0</v>
      </c>
      <c r="AU31">
        <f t="shared" si="14"/>
        <v>0</v>
      </c>
      <c r="AV31">
        <f t="shared" si="14"/>
        <v>0</v>
      </c>
      <c r="AW31">
        <f t="shared" si="14"/>
        <v>0</v>
      </c>
      <c r="AX31">
        <f t="shared" si="14"/>
        <v>0</v>
      </c>
      <c r="AY31">
        <f t="shared" si="14"/>
        <v>0</v>
      </c>
      <c r="AZ31">
        <f t="shared" si="14"/>
        <v>0</v>
      </c>
      <c r="BA31">
        <f t="shared" si="14"/>
        <v>0</v>
      </c>
      <c r="BB31">
        <f t="shared" si="14"/>
        <v>0</v>
      </c>
      <c r="BC31">
        <f t="shared" si="14"/>
        <v>0</v>
      </c>
      <c r="BD31">
        <f t="shared" si="14"/>
        <v>0</v>
      </c>
      <c r="BE31">
        <f t="shared" si="14"/>
        <v>0</v>
      </c>
      <c r="BF31">
        <f t="shared" si="14"/>
        <v>0</v>
      </c>
      <c r="BG31">
        <f t="shared" si="14"/>
        <v>0</v>
      </c>
      <c r="BH31">
        <f t="shared" si="14"/>
        <v>0</v>
      </c>
      <c r="BI31">
        <f t="shared" si="14"/>
        <v>0</v>
      </c>
      <c r="BJ31">
        <f t="shared" si="14"/>
        <v>0</v>
      </c>
      <c r="BK31">
        <f t="shared" si="14"/>
        <v>0</v>
      </c>
      <c r="BL31">
        <f t="shared" si="14"/>
        <v>0</v>
      </c>
      <c r="BM31">
        <f t="shared" si="14"/>
        <v>0</v>
      </c>
      <c r="BN31">
        <f t="shared" si="14"/>
        <v>0</v>
      </c>
      <c r="BO31">
        <f t="shared" si="14"/>
        <v>0</v>
      </c>
      <c r="BP31">
        <f t="shared" si="14"/>
        <v>0</v>
      </c>
      <c r="BQ31">
        <f t="shared" si="14"/>
        <v>0</v>
      </c>
      <c r="BR31">
        <f t="shared" si="14"/>
        <v>0</v>
      </c>
      <c r="BS31">
        <f t="shared" si="14"/>
        <v>0</v>
      </c>
      <c r="BT31">
        <f t="shared" si="14"/>
        <v>0</v>
      </c>
      <c r="BU31">
        <f t="shared" si="14"/>
        <v>0</v>
      </c>
      <c r="BV31">
        <f t="shared" si="14"/>
        <v>0</v>
      </c>
      <c r="BW31">
        <f t="shared" si="14"/>
        <v>0</v>
      </c>
      <c r="BX31">
        <f t="shared" si="14"/>
        <v>0</v>
      </c>
      <c r="BY31">
        <f t="shared" si="14"/>
        <v>0</v>
      </c>
    </row>
    <row r="32" spans="1:77" x14ac:dyDescent="0.25">
      <c r="A32" s="2" t="str">
        <f t="shared" si="10"/>
        <v>Stattrak SG 553 Tiger Moth FT</v>
      </c>
      <c r="B32">
        <f t="shared" si="11"/>
        <v>0</v>
      </c>
      <c r="C32">
        <f t="shared" si="11"/>
        <v>0</v>
      </c>
      <c r="D32">
        <f t="shared" si="11"/>
        <v>0</v>
      </c>
      <c r="E32">
        <f t="shared" si="11"/>
        <v>0</v>
      </c>
      <c r="F32">
        <f t="shared" si="11"/>
        <v>0</v>
      </c>
      <c r="G32">
        <f t="shared" si="11"/>
        <v>0</v>
      </c>
      <c r="H32">
        <f t="shared" si="11"/>
        <v>2.27</v>
      </c>
      <c r="I32">
        <f t="shared" ref="I32:L32" si="15">ROUNDDOWN((I7-ROUNDUP(I7*0.1,2)-ROUNDUP(I7*0.05,2))*0.8,2)</f>
        <v>2.46</v>
      </c>
      <c r="J32">
        <f t="shared" si="15"/>
        <v>2.4300000000000002</v>
      </c>
      <c r="K32">
        <f t="shared" si="15"/>
        <v>2.39</v>
      </c>
      <c r="L32">
        <f t="shared" si="15"/>
        <v>2.44</v>
      </c>
      <c r="M32">
        <f t="shared" ref="M32:Z32" si="16">ROUNDDOWN((M7-ROUNDUP(M7*0.1,2)-ROUNDUP(M7*0.05,2))*0.8,2)</f>
        <v>2.38</v>
      </c>
      <c r="N32">
        <f t="shared" si="16"/>
        <v>2.35</v>
      </c>
      <c r="O32">
        <f t="shared" si="16"/>
        <v>2.2799999999999998</v>
      </c>
      <c r="P32">
        <f t="shared" si="16"/>
        <v>2.4700000000000002</v>
      </c>
      <c r="Q32">
        <f t="shared" si="16"/>
        <v>2.37</v>
      </c>
      <c r="R32">
        <f t="shared" si="16"/>
        <v>2.44</v>
      </c>
      <c r="S32">
        <f t="shared" si="16"/>
        <v>2.4500000000000002</v>
      </c>
      <c r="T32">
        <f t="shared" si="16"/>
        <v>2.5099999999999998</v>
      </c>
      <c r="U32">
        <f t="shared" si="16"/>
        <v>2.64</v>
      </c>
      <c r="V32">
        <f t="shared" si="16"/>
        <v>2.34</v>
      </c>
      <c r="W32">
        <f t="shared" si="16"/>
        <v>2.2799999999999998</v>
      </c>
      <c r="X32">
        <f t="shared" si="16"/>
        <v>2.2999999999999998</v>
      </c>
      <c r="Y32">
        <f t="shared" si="16"/>
        <v>2.34</v>
      </c>
      <c r="Z32">
        <f t="shared" si="16"/>
        <v>2.31</v>
      </c>
      <c r="AA32">
        <f t="shared" ref="AA32:BY32" si="17">ROUNDDOWN((AA7-ROUNDUP(AA7*0.1,2)-ROUNDUP(AA7*0.05,2))*0.8,2)</f>
        <v>2.13</v>
      </c>
      <c r="AB32">
        <f t="shared" si="17"/>
        <v>0</v>
      </c>
      <c r="AC32">
        <f t="shared" si="17"/>
        <v>0</v>
      </c>
      <c r="AD32">
        <f t="shared" si="17"/>
        <v>0</v>
      </c>
      <c r="AE32">
        <f t="shared" si="17"/>
        <v>0</v>
      </c>
      <c r="AF32">
        <f t="shared" si="17"/>
        <v>0</v>
      </c>
      <c r="AG32">
        <f t="shared" si="17"/>
        <v>0</v>
      </c>
      <c r="AH32">
        <f t="shared" si="17"/>
        <v>0</v>
      </c>
      <c r="AI32">
        <f t="shared" si="17"/>
        <v>0</v>
      </c>
      <c r="AJ32">
        <f t="shared" si="17"/>
        <v>0</v>
      </c>
      <c r="AK32">
        <f t="shared" si="17"/>
        <v>0</v>
      </c>
      <c r="AL32">
        <f t="shared" si="17"/>
        <v>0</v>
      </c>
      <c r="AM32">
        <f t="shared" si="17"/>
        <v>0</v>
      </c>
      <c r="AN32">
        <f t="shared" si="17"/>
        <v>0</v>
      </c>
      <c r="AO32">
        <f t="shared" si="17"/>
        <v>0</v>
      </c>
      <c r="AP32">
        <f t="shared" si="17"/>
        <v>0</v>
      </c>
      <c r="AQ32">
        <f t="shared" si="17"/>
        <v>0</v>
      </c>
      <c r="AR32">
        <f t="shared" si="17"/>
        <v>0</v>
      </c>
      <c r="AS32">
        <f t="shared" si="17"/>
        <v>0</v>
      </c>
      <c r="AT32">
        <f t="shared" si="17"/>
        <v>0</v>
      </c>
      <c r="AU32">
        <f t="shared" si="17"/>
        <v>0</v>
      </c>
      <c r="AV32">
        <f t="shared" si="17"/>
        <v>0</v>
      </c>
      <c r="AW32">
        <f t="shared" si="17"/>
        <v>0</v>
      </c>
      <c r="AX32">
        <f t="shared" si="17"/>
        <v>0</v>
      </c>
      <c r="AY32">
        <f t="shared" si="17"/>
        <v>0</v>
      </c>
      <c r="AZ32">
        <f t="shared" si="17"/>
        <v>0</v>
      </c>
      <c r="BA32">
        <f t="shared" si="17"/>
        <v>0</v>
      </c>
      <c r="BB32">
        <f t="shared" si="17"/>
        <v>0</v>
      </c>
      <c r="BC32">
        <f t="shared" si="17"/>
        <v>0</v>
      </c>
      <c r="BD32">
        <f t="shared" si="17"/>
        <v>0</v>
      </c>
      <c r="BE32">
        <f t="shared" si="17"/>
        <v>0</v>
      </c>
      <c r="BF32">
        <f t="shared" si="17"/>
        <v>0</v>
      </c>
      <c r="BG32">
        <f t="shared" si="17"/>
        <v>0</v>
      </c>
      <c r="BH32">
        <f t="shared" si="17"/>
        <v>0</v>
      </c>
      <c r="BI32">
        <f t="shared" si="17"/>
        <v>0</v>
      </c>
      <c r="BJ32">
        <f t="shared" si="17"/>
        <v>0</v>
      </c>
      <c r="BK32">
        <f t="shared" si="17"/>
        <v>0</v>
      </c>
      <c r="BL32">
        <f t="shared" si="17"/>
        <v>0</v>
      </c>
      <c r="BM32">
        <f t="shared" si="17"/>
        <v>0</v>
      </c>
      <c r="BN32">
        <f t="shared" si="17"/>
        <v>0</v>
      </c>
      <c r="BO32">
        <f t="shared" si="17"/>
        <v>0</v>
      </c>
      <c r="BP32">
        <f t="shared" si="17"/>
        <v>0</v>
      </c>
      <c r="BQ32">
        <f t="shared" si="17"/>
        <v>0</v>
      </c>
      <c r="BR32">
        <f t="shared" si="17"/>
        <v>0</v>
      </c>
      <c r="BS32">
        <f t="shared" si="17"/>
        <v>0</v>
      </c>
      <c r="BT32">
        <f t="shared" si="17"/>
        <v>0</v>
      </c>
      <c r="BU32">
        <f t="shared" si="17"/>
        <v>0</v>
      </c>
      <c r="BV32">
        <f t="shared" si="17"/>
        <v>0</v>
      </c>
      <c r="BW32">
        <f t="shared" si="17"/>
        <v>0</v>
      </c>
      <c r="BX32">
        <f t="shared" si="17"/>
        <v>0</v>
      </c>
      <c r="BY32">
        <f t="shared" si="17"/>
        <v>0</v>
      </c>
    </row>
    <row r="33" spans="1:77" x14ac:dyDescent="0.25">
      <c r="A33" s="2" t="str">
        <f t="shared" si="10"/>
        <v>SSG 08 Blood in the Water MW</v>
      </c>
      <c r="B33">
        <f t="shared" si="11"/>
        <v>0</v>
      </c>
      <c r="C33">
        <f t="shared" si="11"/>
        <v>0</v>
      </c>
      <c r="D33">
        <f t="shared" si="11"/>
        <v>0</v>
      </c>
      <c r="E33">
        <f t="shared" si="11"/>
        <v>0</v>
      </c>
      <c r="F33">
        <f t="shared" si="11"/>
        <v>0</v>
      </c>
      <c r="G33">
        <f t="shared" si="11"/>
        <v>0</v>
      </c>
      <c r="H33">
        <f t="shared" si="11"/>
        <v>26.48</v>
      </c>
      <c r="I33">
        <f t="shared" ref="I33:L33" si="18">ROUNDDOWN((I8-ROUNDUP(I8*0.1,2)-ROUNDUP(I8*0.05,2))*0.8,2)</f>
        <v>24.88</v>
      </c>
      <c r="J33">
        <f t="shared" si="18"/>
        <v>24.67</v>
      </c>
      <c r="K33">
        <f t="shared" si="18"/>
        <v>26.7</v>
      </c>
      <c r="L33">
        <f t="shared" si="18"/>
        <v>27.56</v>
      </c>
      <c r="M33">
        <f t="shared" ref="M33:Z33" si="19">ROUNDDOWN((M8-ROUNDUP(M8*0.1,2)-ROUNDUP(M8*0.05,2))*0.8,2)</f>
        <v>27.07</v>
      </c>
      <c r="N33">
        <f t="shared" si="19"/>
        <v>25.88</v>
      </c>
      <c r="O33">
        <f t="shared" si="19"/>
        <v>27.22</v>
      </c>
      <c r="P33">
        <f t="shared" si="19"/>
        <v>27.88</v>
      </c>
      <c r="Q33">
        <f t="shared" si="19"/>
        <v>28.96</v>
      </c>
      <c r="R33">
        <f t="shared" si="19"/>
        <v>28.03</v>
      </c>
      <c r="S33">
        <f t="shared" si="19"/>
        <v>27.49</v>
      </c>
      <c r="T33">
        <f t="shared" si="19"/>
        <v>26.85</v>
      </c>
      <c r="U33">
        <f t="shared" si="19"/>
        <v>28.81</v>
      </c>
      <c r="V33">
        <f t="shared" si="19"/>
        <v>26.94</v>
      </c>
      <c r="W33">
        <f t="shared" si="19"/>
        <v>28.45</v>
      </c>
      <c r="X33">
        <f t="shared" si="19"/>
        <v>29.97</v>
      </c>
      <c r="Y33">
        <f t="shared" si="19"/>
        <v>28.5</v>
      </c>
      <c r="Z33">
        <f t="shared" si="19"/>
        <v>28.9</v>
      </c>
      <c r="AA33">
        <f t="shared" ref="AA33:BY33" si="20">ROUNDDOWN((AA8-ROUNDUP(AA8*0.1,2)-ROUNDUP(AA8*0.05,2))*0.8,2)</f>
        <v>28.2</v>
      </c>
      <c r="AB33">
        <f t="shared" si="20"/>
        <v>0</v>
      </c>
      <c r="AC33">
        <f t="shared" si="20"/>
        <v>0</v>
      </c>
      <c r="AD33">
        <f t="shared" si="20"/>
        <v>0</v>
      </c>
      <c r="AE33">
        <f t="shared" si="20"/>
        <v>0</v>
      </c>
      <c r="AF33">
        <f t="shared" si="20"/>
        <v>0</v>
      </c>
      <c r="AG33">
        <f t="shared" si="20"/>
        <v>0</v>
      </c>
      <c r="AH33">
        <f t="shared" si="20"/>
        <v>0</v>
      </c>
      <c r="AI33">
        <f t="shared" si="20"/>
        <v>0</v>
      </c>
      <c r="AJ33">
        <f t="shared" si="20"/>
        <v>0</v>
      </c>
      <c r="AK33">
        <f t="shared" si="20"/>
        <v>0</v>
      </c>
      <c r="AL33">
        <f t="shared" si="20"/>
        <v>0</v>
      </c>
      <c r="AM33">
        <f t="shared" si="20"/>
        <v>0</v>
      </c>
      <c r="AN33">
        <f t="shared" si="20"/>
        <v>0</v>
      </c>
      <c r="AO33">
        <f t="shared" si="20"/>
        <v>0</v>
      </c>
      <c r="AP33">
        <f t="shared" si="20"/>
        <v>0</v>
      </c>
      <c r="AQ33">
        <f t="shared" si="20"/>
        <v>0</v>
      </c>
      <c r="AR33">
        <f t="shared" si="20"/>
        <v>0</v>
      </c>
      <c r="AS33">
        <f t="shared" si="20"/>
        <v>0</v>
      </c>
      <c r="AT33">
        <f t="shared" si="20"/>
        <v>0</v>
      </c>
      <c r="AU33">
        <f t="shared" si="20"/>
        <v>0</v>
      </c>
      <c r="AV33">
        <f t="shared" si="20"/>
        <v>0</v>
      </c>
      <c r="AW33">
        <f t="shared" si="20"/>
        <v>0</v>
      </c>
      <c r="AX33">
        <f t="shared" si="20"/>
        <v>0</v>
      </c>
      <c r="AY33">
        <f t="shared" si="20"/>
        <v>0</v>
      </c>
      <c r="AZ33">
        <f t="shared" si="20"/>
        <v>0</v>
      </c>
      <c r="BA33">
        <f t="shared" si="20"/>
        <v>0</v>
      </c>
      <c r="BB33">
        <f t="shared" si="20"/>
        <v>0</v>
      </c>
      <c r="BC33">
        <f t="shared" si="20"/>
        <v>0</v>
      </c>
      <c r="BD33">
        <f t="shared" si="20"/>
        <v>0</v>
      </c>
      <c r="BE33">
        <f t="shared" si="20"/>
        <v>0</v>
      </c>
      <c r="BF33">
        <f t="shared" si="20"/>
        <v>0</v>
      </c>
      <c r="BG33">
        <f t="shared" si="20"/>
        <v>0</v>
      </c>
      <c r="BH33">
        <f t="shared" si="20"/>
        <v>0</v>
      </c>
      <c r="BI33">
        <f t="shared" si="20"/>
        <v>0</v>
      </c>
      <c r="BJ33">
        <f t="shared" si="20"/>
        <v>0</v>
      </c>
      <c r="BK33">
        <f t="shared" si="20"/>
        <v>0</v>
      </c>
      <c r="BL33">
        <f t="shared" si="20"/>
        <v>0</v>
      </c>
      <c r="BM33">
        <f t="shared" si="20"/>
        <v>0</v>
      </c>
      <c r="BN33">
        <f t="shared" si="20"/>
        <v>0</v>
      </c>
      <c r="BO33">
        <f t="shared" si="20"/>
        <v>0</v>
      </c>
      <c r="BP33">
        <f t="shared" si="20"/>
        <v>0</v>
      </c>
      <c r="BQ33">
        <f t="shared" si="20"/>
        <v>0</v>
      </c>
      <c r="BR33">
        <f t="shared" si="20"/>
        <v>0</v>
      </c>
      <c r="BS33">
        <f t="shared" si="20"/>
        <v>0</v>
      </c>
      <c r="BT33">
        <f t="shared" si="20"/>
        <v>0</v>
      </c>
      <c r="BU33">
        <f t="shared" si="20"/>
        <v>0</v>
      </c>
      <c r="BV33">
        <f t="shared" si="20"/>
        <v>0</v>
      </c>
      <c r="BW33">
        <f t="shared" si="20"/>
        <v>0</v>
      </c>
      <c r="BX33">
        <f t="shared" si="20"/>
        <v>0</v>
      </c>
      <c r="BY33">
        <f t="shared" si="20"/>
        <v>0</v>
      </c>
    </row>
    <row r="34" spans="1:77" x14ac:dyDescent="0.25">
      <c r="A34" s="2" t="str">
        <f t="shared" si="10"/>
        <v>Stattrak FAMAS Valence FT</v>
      </c>
      <c r="B34">
        <f t="shared" si="11"/>
        <v>0</v>
      </c>
      <c r="C34">
        <f t="shared" si="11"/>
        <v>0</v>
      </c>
      <c r="D34">
        <f t="shared" si="11"/>
        <v>0</v>
      </c>
      <c r="E34">
        <f t="shared" si="11"/>
        <v>0</v>
      </c>
      <c r="F34">
        <f t="shared" si="11"/>
        <v>0</v>
      </c>
      <c r="G34">
        <f t="shared" si="11"/>
        <v>0</v>
      </c>
      <c r="H34">
        <f t="shared" si="11"/>
        <v>2.5099999999999998</v>
      </c>
      <c r="I34">
        <f t="shared" ref="I34:L34" si="21">ROUNDDOWN((I9-ROUNDUP(I9*0.1,2)-ROUNDUP(I9*0.05,2))*0.8,2)</f>
        <v>2.4</v>
      </c>
      <c r="J34">
        <f t="shared" si="21"/>
        <v>2.38</v>
      </c>
      <c r="K34">
        <f t="shared" si="21"/>
        <v>2.44</v>
      </c>
      <c r="L34">
        <f t="shared" si="21"/>
        <v>2.4300000000000002</v>
      </c>
      <c r="M34">
        <f t="shared" ref="M34:Z34" si="22">ROUNDDOWN((M9-ROUNDUP(M9*0.1,2)-ROUNDUP(M9*0.05,2))*0.8,2)</f>
        <v>2.4700000000000002</v>
      </c>
      <c r="N34">
        <f t="shared" si="22"/>
        <v>2.46</v>
      </c>
      <c r="O34">
        <f t="shared" si="22"/>
        <v>2.35</v>
      </c>
      <c r="P34">
        <f t="shared" si="22"/>
        <v>2.56</v>
      </c>
      <c r="Q34">
        <f t="shared" si="22"/>
        <v>2.54</v>
      </c>
      <c r="R34">
        <f t="shared" si="22"/>
        <v>2.5</v>
      </c>
      <c r="S34">
        <f t="shared" si="22"/>
        <v>2.44</v>
      </c>
      <c r="T34">
        <f t="shared" si="22"/>
        <v>2.36</v>
      </c>
      <c r="U34">
        <f t="shared" si="22"/>
        <v>2.4300000000000002</v>
      </c>
      <c r="V34">
        <f t="shared" si="22"/>
        <v>2.44</v>
      </c>
      <c r="W34">
        <f t="shared" si="22"/>
        <v>2.42</v>
      </c>
      <c r="X34">
        <f t="shared" si="22"/>
        <v>2.25</v>
      </c>
      <c r="Y34">
        <f t="shared" si="22"/>
        <v>2.38</v>
      </c>
      <c r="Z34">
        <f t="shared" si="22"/>
        <v>2.27</v>
      </c>
      <c r="AA34">
        <f t="shared" ref="AA34:BY34" si="23">ROUNDDOWN((AA9-ROUNDUP(AA9*0.1,2)-ROUNDUP(AA9*0.05,2))*0.8,2)</f>
        <v>2.38</v>
      </c>
      <c r="AB34">
        <f t="shared" si="23"/>
        <v>0</v>
      </c>
      <c r="AC34">
        <f t="shared" si="23"/>
        <v>0</v>
      </c>
      <c r="AD34">
        <f t="shared" si="23"/>
        <v>0</v>
      </c>
      <c r="AE34">
        <f t="shared" si="23"/>
        <v>0</v>
      </c>
      <c r="AF34">
        <f t="shared" si="23"/>
        <v>0</v>
      </c>
      <c r="AG34">
        <f t="shared" si="23"/>
        <v>0</v>
      </c>
      <c r="AH34">
        <f t="shared" si="23"/>
        <v>0</v>
      </c>
      <c r="AI34">
        <f t="shared" si="23"/>
        <v>0</v>
      </c>
      <c r="AJ34">
        <f t="shared" si="23"/>
        <v>0</v>
      </c>
      <c r="AK34">
        <f t="shared" si="23"/>
        <v>0</v>
      </c>
      <c r="AL34">
        <f t="shared" si="23"/>
        <v>0</v>
      </c>
      <c r="AM34">
        <f t="shared" si="23"/>
        <v>0</v>
      </c>
      <c r="AN34">
        <f t="shared" si="23"/>
        <v>0</v>
      </c>
      <c r="AO34">
        <f t="shared" si="23"/>
        <v>0</v>
      </c>
      <c r="AP34">
        <f t="shared" si="23"/>
        <v>0</v>
      </c>
      <c r="AQ34">
        <f t="shared" si="23"/>
        <v>0</v>
      </c>
      <c r="AR34">
        <f t="shared" si="23"/>
        <v>0</v>
      </c>
      <c r="AS34">
        <f t="shared" si="23"/>
        <v>0</v>
      </c>
      <c r="AT34">
        <f t="shared" si="23"/>
        <v>0</v>
      </c>
      <c r="AU34">
        <f t="shared" si="23"/>
        <v>0</v>
      </c>
      <c r="AV34">
        <f t="shared" si="23"/>
        <v>0</v>
      </c>
      <c r="AW34">
        <f t="shared" si="23"/>
        <v>0</v>
      </c>
      <c r="AX34">
        <f t="shared" si="23"/>
        <v>0</v>
      </c>
      <c r="AY34">
        <f t="shared" si="23"/>
        <v>0</v>
      </c>
      <c r="AZ34">
        <f t="shared" si="23"/>
        <v>0</v>
      </c>
      <c r="BA34">
        <f t="shared" si="23"/>
        <v>0</v>
      </c>
      <c r="BB34">
        <f t="shared" si="23"/>
        <v>0</v>
      </c>
      <c r="BC34">
        <f t="shared" si="23"/>
        <v>0</v>
      </c>
      <c r="BD34">
        <f t="shared" si="23"/>
        <v>0</v>
      </c>
      <c r="BE34">
        <f t="shared" si="23"/>
        <v>0</v>
      </c>
      <c r="BF34">
        <f t="shared" si="23"/>
        <v>0</v>
      </c>
      <c r="BG34">
        <f t="shared" si="23"/>
        <v>0</v>
      </c>
      <c r="BH34">
        <f t="shared" si="23"/>
        <v>0</v>
      </c>
      <c r="BI34">
        <f t="shared" si="23"/>
        <v>0</v>
      </c>
      <c r="BJ34">
        <f t="shared" si="23"/>
        <v>0</v>
      </c>
      <c r="BK34">
        <f t="shared" si="23"/>
        <v>0</v>
      </c>
      <c r="BL34">
        <f t="shared" si="23"/>
        <v>0</v>
      </c>
      <c r="BM34">
        <f t="shared" si="23"/>
        <v>0</v>
      </c>
      <c r="BN34">
        <f t="shared" si="23"/>
        <v>0</v>
      </c>
      <c r="BO34">
        <f t="shared" si="23"/>
        <v>0</v>
      </c>
      <c r="BP34">
        <f t="shared" si="23"/>
        <v>0</v>
      </c>
      <c r="BQ34">
        <f t="shared" si="23"/>
        <v>0</v>
      </c>
      <c r="BR34">
        <f t="shared" si="23"/>
        <v>0</v>
      </c>
      <c r="BS34">
        <f t="shared" si="23"/>
        <v>0</v>
      </c>
      <c r="BT34">
        <f t="shared" si="23"/>
        <v>0</v>
      </c>
      <c r="BU34">
        <f t="shared" si="23"/>
        <v>0</v>
      </c>
      <c r="BV34">
        <f t="shared" si="23"/>
        <v>0</v>
      </c>
      <c r="BW34">
        <f t="shared" si="23"/>
        <v>0</v>
      </c>
      <c r="BX34">
        <f t="shared" si="23"/>
        <v>0</v>
      </c>
      <c r="BY34">
        <f t="shared" si="23"/>
        <v>0</v>
      </c>
    </row>
    <row r="35" spans="1:77" x14ac:dyDescent="0.25">
      <c r="A35" s="2" t="str">
        <f t="shared" si="10"/>
        <v>G3SG1 Stinger FN</v>
      </c>
      <c r="B35">
        <f t="shared" si="11"/>
        <v>0</v>
      </c>
      <c r="C35">
        <f t="shared" si="11"/>
        <v>0</v>
      </c>
      <c r="D35">
        <f t="shared" si="11"/>
        <v>0</v>
      </c>
      <c r="E35">
        <f t="shared" si="11"/>
        <v>0</v>
      </c>
      <c r="F35">
        <f t="shared" si="11"/>
        <v>0</v>
      </c>
      <c r="G35">
        <f t="shared" si="11"/>
        <v>0</v>
      </c>
      <c r="H35">
        <f t="shared" si="11"/>
        <v>0.72</v>
      </c>
      <c r="I35">
        <f t="shared" ref="I35:L35" si="24">ROUNDDOWN((I10-ROUNDUP(I10*0.1,2)-ROUNDUP(I10*0.05,2))*0.8,2)</f>
        <v>0.79</v>
      </c>
      <c r="J35">
        <f t="shared" si="24"/>
        <v>0.74</v>
      </c>
      <c r="K35">
        <f t="shared" si="24"/>
        <v>0.8</v>
      </c>
      <c r="L35">
        <f t="shared" si="24"/>
        <v>0.74</v>
      </c>
      <c r="M35">
        <f t="shared" ref="M35:Z35" si="25">ROUNDDOWN((M10-ROUNDUP(M10*0.1,2)-ROUNDUP(M10*0.05,2))*0.8,2)</f>
        <v>0.71</v>
      </c>
      <c r="N35">
        <f t="shared" si="25"/>
        <v>0.74</v>
      </c>
      <c r="O35">
        <f t="shared" si="25"/>
        <v>0.71</v>
      </c>
      <c r="P35">
        <f t="shared" si="25"/>
        <v>0.77</v>
      </c>
      <c r="Q35">
        <f t="shared" si="25"/>
        <v>0.81</v>
      </c>
      <c r="R35">
        <f t="shared" si="25"/>
        <v>0.73</v>
      </c>
      <c r="S35">
        <f t="shared" si="25"/>
        <v>0.75</v>
      </c>
      <c r="T35">
        <f t="shared" si="25"/>
        <v>0.75</v>
      </c>
      <c r="U35">
        <f t="shared" si="25"/>
        <v>0.72</v>
      </c>
      <c r="V35">
        <f t="shared" si="25"/>
        <v>0.67</v>
      </c>
      <c r="W35">
        <f t="shared" si="25"/>
        <v>0.67</v>
      </c>
      <c r="X35">
        <f t="shared" si="25"/>
        <v>0.74</v>
      </c>
      <c r="Y35">
        <f t="shared" si="25"/>
        <v>0.74</v>
      </c>
      <c r="Z35">
        <f t="shared" si="25"/>
        <v>0.7</v>
      </c>
      <c r="AA35">
        <f t="shared" ref="AA35:BY35" si="26">ROUNDDOWN((AA10-ROUNDUP(AA10*0.1,2)-ROUNDUP(AA10*0.05,2))*0.8,2)</f>
        <v>0.69</v>
      </c>
      <c r="AB35">
        <f t="shared" si="26"/>
        <v>0</v>
      </c>
      <c r="AC35">
        <f t="shared" si="26"/>
        <v>0</v>
      </c>
      <c r="AD35">
        <f t="shared" si="26"/>
        <v>0</v>
      </c>
      <c r="AE35">
        <f t="shared" si="26"/>
        <v>0</v>
      </c>
      <c r="AF35">
        <f t="shared" si="26"/>
        <v>0</v>
      </c>
      <c r="AG35">
        <f t="shared" si="26"/>
        <v>0</v>
      </c>
      <c r="AH35">
        <f t="shared" si="26"/>
        <v>0</v>
      </c>
      <c r="AI35">
        <f t="shared" si="26"/>
        <v>0</v>
      </c>
      <c r="AJ35">
        <f t="shared" si="26"/>
        <v>0</v>
      </c>
      <c r="AK35">
        <f t="shared" si="26"/>
        <v>0</v>
      </c>
      <c r="AL35">
        <f t="shared" si="26"/>
        <v>0</v>
      </c>
      <c r="AM35">
        <f t="shared" si="26"/>
        <v>0</v>
      </c>
      <c r="AN35">
        <f t="shared" si="26"/>
        <v>0</v>
      </c>
      <c r="AO35">
        <f t="shared" si="26"/>
        <v>0</v>
      </c>
      <c r="AP35">
        <f t="shared" si="26"/>
        <v>0</v>
      </c>
      <c r="AQ35">
        <f t="shared" si="26"/>
        <v>0</v>
      </c>
      <c r="AR35">
        <f t="shared" si="26"/>
        <v>0</v>
      </c>
      <c r="AS35">
        <f t="shared" si="26"/>
        <v>0</v>
      </c>
      <c r="AT35">
        <f t="shared" si="26"/>
        <v>0</v>
      </c>
      <c r="AU35">
        <f t="shared" si="26"/>
        <v>0</v>
      </c>
      <c r="AV35">
        <f t="shared" si="26"/>
        <v>0</v>
      </c>
      <c r="AW35">
        <f t="shared" si="26"/>
        <v>0</v>
      </c>
      <c r="AX35">
        <f t="shared" si="26"/>
        <v>0</v>
      </c>
      <c r="AY35">
        <f t="shared" si="26"/>
        <v>0</v>
      </c>
      <c r="AZ35">
        <f t="shared" si="26"/>
        <v>0</v>
      </c>
      <c r="BA35">
        <f t="shared" si="26"/>
        <v>0</v>
      </c>
      <c r="BB35">
        <f t="shared" si="26"/>
        <v>0</v>
      </c>
      <c r="BC35">
        <f t="shared" si="26"/>
        <v>0</v>
      </c>
      <c r="BD35">
        <f t="shared" si="26"/>
        <v>0</v>
      </c>
      <c r="BE35">
        <f t="shared" si="26"/>
        <v>0</v>
      </c>
      <c r="BF35">
        <f t="shared" si="26"/>
        <v>0</v>
      </c>
      <c r="BG35">
        <f t="shared" si="26"/>
        <v>0</v>
      </c>
      <c r="BH35">
        <f t="shared" si="26"/>
        <v>0</v>
      </c>
      <c r="BI35">
        <f t="shared" si="26"/>
        <v>0</v>
      </c>
      <c r="BJ35">
        <f t="shared" si="26"/>
        <v>0</v>
      </c>
      <c r="BK35">
        <f t="shared" si="26"/>
        <v>0</v>
      </c>
      <c r="BL35">
        <f t="shared" si="26"/>
        <v>0</v>
      </c>
      <c r="BM35">
        <f t="shared" si="26"/>
        <v>0</v>
      </c>
      <c r="BN35">
        <f t="shared" si="26"/>
        <v>0</v>
      </c>
      <c r="BO35">
        <f t="shared" si="26"/>
        <v>0</v>
      </c>
      <c r="BP35">
        <f t="shared" si="26"/>
        <v>0</v>
      </c>
      <c r="BQ35">
        <f t="shared" si="26"/>
        <v>0</v>
      </c>
      <c r="BR35">
        <f t="shared" si="26"/>
        <v>0</v>
      </c>
      <c r="BS35">
        <f t="shared" si="26"/>
        <v>0</v>
      </c>
      <c r="BT35">
        <f t="shared" si="26"/>
        <v>0</v>
      </c>
      <c r="BU35">
        <f t="shared" si="26"/>
        <v>0</v>
      </c>
      <c r="BV35">
        <f t="shared" si="26"/>
        <v>0</v>
      </c>
      <c r="BW35">
        <f t="shared" si="26"/>
        <v>0</v>
      </c>
      <c r="BX35">
        <f t="shared" si="26"/>
        <v>0</v>
      </c>
      <c r="BY35">
        <f t="shared" si="26"/>
        <v>0</v>
      </c>
    </row>
    <row r="36" spans="1:77" x14ac:dyDescent="0.25">
      <c r="A36" s="2" t="str">
        <f t="shared" si="10"/>
        <v>FAMAS Roll Cage MW</v>
      </c>
      <c r="B36">
        <f t="shared" si="11"/>
        <v>0</v>
      </c>
      <c r="C36">
        <f t="shared" si="11"/>
        <v>0</v>
      </c>
      <c r="D36">
        <f t="shared" si="11"/>
        <v>0</v>
      </c>
      <c r="E36">
        <f t="shared" si="11"/>
        <v>0</v>
      </c>
      <c r="F36">
        <f t="shared" si="11"/>
        <v>0</v>
      </c>
      <c r="G36">
        <f t="shared" si="11"/>
        <v>0</v>
      </c>
      <c r="H36">
        <f t="shared" si="11"/>
        <v>4.21</v>
      </c>
      <c r="I36">
        <f t="shared" ref="I36:L36" si="27">ROUNDDOWN((I11-ROUNDUP(I11*0.1,2)-ROUNDUP(I11*0.05,2))*0.8,2)</f>
        <v>4.2300000000000004</v>
      </c>
      <c r="J36">
        <f t="shared" si="27"/>
        <v>4.34</v>
      </c>
      <c r="K36">
        <f t="shared" si="27"/>
        <v>4.09</v>
      </c>
      <c r="L36">
        <f t="shared" si="27"/>
        <v>4.41</v>
      </c>
      <c r="M36">
        <f t="shared" ref="M36:Z36" si="28">ROUNDDOWN((M11-ROUNDUP(M11*0.1,2)-ROUNDUP(M11*0.05,2))*0.8,2)</f>
        <v>4.3099999999999996</v>
      </c>
      <c r="N36">
        <f t="shared" si="28"/>
        <v>4</v>
      </c>
      <c r="O36">
        <f t="shared" si="28"/>
        <v>4.1399999999999997</v>
      </c>
      <c r="P36">
        <f t="shared" si="28"/>
        <v>4.25</v>
      </c>
      <c r="Q36">
        <f t="shared" si="28"/>
        <v>4.42</v>
      </c>
      <c r="R36">
        <f t="shared" si="28"/>
        <v>4.28</v>
      </c>
      <c r="S36">
        <f t="shared" si="28"/>
        <v>4.34</v>
      </c>
      <c r="T36">
        <f t="shared" si="28"/>
        <v>4.3</v>
      </c>
      <c r="U36">
        <f t="shared" si="28"/>
        <v>4.38</v>
      </c>
      <c r="V36">
        <f t="shared" si="28"/>
        <v>4.24</v>
      </c>
      <c r="W36">
        <f t="shared" si="28"/>
        <v>4.2699999999999996</v>
      </c>
      <c r="X36">
        <f t="shared" si="28"/>
        <v>4.2699999999999996</v>
      </c>
      <c r="Y36">
        <f t="shared" si="28"/>
        <v>4.2300000000000004</v>
      </c>
      <c r="Z36">
        <f t="shared" si="28"/>
        <v>3.98</v>
      </c>
      <c r="AA36">
        <f t="shared" ref="AA36:BY36" si="29">ROUNDDOWN((AA11-ROUNDUP(AA11*0.1,2)-ROUNDUP(AA11*0.05,2))*0.8,2)</f>
        <v>4.2</v>
      </c>
      <c r="AB36">
        <f t="shared" si="29"/>
        <v>0</v>
      </c>
      <c r="AC36">
        <f t="shared" si="29"/>
        <v>0</v>
      </c>
      <c r="AD36">
        <f t="shared" si="29"/>
        <v>0</v>
      </c>
      <c r="AE36">
        <f t="shared" si="29"/>
        <v>0</v>
      </c>
      <c r="AF36">
        <f t="shared" si="29"/>
        <v>0</v>
      </c>
      <c r="AG36">
        <f t="shared" si="29"/>
        <v>0</v>
      </c>
      <c r="AH36">
        <f t="shared" si="29"/>
        <v>0</v>
      </c>
      <c r="AI36">
        <f t="shared" si="29"/>
        <v>0</v>
      </c>
      <c r="AJ36">
        <f t="shared" si="29"/>
        <v>0</v>
      </c>
      <c r="AK36">
        <f t="shared" si="29"/>
        <v>0</v>
      </c>
      <c r="AL36">
        <f t="shared" si="29"/>
        <v>0</v>
      </c>
      <c r="AM36">
        <f t="shared" si="29"/>
        <v>0</v>
      </c>
      <c r="AN36">
        <f t="shared" si="29"/>
        <v>0</v>
      </c>
      <c r="AO36">
        <f t="shared" si="29"/>
        <v>0</v>
      </c>
      <c r="AP36">
        <f t="shared" si="29"/>
        <v>0</v>
      </c>
      <c r="AQ36">
        <f t="shared" si="29"/>
        <v>0</v>
      </c>
      <c r="AR36">
        <f t="shared" si="29"/>
        <v>0</v>
      </c>
      <c r="AS36">
        <f t="shared" si="29"/>
        <v>0</v>
      </c>
      <c r="AT36">
        <f t="shared" si="29"/>
        <v>0</v>
      </c>
      <c r="AU36">
        <f t="shared" si="29"/>
        <v>0</v>
      </c>
      <c r="AV36">
        <f t="shared" si="29"/>
        <v>0</v>
      </c>
      <c r="AW36">
        <f t="shared" si="29"/>
        <v>0</v>
      </c>
      <c r="AX36">
        <f t="shared" si="29"/>
        <v>0</v>
      </c>
      <c r="AY36">
        <f t="shared" si="29"/>
        <v>0</v>
      </c>
      <c r="AZ36">
        <f t="shared" si="29"/>
        <v>0</v>
      </c>
      <c r="BA36">
        <f t="shared" si="29"/>
        <v>0</v>
      </c>
      <c r="BB36">
        <f t="shared" si="29"/>
        <v>0</v>
      </c>
      <c r="BC36">
        <f t="shared" si="29"/>
        <v>0</v>
      </c>
      <c r="BD36">
        <f t="shared" si="29"/>
        <v>0</v>
      </c>
      <c r="BE36">
        <f t="shared" si="29"/>
        <v>0</v>
      </c>
      <c r="BF36">
        <f t="shared" si="29"/>
        <v>0</v>
      </c>
      <c r="BG36">
        <f t="shared" si="29"/>
        <v>0</v>
      </c>
      <c r="BH36">
        <f t="shared" si="29"/>
        <v>0</v>
      </c>
      <c r="BI36">
        <f t="shared" si="29"/>
        <v>0</v>
      </c>
      <c r="BJ36">
        <f t="shared" si="29"/>
        <v>0</v>
      </c>
      <c r="BK36">
        <f t="shared" si="29"/>
        <v>0</v>
      </c>
      <c r="BL36">
        <f t="shared" si="29"/>
        <v>0</v>
      </c>
      <c r="BM36">
        <f t="shared" si="29"/>
        <v>0</v>
      </c>
      <c r="BN36">
        <f t="shared" si="29"/>
        <v>0</v>
      </c>
      <c r="BO36">
        <f t="shared" si="29"/>
        <v>0</v>
      </c>
      <c r="BP36">
        <f t="shared" si="29"/>
        <v>0</v>
      </c>
      <c r="BQ36">
        <f t="shared" si="29"/>
        <v>0</v>
      </c>
      <c r="BR36">
        <f t="shared" si="29"/>
        <v>0</v>
      </c>
      <c r="BS36">
        <f t="shared" si="29"/>
        <v>0</v>
      </c>
      <c r="BT36">
        <f t="shared" si="29"/>
        <v>0</v>
      </c>
      <c r="BU36">
        <f t="shared" si="29"/>
        <v>0</v>
      </c>
      <c r="BV36">
        <f t="shared" si="29"/>
        <v>0</v>
      </c>
      <c r="BW36">
        <f t="shared" si="29"/>
        <v>0</v>
      </c>
      <c r="BX36">
        <f t="shared" si="29"/>
        <v>0</v>
      </c>
      <c r="BY36">
        <f t="shared" si="29"/>
        <v>0</v>
      </c>
    </row>
    <row r="37" spans="1:77" x14ac:dyDescent="0.25">
      <c r="A37" s="2" t="str">
        <f t="shared" si="10"/>
        <v>Stattrak SSG 08 Death's Head MW</v>
      </c>
      <c r="B37">
        <f t="shared" si="11"/>
        <v>0</v>
      </c>
      <c r="C37">
        <f t="shared" si="11"/>
        <v>0</v>
      </c>
      <c r="D37">
        <f t="shared" si="11"/>
        <v>0</v>
      </c>
      <c r="E37">
        <f t="shared" si="11"/>
        <v>0</v>
      </c>
      <c r="F37">
        <f t="shared" si="11"/>
        <v>0</v>
      </c>
      <c r="G37">
        <f t="shared" si="11"/>
        <v>0</v>
      </c>
      <c r="H37">
        <f t="shared" si="11"/>
        <v>7.36</v>
      </c>
      <c r="I37">
        <f t="shared" ref="I37:L37" si="30">ROUNDDOWN((I12-ROUNDUP(I12*0.1,2)-ROUNDUP(I12*0.05,2))*0.8,2)</f>
        <v>6.75</v>
      </c>
      <c r="J37">
        <f t="shared" si="30"/>
        <v>7.36</v>
      </c>
      <c r="K37">
        <f t="shared" si="30"/>
        <v>7.38</v>
      </c>
      <c r="L37">
        <f t="shared" si="30"/>
        <v>7.37</v>
      </c>
      <c r="M37">
        <f t="shared" ref="M37:Z37" si="31">ROUNDDOWN((M12-ROUNDUP(M12*0.1,2)-ROUNDUP(M12*0.05,2))*0.8,2)</f>
        <v>7.72</v>
      </c>
      <c r="N37">
        <f t="shared" si="31"/>
        <v>7.88</v>
      </c>
      <c r="O37">
        <f t="shared" si="31"/>
        <v>7.88</v>
      </c>
      <c r="P37">
        <f t="shared" si="31"/>
        <v>7.79</v>
      </c>
      <c r="Q37">
        <f t="shared" si="31"/>
        <v>7.62</v>
      </c>
      <c r="R37">
        <f t="shared" si="31"/>
        <v>7.56</v>
      </c>
      <c r="S37">
        <f t="shared" si="31"/>
        <v>7.75</v>
      </c>
      <c r="T37">
        <f t="shared" si="31"/>
        <v>8.06</v>
      </c>
      <c r="U37">
        <f t="shared" si="31"/>
        <v>9.8000000000000007</v>
      </c>
      <c r="V37">
        <f t="shared" si="31"/>
        <v>9.5</v>
      </c>
      <c r="W37">
        <f t="shared" si="31"/>
        <v>8.61</v>
      </c>
      <c r="X37">
        <f t="shared" si="31"/>
        <v>8.23</v>
      </c>
      <c r="Y37">
        <f t="shared" si="31"/>
        <v>8.48</v>
      </c>
      <c r="Z37">
        <f t="shared" si="31"/>
        <v>8.76</v>
      </c>
      <c r="AA37">
        <f t="shared" ref="AA37:BY37" si="32">ROUNDDOWN((AA12-ROUNDUP(AA12*0.1,2)-ROUNDUP(AA12*0.05,2))*0.8,2)</f>
        <v>8.01</v>
      </c>
      <c r="AB37">
        <f t="shared" si="32"/>
        <v>0</v>
      </c>
      <c r="AC37">
        <f t="shared" si="32"/>
        <v>0</v>
      </c>
      <c r="AD37">
        <f t="shared" si="32"/>
        <v>0</v>
      </c>
      <c r="AE37">
        <f t="shared" si="32"/>
        <v>0</v>
      </c>
      <c r="AF37">
        <f t="shared" si="32"/>
        <v>0</v>
      </c>
      <c r="AG37">
        <f t="shared" si="32"/>
        <v>0</v>
      </c>
      <c r="AH37">
        <f t="shared" si="32"/>
        <v>0</v>
      </c>
      <c r="AI37">
        <f t="shared" si="32"/>
        <v>0</v>
      </c>
      <c r="AJ37">
        <f t="shared" si="32"/>
        <v>0</v>
      </c>
      <c r="AK37">
        <f t="shared" si="32"/>
        <v>0</v>
      </c>
      <c r="AL37">
        <f t="shared" si="32"/>
        <v>0</v>
      </c>
      <c r="AM37">
        <f t="shared" si="32"/>
        <v>0</v>
      </c>
      <c r="AN37">
        <f t="shared" si="32"/>
        <v>0</v>
      </c>
      <c r="AO37">
        <f t="shared" si="32"/>
        <v>0</v>
      </c>
      <c r="AP37">
        <f t="shared" si="32"/>
        <v>0</v>
      </c>
      <c r="AQ37">
        <f t="shared" si="32"/>
        <v>0</v>
      </c>
      <c r="AR37">
        <f t="shared" si="32"/>
        <v>0</v>
      </c>
      <c r="AS37">
        <f t="shared" si="32"/>
        <v>0</v>
      </c>
      <c r="AT37">
        <f t="shared" si="32"/>
        <v>0</v>
      </c>
      <c r="AU37">
        <f t="shared" si="32"/>
        <v>0</v>
      </c>
      <c r="AV37">
        <f t="shared" si="32"/>
        <v>0</v>
      </c>
      <c r="AW37">
        <f t="shared" si="32"/>
        <v>0</v>
      </c>
      <c r="AX37">
        <f t="shared" si="32"/>
        <v>0</v>
      </c>
      <c r="AY37">
        <f t="shared" si="32"/>
        <v>0</v>
      </c>
      <c r="AZ37">
        <f t="shared" si="32"/>
        <v>0</v>
      </c>
      <c r="BA37">
        <f t="shared" si="32"/>
        <v>0</v>
      </c>
      <c r="BB37">
        <f t="shared" si="32"/>
        <v>0</v>
      </c>
      <c r="BC37">
        <f t="shared" si="32"/>
        <v>0</v>
      </c>
      <c r="BD37">
        <f t="shared" si="32"/>
        <v>0</v>
      </c>
      <c r="BE37">
        <f t="shared" si="32"/>
        <v>0</v>
      </c>
      <c r="BF37">
        <f t="shared" si="32"/>
        <v>0</v>
      </c>
      <c r="BG37">
        <f t="shared" si="32"/>
        <v>0</v>
      </c>
      <c r="BH37">
        <f t="shared" si="32"/>
        <v>0</v>
      </c>
      <c r="BI37">
        <f t="shared" si="32"/>
        <v>0</v>
      </c>
      <c r="BJ37">
        <f t="shared" si="32"/>
        <v>0</v>
      </c>
      <c r="BK37">
        <f t="shared" si="32"/>
        <v>0</v>
      </c>
      <c r="BL37">
        <f t="shared" si="32"/>
        <v>0</v>
      </c>
      <c r="BM37">
        <f t="shared" si="32"/>
        <v>0</v>
      </c>
      <c r="BN37">
        <f t="shared" si="32"/>
        <v>0</v>
      </c>
      <c r="BO37">
        <f t="shared" si="32"/>
        <v>0</v>
      </c>
      <c r="BP37">
        <f t="shared" si="32"/>
        <v>0</v>
      </c>
      <c r="BQ37">
        <f t="shared" si="32"/>
        <v>0</v>
      </c>
      <c r="BR37">
        <f t="shared" si="32"/>
        <v>0</v>
      </c>
      <c r="BS37">
        <f t="shared" si="32"/>
        <v>0</v>
      </c>
      <c r="BT37">
        <f t="shared" si="32"/>
        <v>0</v>
      </c>
      <c r="BU37">
        <f t="shared" si="32"/>
        <v>0</v>
      </c>
      <c r="BV37">
        <f t="shared" si="32"/>
        <v>0</v>
      </c>
      <c r="BW37">
        <f t="shared" si="32"/>
        <v>0</v>
      </c>
      <c r="BX37">
        <f t="shared" si="32"/>
        <v>0</v>
      </c>
      <c r="BY37">
        <f t="shared" si="32"/>
        <v>0</v>
      </c>
    </row>
    <row r="38" spans="1:77" x14ac:dyDescent="0.25">
      <c r="A38" s="2" t="str">
        <f t="shared" si="10"/>
        <v>Stattrak Galil AR Stone Cold FT</v>
      </c>
      <c r="B38">
        <f t="shared" si="11"/>
        <v>0</v>
      </c>
      <c r="C38">
        <f t="shared" si="11"/>
        <v>0</v>
      </c>
      <c r="D38">
        <f t="shared" si="11"/>
        <v>0</v>
      </c>
      <c r="E38">
        <f t="shared" si="11"/>
        <v>0</v>
      </c>
      <c r="F38">
        <f t="shared" si="11"/>
        <v>0</v>
      </c>
      <c r="G38">
        <f t="shared" si="11"/>
        <v>0</v>
      </c>
      <c r="H38">
        <f t="shared" si="11"/>
        <v>2.29</v>
      </c>
      <c r="I38">
        <f t="shared" ref="I38:L38" si="33">ROUNDDOWN((I13-ROUNDUP(I13*0.1,2)-ROUNDUP(I13*0.05,2))*0.8,2)</f>
        <v>2.1</v>
      </c>
      <c r="J38">
        <f t="shared" si="33"/>
        <v>2.1800000000000002</v>
      </c>
      <c r="K38">
        <f t="shared" si="33"/>
        <v>2.12</v>
      </c>
      <c r="L38">
        <f t="shared" si="33"/>
        <v>2.19</v>
      </c>
      <c r="M38">
        <f t="shared" ref="M38:Z38" si="34">ROUNDDOWN((M13-ROUNDUP(M13*0.1,2)-ROUNDUP(M13*0.05,2))*0.8,2)</f>
        <v>1.98</v>
      </c>
      <c r="N38">
        <f t="shared" si="34"/>
        <v>1.87</v>
      </c>
      <c r="O38">
        <f t="shared" si="34"/>
        <v>2.0699999999999998</v>
      </c>
      <c r="P38">
        <f t="shared" si="34"/>
        <v>1.98</v>
      </c>
      <c r="Q38">
        <f t="shared" si="34"/>
        <v>1.89</v>
      </c>
      <c r="R38">
        <f t="shared" si="34"/>
        <v>1.9</v>
      </c>
      <c r="S38">
        <f t="shared" si="34"/>
        <v>1.89</v>
      </c>
      <c r="T38">
        <f t="shared" si="34"/>
        <v>1.92</v>
      </c>
      <c r="U38">
        <f t="shared" si="34"/>
        <v>1.9</v>
      </c>
      <c r="V38">
        <f t="shared" si="34"/>
        <v>1.83</v>
      </c>
      <c r="W38">
        <f t="shared" si="34"/>
        <v>2.11</v>
      </c>
      <c r="X38">
        <f t="shared" si="34"/>
        <v>2.12</v>
      </c>
      <c r="Y38">
        <f t="shared" si="34"/>
        <v>2.16</v>
      </c>
      <c r="Z38">
        <f t="shared" si="34"/>
        <v>2.2200000000000002</v>
      </c>
      <c r="AA38">
        <f t="shared" ref="AA38:BY38" si="35">ROUNDDOWN((AA13-ROUNDUP(AA13*0.1,2)-ROUNDUP(AA13*0.05,2))*0.8,2)</f>
        <v>2.16</v>
      </c>
      <c r="AB38">
        <f t="shared" si="35"/>
        <v>0</v>
      </c>
      <c r="AC38">
        <f t="shared" si="35"/>
        <v>0</v>
      </c>
      <c r="AD38">
        <f t="shared" si="35"/>
        <v>0</v>
      </c>
      <c r="AE38">
        <f t="shared" si="35"/>
        <v>0</v>
      </c>
      <c r="AF38">
        <f t="shared" si="35"/>
        <v>0</v>
      </c>
      <c r="AG38">
        <f t="shared" si="35"/>
        <v>0</v>
      </c>
      <c r="AH38">
        <f t="shared" si="35"/>
        <v>0</v>
      </c>
      <c r="AI38">
        <f t="shared" si="35"/>
        <v>0</v>
      </c>
      <c r="AJ38">
        <f t="shared" si="35"/>
        <v>0</v>
      </c>
      <c r="AK38">
        <f t="shared" si="35"/>
        <v>0</v>
      </c>
      <c r="AL38">
        <f t="shared" si="35"/>
        <v>0</v>
      </c>
      <c r="AM38">
        <f t="shared" si="35"/>
        <v>0</v>
      </c>
      <c r="AN38">
        <f t="shared" si="35"/>
        <v>0</v>
      </c>
      <c r="AO38">
        <f t="shared" si="35"/>
        <v>0</v>
      </c>
      <c r="AP38">
        <f t="shared" si="35"/>
        <v>0</v>
      </c>
      <c r="AQ38">
        <f t="shared" si="35"/>
        <v>0</v>
      </c>
      <c r="AR38">
        <f t="shared" si="35"/>
        <v>0</v>
      </c>
      <c r="AS38">
        <f t="shared" si="35"/>
        <v>0</v>
      </c>
      <c r="AT38">
        <f t="shared" si="35"/>
        <v>0</v>
      </c>
      <c r="AU38">
        <f t="shared" si="35"/>
        <v>0</v>
      </c>
      <c r="AV38">
        <f t="shared" si="35"/>
        <v>0</v>
      </c>
      <c r="AW38">
        <f t="shared" si="35"/>
        <v>0</v>
      </c>
      <c r="AX38">
        <f t="shared" si="35"/>
        <v>0</v>
      </c>
      <c r="AY38">
        <f t="shared" si="35"/>
        <v>0</v>
      </c>
      <c r="AZ38">
        <f t="shared" si="35"/>
        <v>0</v>
      </c>
      <c r="BA38">
        <f t="shared" si="35"/>
        <v>0</v>
      </c>
      <c r="BB38">
        <f t="shared" si="35"/>
        <v>0</v>
      </c>
      <c r="BC38">
        <f t="shared" si="35"/>
        <v>0</v>
      </c>
      <c r="BD38">
        <f t="shared" si="35"/>
        <v>0</v>
      </c>
      <c r="BE38">
        <f t="shared" si="35"/>
        <v>0</v>
      </c>
      <c r="BF38">
        <f t="shared" si="35"/>
        <v>0</v>
      </c>
      <c r="BG38">
        <f t="shared" si="35"/>
        <v>0</v>
      </c>
      <c r="BH38">
        <f t="shared" si="35"/>
        <v>0</v>
      </c>
      <c r="BI38">
        <f t="shared" si="35"/>
        <v>0</v>
      </c>
      <c r="BJ38">
        <f t="shared" si="35"/>
        <v>0</v>
      </c>
      <c r="BK38">
        <f t="shared" si="35"/>
        <v>0</v>
      </c>
      <c r="BL38">
        <f t="shared" si="35"/>
        <v>0</v>
      </c>
      <c r="BM38">
        <f t="shared" si="35"/>
        <v>0</v>
      </c>
      <c r="BN38">
        <f t="shared" si="35"/>
        <v>0</v>
      </c>
      <c r="BO38">
        <f t="shared" si="35"/>
        <v>0</v>
      </c>
      <c r="BP38">
        <f t="shared" si="35"/>
        <v>0</v>
      </c>
      <c r="BQ38">
        <f t="shared" si="35"/>
        <v>0</v>
      </c>
      <c r="BR38">
        <f t="shared" si="35"/>
        <v>0</v>
      </c>
      <c r="BS38">
        <f t="shared" si="35"/>
        <v>0</v>
      </c>
      <c r="BT38">
        <f t="shared" si="35"/>
        <v>0</v>
      </c>
      <c r="BU38">
        <f t="shared" si="35"/>
        <v>0</v>
      </c>
      <c r="BV38">
        <f t="shared" si="35"/>
        <v>0</v>
      </c>
      <c r="BW38">
        <f t="shared" si="35"/>
        <v>0</v>
      </c>
      <c r="BX38">
        <f t="shared" si="35"/>
        <v>0</v>
      </c>
      <c r="BY38">
        <f t="shared" si="35"/>
        <v>0</v>
      </c>
    </row>
    <row r="39" spans="1:77" x14ac:dyDescent="0.25">
      <c r="A39" s="2" t="str">
        <f t="shared" si="10"/>
        <v>Stattrak AUG Momentum MW</v>
      </c>
      <c r="B39">
        <f t="shared" si="11"/>
        <v>0</v>
      </c>
      <c r="C39">
        <f t="shared" si="11"/>
        <v>0</v>
      </c>
      <c r="D39">
        <f t="shared" si="11"/>
        <v>0</v>
      </c>
      <c r="E39">
        <f t="shared" si="11"/>
        <v>0</v>
      </c>
      <c r="F39">
        <f t="shared" si="11"/>
        <v>0</v>
      </c>
      <c r="G39">
        <f t="shared" si="11"/>
        <v>0</v>
      </c>
      <c r="H39">
        <f t="shared" si="11"/>
        <v>12.84</v>
      </c>
      <c r="I39">
        <f t="shared" ref="I39:L39" si="36">ROUNDDOWN((I14-ROUNDUP(I14*0.1,2)-ROUNDUP(I14*0.05,2))*0.8,2)</f>
        <v>12.23</v>
      </c>
      <c r="J39">
        <f t="shared" si="36"/>
        <v>13.6</v>
      </c>
      <c r="K39">
        <f t="shared" si="36"/>
        <v>13.23</v>
      </c>
      <c r="L39">
        <f t="shared" si="36"/>
        <v>13.2</v>
      </c>
      <c r="M39">
        <f t="shared" ref="M39:Z39" si="37">ROUNDDOWN((M14-ROUNDUP(M14*0.1,2)-ROUNDUP(M14*0.05,2))*0.8,2)</f>
        <v>13.28</v>
      </c>
      <c r="N39">
        <f t="shared" si="37"/>
        <v>13.31</v>
      </c>
      <c r="O39">
        <f t="shared" si="37"/>
        <v>13.56</v>
      </c>
      <c r="P39">
        <f t="shared" si="37"/>
        <v>12.83</v>
      </c>
      <c r="Q39">
        <f t="shared" si="37"/>
        <v>13.08</v>
      </c>
      <c r="R39">
        <f t="shared" si="37"/>
        <v>12.9</v>
      </c>
      <c r="S39">
        <f t="shared" si="37"/>
        <v>12.85</v>
      </c>
      <c r="T39">
        <f t="shared" si="37"/>
        <v>12.68</v>
      </c>
      <c r="U39">
        <f t="shared" si="37"/>
        <v>13.54</v>
      </c>
      <c r="V39">
        <f t="shared" si="37"/>
        <v>13.4</v>
      </c>
      <c r="W39">
        <f t="shared" si="37"/>
        <v>11.92</v>
      </c>
      <c r="X39">
        <f t="shared" si="37"/>
        <v>12.76</v>
      </c>
      <c r="Y39">
        <f t="shared" si="37"/>
        <v>12.24</v>
      </c>
      <c r="Z39">
        <f t="shared" si="37"/>
        <v>13.09</v>
      </c>
      <c r="AA39">
        <f t="shared" ref="AA39:BY39" si="38">ROUNDDOWN((AA14-ROUNDUP(AA14*0.1,2)-ROUNDUP(AA14*0.05,2))*0.8,2)</f>
        <v>13.09</v>
      </c>
      <c r="AB39">
        <f t="shared" si="38"/>
        <v>0</v>
      </c>
      <c r="AC39">
        <f t="shared" si="38"/>
        <v>0</v>
      </c>
      <c r="AD39">
        <f t="shared" si="38"/>
        <v>0</v>
      </c>
      <c r="AE39">
        <f t="shared" si="38"/>
        <v>0</v>
      </c>
      <c r="AF39">
        <f t="shared" si="38"/>
        <v>0</v>
      </c>
      <c r="AG39">
        <f t="shared" si="38"/>
        <v>0</v>
      </c>
      <c r="AH39">
        <f t="shared" si="38"/>
        <v>0</v>
      </c>
      <c r="AI39">
        <f t="shared" si="38"/>
        <v>0</v>
      </c>
      <c r="AJ39">
        <f t="shared" si="38"/>
        <v>0</v>
      </c>
      <c r="AK39">
        <f t="shared" si="38"/>
        <v>0</v>
      </c>
      <c r="AL39">
        <f t="shared" si="38"/>
        <v>0</v>
      </c>
      <c r="AM39">
        <f t="shared" si="38"/>
        <v>0</v>
      </c>
      <c r="AN39">
        <f t="shared" si="38"/>
        <v>0</v>
      </c>
      <c r="AO39">
        <f t="shared" si="38"/>
        <v>0</v>
      </c>
      <c r="AP39">
        <f t="shared" si="38"/>
        <v>0</v>
      </c>
      <c r="AQ39">
        <f t="shared" si="38"/>
        <v>0</v>
      </c>
      <c r="AR39">
        <f t="shared" si="38"/>
        <v>0</v>
      </c>
      <c r="AS39">
        <f t="shared" si="38"/>
        <v>0</v>
      </c>
      <c r="AT39">
        <f t="shared" si="38"/>
        <v>0</v>
      </c>
      <c r="AU39">
        <f t="shared" si="38"/>
        <v>0</v>
      </c>
      <c r="AV39">
        <f t="shared" si="38"/>
        <v>0</v>
      </c>
      <c r="AW39">
        <f t="shared" si="38"/>
        <v>0</v>
      </c>
      <c r="AX39">
        <f t="shared" si="38"/>
        <v>0</v>
      </c>
      <c r="AY39">
        <f t="shared" si="38"/>
        <v>0</v>
      </c>
      <c r="AZ39">
        <f t="shared" si="38"/>
        <v>0</v>
      </c>
      <c r="BA39">
        <f t="shared" si="38"/>
        <v>0</v>
      </c>
      <c r="BB39">
        <f t="shared" si="38"/>
        <v>0</v>
      </c>
      <c r="BC39">
        <f t="shared" si="38"/>
        <v>0</v>
      </c>
      <c r="BD39">
        <f t="shared" si="38"/>
        <v>0</v>
      </c>
      <c r="BE39">
        <f t="shared" si="38"/>
        <v>0</v>
      </c>
      <c r="BF39">
        <f t="shared" si="38"/>
        <v>0</v>
      </c>
      <c r="BG39">
        <f t="shared" si="38"/>
        <v>0</v>
      </c>
      <c r="BH39">
        <f t="shared" si="38"/>
        <v>0</v>
      </c>
      <c r="BI39">
        <f t="shared" si="38"/>
        <v>0</v>
      </c>
      <c r="BJ39">
        <f t="shared" si="38"/>
        <v>0</v>
      </c>
      <c r="BK39">
        <f t="shared" si="38"/>
        <v>0</v>
      </c>
      <c r="BL39">
        <f t="shared" si="38"/>
        <v>0</v>
      </c>
      <c r="BM39">
        <f t="shared" si="38"/>
        <v>0</v>
      </c>
      <c r="BN39">
        <f t="shared" si="38"/>
        <v>0</v>
      </c>
      <c r="BO39">
        <f t="shared" si="38"/>
        <v>0</v>
      </c>
      <c r="BP39">
        <f t="shared" si="38"/>
        <v>0</v>
      </c>
      <c r="BQ39">
        <f t="shared" si="38"/>
        <v>0</v>
      </c>
      <c r="BR39">
        <f t="shared" si="38"/>
        <v>0</v>
      </c>
      <c r="BS39">
        <f t="shared" si="38"/>
        <v>0</v>
      </c>
      <c r="BT39">
        <f t="shared" si="38"/>
        <v>0</v>
      </c>
      <c r="BU39">
        <f t="shared" si="38"/>
        <v>0</v>
      </c>
      <c r="BV39">
        <f t="shared" si="38"/>
        <v>0</v>
      </c>
      <c r="BW39">
        <f t="shared" si="38"/>
        <v>0</v>
      </c>
      <c r="BX39">
        <f t="shared" si="38"/>
        <v>0</v>
      </c>
      <c r="BY39">
        <f t="shared" si="38"/>
        <v>0</v>
      </c>
    </row>
    <row r="40" spans="1:77" x14ac:dyDescent="0.25">
      <c r="A40" s="2" t="str">
        <f t="shared" si="10"/>
        <v>Galil AR Tornado BS</v>
      </c>
      <c r="B40">
        <f t="shared" si="11"/>
        <v>0</v>
      </c>
      <c r="C40">
        <f t="shared" si="11"/>
        <v>0</v>
      </c>
      <c r="D40">
        <f t="shared" si="11"/>
        <v>0</v>
      </c>
      <c r="E40">
        <f t="shared" si="11"/>
        <v>0</v>
      </c>
      <c r="F40">
        <f t="shared" si="11"/>
        <v>0</v>
      </c>
      <c r="G40">
        <f t="shared" si="11"/>
        <v>0</v>
      </c>
      <c r="H40">
        <f t="shared" si="11"/>
        <v>0.74</v>
      </c>
      <c r="I40">
        <f t="shared" ref="I40:L40" si="39">ROUNDDOWN((I15-ROUNDUP(I15*0.1,2)-ROUNDUP(I15*0.05,2))*0.8,2)</f>
        <v>0.74</v>
      </c>
      <c r="J40">
        <f t="shared" si="39"/>
        <v>0.74</v>
      </c>
      <c r="K40">
        <f t="shared" si="39"/>
        <v>1.02</v>
      </c>
      <c r="L40">
        <f t="shared" si="39"/>
        <v>1.08</v>
      </c>
      <c r="M40">
        <f t="shared" ref="M40:Z40" si="40">ROUNDDOWN((M15-ROUNDUP(M15*0.1,2)-ROUNDUP(M15*0.05,2))*0.8,2)</f>
        <v>0.94</v>
      </c>
      <c r="N40">
        <f t="shared" si="40"/>
        <v>0.97</v>
      </c>
      <c r="O40">
        <f t="shared" si="40"/>
        <v>0.95</v>
      </c>
      <c r="P40">
        <f t="shared" si="40"/>
        <v>0.98</v>
      </c>
      <c r="Q40">
        <f t="shared" si="40"/>
        <v>0.98</v>
      </c>
      <c r="R40">
        <f t="shared" si="40"/>
        <v>0.96</v>
      </c>
      <c r="S40">
        <f t="shared" si="40"/>
        <v>0.94</v>
      </c>
      <c r="T40">
        <f t="shared" si="40"/>
        <v>0.95</v>
      </c>
      <c r="U40">
        <f t="shared" si="40"/>
        <v>0.96</v>
      </c>
      <c r="V40">
        <f t="shared" si="40"/>
        <v>1.05</v>
      </c>
      <c r="W40">
        <f t="shared" si="40"/>
        <v>1.22</v>
      </c>
      <c r="X40">
        <f t="shared" si="40"/>
        <v>1.22</v>
      </c>
      <c r="Y40">
        <f t="shared" si="40"/>
        <v>1.07</v>
      </c>
      <c r="Z40">
        <f t="shared" si="40"/>
        <v>1.22</v>
      </c>
      <c r="AA40">
        <f t="shared" ref="AA40:BY40" si="41">ROUNDDOWN((AA15-ROUNDUP(AA15*0.1,2)-ROUNDUP(AA15*0.05,2))*0.8,2)</f>
        <v>1.18</v>
      </c>
      <c r="AB40">
        <f t="shared" si="41"/>
        <v>0</v>
      </c>
      <c r="AC40">
        <f t="shared" si="41"/>
        <v>0</v>
      </c>
      <c r="AD40">
        <f t="shared" si="41"/>
        <v>0</v>
      </c>
      <c r="AE40">
        <f t="shared" si="41"/>
        <v>0</v>
      </c>
      <c r="AF40">
        <f t="shared" si="41"/>
        <v>0</v>
      </c>
      <c r="AG40">
        <f t="shared" si="41"/>
        <v>0</v>
      </c>
      <c r="AH40">
        <f t="shared" si="41"/>
        <v>0</v>
      </c>
      <c r="AI40">
        <f t="shared" si="41"/>
        <v>0</v>
      </c>
      <c r="AJ40">
        <f t="shared" si="41"/>
        <v>0</v>
      </c>
      <c r="AK40">
        <f t="shared" si="41"/>
        <v>0</v>
      </c>
      <c r="AL40">
        <f t="shared" si="41"/>
        <v>0</v>
      </c>
      <c r="AM40">
        <f t="shared" si="41"/>
        <v>0</v>
      </c>
      <c r="AN40">
        <f t="shared" si="41"/>
        <v>0</v>
      </c>
      <c r="AO40">
        <f t="shared" si="41"/>
        <v>0</v>
      </c>
      <c r="AP40">
        <f t="shared" si="41"/>
        <v>0</v>
      </c>
      <c r="AQ40">
        <f t="shared" si="41"/>
        <v>0</v>
      </c>
      <c r="AR40">
        <f t="shared" si="41"/>
        <v>0</v>
      </c>
      <c r="AS40">
        <f t="shared" si="41"/>
        <v>0</v>
      </c>
      <c r="AT40">
        <f t="shared" si="41"/>
        <v>0</v>
      </c>
      <c r="AU40">
        <f t="shared" si="41"/>
        <v>0</v>
      </c>
      <c r="AV40">
        <f t="shared" si="41"/>
        <v>0</v>
      </c>
      <c r="AW40">
        <f t="shared" si="41"/>
        <v>0</v>
      </c>
      <c r="AX40">
        <f t="shared" si="41"/>
        <v>0</v>
      </c>
      <c r="AY40">
        <f t="shared" si="41"/>
        <v>0</v>
      </c>
      <c r="AZ40">
        <f t="shared" si="41"/>
        <v>0</v>
      </c>
      <c r="BA40">
        <f t="shared" si="41"/>
        <v>0</v>
      </c>
      <c r="BB40">
        <f t="shared" si="41"/>
        <v>0</v>
      </c>
      <c r="BC40">
        <f t="shared" si="41"/>
        <v>0</v>
      </c>
      <c r="BD40">
        <f t="shared" si="41"/>
        <v>0</v>
      </c>
      <c r="BE40">
        <f t="shared" si="41"/>
        <v>0</v>
      </c>
      <c r="BF40">
        <f t="shared" si="41"/>
        <v>0</v>
      </c>
      <c r="BG40">
        <f t="shared" si="41"/>
        <v>0</v>
      </c>
      <c r="BH40">
        <f t="shared" si="41"/>
        <v>0</v>
      </c>
      <c r="BI40">
        <f t="shared" si="41"/>
        <v>0</v>
      </c>
      <c r="BJ40">
        <f t="shared" si="41"/>
        <v>0</v>
      </c>
      <c r="BK40">
        <f t="shared" si="41"/>
        <v>0</v>
      </c>
      <c r="BL40">
        <f t="shared" si="41"/>
        <v>0</v>
      </c>
      <c r="BM40">
        <f t="shared" si="41"/>
        <v>0</v>
      </c>
      <c r="BN40">
        <f t="shared" si="41"/>
        <v>0</v>
      </c>
      <c r="BO40">
        <f t="shared" si="41"/>
        <v>0</v>
      </c>
      <c r="BP40">
        <f t="shared" si="41"/>
        <v>0</v>
      </c>
      <c r="BQ40">
        <f t="shared" si="41"/>
        <v>0</v>
      </c>
      <c r="BR40">
        <f t="shared" si="41"/>
        <v>0</v>
      </c>
      <c r="BS40">
        <f t="shared" si="41"/>
        <v>0</v>
      </c>
      <c r="BT40">
        <f t="shared" si="41"/>
        <v>0</v>
      </c>
      <c r="BU40">
        <f t="shared" si="41"/>
        <v>0</v>
      </c>
      <c r="BV40">
        <f t="shared" si="41"/>
        <v>0</v>
      </c>
      <c r="BW40">
        <f t="shared" si="41"/>
        <v>0</v>
      </c>
      <c r="BX40">
        <f t="shared" si="41"/>
        <v>0</v>
      </c>
      <c r="BY40">
        <f t="shared" si="41"/>
        <v>0</v>
      </c>
    </row>
    <row r="41" spans="1:77" x14ac:dyDescent="0.25">
      <c r="A41" s="2" t="str">
        <f t="shared" si="10"/>
        <v>FAMAS Night Borre FT</v>
      </c>
      <c r="B41">
        <f t="shared" si="11"/>
        <v>0</v>
      </c>
      <c r="C41">
        <f t="shared" si="11"/>
        <v>0</v>
      </c>
      <c r="D41">
        <f t="shared" si="11"/>
        <v>0</v>
      </c>
      <c r="E41">
        <f t="shared" si="11"/>
        <v>0</v>
      </c>
      <c r="F41">
        <f t="shared" si="11"/>
        <v>0</v>
      </c>
      <c r="G41">
        <f t="shared" si="11"/>
        <v>0</v>
      </c>
      <c r="H41">
        <f t="shared" si="11"/>
        <v>0.73</v>
      </c>
      <c r="I41">
        <f t="shared" ref="I41:L41" si="42">ROUNDDOWN((I16-ROUNDUP(I16*0.1,2)-ROUNDUP(I16*0.05,2))*0.8,2)</f>
        <v>0.91</v>
      </c>
      <c r="J41">
        <f t="shared" si="42"/>
        <v>0.86</v>
      </c>
      <c r="K41">
        <f t="shared" si="42"/>
        <v>1.07</v>
      </c>
      <c r="L41">
        <f t="shared" si="42"/>
        <v>1.1200000000000001</v>
      </c>
      <c r="M41">
        <f t="shared" ref="M41:Z41" si="43">ROUNDDOWN((M16-ROUNDUP(M16*0.1,2)-ROUNDUP(M16*0.05,2))*0.8,2)</f>
        <v>1.07</v>
      </c>
      <c r="N41">
        <f t="shared" si="43"/>
        <v>1.03</v>
      </c>
      <c r="O41">
        <f t="shared" si="43"/>
        <v>0.99</v>
      </c>
      <c r="P41">
        <f t="shared" si="43"/>
        <v>0.93</v>
      </c>
      <c r="Q41">
        <f t="shared" si="43"/>
        <v>0.95</v>
      </c>
      <c r="R41">
        <f t="shared" si="43"/>
        <v>0.84</v>
      </c>
      <c r="S41">
        <f t="shared" si="43"/>
        <v>1</v>
      </c>
      <c r="T41">
        <f t="shared" si="43"/>
        <v>1.02</v>
      </c>
      <c r="U41">
        <f t="shared" si="43"/>
        <v>1.05</v>
      </c>
      <c r="V41">
        <f t="shared" si="43"/>
        <v>1.1399999999999999</v>
      </c>
      <c r="W41">
        <f t="shared" si="43"/>
        <v>1.1100000000000001</v>
      </c>
      <c r="X41">
        <f t="shared" si="43"/>
        <v>1.1399999999999999</v>
      </c>
      <c r="Y41">
        <f t="shared" si="43"/>
        <v>1.1000000000000001</v>
      </c>
      <c r="Z41">
        <f t="shared" si="43"/>
        <v>1.1299999999999999</v>
      </c>
      <c r="AA41">
        <f t="shared" ref="AA41:BY41" si="44">ROUNDDOWN((AA16-ROUNDUP(AA16*0.1,2)-ROUNDUP(AA16*0.05,2))*0.8,2)</f>
        <v>1.2</v>
      </c>
      <c r="AB41">
        <f t="shared" si="44"/>
        <v>0</v>
      </c>
      <c r="AC41">
        <f t="shared" si="44"/>
        <v>0</v>
      </c>
      <c r="AD41">
        <f t="shared" si="44"/>
        <v>0</v>
      </c>
      <c r="AE41">
        <f t="shared" si="44"/>
        <v>0</v>
      </c>
      <c r="AF41">
        <f t="shared" si="44"/>
        <v>0</v>
      </c>
      <c r="AG41">
        <f t="shared" si="44"/>
        <v>0</v>
      </c>
      <c r="AH41">
        <f t="shared" si="44"/>
        <v>0</v>
      </c>
      <c r="AI41">
        <f t="shared" si="44"/>
        <v>0</v>
      </c>
      <c r="AJ41">
        <f t="shared" si="44"/>
        <v>0</v>
      </c>
      <c r="AK41">
        <f t="shared" si="44"/>
        <v>0</v>
      </c>
      <c r="AL41">
        <f t="shared" si="44"/>
        <v>0</v>
      </c>
      <c r="AM41">
        <f t="shared" si="44"/>
        <v>0</v>
      </c>
      <c r="AN41">
        <f t="shared" si="44"/>
        <v>0</v>
      </c>
      <c r="AO41">
        <f t="shared" si="44"/>
        <v>0</v>
      </c>
      <c r="AP41">
        <f t="shared" si="44"/>
        <v>0</v>
      </c>
      <c r="AQ41">
        <f t="shared" si="44"/>
        <v>0</v>
      </c>
      <c r="AR41">
        <f t="shared" si="44"/>
        <v>0</v>
      </c>
      <c r="AS41">
        <f t="shared" si="44"/>
        <v>0</v>
      </c>
      <c r="AT41">
        <f t="shared" si="44"/>
        <v>0</v>
      </c>
      <c r="AU41">
        <f t="shared" si="44"/>
        <v>0</v>
      </c>
      <c r="AV41">
        <f t="shared" si="44"/>
        <v>0</v>
      </c>
      <c r="AW41">
        <f t="shared" si="44"/>
        <v>0</v>
      </c>
      <c r="AX41">
        <f t="shared" si="44"/>
        <v>0</v>
      </c>
      <c r="AY41">
        <f t="shared" si="44"/>
        <v>0</v>
      </c>
      <c r="AZ41">
        <f t="shared" si="44"/>
        <v>0</v>
      </c>
      <c r="BA41">
        <f t="shared" si="44"/>
        <v>0</v>
      </c>
      <c r="BB41">
        <f t="shared" si="44"/>
        <v>0</v>
      </c>
      <c r="BC41">
        <f t="shared" si="44"/>
        <v>0</v>
      </c>
      <c r="BD41">
        <f t="shared" si="44"/>
        <v>0</v>
      </c>
      <c r="BE41">
        <f t="shared" si="44"/>
        <v>0</v>
      </c>
      <c r="BF41">
        <f t="shared" si="44"/>
        <v>0</v>
      </c>
      <c r="BG41">
        <f t="shared" si="44"/>
        <v>0</v>
      </c>
      <c r="BH41">
        <f t="shared" si="44"/>
        <v>0</v>
      </c>
      <c r="BI41">
        <f t="shared" si="44"/>
        <v>0</v>
      </c>
      <c r="BJ41">
        <f t="shared" si="44"/>
        <v>0</v>
      </c>
      <c r="BK41">
        <f t="shared" si="44"/>
        <v>0</v>
      </c>
      <c r="BL41">
        <f t="shared" si="44"/>
        <v>0</v>
      </c>
      <c r="BM41">
        <f t="shared" si="44"/>
        <v>0</v>
      </c>
      <c r="BN41">
        <f t="shared" si="44"/>
        <v>0</v>
      </c>
      <c r="BO41">
        <f t="shared" si="44"/>
        <v>0</v>
      </c>
      <c r="BP41">
        <f t="shared" si="44"/>
        <v>0</v>
      </c>
      <c r="BQ41">
        <f t="shared" si="44"/>
        <v>0</v>
      </c>
      <c r="BR41">
        <f t="shared" si="44"/>
        <v>0</v>
      </c>
      <c r="BS41">
        <f t="shared" si="44"/>
        <v>0</v>
      </c>
      <c r="BT41">
        <f t="shared" si="44"/>
        <v>0</v>
      </c>
      <c r="BU41">
        <f t="shared" si="44"/>
        <v>0</v>
      </c>
      <c r="BV41">
        <f t="shared" si="44"/>
        <v>0</v>
      </c>
      <c r="BW41">
        <f t="shared" si="44"/>
        <v>0</v>
      </c>
      <c r="BX41">
        <f t="shared" si="44"/>
        <v>0</v>
      </c>
      <c r="BY41">
        <f t="shared" si="44"/>
        <v>0</v>
      </c>
    </row>
    <row r="42" spans="1:77" x14ac:dyDescent="0.25">
      <c r="A42" s="2" t="str">
        <f t="shared" si="10"/>
        <v>FAMAS Macabre MW</v>
      </c>
      <c r="B42">
        <f t="shared" si="11"/>
        <v>0</v>
      </c>
      <c r="C42">
        <f t="shared" si="11"/>
        <v>0</v>
      </c>
      <c r="D42">
        <f t="shared" si="11"/>
        <v>0</v>
      </c>
      <c r="E42">
        <f t="shared" si="11"/>
        <v>0</v>
      </c>
      <c r="F42">
        <f t="shared" si="11"/>
        <v>0</v>
      </c>
      <c r="G42">
        <f t="shared" si="11"/>
        <v>0</v>
      </c>
      <c r="H42">
        <f t="shared" si="11"/>
        <v>0.84</v>
      </c>
      <c r="I42">
        <f t="shared" ref="I42:L42" si="45">ROUNDDOWN((I17-ROUNDUP(I17*0.1,2)-ROUNDUP(I17*0.05,2))*0.8,2)</f>
        <v>0.85</v>
      </c>
      <c r="J42">
        <f t="shared" si="45"/>
        <v>0.84</v>
      </c>
      <c r="K42">
        <f t="shared" si="45"/>
        <v>0.83</v>
      </c>
      <c r="L42">
        <f t="shared" si="45"/>
        <v>0.84</v>
      </c>
      <c r="M42">
        <f t="shared" ref="M42:Z42" si="46">ROUNDDOWN((M17-ROUNDUP(M17*0.1,2)-ROUNDUP(M17*0.05,2))*0.8,2)</f>
        <v>0.84</v>
      </c>
      <c r="N42">
        <f t="shared" si="46"/>
        <v>0.84</v>
      </c>
      <c r="O42">
        <f t="shared" si="46"/>
        <v>0.88</v>
      </c>
      <c r="P42">
        <f t="shared" si="46"/>
        <v>0.89</v>
      </c>
      <c r="Q42">
        <f t="shared" si="46"/>
        <v>0.96</v>
      </c>
      <c r="R42">
        <f t="shared" si="46"/>
        <v>0.96</v>
      </c>
      <c r="S42">
        <f t="shared" si="46"/>
        <v>0.94</v>
      </c>
      <c r="T42">
        <f t="shared" si="46"/>
        <v>0.96</v>
      </c>
      <c r="U42">
        <f t="shared" si="46"/>
        <v>0.98</v>
      </c>
      <c r="V42">
        <f t="shared" si="46"/>
        <v>0.99</v>
      </c>
      <c r="W42">
        <f t="shared" si="46"/>
        <v>0.96</v>
      </c>
      <c r="X42">
        <f t="shared" si="46"/>
        <v>0.96</v>
      </c>
      <c r="Y42">
        <f t="shared" si="46"/>
        <v>1.01</v>
      </c>
      <c r="Z42">
        <f t="shared" si="46"/>
        <v>1.01</v>
      </c>
      <c r="AA42">
        <f t="shared" ref="AA42:BY42" si="47">ROUNDDOWN((AA17-ROUNDUP(AA17*0.1,2)-ROUNDUP(AA17*0.05,2))*0.8,2)</f>
        <v>0.99</v>
      </c>
      <c r="AB42">
        <f t="shared" si="47"/>
        <v>0</v>
      </c>
      <c r="AC42">
        <f t="shared" si="47"/>
        <v>0</v>
      </c>
      <c r="AD42">
        <f t="shared" si="47"/>
        <v>0</v>
      </c>
      <c r="AE42">
        <f t="shared" si="47"/>
        <v>0</v>
      </c>
      <c r="AF42">
        <f t="shared" si="47"/>
        <v>0</v>
      </c>
      <c r="AG42">
        <f t="shared" si="47"/>
        <v>0</v>
      </c>
      <c r="AH42">
        <f t="shared" si="47"/>
        <v>0</v>
      </c>
      <c r="AI42">
        <f t="shared" si="47"/>
        <v>0</v>
      </c>
      <c r="AJ42">
        <f t="shared" si="47"/>
        <v>0</v>
      </c>
      <c r="AK42">
        <f t="shared" si="47"/>
        <v>0</v>
      </c>
      <c r="AL42">
        <f t="shared" si="47"/>
        <v>0</v>
      </c>
      <c r="AM42">
        <f t="shared" si="47"/>
        <v>0</v>
      </c>
      <c r="AN42">
        <f t="shared" si="47"/>
        <v>0</v>
      </c>
      <c r="AO42">
        <f t="shared" si="47"/>
        <v>0</v>
      </c>
      <c r="AP42">
        <f t="shared" si="47"/>
        <v>0</v>
      </c>
      <c r="AQ42">
        <f t="shared" si="47"/>
        <v>0</v>
      </c>
      <c r="AR42">
        <f t="shared" si="47"/>
        <v>0</v>
      </c>
      <c r="AS42">
        <f t="shared" si="47"/>
        <v>0</v>
      </c>
      <c r="AT42">
        <f t="shared" si="47"/>
        <v>0</v>
      </c>
      <c r="AU42">
        <f t="shared" si="47"/>
        <v>0</v>
      </c>
      <c r="AV42">
        <f t="shared" si="47"/>
        <v>0</v>
      </c>
      <c r="AW42">
        <f t="shared" si="47"/>
        <v>0</v>
      </c>
      <c r="AX42">
        <f t="shared" si="47"/>
        <v>0</v>
      </c>
      <c r="AY42">
        <f t="shared" si="47"/>
        <v>0</v>
      </c>
      <c r="AZ42">
        <f t="shared" si="47"/>
        <v>0</v>
      </c>
      <c r="BA42">
        <f t="shared" si="47"/>
        <v>0</v>
      </c>
      <c r="BB42">
        <f t="shared" si="47"/>
        <v>0</v>
      </c>
      <c r="BC42">
        <f t="shared" si="47"/>
        <v>0</v>
      </c>
      <c r="BD42">
        <f t="shared" si="47"/>
        <v>0</v>
      </c>
      <c r="BE42">
        <f t="shared" si="47"/>
        <v>0</v>
      </c>
      <c r="BF42">
        <f t="shared" si="47"/>
        <v>0</v>
      </c>
      <c r="BG42">
        <f t="shared" si="47"/>
        <v>0</v>
      </c>
      <c r="BH42">
        <f t="shared" si="47"/>
        <v>0</v>
      </c>
      <c r="BI42">
        <f t="shared" si="47"/>
        <v>0</v>
      </c>
      <c r="BJ42">
        <f t="shared" si="47"/>
        <v>0</v>
      </c>
      <c r="BK42">
        <f t="shared" si="47"/>
        <v>0</v>
      </c>
      <c r="BL42">
        <f t="shared" si="47"/>
        <v>0</v>
      </c>
      <c r="BM42">
        <f t="shared" si="47"/>
        <v>0</v>
      </c>
      <c r="BN42">
        <f t="shared" si="47"/>
        <v>0</v>
      </c>
      <c r="BO42">
        <f t="shared" si="47"/>
        <v>0</v>
      </c>
      <c r="BP42">
        <f t="shared" si="47"/>
        <v>0</v>
      </c>
      <c r="BQ42">
        <f t="shared" si="47"/>
        <v>0</v>
      </c>
      <c r="BR42">
        <f t="shared" si="47"/>
        <v>0</v>
      </c>
      <c r="BS42">
        <f t="shared" si="47"/>
        <v>0</v>
      </c>
      <c r="BT42">
        <f t="shared" si="47"/>
        <v>0</v>
      </c>
      <c r="BU42">
        <f t="shared" si="47"/>
        <v>0</v>
      </c>
      <c r="BV42">
        <f t="shared" si="47"/>
        <v>0</v>
      </c>
      <c r="BW42">
        <f t="shared" si="47"/>
        <v>0</v>
      </c>
      <c r="BX42">
        <f t="shared" si="47"/>
        <v>0</v>
      </c>
      <c r="BY42">
        <f t="shared" si="47"/>
        <v>0</v>
      </c>
    </row>
    <row r="43" spans="1:77" x14ac:dyDescent="0.25">
      <c r="A43" s="2" t="str">
        <f t="shared" si="10"/>
        <v>Galil AR Eco FT</v>
      </c>
      <c r="B43">
        <f t="shared" si="11"/>
        <v>0</v>
      </c>
      <c r="C43">
        <f t="shared" si="11"/>
        <v>0</v>
      </c>
      <c r="D43">
        <f t="shared" si="11"/>
        <v>0</v>
      </c>
      <c r="E43">
        <f t="shared" si="11"/>
        <v>0</v>
      </c>
      <c r="F43">
        <f t="shared" si="11"/>
        <v>0</v>
      </c>
      <c r="G43">
        <f t="shared" si="11"/>
        <v>0</v>
      </c>
      <c r="H43">
        <f t="shared" si="11"/>
        <v>2.58</v>
      </c>
      <c r="I43">
        <f t="shared" ref="I43:L43" si="48">ROUNDDOWN((I18-ROUNDUP(I18*0.1,2)-ROUNDUP(I18*0.05,2))*0.8,2)</f>
        <v>2.59</v>
      </c>
      <c r="J43">
        <f t="shared" si="48"/>
        <v>2.56</v>
      </c>
      <c r="K43">
        <f t="shared" si="48"/>
        <v>2.52</v>
      </c>
      <c r="L43">
        <f t="shared" si="48"/>
        <v>2.5</v>
      </c>
      <c r="M43">
        <f t="shared" ref="M43:Z43" si="49">ROUNDDOWN((M18-ROUNDUP(M18*0.1,2)-ROUNDUP(M18*0.05,2))*0.8,2)</f>
        <v>2.4900000000000002</v>
      </c>
      <c r="N43">
        <f t="shared" si="49"/>
        <v>2.4900000000000002</v>
      </c>
      <c r="O43">
        <f t="shared" si="49"/>
        <v>2.5299999999999998</v>
      </c>
      <c r="P43">
        <f t="shared" si="49"/>
        <v>2.52</v>
      </c>
      <c r="Q43">
        <f t="shared" si="49"/>
        <v>2.46</v>
      </c>
      <c r="R43">
        <f t="shared" si="49"/>
        <v>2.44</v>
      </c>
      <c r="S43">
        <f t="shared" si="49"/>
        <v>2.4500000000000002</v>
      </c>
      <c r="T43">
        <f t="shared" si="49"/>
        <v>2.39</v>
      </c>
      <c r="U43">
        <f t="shared" si="49"/>
        <v>2.4300000000000002</v>
      </c>
      <c r="V43">
        <f t="shared" si="49"/>
        <v>2.37</v>
      </c>
      <c r="W43">
        <f t="shared" si="49"/>
        <v>2.2200000000000002</v>
      </c>
      <c r="X43">
        <f t="shared" si="49"/>
        <v>2.37</v>
      </c>
      <c r="Y43">
        <f t="shared" si="49"/>
        <v>2.2599999999999998</v>
      </c>
      <c r="Z43">
        <f t="shared" si="49"/>
        <v>2.36</v>
      </c>
      <c r="AA43">
        <f t="shared" ref="AA43:BY43" si="50">ROUNDDOWN((AA18-ROUNDUP(AA18*0.1,2)-ROUNDUP(AA18*0.05,2))*0.8,2)</f>
        <v>2.2999999999999998</v>
      </c>
      <c r="AB43">
        <f t="shared" si="50"/>
        <v>0</v>
      </c>
      <c r="AC43">
        <f t="shared" si="50"/>
        <v>0</v>
      </c>
      <c r="AD43">
        <f t="shared" si="50"/>
        <v>0</v>
      </c>
      <c r="AE43">
        <f t="shared" si="50"/>
        <v>0</v>
      </c>
      <c r="AF43">
        <f t="shared" si="50"/>
        <v>0</v>
      </c>
      <c r="AG43">
        <f t="shared" si="50"/>
        <v>0</v>
      </c>
      <c r="AH43">
        <f t="shared" si="50"/>
        <v>0</v>
      </c>
      <c r="AI43">
        <f t="shared" si="50"/>
        <v>0</v>
      </c>
      <c r="AJ43">
        <f t="shared" si="50"/>
        <v>0</v>
      </c>
      <c r="AK43">
        <f t="shared" si="50"/>
        <v>0</v>
      </c>
      <c r="AL43">
        <f t="shared" si="50"/>
        <v>0</v>
      </c>
      <c r="AM43">
        <f t="shared" si="50"/>
        <v>0</v>
      </c>
      <c r="AN43">
        <f t="shared" si="50"/>
        <v>0</v>
      </c>
      <c r="AO43">
        <f t="shared" si="50"/>
        <v>0</v>
      </c>
      <c r="AP43">
        <f t="shared" si="50"/>
        <v>0</v>
      </c>
      <c r="AQ43">
        <f t="shared" si="50"/>
        <v>0</v>
      </c>
      <c r="AR43">
        <f t="shared" si="50"/>
        <v>0</v>
      </c>
      <c r="AS43">
        <f t="shared" si="50"/>
        <v>0</v>
      </c>
      <c r="AT43">
        <f t="shared" si="50"/>
        <v>0</v>
      </c>
      <c r="AU43">
        <f t="shared" si="50"/>
        <v>0</v>
      </c>
      <c r="AV43">
        <f t="shared" si="50"/>
        <v>0</v>
      </c>
      <c r="AW43">
        <f t="shared" si="50"/>
        <v>0</v>
      </c>
      <c r="AX43">
        <f t="shared" si="50"/>
        <v>0</v>
      </c>
      <c r="AY43">
        <f t="shared" si="50"/>
        <v>0</v>
      </c>
      <c r="AZ43">
        <f t="shared" si="50"/>
        <v>0</v>
      </c>
      <c r="BA43">
        <f t="shared" si="50"/>
        <v>0</v>
      </c>
      <c r="BB43">
        <f t="shared" si="50"/>
        <v>0</v>
      </c>
      <c r="BC43">
        <f t="shared" si="50"/>
        <v>0</v>
      </c>
      <c r="BD43">
        <f t="shared" si="50"/>
        <v>0</v>
      </c>
      <c r="BE43">
        <f t="shared" si="50"/>
        <v>0</v>
      </c>
      <c r="BF43">
        <f t="shared" si="50"/>
        <v>0</v>
      </c>
      <c r="BG43">
        <f t="shared" si="50"/>
        <v>0</v>
      </c>
      <c r="BH43">
        <f t="shared" si="50"/>
        <v>0</v>
      </c>
      <c r="BI43">
        <f t="shared" si="50"/>
        <v>0</v>
      </c>
      <c r="BJ43">
        <f t="shared" si="50"/>
        <v>0</v>
      </c>
      <c r="BK43">
        <f t="shared" si="50"/>
        <v>0</v>
      </c>
      <c r="BL43">
        <f t="shared" si="50"/>
        <v>0</v>
      </c>
      <c r="BM43">
        <f t="shared" si="50"/>
        <v>0</v>
      </c>
      <c r="BN43">
        <f t="shared" si="50"/>
        <v>0</v>
      </c>
      <c r="BO43">
        <f t="shared" si="50"/>
        <v>0</v>
      </c>
      <c r="BP43">
        <f t="shared" si="50"/>
        <v>0</v>
      </c>
      <c r="BQ43">
        <f t="shared" si="50"/>
        <v>0</v>
      </c>
      <c r="BR43">
        <f t="shared" si="50"/>
        <v>0</v>
      </c>
      <c r="BS43">
        <f t="shared" si="50"/>
        <v>0</v>
      </c>
      <c r="BT43">
        <f t="shared" si="50"/>
        <v>0</v>
      </c>
      <c r="BU43">
        <f t="shared" si="50"/>
        <v>0</v>
      </c>
      <c r="BV43">
        <f t="shared" si="50"/>
        <v>0</v>
      </c>
      <c r="BW43">
        <f t="shared" si="50"/>
        <v>0</v>
      </c>
      <c r="BX43">
        <f t="shared" si="50"/>
        <v>0</v>
      </c>
      <c r="BY43">
        <f t="shared" si="50"/>
        <v>0</v>
      </c>
    </row>
    <row r="44" spans="1:77" x14ac:dyDescent="0.25">
      <c r="A44" s="2" t="str">
        <f t="shared" si="10"/>
        <v>SCAR-20 Powercore MW</v>
      </c>
      <c r="B44">
        <f t="shared" si="11"/>
        <v>0</v>
      </c>
      <c r="C44">
        <f t="shared" si="11"/>
        <v>0</v>
      </c>
      <c r="D44">
        <f t="shared" si="11"/>
        <v>0</v>
      </c>
      <c r="E44">
        <f t="shared" si="11"/>
        <v>0</v>
      </c>
      <c r="F44">
        <f t="shared" si="11"/>
        <v>0</v>
      </c>
      <c r="G44">
        <f t="shared" si="11"/>
        <v>0</v>
      </c>
      <c r="H44">
        <f t="shared" si="11"/>
        <v>0.33</v>
      </c>
      <c r="I44">
        <f t="shared" ref="I44:L44" si="51">ROUNDDOWN((I19-ROUNDUP(I19*0.1,2)-ROUNDUP(I19*0.05,2))*0.8,2)</f>
        <v>0.32</v>
      </c>
      <c r="J44">
        <f t="shared" si="51"/>
        <v>0.33</v>
      </c>
      <c r="K44">
        <f t="shared" si="51"/>
        <v>0.3</v>
      </c>
      <c r="L44">
        <f t="shared" si="51"/>
        <v>0.31</v>
      </c>
      <c r="M44">
        <f t="shared" ref="M44:Z44" si="52">ROUNDDOWN((M19-ROUNDUP(M19*0.1,2)-ROUNDUP(M19*0.05,2))*0.8,2)</f>
        <v>0.31</v>
      </c>
      <c r="N44">
        <f t="shared" si="52"/>
        <v>0.33</v>
      </c>
      <c r="O44">
        <f t="shared" si="52"/>
        <v>0.33</v>
      </c>
      <c r="P44">
        <f t="shared" si="52"/>
        <v>0.31</v>
      </c>
      <c r="Q44">
        <f t="shared" si="52"/>
        <v>0.3</v>
      </c>
      <c r="R44">
        <f t="shared" si="52"/>
        <v>0.32</v>
      </c>
      <c r="S44">
        <f t="shared" si="52"/>
        <v>0.33</v>
      </c>
      <c r="T44">
        <f t="shared" si="52"/>
        <v>0.32</v>
      </c>
      <c r="U44">
        <f t="shared" si="52"/>
        <v>0.31</v>
      </c>
      <c r="V44">
        <f t="shared" si="52"/>
        <v>0.32</v>
      </c>
      <c r="W44">
        <f t="shared" si="52"/>
        <v>0.32</v>
      </c>
      <c r="X44">
        <f t="shared" si="52"/>
        <v>0.32</v>
      </c>
      <c r="Y44">
        <f t="shared" si="52"/>
        <v>0.31</v>
      </c>
      <c r="Z44">
        <f t="shared" si="52"/>
        <v>0.3</v>
      </c>
      <c r="AA44">
        <f t="shared" ref="AA44:BY44" si="53">ROUNDDOWN((AA19-ROUNDUP(AA19*0.1,2)-ROUNDUP(AA19*0.05,2))*0.8,2)</f>
        <v>0.31</v>
      </c>
      <c r="AB44">
        <f t="shared" si="53"/>
        <v>0</v>
      </c>
      <c r="AC44">
        <f t="shared" si="53"/>
        <v>0</v>
      </c>
      <c r="AD44">
        <f t="shared" si="53"/>
        <v>0</v>
      </c>
      <c r="AE44">
        <f t="shared" si="53"/>
        <v>0</v>
      </c>
      <c r="AF44">
        <f t="shared" si="53"/>
        <v>0</v>
      </c>
      <c r="AG44">
        <f t="shared" si="53"/>
        <v>0</v>
      </c>
      <c r="AH44">
        <f t="shared" si="53"/>
        <v>0</v>
      </c>
      <c r="AI44">
        <f t="shared" si="53"/>
        <v>0</v>
      </c>
      <c r="AJ44">
        <f t="shared" si="53"/>
        <v>0</v>
      </c>
      <c r="AK44">
        <f t="shared" si="53"/>
        <v>0</v>
      </c>
      <c r="AL44">
        <f t="shared" si="53"/>
        <v>0</v>
      </c>
      <c r="AM44">
        <f t="shared" si="53"/>
        <v>0</v>
      </c>
      <c r="AN44">
        <f t="shared" si="53"/>
        <v>0</v>
      </c>
      <c r="AO44">
        <f t="shared" si="53"/>
        <v>0</v>
      </c>
      <c r="AP44">
        <f t="shared" si="53"/>
        <v>0</v>
      </c>
      <c r="AQ44">
        <f t="shared" si="53"/>
        <v>0</v>
      </c>
      <c r="AR44">
        <f t="shared" si="53"/>
        <v>0</v>
      </c>
      <c r="AS44">
        <f t="shared" si="53"/>
        <v>0</v>
      </c>
      <c r="AT44">
        <f t="shared" si="53"/>
        <v>0</v>
      </c>
      <c r="AU44">
        <f t="shared" si="53"/>
        <v>0</v>
      </c>
      <c r="AV44">
        <f t="shared" si="53"/>
        <v>0</v>
      </c>
      <c r="AW44">
        <f t="shared" si="53"/>
        <v>0</v>
      </c>
      <c r="AX44">
        <f t="shared" si="53"/>
        <v>0</v>
      </c>
      <c r="AY44">
        <f t="shared" si="53"/>
        <v>0</v>
      </c>
      <c r="AZ44">
        <f t="shared" si="53"/>
        <v>0</v>
      </c>
      <c r="BA44">
        <f t="shared" si="53"/>
        <v>0</v>
      </c>
      <c r="BB44">
        <f t="shared" si="53"/>
        <v>0</v>
      </c>
      <c r="BC44">
        <f t="shared" si="53"/>
        <v>0</v>
      </c>
      <c r="BD44">
        <f t="shared" si="53"/>
        <v>0</v>
      </c>
      <c r="BE44">
        <f t="shared" si="53"/>
        <v>0</v>
      </c>
      <c r="BF44">
        <f t="shared" si="53"/>
        <v>0</v>
      </c>
      <c r="BG44">
        <f t="shared" si="53"/>
        <v>0</v>
      </c>
      <c r="BH44">
        <f t="shared" si="53"/>
        <v>0</v>
      </c>
      <c r="BI44">
        <f t="shared" si="53"/>
        <v>0</v>
      </c>
      <c r="BJ44">
        <f t="shared" si="53"/>
        <v>0</v>
      </c>
      <c r="BK44">
        <f t="shared" si="53"/>
        <v>0</v>
      </c>
      <c r="BL44">
        <f t="shared" si="53"/>
        <v>0</v>
      </c>
      <c r="BM44">
        <f t="shared" si="53"/>
        <v>0</v>
      </c>
      <c r="BN44">
        <f t="shared" si="53"/>
        <v>0</v>
      </c>
      <c r="BO44">
        <f t="shared" si="53"/>
        <v>0</v>
      </c>
      <c r="BP44">
        <f t="shared" si="53"/>
        <v>0</v>
      </c>
      <c r="BQ44">
        <f t="shared" si="53"/>
        <v>0</v>
      </c>
      <c r="BR44">
        <f t="shared" si="53"/>
        <v>0</v>
      </c>
      <c r="BS44">
        <f t="shared" si="53"/>
        <v>0</v>
      </c>
      <c r="BT44">
        <f t="shared" si="53"/>
        <v>0</v>
      </c>
      <c r="BU44">
        <f t="shared" si="53"/>
        <v>0</v>
      </c>
      <c r="BV44">
        <f t="shared" si="53"/>
        <v>0</v>
      </c>
      <c r="BW44">
        <f t="shared" si="53"/>
        <v>0</v>
      </c>
      <c r="BX44">
        <f t="shared" si="53"/>
        <v>0</v>
      </c>
      <c r="BY44">
        <f t="shared" si="53"/>
        <v>0</v>
      </c>
    </row>
    <row r="45" spans="1:77" x14ac:dyDescent="0.25">
      <c r="A45" s="2" t="str">
        <f t="shared" si="10"/>
        <v>SG 553 Atlas FN</v>
      </c>
      <c r="B45">
        <f t="shared" si="11"/>
        <v>0</v>
      </c>
      <c r="C45">
        <f t="shared" si="11"/>
        <v>0</v>
      </c>
      <c r="D45">
        <f t="shared" si="11"/>
        <v>0</v>
      </c>
      <c r="E45">
        <f t="shared" si="11"/>
        <v>0</v>
      </c>
      <c r="F45">
        <f t="shared" si="11"/>
        <v>0</v>
      </c>
      <c r="G45">
        <f t="shared" si="11"/>
        <v>0</v>
      </c>
      <c r="H45">
        <f t="shared" si="11"/>
        <v>0.2</v>
      </c>
      <c r="I45">
        <f t="shared" ref="I45:L45" si="54">ROUNDDOWN((I20-ROUNDUP(I20*0.1,2)-ROUNDUP(I20*0.05,2))*0.8,2)</f>
        <v>0.22</v>
      </c>
      <c r="J45">
        <f t="shared" si="54"/>
        <v>0.2</v>
      </c>
      <c r="K45">
        <f t="shared" si="54"/>
        <v>0.2</v>
      </c>
      <c r="L45">
        <f t="shared" si="54"/>
        <v>0.2</v>
      </c>
      <c r="M45">
        <f t="shared" ref="M45:Z45" si="55">ROUNDDOWN((M20-ROUNDUP(M20*0.1,2)-ROUNDUP(M20*0.05,2))*0.8,2)</f>
        <v>0.2</v>
      </c>
      <c r="N45">
        <f t="shared" si="55"/>
        <v>0.2</v>
      </c>
      <c r="O45">
        <f t="shared" si="55"/>
        <v>0.2</v>
      </c>
      <c r="P45">
        <f t="shared" si="55"/>
        <v>0.19</v>
      </c>
      <c r="Q45">
        <f t="shared" si="55"/>
        <v>0.19</v>
      </c>
      <c r="R45">
        <f t="shared" si="55"/>
        <v>0.18</v>
      </c>
      <c r="S45">
        <f t="shared" si="55"/>
        <v>0.2</v>
      </c>
      <c r="T45">
        <f t="shared" si="55"/>
        <v>0.19</v>
      </c>
      <c r="U45">
        <f t="shared" si="55"/>
        <v>0.18</v>
      </c>
      <c r="V45">
        <f t="shared" si="55"/>
        <v>0.19</v>
      </c>
      <c r="W45">
        <f t="shared" si="55"/>
        <v>0.16</v>
      </c>
      <c r="X45">
        <f t="shared" si="55"/>
        <v>0.17</v>
      </c>
      <c r="Y45">
        <f t="shared" si="55"/>
        <v>0.16</v>
      </c>
      <c r="Z45">
        <f t="shared" si="55"/>
        <v>0.18</v>
      </c>
      <c r="AA45">
        <f t="shared" ref="AA45:BY45" si="56">ROUNDDOWN((AA20-ROUNDUP(AA20*0.1,2)-ROUNDUP(AA20*0.05,2))*0.8,2)</f>
        <v>0.17</v>
      </c>
      <c r="AB45">
        <f t="shared" si="56"/>
        <v>0</v>
      </c>
      <c r="AC45">
        <f t="shared" si="56"/>
        <v>0</v>
      </c>
      <c r="AD45">
        <f t="shared" si="56"/>
        <v>0</v>
      </c>
      <c r="AE45">
        <f t="shared" si="56"/>
        <v>0</v>
      </c>
      <c r="AF45">
        <f t="shared" si="56"/>
        <v>0</v>
      </c>
      <c r="AG45">
        <f t="shared" si="56"/>
        <v>0</v>
      </c>
      <c r="AH45">
        <f t="shared" si="56"/>
        <v>0</v>
      </c>
      <c r="AI45">
        <f t="shared" si="56"/>
        <v>0</v>
      </c>
      <c r="AJ45">
        <f t="shared" si="56"/>
        <v>0</v>
      </c>
      <c r="AK45">
        <f t="shared" si="56"/>
        <v>0</v>
      </c>
      <c r="AL45">
        <f t="shared" si="56"/>
        <v>0</v>
      </c>
      <c r="AM45">
        <f t="shared" si="56"/>
        <v>0</v>
      </c>
      <c r="AN45">
        <f t="shared" si="56"/>
        <v>0</v>
      </c>
      <c r="AO45">
        <f t="shared" si="56"/>
        <v>0</v>
      </c>
      <c r="AP45">
        <f t="shared" si="56"/>
        <v>0</v>
      </c>
      <c r="AQ45">
        <f t="shared" si="56"/>
        <v>0</v>
      </c>
      <c r="AR45">
        <f t="shared" si="56"/>
        <v>0</v>
      </c>
      <c r="AS45">
        <f t="shared" si="56"/>
        <v>0</v>
      </c>
      <c r="AT45">
        <f t="shared" si="56"/>
        <v>0</v>
      </c>
      <c r="AU45">
        <f t="shared" si="56"/>
        <v>0</v>
      </c>
      <c r="AV45">
        <f t="shared" si="56"/>
        <v>0</v>
      </c>
      <c r="AW45">
        <f t="shared" si="56"/>
        <v>0</v>
      </c>
      <c r="AX45">
        <f t="shared" si="56"/>
        <v>0</v>
      </c>
      <c r="AY45">
        <f t="shared" si="56"/>
        <v>0</v>
      </c>
      <c r="AZ45">
        <f t="shared" si="56"/>
        <v>0</v>
      </c>
      <c r="BA45">
        <f t="shared" si="56"/>
        <v>0</v>
      </c>
      <c r="BB45">
        <f t="shared" si="56"/>
        <v>0</v>
      </c>
      <c r="BC45">
        <f t="shared" si="56"/>
        <v>0</v>
      </c>
      <c r="BD45">
        <f t="shared" si="56"/>
        <v>0</v>
      </c>
      <c r="BE45">
        <f t="shared" si="56"/>
        <v>0</v>
      </c>
      <c r="BF45">
        <f t="shared" si="56"/>
        <v>0</v>
      </c>
      <c r="BG45">
        <f t="shared" si="56"/>
        <v>0</v>
      </c>
      <c r="BH45">
        <f t="shared" si="56"/>
        <v>0</v>
      </c>
      <c r="BI45">
        <f t="shared" si="56"/>
        <v>0</v>
      </c>
      <c r="BJ45">
        <f t="shared" si="56"/>
        <v>0</v>
      </c>
      <c r="BK45">
        <f t="shared" si="56"/>
        <v>0</v>
      </c>
      <c r="BL45">
        <f t="shared" si="56"/>
        <v>0</v>
      </c>
      <c r="BM45">
        <f t="shared" si="56"/>
        <v>0</v>
      </c>
      <c r="BN45">
        <f t="shared" si="56"/>
        <v>0</v>
      </c>
      <c r="BO45">
        <f t="shared" si="56"/>
        <v>0</v>
      </c>
      <c r="BP45">
        <f t="shared" si="56"/>
        <v>0</v>
      </c>
      <c r="BQ45">
        <f t="shared" si="56"/>
        <v>0</v>
      </c>
      <c r="BR45">
        <f t="shared" si="56"/>
        <v>0</v>
      </c>
      <c r="BS45">
        <f t="shared" si="56"/>
        <v>0</v>
      </c>
      <c r="BT45">
        <f t="shared" si="56"/>
        <v>0</v>
      </c>
      <c r="BU45">
        <f t="shared" si="56"/>
        <v>0</v>
      </c>
      <c r="BV45">
        <f t="shared" si="56"/>
        <v>0</v>
      </c>
      <c r="BW45">
        <f t="shared" si="56"/>
        <v>0</v>
      </c>
      <c r="BX45">
        <f t="shared" si="56"/>
        <v>0</v>
      </c>
      <c r="BY45">
        <f t="shared" si="56"/>
        <v>0</v>
      </c>
    </row>
    <row r="46" spans="1:77" x14ac:dyDescent="0.25">
      <c r="A46" s="2" t="str">
        <f t="shared" si="10"/>
        <v>SSG 08 Necropos MW</v>
      </c>
      <c r="B46">
        <f t="shared" si="11"/>
        <v>0</v>
      </c>
      <c r="C46">
        <f t="shared" si="11"/>
        <v>0</v>
      </c>
      <c r="D46">
        <f t="shared" si="11"/>
        <v>0</v>
      </c>
      <c r="E46">
        <f t="shared" si="11"/>
        <v>0</v>
      </c>
      <c r="F46">
        <f t="shared" si="11"/>
        <v>0</v>
      </c>
      <c r="G46">
        <f t="shared" si="11"/>
        <v>0</v>
      </c>
      <c r="H46">
        <f t="shared" si="11"/>
        <v>0.22</v>
      </c>
      <c r="I46">
        <f t="shared" ref="I46:L46" si="57">ROUNDDOWN((I21-ROUNDUP(I21*0.1,2)-ROUNDUP(I21*0.05,2))*0.8,2)</f>
        <v>0.2</v>
      </c>
      <c r="J46">
        <f t="shared" si="57"/>
        <v>0.2</v>
      </c>
      <c r="K46">
        <f t="shared" si="57"/>
        <v>0.2</v>
      </c>
      <c r="L46">
        <f t="shared" si="57"/>
        <v>0.2</v>
      </c>
      <c r="M46">
        <f t="shared" ref="M46:Z46" si="58">ROUNDDOWN((M21-ROUNDUP(M21*0.1,2)-ROUNDUP(M21*0.05,2))*0.8,2)</f>
        <v>0.2</v>
      </c>
      <c r="N46">
        <f t="shared" si="58"/>
        <v>0.2</v>
      </c>
      <c r="O46">
        <f t="shared" si="58"/>
        <v>0.2</v>
      </c>
      <c r="P46">
        <f t="shared" si="58"/>
        <v>0.2</v>
      </c>
      <c r="Q46">
        <f t="shared" si="58"/>
        <v>0.2</v>
      </c>
      <c r="R46">
        <f t="shared" si="58"/>
        <v>0.2</v>
      </c>
      <c r="S46">
        <f t="shared" si="58"/>
        <v>0.2</v>
      </c>
      <c r="T46">
        <f t="shared" si="58"/>
        <v>0.19</v>
      </c>
      <c r="U46">
        <f t="shared" si="58"/>
        <v>0.2</v>
      </c>
      <c r="V46">
        <f t="shared" si="58"/>
        <v>0.2</v>
      </c>
      <c r="W46">
        <f t="shared" si="58"/>
        <v>0.2</v>
      </c>
      <c r="X46">
        <f t="shared" si="58"/>
        <v>0.2</v>
      </c>
      <c r="Y46">
        <f t="shared" si="58"/>
        <v>0.2</v>
      </c>
      <c r="Z46">
        <f t="shared" si="58"/>
        <v>0.2</v>
      </c>
      <c r="AA46">
        <f t="shared" ref="AA46:BY46" si="59">ROUNDDOWN((AA21-ROUNDUP(AA21*0.1,2)-ROUNDUP(AA21*0.05,2))*0.8,2)</f>
        <v>0.2</v>
      </c>
      <c r="AB46">
        <f t="shared" si="59"/>
        <v>0</v>
      </c>
      <c r="AC46">
        <f t="shared" si="59"/>
        <v>0</v>
      </c>
      <c r="AD46">
        <f t="shared" si="59"/>
        <v>0</v>
      </c>
      <c r="AE46">
        <f t="shared" si="59"/>
        <v>0</v>
      </c>
      <c r="AF46">
        <f t="shared" si="59"/>
        <v>0</v>
      </c>
      <c r="AG46">
        <f t="shared" si="59"/>
        <v>0</v>
      </c>
      <c r="AH46">
        <f t="shared" si="59"/>
        <v>0</v>
      </c>
      <c r="AI46">
        <f t="shared" si="59"/>
        <v>0</v>
      </c>
      <c r="AJ46">
        <f t="shared" si="59"/>
        <v>0</v>
      </c>
      <c r="AK46">
        <f t="shared" si="59"/>
        <v>0</v>
      </c>
      <c r="AL46">
        <f t="shared" si="59"/>
        <v>0</v>
      </c>
      <c r="AM46">
        <f t="shared" si="59"/>
        <v>0</v>
      </c>
      <c r="AN46">
        <f t="shared" si="59"/>
        <v>0</v>
      </c>
      <c r="AO46">
        <f t="shared" si="59"/>
        <v>0</v>
      </c>
      <c r="AP46">
        <f t="shared" si="59"/>
        <v>0</v>
      </c>
      <c r="AQ46">
        <f t="shared" si="59"/>
        <v>0</v>
      </c>
      <c r="AR46">
        <f t="shared" si="59"/>
        <v>0</v>
      </c>
      <c r="AS46">
        <f t="shared" si="59"/>
        <v>0</v>
      </c>
      <c r="AT46">
        <f t="shared" si="59"/>
        <v>0</v>
      </c>
      <c r="AU46">
        <f t="shared" si="59"/>
        <v>0</v>
      </c>
      <c r="AV46">
        <f t="shared" si="59"/>
        <v>0</v>
      </c>
      <c r="AW46">
        <f t="shared" si="59"/>
        <v>0</v>
      </c>
      <c r="AX46">
        <f t="shared" si="59"/>
        <v>0</v>
      </c>
      <c r="AY46">
        <f t="shared" si="59"/>
        <v>0</v>
      </c>
      <c r="AZ46">
        <f t="shared" si="59"/>
        <v>0</v>
      </c>
      <c r="BA46">
        <f t="shared" si="59"/>
        <v>0</v>
      </c>
      <c r="BB46">
        <f t="shared" si="59"/>
        <v>0</v>
      </c>
      <c r="BC46">
        <f t="shared" si="59"/>
        <v>0</v>
      </c>
      <c r="BD46">
        <f t="shared" si="59"/>
        <v>0</v>
      </c>
      <c r="BE46">
        <f t="shared" si="59"/>
        <v>0</v>
      </c>
      <c r="BF46">
        <f t="shared" si="59"/>
        <v>0</v>
      </c>
      <c r="BG46">
        <f t="shared" si="59"/>
        <v>0</v>
      </c>
      <c r="BH46">
        <f t="shared" si="59"/>
        <v>0</v>
      </c>
      <c r="BI46">
        <f t="shared" si="59"/>
        <v>0</v>
      </c>
      <c r="BJ46">
        <f t="shared" si="59"/>
        <v>0</v>
      </c>
      <c r="BK46">
        <f t="shared" si="59"/>
        <v>0</v>
      </c>
      <c r="BL46">
        <f t="shared" si="59"/>
        <v>0</v>
      </c>
      <c r="BM46">
        <f t="shared" si="59"/>
        <v>0</v>
      </c>
      <c r="BN46">
        <f t="shared" si="59"/>
        <v>0</v>
      </c>
      <c r="BO46">
        <f t="shared" si="59"/>
        <v>0</v>
      </c>
      <c r="BP46">
        <f t="shared" si="59"/>
        <v>0</v>
      </c>
      <c r="BQ46">
        <f t="shared" si="59"/>
        <v>0</v>
      </c>
      <c r="BR46">
        <f t="shared" si="59"/>
        <v>0</v>
      </c>
      <c r="BS46">
        <f t="shared" si="59"/>
        <v>0</v>
      </c>
      <c r="BT46">
        <f t="shared" si="59"/>
        <v>0</v>
      </c>
      <c r="BU46">
        <f t="shared" si="59"/>
        <v>0</v>
      </c>
      <c r="BV46">
        <f t="shared" si="59"/>
        <v>0</v>
      </c>
      <c r="BW46">
        <f t="shared" si="59"/>
        <v>0</v>
      </c>
      <c r="BX46">
        <f t="shared" si="59"/>
        <v>0</v>
      </c>
      <c r="BY46">
        <f t="shared" si="59"/>
        <v>0</v>
      </c>
    </row>
    <row r="48" spans="1:77" x14ac:dyDescent="0.25">
      <c r="B48">
        <f>SUM(B30:B46)</f>
        <v>0</v>
      </c>
      <c r="C48">
        <f t="shared" ref="C48:L48" si="60">SUM(C30:C46)</f>
        <v>0</v>
      </c>
      <c r="D48">
        <f t="shared" si="60"/>
        <v>0</v>
      </c>
      <c r="E48">
        <f t="shared" si="60"/>
        <v>0</v>
      </c>
      <c r="F48">
        <f t="shared" si="60"/>
        <v>0</v>
      </c>
      <c r="G48">
        <f t="shared" si="60"/>
        <v>0</v>
      </c>
      <c r="H48">
        <f t="shared" si="60"/>
        <v>69.47</v>
      </c>
      <c r="I48">
        <f t="shared" si="60"/>
        <v>66.839999999999989</v>
      </c>
      <c r="J48">
        <f t="shared" si="60"/>
        <v>68.570000000000022</v>
      </c>
      <c r="K48">
        <f t="shared" si="60"/>
        <v>70.499999999999986</v>
      </c>
      <c r="L48">
        <f t="shared" si="60"/>
        <v>71.900000000000006</v>
      </c>
      <c r="M48">
        <f t="shared" ref="M48:Z48" si="61">SUM(M30:M46)</f>
        <v>71.349999999999994</v>
      </c>
      <c r="N48">
        <f t="shared" si="61"/>
        <v>69.900000000000006</v>
      </c>
      <c r="O48">
        <f t="shared" si="61"/>
        <v>71.650000000000006</v>
      </c>
      <c r="P48">
        <f t="shared" si="61"/>
        <v>71.500000000000014</v>
      </c>
      <c r="Q48">
        <f t="shared" si="61"/>
        <v>72.75</v>
      </c>
      <c r="R48">
        <f t="shared" si="61"/>
        <v>71.559999999999988</v>
      </c>
      <c r="S48">
        <f t="shared" si="61"/>
        <v>71.099999999999994</v>
      </c>
      <c r="T48">
        <f t="shared" si="61"/>
        <v>70.349999999999994</v>
      </c>
      <c r="U48">
        <f t="shared" si="61"/>
        <v>75.680000000000007</v>
      </c>
      <c r="V48">
        <f t="shared" si="61"/>
        <v>72.75</v>
      </c>
      <c r="W48">
        <f t="shared" si="61"/>
        <v>72.159999999999982</v>
      </c>
      <c r="X48">
        <f t="shared" si="61"/>
        <v>74.11999999999999</v>
      </c>
      <c r="Y48">
        <f t="shared" si="61"/>
        <v>72.14</v>
      </c>
      <c r="Z48">
        <f t="shared" si="61"/>
        <v>73.59</v>
      </c>
      <c r="AA48">
        <f t="shared" ref="AA48:BY48" si="62">SUM(AA30:AA46)</f>
        <v>72.290000000000006</v>
      </c>
      <c r="AB48">
        <f t="shared" si="62"/>
        <v>0</v>
      </c>
      <c r="AC48">
        <f t="shared" si="62"/>
        <v>0</v>
      </c>
      <c r="AD48">
        <f t="shared" si="62"/>
        <v>0</v>
      </c>
      <c r="AE48">
        <f t="shared" si="62"/>
        <v>0</v>
      </c>
      <c r="AF48">
        <f t="shared" si="62"/>
        <v>0</v>
      </c>
      <c r="AG48">
        <f t="shared" si="62"/>
        <v>0</v>
      </c>
      <c r="AH48">
        <f t="shared" si="62"/>
        <v>0</v>
      </c>
      <c r="AI48">
        <f t="shared" si="62"/>
        <v>0</v>
      </c>
      <c r="AJ48">
        <f t="shared" si="62"/>
        <v>0</v>
      </c>
      <c r="AK48">
        <f t="shared" si="62"/>
        <v>0</v>
      </c>
      <c r="AL48">
        <f t="shared" si="62"/>
        <v>0</v>
      </c>
      <c r="AM48">
        <f t="shared" si="62"/>
        <v>0</v>
      </c>
      <c r="AN48">
        <f t="shared" si="62"/>
        <v>0</v>
      </c>
      <c r="AO48">
        <f t="shared" si="62"/>
        <v>0</v>
      </c>
      <c r="AP48">
        <f t="shared" si="62"/>
        <v>0</v>
      </c>
      <c r="AQ48">
        <f t="shared" si="62"/>
        <v>0</v>
      </c>
      <c r="AR48">
        <f t="shared" si="62"/>
        <v>0</v>
      </c>
      <c r="AS48">
        <f t="shared" si="62"/>
        <v>0</v>
      </c>
      <c r="AT48">
        <f t="shared" si="62"/>
        <v>0</v>
      </c>
      <c r="AU48">
        <f t="shared" si="62"/>
        <v>0</v>
      </c>
      <c r="AV48">
        <f t="shared" si="62"/>
        <v>0</v>
      </c>
      <c r="AW48">
        <f t="shared" si="62"/>
        <v>0</v>
      </c>
      <c r="AX48">
        <f t="shared" si="62"/>
        <v>0</v>
      </c>
      <c r="AY48">
        <f t="shared" si="62"/>
        <v>0</v>
      </c>
      <c r="AZ48">
        <f t="shared" si="62"/>
        <v>0</v>
      </c>
      <c r="BA48">
        <f t="shared" si="62"/>
        <v>0</v>
      </c>
      <c r="BB48">
        <f t="shared" si="62"/>
        <v>0</v>
      </c>
      <c r="BC48">
        <f t="shared" si="62"/>
        <v>0</v>
      </c>
      <c r="BD48">
        <f t="shared" si="62"/>
        <v>0</v>
      </c>
      <c r="BE48">
        <f t="shared" si="62"/>
        <v>0</v>
      </c>
      <c r="BF48">
        <f t="shared" si="62"/>
        <v>0</v>
      </c>
      <c r="BG48">
        <f t="shared" si="62"/>
        <v>0</v>
      </c>
      <c r="BH48">
        <f t="shared" si="62"/>
        <v>0</v>
      </c>
      <c r="BI48">
        <f t="shared" si="62"/>
        <v>0</v>
      </c>
      <c r="BJ48">
        <f t="shared" si="62"/>
        <v>0</v>
      </c>
      <c r="BK48">
        <f t="shared" si="62"/>
        <v>0</v>
      </c>
      <c r="BL48">
        <f t="shared" si="62"/>
        <v>0</v>
      </c>
      <c r="BM48">
        <f t="shared" si="62"/>
        <v>0</v>
      </c>
      <c r="BN48">
        <f t="shared" si="62"/>
        <v>0</v>
      </c>
      <c r="BO48">
        <f t="shared" si="62"/>
        <v>0</v>
      </c>
      <c r="BP48">
        <f t="shared" si="62"/>
        <v>0</v>
      </c>
      <c r="BQ48">
        <f t="shared" si="62"/>
        <v>0</v>
      </c>
      <c r="BR48">
        <f t="shared" si="62"/>
        <v>0</v>
      </c>
      <c r="BS48">
        <f t="shared" si="62"/>
        <v>0</v>
      </c>
      <c r="BT48">
        <f t="shared" si="62"/>
        <v>0</v>
      </c>
      <c r="BU48">
        <f t="shared" si="62"/>
        <v>0</v>
      </c>
      <c r="BV48">
        <f t="shared" si="62"/>
        <v>0</v>
      </c>
      <c r="BW48">
        <f t="shared" si="62"/>
        <v>0</v>
      </c>
      <c r="BX48">
        <f t="shared" si="62"/>
        <v>0</v>
      </c>
      <c r="BY48">
        <f t="shared" si="62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Category-Details</vt:lpstr>
      <vt:lpstr>Totals</vt:lpstr>
      <vt:lpstr>Investments</vt:lpstr>
      <vt:lpstr>Knives</vt:lpstr>
      <vt:lpstr>AWP</vt:lpstr>
      <vt:lpstr>M4A4</vt:lpstr>
      <vt:lpstr>M4A1-S</vt:lpstr>
      <vt:lpstr>AK47</vt:lpstr>
      <vt:lpstr>SMG</vt:lpstr>
      <vt:lpstr>Heavy</vt:lpstr>
      <vt:lpstr>Pistol</vt:lpstr>
      <vt:lpstr>Other Rifles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Hliddal</dc:creator>
  <cp:lastModifiedBy>Oliver Hliddal</cp:lastModifiedBy>
  <dcterms:created xsi:type="dcterms:W3CDTF">2021-05-21T11:08:28Z</dcterms:created>
  <dcterms:modified xsi:type="dcterms:W3CDTF">2021-06-11T10:01:17Z</dcterms:modified>
</cp:coreProperties>
</file>