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98\Desktop\Privat\"/>
    </mc:Choice>
  </mc:AlternateContent>
  <xr:revisionPtr revIDLastSave="0" documentId="13_ncr:1_{8E74157A-5436-4782-BFDC-BEC953EF8A75}" xr6:coauthVersionLast="45" xr6:coauthVersionMax="45" xr10:uidLastSave="{00000000-0000-0000-0000-000000000000}"/>
  <bookViews>
    <workbookView xWindow="-120" yWindow="-120" windowWidth="29040" windowHeight="15840" activeTab="2" xr2:uid="{68C88EFF-A3F7-4FBB-B6EB-A5D348393C22}"/>
  </bookViews>
  <sheets>
    <sheet name="Overview" sheetId="4" r:id="rId1"/>
    <sheet name="Category-Details" sheetId="15" r:id="rId2"/>
    <sheet name="Totals" sheetId="1" r:id="rId3"/>
    <sheet name="Investments" sheetId="5" r:id="rId4"/>
    <sheet name="Knives" sheetId="6" r:id="rId5"/>
    <sheet name="AWP" sheetId="7" r:id="rId6"/>
    <sheet name="M4A4" sheetId="8" r:id="rId7"/>
    <sheet name="M4A1-S" sheetId="10" r:id="rId8"/>
    <sheet name="AK47" sheetId="11" r:id="rId9"/>
    <sheet name="SMG" sheetId="12" r:id="rId10"/>
    <sheet name="Heavy" sheetId="13" r:id="rId11"/>
    <sheet name="Pistol" sheetId="14" r:id="rId12"/>
    <sheet name="Other Rifles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72" i="5" l="1"/>
  <c r="M179" i="5" s="1"/>
  <c r="N172" i="5"/>
  <c r="N179" i="5" s="1"/>
  <c r="O172" i="5"/>
  <c r="O179" i="5" s="1"/>
  <c r="P172" i="5"/>
  <c r="P179" i="5" s="1"/>
  <c r="Q172" i="5"/>
  <c r="Q179" i="5" s="1"/>
  <c r="R172" i="5"/>
  <c r="R179" i="5" s="1"/>
  <c r="S172" i="5"/>
  <c r="V172" i="5"/>
  <c r="W172" i="5"/>
  <c r="X172" i="5"/>
  <c r="Y172" i="5"/>
  <c r="Z172" i="5"/>
  <c r="AA172" i="5"/>
  <c r="M173" i="5"/>
  <c r="N173" i="5"/>
  <c r="O173" i="5"/>
  <c r="P173" i="5"/>
  <c r="Q173" i="5"/>
  <c r="R173" i="5"/>
  <c r="S173" i="5"/>
  <c r="S179" i="5" s="1"/>
  <c r="V173" i="5"/>
  <c r="W173" i="5"/>
  <c r="X173" i="5"/>
  <c r="Y173" i="5"/>
  <c r="Z173" i="5"/>
  <c r="AA173" i="5"/>
  <c r="M174" i="5"/>
  <c r="N174" i="5"/>
  <c r="O174" i="5"/>
  <c r="P174" i="5"/>
  <c r="Q174" i="5"/>
  <c r="R174" i="5"/>
  <c r="S174" i="5"/>
  <c r="V174" i="5"/>
  <c r="W174" i="5"/>
  <c r="X174" i="5"/>
  <c r="Y174" i="5"/>
  <c r="Z174" i="5"/>
  <c r="AA174" i="5"/>
  <c r="AA179" i="5" s="1"/>
  <c r="M175" i="5"/>
  <c r="N175" i="5"/>
  <c r="O175" i="5"/>
  <c r="P175" i="5"/>
  <c r="Q175" i="5"/>
  <c r="R175" i="5"/>
  <c r="S175" i="5"/>
  <c r="V175" i="5"/>
  <c r="W175" i="5"/>
  <c r="X175" i="5"/>
  <c r="Y175" i="5"/>
  <c r="Z175" i="5"/>
  <c r="AA175" i="5"/>
  <c r="M176" i="5"/>
  <c r="N176" i="5"/>
  <c r="O176" i="5"/>
  <c r="P176" i="5"/>
  <c r="Q176" i="5"/>
  <c r="R176" i="5"/>
  <c r="S176" i="5"/>
  <c r="V176" i="5"/>
  <c r="V179" i="5" s="1"/>
  <c r="W176" i="5"/>
  <c r="X176" i="5"/>
  <c r="Y176" i="5"/>
  <c r="Z176" i="5"/>
  <c r="AA176" i="5"/>
  <c r="M177" i="5"/>
  <c r="N177" i="5"/>
  <c r="O177" i="5"/>
  <c r="P177" i="5"/>
  <c r="Q177" i="5"/>
  <c r="R177" i="5"/>
  <c r="S177" i="5"/>
  <c r="V177" i="5"/>
  <c r="W177" i="5"/>
  <c r="W179" i="5" s="1"/>
  <c r="X177" i="5"/>
  <c r="Y177" i="5"/>
  <c r="Z177" i="5"/>
  <c r="AA177" i="5"/>
  <c r="M178" i="5"/>
  <c r="N178" i="5"/>
  <c r="O178" i="5"/>
  <c r="P178" i="5"/>
  <c r="Q178" i="5"/>
  <c r="R178" i="5"/>
  <c r="S178" i="5"/>
  <c r="V178" i="5"/>
  <c r="W178" i="5"/>
  <c r="X178" i="5"/>
  <c r="X179" i="5" s="1"/>
  <c r="Y178" i="5"/>
  <c r="Z178" i="5"/>
  <c r="AA178" i="5"/>
  <c r="Y179" i="5"/>
  <c r="Z179" i="5"/>
  <c r="P5" i="1" l="1"/>
  <c r="O5" i="1" l="1"/>
  <c r="M34" i="1" l="1"/>
  <c r="M20" i="1"/>
  <c r="M21" i="1"/>
  <c r="M22" i="1"/>
  <c r="M23" i="1"/>
  <c r="M24" i="1"/>
  <c r="M25" i="1"/>
  <c r="M26" i="1"/>
  <c r="M27" i="1"/>
  <c r="M28" i="1"/>
  <c r="M5" i="1"/>
  <c r="N5" i="1"/>
  <c r="M6" i="1"/>
  <c r="M7" i="1"/>
  <c r="M8" i="1"/>
  <c r="M9" i="1"/>
  <c r="M15" i="1" s="1"/>
  <c r="M10" i="1"/>
  <c r="M11" i="1"/>
  <c r="M12" i="1"/>
  <c r="M13" i="1"/>
  <c r="M14" i="1"/>
  <c r="M23" i="16" l="1"/>
  <c r="N23" i="16"/>
  <c r="N14" i="1" s="1"/>
  <c r="O23" i="16"/>
  <c r="O14" i="1" s="1"/>
  <c r="P23" i="16"/>
  <c r="P14" i="1" s="1"/>
  <c r="Q23" i="16"/>
  <c r="Q14" i="1" s="1"/>
  <c r="R23" i="16"/>
  <c r="R14" i="1" s="1"/>
  <c r="S23" i="16"/>
  <c r="S14" i="1" s="1"/>
  <c r="T23" i="16"/>
  <c r="T14" i="1" s="1"/>
  <c r="U23" i="16"/>
  <c r="V23" i="16"/>
  <c r="W23" i="16"/>
  <c r="X23" i="16"/>
  <c r="Y23" i="16"/>
  <c r="Z23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M33" i="16"/>
  <c r="N33" i="16"/>
  <c r="O33" i="16"/>
  <c r="P33" i="16"/>
  <c r="Q33" i="16"/>
  <c r="R33" i="16"/>
  <c r="S33" i="16"/>
  <c r="T33" i="16"/>
  <c r="U33" i="16"/>
  <c r="U48" i="16" s="1"/>
  <c r="V33" i="16"/>
  <c r="V48" i="16" s="1"/>
  <c r="W33" i="16"/>
  <c r="X33" i="16"/>
  <c r="Y33" i="16"/>
  <c r="Z33" i="16"/>
  <c r="M34" i="16"/>
  <c r="N34" i="16"/>
  <c r="O34" i="16"/>
  <c r="P34" i="16"/>
  <c r="Q34" i="16"/>
  <c r="R34" i="16"/>
  <c r="S34" i="16"/>
  <c r="T34" i="16"/>
  <c r="U34" i="16"/>
  <c r="V34" i="16"/>
  <c r="W34" i="16"/>
  <c r="W48" i="16" s="1"/>
  <c r="X34" i="16"/>
  <c r="X48" i="16" s="1"/>
  <c r="Y34" i="16"/>
  <c r="Z34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Y48" i="16" s="1"/>
  <c r="Z35" i="16"/>
  <c r="Z48" i="16" s="1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X4" i="16"/>
  <c r="Y4" i="16"/>
  <c r="Z4" i="16"/>
  <c r="M4" i="16"/>
  <c r="N4" i="16"/>
  <c r="O4" i="16"/>
  <c r="P4" i="16"/>
  <c r="Q4" i="16"/>
  <c r="R4" i="16"/>
  <c r="S4" i="16"/>
  <c r="T4" i="16"/>
  <c r="U4" i="16"/>
  <c r="V4" i="16"/>
  <c r="W4" i="16"/>
  <c r="M37" i="14"/>
  <c r="N37" i="14"/>
  <c r="N13" i="1" s="1"/>
  <c r="O37" i="14"/>
  <c r="O13" i="1" s="1"/>
  <c r="P37" i="14"/>
  <c r="P13" i="1" s="1"/>
  <c r="Q37" i="14"/>
  <c r="Q13" i="1" s="1"/>
  <c r="R37" i="14"/>
  <c r="R13" i="1" s="1"/>
  <c r="S37" i="14"/>
  <c r="S13" i="1" s="1"/>
  <c r="T37" i="14"/>
  <c r="T13" i="1" s="1"/>
  <c r="U37" i="14"/>
  <c r="V37" i="14"/>
  <c r="W37" i="14"/>
  <c r="X37" i="14"/>
  <c r="Y37" i="14"/>
  <c r="Z37" i="14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M52" i="14"/>
  <c r="N52" i="14"/>
  <c r="O52" i="14"/>
  <c r="P52" i="14"/>
  <c r="Q52" i="14"/>
  <c r="R52" i="14"/>
  <c r="S52" i="14"/>
  <c r="T52" i="14"/>
  <c r="U52" i="14"/>
  <c r="U77" i="14" s="1"/>
  <c r="V52" i="14"/>
  <c r="W52" i="14"/>
  <c r="X52" i="14"/>
  <c r="Y52" i="14"/>
  <c r="Z52" i="14"/>
  <c r="M53" i="14"/>
  <c r="N53" i="14"/>
  <c r="O53" i="14"/>
  <c r="P53" i="14"/>
  <c r="Q53" i="14"/>
  <c r="R53" i="14"/>
  <c r="S53" i="14"/>
  <c r="T53" i="14"/>
  <c r="U53" i="14"/>
  <c r="V53" i="14"/>
  <c r="V77" i="14" s="1"/>
  <c r="W53" i="14"/>
  <c r="X53" i="14"/>
  <c r="Y53" i="14"/>
  <c r="Z53" i="14"/>
  <c r="M54" i="14"/>
  <c r="N54" i="14"/>
  <c r="O54" i="14"/>
  <c r="P54" i="14"/>
  <c r="Q54" i="14"/>
  <c r="R54" i="14"/>
  <c r="S54" i="14"/>
  <c r="T54" i="14"/>
  <c r="U54" i="14"/>
  <c r="V54" i="14"/>
  <c r="W54" i="14"/>
  <c r="W77" i="14" s="1"/>
  <c r="X54" i="14"/>
  <c r="Y54" i="14"/>
  <c r="Z54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X77" i="14" s="1"/>
  <c r="Y55" i="14"/>
  <c r="Z55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Y77" i="14" s="1"/>
  <c r="Z56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Z77" i="14" s="1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Z4" i="14"/>
  <c r="Y4" i="14"/>
  <c r="M4" i="14"/>
  <c r="N4" i="14"/>
  <c r="O4" i="14"/>
  <c r="P4" i="14"/>
  <c r="Q4" i="14"/>
  <c r="R4" i="14"/>
  <c r="S4" i="14"/>
  <c r="T4" i="14"/>
  <c r="U4" i="14"/>
  <c r="V4" i="14"/>
  <c r="W4" i="14"/>
  <c r="X4" i="14"/>
  <c r="M16" i="13"/>
  <c r="N16" i="13"/>
  <c r="N12" i="1" s="1"/>
  <c r="O16" i="13"/>
  <c r="O12" i="1" s="1"/>
  <c r="P16" i="13"/>
  <c r="P12" i="1" s="1"/>
  <c r="Q16" i="13"/>
  <c r="Q12" i="1" s="1"/>
  <c r="R16" i="13"/>
  <c r="R12" i="1" s="1"/>
  <c r="S16" i="13"/>
  <c r="S12" i="1" s="1"/>
  <c r="T16" i="13"/>
  <c r="T12" i="1" s="1"/>
  <c r="U16" i="13"/>
  <c r="V16" i="13"/>
  <c r="W16" i="13"/>
  <c r="X16" i="13"/>
  <c r="Y16" i="13"/>
  <c r="Z16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M25" i="13"/>
  <c r="N25" i="13"/>
  <c r="O25" i="13"/>
  <c r="P25" i="13"/>
  <c r="Q25" i="13"/>
  <c r="R25" i="13"/>
  <c r="S25" i="13"/>
  <c r="T25" i="13"/>
  <c r="U25" i="13"/>
  <c r="U35" i="13" s="1"/>
  <c r="V25" i="13"/>
  <c r="V35" i="13" s="1"/>
  <c r="W25" i="13"/>
  <c r="X25" i="13"/>
  <c r="Y25" i="13"/>
  <c r="Z25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X35" i="13" s="1"/>
  <c r="Y26" i="13"/>
  <c r="Z26" i="13"/>
  <c r="M27" i="13"/>
  <c r="N27" i="13"/>
  <c r="O27" i="13"/>
  <c r="P27" i="13"/>
  <c r="Q27" i="13"/>
  <c r="Q35" i="13" s="1"/>
  <c r="Q26" i="1" s="1"/>
  <c r="R27" i="13"/>
  <c r="S27" i="13"/>
  <c r="T27" i="13"/>
  <c r="U27" i="13"/>
  <c r="V27" i="13"/>
  <c r="W27" i="13"/>
  <c r="X27" i="13"/>
  <c r="Y27" i="13"/>
  <c r="Y35" i="13" s="1"/>
  <c r="Z27" i="13"/>
  <c r="Z35" i="13" s="1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M30" i="13"/>
  <c r="N30" i="13"/>
  <c r="O30" i="13"/>
  <c r="P30" i="13"/>
  <c r="Q30" i="13"/>
  <c r="R30" i="13"/>
  <c r="S30" i="13"/>
  <c r="T30" i="13"/>
  <c r="U30" i="13"/>
  <c r="V30" i="13"/>
  <c r="W30" i="13"/>
  <c r="W35" i="13" s="1"/>
  <c r="X30" i="13"/>
  <c r="Y30" i="13"/>
  <c r="Z30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M20" i="12"/>
  <c r="N20" i="12"/>
  <c r="N11" i="1" s="1"/>
  <c r="O20" i="12"/>
  <c r="O11" i="1" s="1"/>
  <c r="P20" i="12"/>
  <c r="P11" i="1" s="1"/>
  <c r="Q20" i="12"/>
  <c r="Q11" i="1" s="1"/>
  <c r="R20" i="12"/>
  <c r="R11" i="1" s="1"/>
  <c r="S20" i="12"/>
  <c r="S11" i="1" s="1"/>
  <c r="T20" i="12"/>
  <c r="T11" i="1" s="1"/>
  <c r="U20" i="12"/>
  <c r="V20" i="12"/>
  <c r="W20" i="12"/>
  <c r="X20" i="12"/>
  <c r="Y20" i="12"/>
  <c r="Z20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M29" i="12"/>
  <c r="N29" i="12"/>
  <c r="O29" i="12"/>
  <c r="P29" i="12"/>
  <c r="Q29" i="12"/>
  <c r="R29" i="12"/>
  <c r="S29" i="12"/>
  <c r="T29" i="12"/>
  <c r="U29" i="12"/>
  <c r="U43" i="12" s="1"/>
  <c r="V29" i="12"/>
  <c r="W29" i="12"/>
  <c r="X29" i="12"/>
  <c r="Y29" i="12"/>
  <c r="Z29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M32" i="12"/>
  <c r="N32" i="12"/>
  <c r="O32" i="12"/>
  <c r="P32" i="12"/>
  <c r="Q32" i="12"/>
  <c r="R32" i="12"/>
  <c r="S32" i="12"/>
  <c r="T32" i="12"/>
  <c r="U32" i="12"/>
  <c r="V32" i="12"/>
  <c r="V43" i="12" s="1"/>
  <c r="W32" i="12"/>
  <c r="X32" i="12"/>
  <c r="Y32" i="12"/>
  <c r="Z32" i="12"/>
  <c r="M33" i="12"/>
  <c r="N33" i="12"/>
  <c r="O33" i="12"/>
  <c r="P33" i="12"/>
  <c r="Q33" i="12"/>
  <c r="R33" i="12"/>
  <c r="S33" i="12"/>
  <c r="T33" i="12"/>
  <c r="U33" i="12"/>
  <c r="V33" i="12"/>
  <c r="W33" i="12"/>
  <c r="W43" i="12" s="1"/>
  <c r="X33" i="12"/>
  <c r="X43" i="12" s="1"/>
  <c r="Y33" i="12"/>
  <c r="Z33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Y43" i="12"/>
  <c r="Z43" i="12"/>
  <c r="Z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M12" i="11"/>
  <c r="N12" i="11"/>
  <c r="N10" i="1" s="1"/>
  <c r="O12" i="11"/>
  <c r="O10" i="1" s="1"/>
  <c r="P12" i="11"/>
  <c r="P10" i="1" s="1"/>
  <c r="Q12" i="11"/>
  <c r="Q10" i="1" s="1"/>
  <c r="R12" i="11"/>
  <c r="R10" i="1" s="1"/>
  <c r="S12" i="11"/>
  <c r="S10" i="1" s="1"/>
  <c r="T12" i="11"/>
  <c r="T10" i="1" s="1"/>
  <c r="U12" i="11"/>
  <c r="V12" i="11"/>
  <c r="W12" i="11"/>
  <c r="X12" i="11"/>
  <c r="Y12" i="11"/>
  <c r="Z12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Y27" i="11" s="1"/>
  <c r="Z20" i="11"/>
  <c r="Z27" i="11" s="1"/>
  <c r="M21" i="11"/>
  <c r="N21" i="11"/>
  <c r="O21" i="11"/>
  <c r="P21" i="11"/>
  <c r="Q21" i="11"/>
  <c r="R21" i="11"/>
  <c r="S21" i="11"/>
  <c r="T21" i="11"/>
  <c r="U21" i="11"/>
  <c r="V21" i="11"/>
  <c r="W21" i="11"/>
  <c r="X21" i="11"/>
  <c r="X27" i="11" s="1"/>
  <c r="Y21" i="11"/>
  <c r="Z21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M23" i="11"/>
  <c r="N23" i="11"/>
  <c r="O23" i="11"/>
  <c r="P23" i="11"/>
  <c r="Q23" i="11"/>
  <c r="R23" i="11"/>
  <c r="S23" i="11"/>
  <c r="T23" i="11"/>
  <c r="U23" i="11"/>
  <c r="U27" i="11" s="1"/>
  <c r="V23" i="11"/>
  <c r="V27" i="11" s="1"/>
  <c r="W23" i="11"/>
  <c r="X23" i="11"/>
  <c r="Y23" i="11"/>
  <c r="Z23" i="11"/>
  <c r="M24" i="11"/>
  <c r="N24" i="11"/>
  <c r="O24" i="11"/>
  <c r="P24" i="11"/>
  <c r="Q24" i="11"/>
  <c r="R24" i="11"/>
  <c r="S24" i="11"/>
  <c r="T24" i="11"/>
  <c r="U24" i="11"/>
  <c r="V24" i="11"/>
  <c r="W24" i="11"/>
  <c r="W27" i="11" s="1"/>
  <c r="X24" i="11"/>
  <c r="Y24" i="11"/>
  <c r="Z24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M10" i="10"/>
  <c r="N10" i="10"/>
  <c r="N9" i="1" s="1"/>
  <c r="O10" i="10"/>
  <c r="O9" i="1" s="1"/>
  <c r="P10" i="10"/>
  <c r="P9" i="1" s="1"/>
  <c r="Q10" i="10"/>
  <c r="Q9" i="1" s="1"/>
  <c r="R10" i="10"/>
  <c r="R9" i="1" s="1"/>
  <c r="S10" i="10"/>
  <c r="S9" i="1" s="1"/>
  <c r="T10" i="10"/>
  <c r="T9" i="1" s="1"/>
  <c r="U10" i="10"/>
  <c r="V10" i="10"/>
  <c r="W10" i="10"/>
  <c r="X10" i="10"/>
  <c r="Y10" i="10"/>
  <c r="Z10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M20" i="10"/>
  <c r="N20" i="10"/>
  <c r="O20" i="10"/>
  <c r="P20" i="10"/>
  <c r="Q20" i="10"/>
  <c r="R20" i="10"/>
  <c r="S20" i="10"/>
  <c r="T20" i="10"/>
  <c r="U20" i="10"/>
  <c r="U25" i="10" s="1"/>
  <c r="V20" i="10"/>
  <c r="W20" i="10"/>
  <c r="X20" i="10"/>
  <c r="Y20" i="10"/>
  <c r="Y25" i="10" s="1"/>
  <c r="Z20" i="10"/>
  <c r="M21" i="10"/>
  <c r="N21" i="10"/>
  <c r="O21" i="10"/>
  <c r="P21" i="10"/>
  <c r="Q21" i="10"/>
  <c r="R21" i="10"/>
  <c r="S21" i="10"/>
  <c r="T21" i="10"/>
  <c r="U21" i="10"/>
  <c r="V21" i="10"/>
  <c r="V25" i="10" s="1"/>
  <c r="W21" i="10"/>
  <c r="W25" i="10" s="1"/>
  <c r="X21" i="10"/>
  <c r="Y21" i="10"/>
  <c r="Z21" i="10"/>
  <c r="Z25" i="10" s="1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X25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M14" i="8"/>
  <c r="N14" i="8"/>
  <c r="N8" i="1" s="1"/>
  <c r="O14" i="8"/>
  <c r="O8" i="1" s="1"/>
  <c r="P14" i="8"/>
  <c r="P8" i="1" s="1"/>
  <c r="Q14" i="8"/>
  <c r="Q8" i="1" s="1"/>
  <c r="R14" i="8"/>
  <c r="R8" i="1" s="1"/>
  <c r="S14" i="8"/>
  <c r="S8" i="1" s="1"/>
  <c r="T14" i="8"/>
  <c r="T8" i="1" s="1"/>
  <c r="U14" i="8"/>
  <c r="V14" i="8"/>
  <c r="W14" i="8"/>
  <c r="X14" i="8"/>
  <c r="Y14" i="8"/>
  <c r="Z14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M23" i="8"/>
  <c r="N23" i="8"/>
  <c r="O23" i="8"/>
  <c r="P23" i="8"/>
  <c r="Q23" i="8"/>
  <c r="R23" i="8"/>
  <c r="S23" i="8"/>
  <c r="T23" i="8"/>
  <c r="U23" i="8"/>
  <c r="U31" i="8" s="1"/>
  <c r="V23" i="8"/>
  <c r="V31" i="8" s="1"/>
  <c r="W23" i="8"/>
  <c r="X23" i="8"/>
  <c r="Y23" i="8"/>
  <c r="Z23" i="8"/>
  <c r="M24" i="8"/>
  <c r="N24" i="8"/>
  <c r="O24" i="8"/>
  <c r="P24" i="8"/>
  <c r="Q24" i="8"/>
  <c r="R24" i="8"/>
  <c r="S24" i="8"/>
  <c r="T24" i="8"/>
  <c r="U24" i="8"/>
  <c r="V24" i="8"/>
  <c r="W24" i="8"/>
  <c r="W31" i="8" s="1"/>
  <c r="X24" i="8"/>
  <c r="X31" i="8" s="1"/>
  <c r="Y24" i="8"/>
  <c r="Z24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Y31" i="8" s="1"/>
  <c r="Z25" i="8"/>
  <c r="Z31" i="8" s="1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Z4" i="8"/>
  <c r="M4" i="8"/>
  <c r="N4" i="8"/>
  <c r="O4" i="8"/>
  <c r="P4" i="8"/>
  <c r="Q4" i="8"/>
  <c r="R4" i="8"/>
  <c r="S4" i="8"/>
  <c r="T4" i="8"/>
  <c r="U4" i="8"/>
  <c r="V4" i="8"/>
  <c r="W4" i="8"/>
  <c r="X4" i="8"/>
  <c r="Y4" i="8"/>
  <c r="M13" i="7"/>
  <c r="N13" i="7"/>
  <c r="N7" i="1" s="1"/>
  <c r="O13" i="7"/>
  <c r="O7" i="1" s="1"/>
  <c r="P13" i="7"/>
  <c r="P7" i="1" s="1"/>
  <c r="Q13" i="7"/>
  <c r="Q7" i="1" s="1"/>
  <c r="R13" i="7"/>
  <c r="R7" i="1" s="1"/>
  <c r="S13" i="7"/>
  <c r="S7" i="1" s="1"/>
  <c r="T13" i="7"/>
  <c r="T7" i="1" s="1"/>
  <c r="U13" i="7"/>
  <c r="V13" i="7"/>
  <c r="W13" i="7"/>
  <c r="X13" i="7"/>
  <c r="Y13" i="7"/>
  <c r="Z13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M24" i="7"/>
  <c r="N24" i="7"/>
  <c r="O24" i="7"/>
  <c r="P24" i="7"/>
  <c r="Q24" i="7"/>
  <c r="R24" i="7"/>
  <c r="S24" i="7"/>
  <c r="T24" i="7"/>
  <c r="U24" i="7"/>
  <c r="U30" i="7" s="1"/>
  <c r="V24" i="7"/>
  <c r="W24" i="7"/>
  <c r="X24" i="7"/>
  <c r="Y24" i="7"/>
  <c r="Z24" i="7"/>
  <c r="M25" i="7"/>
  <c r="N25" i="7"/>
  <c r="O25" i="7"/>
  <c r="P25" i="7"/>
  <c r="Q25" i="7"/>
  <c r="R25" i="7"/>
  <c r="S25" i="7"/>
  <c r="T25" i="7"/>
  <c r="U25" i="7"/>
  <c r="V25" i="7"/>
  <c r="V30" i="7" s="1"/>
  <c r="W25" i="7"/>
  <c r="W30" i="7" s="1"/>
  <c r="X25" i="7"/>
  <c r="Y25" i="7"/>
  <c r="Z25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M28" i="7"/>
  <c r="N28" i="7"/>
  <c r="O28" i="7"/>
  <c r="P28" i="7"/>
  <c r="Q28" i="7"/>
  <c r="R28" i="7"/>
  <c r="S28" i="7"/>
  <c r="T28" i="7"/>
  <c r="U28" i="7"/>
  <c r="V28" i="7"/>
  <c r="W28" i="7"/>
  <c r="X28" i="7"/>
  <c r="X30" i="7" s="1"/>
  <c r="Y28" i="7"/>
  <c r="Z28" i="7"/>
  <c r="Y30" i="7"/>
  <c r="Z30" i="7"/>
  <c r="W4" i="7"/>
  <c r="X4" i="7"/>
  <c r="Y4" i="7"/>
  <c r="Z4" i="7"/>
  <c r="M4" i="7"/>
  <c r="N4" i="7"/>
  <c r="O4" i="7"/>
  <c r="P4" i="7"/>
  <c r="Q4" i="7"/>
  <c r="R4" i="7"/>
  <c r="S4" i="7"/>
  <c r="T4" i="7"/>
  <c r="U4" i="7"/>
  <c r="V4" i="7"/>
  <c r="M10" i="6"/>
  <c r="N10" i="6"/>
  <c r="N6" i="1" s="1"/>
  <c r="O10" i="6"/>
  <c r="O6" i="1" s="1"/>
  <c r="P10" i="6"/>
  <c r="P6" i="1" s="1"/>
  <c r="Q10" i="6"/>
  <c r="Q6" i="1" s="1"/>
  <c r="R10" i="6"/>
  <c r="R6" i="1" s="1"/>
  <c r="S10" i="6"/>
  <c r="S6" i="1" s="1"/>
  <c r="T10" i="6"/>
  <c r="T6" i="1" s="1"/>
  <c r="U10" i="6"/>
  <c r="V10" i="6"/>
  <c r="W10" i="6"/>
  <c r="X10" i="6"/>
  <c r="Y10" i="6"/>
  <c r="Z10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M20" i="6"/>
  <c r="N20" i="6"/>
  <c r="O20" i="6"/>
  <c r="P20" i="6"/>
  <c r="Q20" i="6"/>
  <c r="R20" i="6"/>
  <c r="S20" i="6"/>
  <c r="T20" i="6"/>
  <c r="U20" i="6"/>
  <c r="V20" i="6"/>
  <c r="V25" i="6" s="1"/>
  <c r="W20" i="6"/>
  <c r="X20" i="6"/>
  <c r="Y20" i="6"/>
  <c r="Z20" i="6"/>
  <c r="Z25" i="6" s="1"/>
  <c r="M21" i="6"/>
  <c r="N21" i="6"/>
  <c r="O21" i="6"/>
  <c r="P21" i="6"/>
  <c r="Q21" i="6"/>
  <c r="R21" i="6"/>
  <c r="S21" i="6"/>
  <c r="T21" i="6"/>
  <c r="U21" i="6"/>
  <c r="U25" i="6" s="1"/>
  <c r="V21" i="6"/>
  <c r="W21" i="6"/>
  <c r="X21" i="6"/>
  <c r="X25" i="6" s="1"/>
  <c r="Y21" i="6"/>
  <c r="Z21" i="6"/>
  <c r="M22" i="6"/>
  <c r="N22" i="6"/>
  <c r="O22" i="6"/>
  <c r="P22" i="6"/>
  <c r="Q22" i="6"/>
  <c r="R22" i="6"/>
  <c r="S22" i="6"/>
  <c r="T22" i="6"/>
  <c r="U22" i="6"/>
  <c r="V22" i="6"/>
  <c r="W22" i="6"/>
  <c r="W25" i="6" s="1"/>
  <c r="X22" i="6"/>
  <c r="Y22" i="6"/>
  <c r="Z22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Y25" i="6" s="1"/>
  <c r="Z23" i="6"/>
  <c r="W4" i="6"/>
  <c r="X4" i="6"/>
  <c r="Y4" i="6"/>
  <c r="Z4" i="6"/>
  <c r="M4" i="6"/>
  <c r="N4" i="6"/>
  <c r="O4" i="6"/>
  <c r="P4" i="6"/>
  <c r="Q4" i="6"/>
  <c r="R4" i="6"/>
  <c r="S4" i="6"/>
  <c r="T4" i="6"/>
  <c r="U4" i="6"/>
  <c r="V4" i="6"/>
  <c r="O53" i="5"/>
  <c r="P53" i="5"/>
  <c r="Q53" i="5"/>
  <c r="Q64" i="5" s="1"/>
  <c r="Q80" i="5" s="1"/>
  <c r="Q96" i="5" s="1"/>
  <c r="Q107" i="5" s="1"/>
  <c r="Q123" i="5" s="1"/>
  <c r="Q144" i="5" s="1"/>
  <c r="Q155" i="5" s="1"/>
  <c r="Q171" i="5" s="1"/>
  <c r="R53" i="5"/>
  <c r="R64" i="5" s="1"/>
  <c r="R80" i="5" s="1"/>
  <c r="R96" i="5" s="1"/>
  <c r="R107" i="5" s="1"/>
  <c r="R123" i="5" s="1"/>
  <c r="R144" i="5" s="1"/>
  <c r="R155" i="5" s="1"/>
  <c r="R171" i="5" s="1"/>
  <c r="S53" i="5"/>
  <c r="T53" i="5"/>
  <c r="U53" i="5"/>
  <c r="V53" i="5"/>
  <c r="W53" i="5"/>
  <c r="X53" i="5"/>
  <c r="Y53" i="5"/>
  <c r="Y64" i="5" s="1"/>
  <c r="Y80" i="5" s="1"/>
  <c r="Y96" i="5" s="1"/>
  <c r="Y107" i="5" s="1"/>
  <c r="Y123" i="5" s="1"/>
  <c r="Y144" i="5" s="1"/>
  <c r="Y155" i="5" s="1"/>
  <c r="Y171" i="5" s="1"/>
  <c r="Z53" i="5"/>
  <c r="Z64" i="5" s="1"/>
  <c r="Z80" i="5" s="1"/>
  <c r="Z96" i="5" s="1"/>
  <c r="Z107" i="5" s="1"/>
  <c r="Z123" i="5" s="1"/>
  <c r="Z144" i="5" s="1"/>
  <c r="Z155" i="5" s="1"/>
  <c r="Z171" i="5" s="1"/>
  <c r="AA53" i="5"/>
  <c r="O54" i="5"/>
  <c r="P54" i="5"/>
  <c r="P145" i="5" s="1"/>
  <c r="Q54" i="5"/>
  <c r="Q145" i="5" s="1"/>
  <c r="R54" i="5"/>
  <c r="S54" i="5"/>
  <c r="T54" i="5"/>
  <c r="T145" i="5" s="1"/>
  <c r="U54" i="5"/>
  <c r="U145" i="5" s="1"/>
  <c r="V54" i="5"/>
  <c r="W54" i="5"/>
  <c r="X54" i="5"/>
  <c r="Y54" i="5"/>
  <c r="Z54" i="5"/>
  <c r="AA54" i="5"/>
  <c r="O55" i="5"/>
  <c r="O146" i="5" s="1"/>
  <c r="P55" i="5"/>
  <c r="P146" i="5" s="1"/>
  <c r="Q55" i="5"/>
  <c r="R55" i="5"/>
  <c r="S55" i="5"/>
  <c r="S146" i="5" s="1"/>
  <c r="T55" i="5"/>
  <c r="T146" i="5" s="1"/>
  <c r="U55" i="5"/>
  <c r="V55" i="5"/>
  <c r="W55" i="5"/>
  <c r="W146" i="5" s="1"/>
  <c r="X55" i="5"/>
  <c r="X146" i="5" s="1"/>
  <c r="X150" i="5" s="1"/>
  <c r="Y55" i="5"/>
  <c r="Z55" i="5"/>
  <c r="AA55" i="5"/>
  <c r="O56" i="5"/>
  <c r="O147" i="5" s="1"/>
  <c r="P56" i="5"/>
  <c r="P147" i="5" s="1"/>
  <c r="Q56" i="5"/>
  <c r="R56" i="5"/>
  <c r="R147" i="5" s="1"/>
  <c r="S56" i="5"/>
  <c r="S147" i="5" s="1"/>
  <c r="T56" i="5"/>
  <c r="U56" i="5"/>
  <c r="U147" i="5" s="1"/>
  <c r="V56" i="5"/>
  <c r="V147" i="5" s="1"/>
  <c r="W56" i="5"/>
  <c r="W147" i="5" s="1"/>
  <c r="X56" i="5"/>
  <c r="Y56" i="5"/>
  <c r="Z56" i="5"/>
  <c r="Z147" i="5" s="1"/>
  <c r="AA56" i="5"/>
  <c r="AA147" i="5" s="1"/>
  <c r="AA150" i="5" s="1"/>
  <c r="O57" i="5"/>
  <c r="P57" i="5"/>
  <c r="P148" i="5" s="1"/>
  <c r="Q57" i="5"/>
  <c r="R57" i="5"/>
  <c r="S57" i="5"/>
  <c r="T57" i="5"/>
  <c r="T148" i="5" s="1"/>
  <c r="U57" i="5"/>
  <c r="U148" i="5" s="1"/>
  <c r="V57" i="5"/>
  <c r="V148" i="5" s="1"/>
  <c r="W57" i="5"/>
  <c r="X57" i="5"/>
  <c r="Y57" i="5"/>
  <c r="Y148" i="5" s="1"/>
  <c r="Z57" i="5"/>
  <c r="Z148" i="5" s="1"/>
  <c r="AA57" i="5"/>
  <c r="O58" i="5"/>
  <c r="P58" i="5"/>
  <c r="P149" i="5" s="1"/>
  <c r="Q58" i="5"/>
  <c r="Q149" i="5" s="1"/>
  <c r="R58" i="5"/>
  <c r="S58" i="5"/>
  <c r="S149" i="5" s="1"/>
  <c r="T58" i="5"/>
  <c r="U58" i="5"/>
  <c r="V58" i="5"/>
  <c r="W58" i="5"/>
  <c r="X58" i="5"/>
  <c r="X149" i="5" s="1"/>
  <c r="Y58" i="5"/>
  <c r="Y149" i="5" s="1"/>
  <c r="Z58" i="5"/>
  <c r="AA58" i="5"/>
  <c r="O64" i="5"/>
  <c r="O80" i="5" s="1"/>
  <c r="O96" i="5" s="1"/>
  <c r="O107" i="5" s="1"/>
  <c r="O123" i="5" s="1"/>
  <c r="O144" i="5" s="1"/>
  <c r="O155" i="5" s="1"/>
  <c r="O171" i="5" s="1"/>
  <c r="P64" i="5"/>
  <c r="P80" i="5" s="1"/>
  <c r="P96" i="5" s="1"/>
  <c r="P107" i="5" s="1"/>
  <c r="P123" i="5" s="1"/>
  <c r="P144" i="5" s="1"/>
  <c r="P155" i="5" s="1"/>
  <c r="P171" i="5" s="1"/>
  <c r="S64" i="5"/>
  <c r="S80" i="5" s="1"/>
  <c r="S96" i="5" s="1"/>
  <c r="S107" i="5" s="1"/>
  <c r="S123" i="5" s="1"/>
  <c r="S144" i="5" s="1"/>
  <c r="S155" i="5" s="1"/>
  <c r="S171" i="5" s="1"/>
  <c r="T64" i="5"/>
  <c r="T80" i="5" s="1"/>
  <c r="T96" i="5" s="1"/>
  <c r="T107" i="5" s="1"/>
  <c r="T123" i="5" s="1"/>
  <c r="T144" i="5" s="1"/>
  <c r="T155" i="5" s="1"/>
  <c r="T171" i="5" s="1"/>
  <c r="U64" i="5"/>
  <c r="V64" i="5"/>
  <c r="W64" i="5"/>
  <c r="X64" i="5"/>
  <c r="AA64" i="5"/>
  <c r="AA80" i="5" s="1"/>
  <c r="AA96" i="5" s="1"/>
  <c r="AA107" i="5" s="1"/>
  <c r="AA123" i="5" s="1"/>
  <c r="AA144" i="5" s="1"/>
  <c r="AA155" i="5" s="1"/>
  <c r="AA171" i="5" s="1"/>
  <c r="O65" i="5"/>
  <c r="O156" i="5" s="1"/>
  <c r="P65" i="5"/>
  <c r="Q65" i="5"/>
  <c r="R65" i="5"/>
  <c r="R156" i="5" s="1"/>
  <c r="S65" i="5"/>
  <c r="S156" i="5" s="1"/>
  <c r="T65" i="5"/>
  <c r="U65" i="5"/>
  <c r="V65" i="5"/>
  <c r="V156" i="5" s="1"/>
  <c r="W65" i="5"/>
  <c r="W156" i="5" s="1"/>
  <c r="W166" i="5" s="1"/>
  <c r="X65" i="5"/>
  <c r="Y65" i="5"/>
  <c r="Z65" i="5"/>
  <c r="AA65" i="5"/>
  <c r="O66" i="5"/>
  <c r="P66" i="5"/>
  <c r="Q66" i="5"/>
  <c r="Q157" i="5" s="1"/>
  <c r="R66" i="5"/>
  <c r="R157" i="5" s="1"/>
  <c r="S66" i="5"/>
  <c r="S157" i="5" s="1"/>
  <c r="T66" i="5"/>
  <c r="T157" i="5" s="1"/>
  <c r="U66" i="5"/>
  <c r="U157" i="5" s="1"/>
  <c r="V66" i="5"/>
  <c r="V157" i="5" s="1"/>
  <c r="W66" i="5"/>
  <c r="X66" i="5"/>
  <c r="Y66" i="5"/>
  <c r="Y157" i="5" s="1"/>
  <c r="Z66" i="5"/>
  <c r="Z157" i="5" s="1"/>
  <c r="Z166" i="5" s="1"/>
  <c r="AA66" i="5"/>
  <c r="O67" i="5"/>
  <c r="O158" i="5" s="1"/>
  <c r="P67" i="5"/>
  <c r="P158" i="5" s="1"/>
  <c r="Q67" i="5"/>
  <c r="R67" i="5"/>
  <c r="S67" i="5"/>
  <c r="T67" i="5"/>
  <c r="T158" i="5" s="1"/>
  <c r="U67" i="5"/>
  <c r="U158" i="5" s="1"/>
  <c r="V67" i="5"/>
  <c r="W67" i="5"/>
  <c r="X67" i="5"/>
  <c r="X158" i="5" s="1"/>
  <c r="Y67" i="5"/>
  <c r="Y158" i="5" s="1"/>
  <c r="Z67" i="5"/>
  <c r="AA67" i="5"/>
  <c r="O68" i="5"/>
  <c r="O159" i="5" s="1"/>
  <c r="P68" i="5"/>
  <c r="P159" i="5" s="1"/>
  <c r="Q68" i="5"/>
  <c r="R68" i="5"/>
  <c r="S68" i="5"/>
  <c r="S159" i="5" s="1"/>
  <c r="T68" i="5"/>
  <c r="U68" i="5"/>
  <c r="V68" i="5"/>
  <c r="W68" i="5"/>
  <c r="W159" i="5" s="1"/>
  <c r="X68" i="5"/>
  <c r="X159" i="5" s="1"/>
  <c r="Y68" i="5"/>
  <c r="Z68" i="5"/>
  <c r="AA68" i="5"/>
  <c r="AA159" i="5" s="1"/>
  <c r="O69" i="5"/>
  <c r="O160" i="5" s="1"/>
  <c r="P69" i="5"/>
  <c r="Q69" i="5"/>
  <c r="R69" i="5"/>
  <c r="R160" i="5" s="1"/>
  <c r="S69" i="5"/>
  <c r="S160" i="5" s="1"/>
  <c r="T69" i="5"/>
  <c r="U69" i="5"/>
  <c r="V69" i="5"/>
  <c r="W69" i="5"/>
  <c r="X69" i="5"/>
  <c r="Y69" i="5"/>
  <c r="Z69" i="5"/>
  <c r="Z160" i="5" s="1"/>
  <c r="AA69" i="5"/>
  <c r="AA160" i="5" s="1"/>
  <c r="O70" i="5"/>
  <c r="O161" i="5" s="1"/>
  <c r="P70" i="5"/>
  <c r="Q70" i="5"/>
  <c r="Q161" i="5" s="1"/>
  <c r="R70" i="5"/>
  <c r="R161" i="5" s="1"/>
  <c r="S70" i="5"/>
  <c r="T70" i="5"/>
  <c r="U70" i="5"/>
  <c r="U161" i="5" s="1"/>
  <c r="V70" i="5"/>
  <c r="V161" i="5" s="1"/>
  <c r="W70" i="5"/>
  <c r="X70" i="5"/>
  <c r="Y70" i="5"/>
  <c r="Z70" i="5"/>
  <c r="AA70" i="5"/>
  <c r="O71" i="5"/>
  <c r="P71" i="5"/>
  <c r="P162" i="5" s="1"/>
  <c r="Q71" i="5"/>
  <c r="Q162" i="5" s="1"/>
  <c r="R71" i="5"/>
  <c r="R162" i="5" s="1"/>
  <c r="S71" i="5"/>
  <c r="T71" i="5"/>
  <c r="T162" i="5" s="1"/>
  <c r="U71" i="5"/>
  <c r="U162" i="5" s="1"/>
  <c r="V71" i="5"/>
  <c r="W71" i="5"/>
  <c r="X71" i="5"/>
  <c r="X162" i="5" s="1"/>
  <c r="Y71" i="5"/>
  <c r="Y162" i="5" s="1"/>
  <c r="Z71" i="5"/>
  <c r="AA71" i="5"/>
  <c r="O72" i="5"/>
  <c r="O163" i="5" s="1"/>
  <c r="P72" i="5"/>
  <c r="P163" i="5" s="1"/>
  <c r="Q72" i="5"/>
  <c r="Q163" i="5" s="1"/>
  <c r="R72" i="5"/>
  <c r="S72" i="5"/>
  <c r="S163" i="5" s="1"/>
  <c r="T72" i="5"/>
  <c r="T163" i="5" s="1"/>
  <c r="U72" i="5"/>
  <c r="V72" i="5"/>
  <c r="W72" i="5"/>
  <c r="W163" i="5" s="1"/>
  <c r="X72" i="5"/>
  <c r="X163" i="5" s="1"/>
  <c r="Y72" i="5"/>
  <c r="Z72" i="5"/>
  <c r="AA72" i="5"/>
  <c r="AA163" i="5" s="1"/>
  <c r="O73" i="5"/>
  <c r="O164" i="5" s="1"/>
  <c r="P73" i="5"/>
  <c r="Q73" i="5"/>
  <c r="Q164" i="5" s="1"/>
  <c r="R73" i="5"/>
  <c r="S73" i="5"/>
  <c r="S164" i="5" s="1"/>
  <c r="T73" i="5"/>
  <c r="U73" i="5"/>
  <c r="V73" i="5"/>
  <c r="V164" i="5" s="1"/>
  <c r="W73" i="5"/>
  <c r="W164" i="5" s="1"/>
  <c r="X73" i="5"/>
  <c r="Y73" i="5"/>
  <c r="Z73" i="5"/>
  <c r="Z164" i="5" s="1"/>
  <c r="AA73" i="5"/>
  <c r="AA164" i="5" s="1"/>
  <c r="O74" i="5"/>
  <c r="P74" i="5"/>
  <c r="Q74" i="5"/>
  <c r="Q165" i="5" s="1"/>
  <c r="R74" i="5"/>
  <c r="R165" i="5" s="1"/>
  <c r="S74" i="5"/>
  <c r="T74" i="5"/>
  <c r="U74" i="5"/>
  <c r="U165" i="5" s="1"/>
  <c r="V74" i="5"/>
  <c r="W74" i="5"/>
  <c r="X74" i="5"/>
  <c r="Y74" i="5"/>
  <c r="Y165" i="5" s="1"/>
  <c r="Z74" i="5"/>
  <c r="Z165" i="5" s="1"/>
  <c r="AA74" i="5"/>
  <c r="U80" i="5"/>
  <c r="U96" i="5" s="1"/>
  <c r="U107" i="5" s="1"/>
  <c r="U123" i="5" s="1"/>
  <c r="U144" i="5" s="1"/>
  <c r="U155" i="5" s="1"/>
  <c r="U171" i="5" s="1"/>
  <c r="V80" i="5"/>
  <c r="W80" i="5"/>
  <c r="X80" i="5"/>
  <c r="O81" i="5"/>
  <c r="P81" i="5"/>
  <c r="Q81" i="5"/>
  <c r="R81" i="5"/>
  <c r="S81" i="5"/>
  <c r="T81" i="5"/>
  <c r="T172" i="5" s="1"/>
  <c r="U81" i="5"/>
  <c r="U172" i="5" s="1"/>
  <c r="V81" i="5"/>
  <c r="W81" i="5"/>
  <c r="X81" i="5"/>
  <c r="Y81" i="5"/>
  <c r="Z81" i="5"/>
  <c r="AA81" i="5"/>
  <c r="O82" i="5"/>
  <c r="P82" i="5"/>
  <c r="Q82" i="5"/>
  <c r="R82" i="5"/>
  <c r="S82" i="5"/>
  <c r="T82" i="5"/>
  <c r="T173" i="5" s="1"/>
  <c r="U82" i="5"/>
  <c r="U173" i="5" s="1"/>
  <c r="V82" i="5"/>
  <c r="W82" i="5"/>
  <c r="X82" i="5"/>
  <c r="Y82" i="5"/>
  <c r="Z82" i="5"/>
  <c r="AA82" i="5"/>
  <c r="O83" i="5"/>
  <c r="P83" i="5"/>
  <c r="Q83" i="5"/>
  <c r="R83" i="5"/>
  <c r="S83" i="5"/>
  <c r="T83" i="5"/>
  <c r="T174" i="5" s="1"/>
  <c r="U83" i="5"/>
  <c r="U174" i="5" s="1"/>
  <c r="V83" i="5"/>
  <c r="W83" i="5"/>
  <c r="X83" i="5"/>
  <c r="Y83" i="5"/>
  <c r="Z83" i="5"/>
  <c r="AA83" i="5"/>
  <c r="O84" i="5"/>
  <c r="P84" i="5"/>
  <c r="Q84" i="5"/>
  <c r="R84" i="5"/>
  <c r="S84" i="5"/>
  <c r="T84" i="5"/>
  <c r="T175" i="5" s="1"/>
  <c r="U84" i="5"/>
  <c r="U175" i="5" s="1"/>
  <c r="V84" i="5"/>
  <c r="W84" i="5"/>
  <c r="X84" i="5"/>
  <c r="Y84" i="5"/>
  <c r="Z84" i="5"/>
  <c r="AA84" i="5"/>
  <c r="O85" i="5"/>
  <c r="P85" i="5"/>
  <c r="Q85" i="5"/>
  <c r="R85" i="5"/>
  <c r="S85" i="5"/>
  <c r="T85" i="5"/>
  <c r="T176" i="5" s="1"/>
  <c r="U85" i="5"/>
  <c r="U176" i="5" s="1"/>
  <c r="V85" i="5"/>
  <c r="W85" i="5"/>
  <c r="X85" i="5"/>
  <c r="Y85" i="5"/>
  <c r="Z85" i="5"/>
  <c r="AA85" i="5"/>
  <c r="O86" i="5"/>
  <c r="P86" i="5"/>
  <c r="Q86" i="5"/>
  <c r="R86" i="5"/>
  <c r="S86" i="5"/>
  <c r="T86" i="5"/>
  <c r="T177" i="5" s="1"/>
  <c r="U86" i="5"/>
  <c r="U177" i="5" s="1"/>
  <c r="V86" i="5"/>
  <c r="W86" i="5"/>
  <c r="X86" i="5"/>
  <c r="Y86" i="5"/>
  <c r="Z86" i="5"/>
  <c r="AA86" i="5"/>
  <c r="O87" i="5"/>
  <c r="P87" i="5"/>
  <c r="Q87" i="5"/>
  <c r="R87" i="5"/>
  <c r="S87" i="5"/>
  <c r="T87" i="5"/>
  <c r="T178" i="5" s="1"/>
  <c r="U87" i="5"/>
  <c r="U178" i="5" s="1"/>
  <c r="V87" i="5"/>
  <c r="W87" i="5"/>
  <c r="X87" i="5"/>
  <c r="Y87" i="5"/>
  <c r="Z87" i="5"/>
  <c r="AA87" i="5"/>
  <c r="V96" i="5"/>
  <c r="W96" i="5"/>
  <c r="W107" i="5" s="1"/>
  <c r="W123" i="5" s="1"/>
  <c r="W144" i="5" s="1"/>
  <c r="W155" i="5" s="1"/>
  <c r="W171" i="5" s="1"/>
  <c r="X96" i="5"/>
  <c r="X107" i="5" s="1"/>
  <c r="X123" i="5" s="1"/>
  <c r="X144" i="5" s="1"/>
  <c r="X155" i="5" s="1"/>
  <c r="X171" i="5" s="1"/>
  <c r="O97" i="5"/>
  <c r="P97" i="5"/>
  <c r="Q97" i="5"/>
  <c r="R97" i="5"/>
  <c r="S97" i="5"/>
  <c r="T97" i="5"/>
  <c r="U97" i="5"/>
  <c r="V97" i="5"/>
  <c r="W97" i="5"/>
  <c r="X97" i="5"/>
  <c r="X102" i="5" s="1"/>
  <c r="X135" i="5" s="1"/>
  <c r="Y97" i="5"/>
  <c r="Z97" i="5"/>
  <c r="AA97" i="5"/>
  <c r="O98" i="5"/>
  <c r="P98" i="5"/>
  <c r="Q98" i="5"/>
  <c r="R98" i="5"/>
  <c r="S98" i="5"/>
  <c r="T98" i="5"/>
  <c r="U98" i="5"/>
  <c r="V98" i="5"/>
  <c r="W98" i="5"/>
  <c r="X98" i="5"/>
  <c r="Y98" i="5"/>
  <c r="Z98" i="5"/>
  <c r="AA98" i="5"/>
  <c r="O99" i="5"/>
  <c r="P99" i="5"/>
  <c r="Q99" i="5"/>
  <c r="R99" i="5"/>
  <c r="S99" i="5"/>
  <c r="T99" i="5"/>
  <c r="U99" i="5"/>
  <c r="V99" i="5"/>
  <c r="V102" i="5" s="1"/>
  <c r="V135" i="5" s="1"/>
  <c r="W99" i="5"/>
  <c r="X99" i="5"/>
  <c r="Y99" i="5"/>
  <c r="Z99" i="5"/>
  <c r="AA99" i="5"/>
  <c r="O100" i="5"/>
  <c r="P100" i="5"/>
  <c r="Q100" i="5"/>
  <c r="R100" i="5"/>
  <c r="S100" i="5"/>
  <c r="T100" i="5"/>
  <c r="U100" i="5"/>
  <c r="V100" i="5"/>
  <c r="W100" i="5"/>
  <c r="X100" i="5"/>
  <c r="Y100" i="5"/>
  <c r="Y102" i="5" s="1"/>
  <c r="Y135" i="5" s="1"/>
  <c r="Z100" i="5"/>
  <c r="AA100" i="5"/>
  <c r="O101" i="5"/>
  <c r="P101" i="5"/>
  <c r="Q101" i="5"/>
  <c r="R101" i="5"/>
  <c r="S101" i="5"/>
  <c r="T101" i="5"/>
  <c r="U101" i="5"/>
  <c r="V101" i="5"/>
  <c r="W101" i="5"/>
  <c r="X101" i="5"/>
  <c r="Y101" i="5"/>
  <c r="Z101" i="5"/>
  <c r="AA101" i="5"/>
  <c r="W102" i="5"/>
  <c r="W135" i="5" s="1"/>
  <c r="Z102" i="5"/>
  <c r="Z135" i="5" s="1"/>
  <c r="AA102" i="5"/>
  <c r="AA135" i="5" s="1"/>
  <c r="V107" i="5"/>
  <c r="O108" i="5"/>
  <c r="P108" i="5"/>
  <c r="Q108" i="5"/>
  <c r="R108" i="5"/>
  <c r="S108" i="5"/>
  <c r="T108" i="5"/>
  <c r="U108" i="5"/>
  <c r="V108" i="5"/>
  <c r="W108" i="5"/>
  <c r="X108" i="5"/>
  <c r="Y108" i="5"/>
  <c r="Z108" i="5"/>
  <c r="AA108" i="5"/>
  <c r="O109" i="5"/>
  <c r="P109" i="5"/>
  <c r="Q109" i="5"/>
  <c r="R109" i="5"/>
  <c r="S109" i="5"/>
  <c r="T109" i="5"/>
  <c r="U109" i="5"/>
  <c r="V109" i="5"/>
  <c r="W109" i="5"/>
  <c r="W118" i="5" s="1"/>
  <c r="X109" i="5"/>
  <c r="X118" i="5" s="1"/>
  <c r="Y109" i="5"/>
  <c r="Z109" i="5"/>
  <c r="AA109" i="5"/>
  <c r="O110" i="5"/>
  <c r="P110" i="5"/>
  <c r="Q110" i="5"/>
  <c r="R110" i="5"/>
  <c r="S110" i="5"/>
  <c r="T110" i="5"/>
  <c r="U110" i="5"/>
  <c r="V110" i="5"/>
  <c r="V118" i="5" s="1"/>
  <c r="W110" i="5"/>
  <c r="X110" i="5"/>
  <c r="Y110" i="5"/>
  <c r="Z110" i="5"/>
  <c r="Z118" i="5" s="1"/>
  <c r="AA110" i="5"/>
  <c r="AA118" i="5" s="1"/>
  <c r="O111" i="5"/>
  <c r="P111" i="5"/>
  <c r="Q111" i="5"/>
  <c r="R111" i="5"/>
  <c r="S111" i="5"/>
  <c r="T111" i="5"/>
  <c r="U111" i="5"/>
  <c r="V111" i="5"/>
  <c r="W111" i="5"/>
  <c r="X111" i="5"/>
  <c r="Y111" i="5"/>
  <c r="Y118" i="5" s="1"/>
  <c r="Z111" i="5"/>
  <c r="AA111" i="5"/>
  <c r="O112" i="5"/>
  <c r="P112" i="5"/>
  <c r="Q112" i="5"/>
  <c r="R112" i="5"/>
  <c r="S112" i="5"/>
  <c r="T112" i="5"/>
  <c r="U112" i="5"/>
  <c r="V112" i="5"/>
  <c r="W112" i="5"/>
  <c r="X112" i="5"/>
  <c r="Y112" i="5"/>
  <c r="Z112" i="5"/>
  <c r="AA112" i="5"/>
  <c r="O113" i="5"/>
  <c r="P113" i="5"/>
  <c r="Q113" i="5"/>
  <c r="R113" i="5"/>
  <c r="S113" i="5"/>
  <c r="T113" i="5"/>
  <c r="U113" i="5"/>
  <c r="V113" i="5"/>
  <c r="W113" i="5"/>
  <c r="X113" i="5"/>
  <c r="Y113" i="5"/>
  <c r="Z113" i="5"/>
  <c r="AA113" i="5"/>
  <c r="O114" i="5"/>
  <c r="P114" i="5"/>
  <c r="Q114" i="5"/>
  <c r="R114" i="5"/>
  <c r="S114" i="5"/>
  <c r="T114" i="5"/>
  <c r="U114" i="5"/>
  <c r="V114" i="5"/>
  <c r="W114" i="5"/>
  <c r="X114" i="5"/>
  <c r="Y114" i="5"/>
  <c r="Z114" i="5"/>
  <c r="AA114" i="5"/>
  <c r="O115" i="5"/>
  <c r="P115" i="5"/>
  <c r="Q115" i="5"/>
  <c r="R115" i="5"/>
  <c r="S115" i="5"/>
  <c r="T115" i="5"/>
  <c r="U115" i="5"/>
  <c r="V115" i="5"/>
  <c r="W115" i="5"/>
  <c r="X115" i="5"/>
  <c r="Y115" i="5"/>
  <c r="Z115" i="5"/>
  <c r="AA115" i="5"/>
  <c r="O116" i="5"/>
  <c r="P116" i="5"/>
  <c r="Q116" i="5"/>
  <c r="R116" i="5"/>
  <c r="S116" i="5"/>
  <c r="T116" i="5"/>
  <c r="U116" i="5"/>
  <c r="V116" i="5"/>
  <c r="W116" i="5"/>
  <c r="X116" i="5"/>
  <c r="Y116" i="5"/>
  <c r="Z116" i="5"/>
  <c r="AA116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V123" i="5"/>
  <c r="V144" i="5" s="1"/>
  <c r="V155" i="5" s="1"/>
  <c r="V171" i="5" s="1"/>
  <c r="O124" i="5"/>
  <c r="P124" i="5"/>
  <c r="Q124" i="5"/>
  <c r="R124" i="5"/>
  <c r="S124" i="5"/>
  <c r="T124" i="5"/>
  <c r="U124" i="5"/>
  <c r="V124" i="5"/>
  <c r="W124" i="5"/>
  <c r="X124" i="5"/>
  <c r="X131" i="5" s="1"/>
  <c r="Y124" i="5"/>
  <c r="Y131" i="5" s="1"/>
  <c r="Z124" i="5"/>
  <c r="AA124" i="5"/>
  <c r="O125" i="5"/>
  <c r="P125" i="5"/>
  <c r="Q125" i="5"/>
  <c r="R125" i="5"/>
  <c r="S125" i="5"/>
  <c r="T125" i="5"/>
  <c r="U125" i="5"/>
  <c r="V125" i="5"/>
  <c r="W125" i="5"/>
  <c r="W131" i="5" s="1"/>
  <c r="X125" i="5"/>
  <c r="Y125" i="5"/>
  <c r="Z125" i="5"/>
  <c r="AA125" i="5"/>
  <c r="AA131" i="5" s="1"/>
  <c r="O126" i="5"/>
  <c r="P126" i="5"/>
  <c r="Q126" i="5"/>
  <c r="R126" i="5"/>
  <c r="S126" i="5"/>
  <c r="T126" i="5"/>
  <c r="U126" i="5"/>
  <c r="V126" i="5"/>
  <c r="W126" i="5"/>
  <c r="X126" i="5"/>
  <c r="Y126" i="5"/>
  <c r="Z126" i="5"/>
  <c r="AA126" i="5"/>
  <c r="O127" i="5"/>
  <c r="P127" i="5"/>
  <c r="Q127" i="5"/>
  <c r="R127" i="5"/>
  <c r="S127" i="5"/>
  <c r="T127" i="5"/>
  <c r="U127" i="5"/>
  <c r="V127" i="5"/>
  <c r="W127" i="5"/>
  <c r="X127" i="5"/>
  <c r="Y127" i="5"/>
  <c r="Z127" i="5"/>
  <c r="AA127" i="5"/>
  <c r="O128" i="5"/>
  <c r="P128" i="5"/>
  <c r="Q128" i="5"/>
  <c r="R128" i="5"/>
  <c r="S128" i="5"/>
  <c r="T128" i="5"/>
  <c r="U128" i="5"/>
  <c r="V128" i="5"/>
  <c r="W128" i="5"/>
  <c r="X128" i="5"/>
  <c r="Y128" i="5"/>
  <c r="Z128" i="5"/>
  <c r="AA128" i="5"/>
  <c r="O129" i="5"/>
  <c r="P129" i="5"/>
  <c r="Q129" i="5"/>
  <c r="R129" i="5"/>
  <c r="S129" i="5"/>
  <c r="T129" i="5"/>
  <c r="U129" i="5"/>
  <c r="V129" i="5"/>
  <c r="W129" i="5"/>
  <c r="X129" i="5"/>
  <c r="Y129" i="5"/>
  <c r="Z129" i="5"/>
  <c r="AA129" i="5"/>
  <c r="O130" i="5"/>
  <c r="P130" i="5"/>
  <c r="Q130" i="5"/>
  <c r="R130" i="5"/>
  <c r="S130" i="5"/>
  <c r="T130" i="5"/>
  <c r="U130" i="5"/>
  <c r="V130" i="5"/>
  <c r="W130" i="5"/>
  <c r="X130" i="5"/>
  <c r="Y130" i="5"/>
  <c r="Z130" i="5"/>
  <c r="AA130" i="5"/>
  <c r="V131" i="5"/>
  <c r="Z131" i="5"/>
  <c r="O145" i="5"/>
  <c r="R145" i="5"/>
  <c r="S145" i="5"/>
  <c r="V145" i="5"/>
  <c r="W145" i="5"/>
  <c r="X145" i="5"/>
  <c r="Y145" i="5"/>
  <c r="Z145" i="5"/>
  <c r="AA145" i="5"/>
  <c r="Q146" i="5"/>
  <c r="R146" i="5"/>
  <c r="U146" i="5"/>
  <c r="V146" i="5"/>
  <c r="Y146" i="5"/>
  <c r="Z146" i="5"/>
  <c r="Z150" i="5" s="1"/>
  <c r="AA146" i="5"/>
  <c r="Q147" i="5"/>
  <c r="T147" i="5"/>
  <c r="X147" i="5"/>
  <c r="Y147" i="5"/>
  <c r="O148" i="5"/>
  <c r="Q148" i="5"/>
  <c r="R148" i="5"/>
  <c r="S148" i="5"/>
  <c r="W148" i="5"/>
  <c r="X148" i="5"/>
  <c r="AA148" i="5"/>
  <c r="O149" i="5"/>
  <c r="R149" i="5"/>
  <c r="T149" i="5"/>
  <c r="U149" i="5"/>
  <c r="V149" i="5"/>
  <c r="W149" i="5"/>
  <c r="Z149" i="5"/>
  <c r="AA149" i="5"/>
  <c r="P156" i="5"/>
  <c r="Q156" i="5"/>
  <c r="T156" i="5"/>
  <c r="U156" i="5"/>
  <c r="X156" i="5"/>
  <c r="Y156" i="5"/>
  <c r="Z156" i="5"/>
  <c r="AA156" i="5"/>
  <c r="O157" i="5"/>
  <c r="P157" i="5"/>
  <c r="W157" i="5"/>
  <c r="X157" i="5"/>
  <c r="AA157" i="5"/>
  <c r="Q158" i="5"/>
  <c r="R158" i="5"/>
  <c r="S158" i="5"/>
  <c r="V158" i="5"/>
  <c r="W158" i="5"/>
  <c r="Z158" i="5"/>
  <c r="AA158" i="5"/>
  <c r="Q159" i="5"/>
  <c r="R159" i="5"/>
  <c r="T159" i="5"/>
  <c r="U159" i="5"/>
  <c r="V159" i="5"/>
  <c r="Y159" i="5"/>
  <c r="Z159" i="5"/>
  <c r="P160" i="5"/>
  <c r="Q160" i="5"/>
  <c r="T160" i="5"/>
  <c r="U160" i="5"/>
  <c r="V160" i="5"/>
  <c r="W160" i="5"/>
  <c r="X160" i="5"/>
  <c r="Y160" i="5"/>
  <c r="P161" i="5"/>
  <c r="S161" i="5"/>
  <c r="T161" i="5"/>
  <c r="W161" i="5"/>
  <c r="X161" i="5"/>
  <c r="Y161" i="5"/>
  <c r="Z161" i="5"/>
  <c r="AA161" i="5"/>
  <c r="O162" i="5"/>
  <c r="S162" i="5"/>
  <c r="V162" i="5"/>
  <c r="W162" i="5"/>
  <c r="Z162" i="5"/>
  <c r="AA162" i="5"/>
  <c r="R163" i="5"/>
  <c r="U163" i="5"/>
  <c r="V163" i="5"/>
  <c r="Y163" i="5"/>
  <c r="Z163" i="5"/>
  <c r="P164" i="5"/>
  <c r="R164" i="5"/>
  <c r="T164" i="5"/>
  <c r="U164" i="5"/>
  <c r="X164" i="5"/>
  <c r="Y164" i="5"/>
  <c r="O165" i="5"/>
  <c r="P165" i="5"/>
  <c r="S165" i="5"/>
  <c r="T165" i="5"/>
  <c r="V165" i="5"/>
  <c r="W165" i="5"/>
  <c r="X165" i="5"/>
  <c r="AA165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A3" i="5"/>
  <c r="O3" i="5"/>
  <c r="P3" i="5"/>
  <c r="Q3" i="5"/>
  <c r="R3" i="5"/>
  <c r="S3" i="5"/>
  <c r="T3" i="5"/>
  <c r="U3" i="5"/>
  <c r="V3" i="5"/>
  <c r="W3" i="5"/>
  <c r="X3" i="5"/>
  <c r="Y3" i="5"/>
  <c r="Z3" i="5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N53" i="5"/>
  <c r="N54" i="5"/>
  <c r="N145" i="5" s="1"/>
  <c r="N55" i="5"/>
  <c r="N56" i="5"/>
  <c r="N147" i="5" s="1"/>
  <c r="N57" i="5"/>
  <c r="N148" i="5" s="1"/>
  <c r="N58" i="5"/>
  <c r="N149" i="5" s="1"/>
  <c r="N64" i="5"/>
  <c r="N65" i="5"/>
  <c r="N156" i="5" s="1"/>
  <c r="N66" i="5"/>
  <c r="N157" i="5" s="1"/>
  <c r="N67" i="5"/>
  <c r="N158" i="5" s="1"/>
  <c r="N68" i="5"/>
  <c r="N159" i="5" s="1"/>
  <c r="N69" i="5"/>
  <c r="N160" i="5" s="1"/>
  <c r="N70" i="5"/>
  <c r="N161" i="5" s="1"/>
  <c r="N71" i="5"/>
  <c r="N162" i="5" s="1"/>
  <c r="N72" i="5"/>
  <c r="N163" i="5" s="1"/>
  <c r="N73" i="5"/>
  <c r="N164" i="5" s="1"/>
  <c r="N74" i="5"/>
  <c r="N165" i="5" s="1"/>
  <c r="N80" i="5"/>
  <c r="N81" i="5"/>
  <c r="N82" i="5"/>
  <c r="N83" i="5"/>
  <c r="N84" i="5"/>
  <c r="N85" i="5"/>
  <c r="N86" i="5"/>
  <c r="N87" i="5"/>
  <c r="N96" i="5"/>
  <c r="N107" i="5" s="1"/>
  <c r="N123" i="5" s="1"/>
  <c r="N144" i="5" s="1"/>
  <c r="N155" i="5" s="1"/>
  <c r="N171" i="5" s="1"/>
  <c r="N97" i="5"/>
  <c r="N98" i="5"/>
  <c r="N99" i="5"/>
  <c r="N100" i="5"/>
  <c r="N101" i="5"/>
  <c r="N108" i="5"/>
  <c r="N109" i="5"/>
  <c r="N110" i="5"/>
  <c r="N111" i="5"/>
  <c r="N112" i="5"/>
  <c r="N113" i="5"/>
  <c r="N114" i="5"/>
  <c r="N115" i="5"/>
  <c r="N116" i="5"/>
  <c r="N117" i="5"/>
  <c r="N124" i="5"/>
  <c r="N125" i="5"/>
  <c r="N126" i="5"/>
  <c r="N127" i="5"/>
  <c r="N128" i="5"/>
  <c r="N129" i="5"/>
  <c r="N130" i="5"/>
  <c r="N146" i="5"/>
  <c r="N30" i="5"/>
  <c r="N14" i="5"/>
  <c r="N3" i="5"/>
  <c r="M18" i="1"/>
  <c r="M33" i="1"/>
  <c r="T48" i="16" l="1"/>
  <c r="T28" i="1" s="1"/>
  <c r="T77" i="14"/>
  <c r="T27" i="1" s="1"/>
  <c r="T35" i="13"/>
  <c r="T26" i="1" s="1"/>
  <c r="T43" i="12"/>
  <c r="T25" i="1" s="1"/>
  <c r="T27" i="11"/>
  <c r="T24" i="1" s="1"/>
  <c r="T25" i="10"/>
  <c r="T23" i="1" s="1"/>
  <c r="T31" i="8"/>
  <c r="T22" i="1" s="1"/>
  <c r="T30" i="7"/>
  <c r="T21" i="1" s="1"/>
  <c r="T25" i="6"/>
  <c r="T20" i="1" s="1"/>
  <c r="U131" i="5"/>
  <c r="U179" i="5"/>
  <c r="U118" i="5"/>
  <c r="U150" i="5"/>
  <c r="U102" i="5"/>
  <c r="S48" i="16"/>
  <c r="S28" i="1" s="1"/>
  <c r="S77" i="14"/>
  <c r="S27" i="1" s="1"/>
  <c r="S35" i="13"/>
  <c r="S26" i="1" s="1"/>
  <c r="S43" i="12"/>
  <c r="S25" i="1" s="1"/>
  <c r="S27" i="11"/>
  <c r="S24" i="1" s="1"/>
  <c r="S25" i="10"/>
  <c r="S23" i="1" s="1"/>
  <c r="S31" i="8"/>
  <c r="S22" i="1" s="1"/>
  <c r="S30" i="7"/>
  <c r="S21" i="1" s="1"/>
  <c r="S25" i="6"/>
  <c r="S20" i="1" s="1"/>
  <c r="T131" i="5"/>
  <c r="T179" i="5"/>
  <c r="T166" i="5"/>
  <c r="T118" i="5"/>
  <c r="T102" i="5"/>
  <c r="R30" i="7"/>
  <c r="R21" i="1" s="1"/>
  <c r="R48" i="16"/>
  <c r="R28" i="1" s="1"/>
  <c r="R77" i="14"/>
  <c r="R27" i="1" s="1"/>
  <c r="R35" i="13"/>
  <c r="R26" i="1" s="1"/>
  <c r="R43" i="12"/>
  <c r="R25" i="1" s="1"/>
  <c r="R27" i="11"/>
  <c r="R24" i="1" s="1"/>
  <c r="R25" i="10"/>
  <c r="R23" i="1" s="1"/>
  <c r="R31" i="8"/>
  <c r="R22" i="1" s="1"/>
  <c r="R25" i="6"/>
  <c r="R20" i="1" s="1"/>
  <c r="S131" i="5"/>
  <c r="S118" i="5"/>
  <c r="S102" i="5"/>
  <c r="S166" i="5"/>
  <c r="Q48" i="16"/>
  <c r="Q28" i="1" s="1"/>
  <c r="Q77" i="14"/>
  <c r="Q27" i="1" s="1"/>
  <c r="Q43" i="12"/>
  <c r="Q25" i="1" s="1"/>
  <c r="Q27" i="11"/>
  <c r="Q24" i="1" s="1"/>
  <c r="Q25" i="10"/>
  <c r="Q23" i="1" s="1"/>
  <c r="Q31" i="8"/>
  <c r="Q22" i="1" s="1"/>
  <c r="Q30" i="7"/>
  <c r="Q21" i="1" s="1"/>
  <c r="Q25" i="6"/>
  <c r="Q20" i="1" s="1"/>
  <c r="R131" i="5"/>
  <c r="R118" i="5"/>
  <c r="R102" i="5"/>
  <c r="R150" i="5"/>
  <c r="P48" i="16"/>
  <c r="P28" i="1" s="1"/>
  <c r="P77" i="14"/>
  <c r="P27" i="1" s="1"/>
  <c r="P35" i="13"/>
  <c r="P26" i="1" s="1"/>
  <c r="P43" i="12"/>
  <c r="P25" i="1" s="1"/>
  <c r="P27" i="11"/>
  <c r="P24" i="1" s="1"/>
  <c r="P25" i="10"/>
  <c r="P23" i="1" s="1"/>
  <c r="P31" i="8"/>
  <c r="P22" i="1" s="1"/>
  <c r="P30" i="7"/>
  <c r="P21" i="1" s="1"/>
  <c r="P15" i="1"/>
  <c r="P34" i="1" s="1"/>
  <c r="P25" i="6"/>
  <c r="P20" i="1" s="1"/>
  <c r="Q131" i="5"/>
  <c r="Q118" i="5"/>
  <c r="Q102" i="5"/>
  <c r="Q150" i="5"/>
  <c r="O48" i="16"/>
  <c r="O28" i="1" s="1"/>
  <c r="O77" i="14"/>
  <c r="O27" i="1" s="1"/>
  <c r="O35" i="13"/>
  <c r="O26" i="1" s="1"/>
  <c r="O43" i="12"/>
  <c r="O25" i="1" s="1"/>
  <c r="O27" i="11"/>
  <c r="O24" i="1" s="1"/>
  <c r="O25" i="10"/>
  <c r="O23" i="1" s="1"/>
  <c r="O31" i="8"/>
  <c r="O22" i="1" s="1"/>
  <c r="O15" i="1"/>
  <c r="O34" i="1" s="1"/>
  <c r="O30" i="7"/>
  <c r="O21" i="1" s="1"/>
  <c r="O25" i="6"/>
  <c r="O20" i="1" s="1"/>
  <c r="P131" i="5"/>
  <c r="P118" i="5"/>
  <c r="P166" i="5"/>
  <c r="P102" i="5"/>
  <c r="P135" i="5" s="1"/>
  <c r="N48" i="16"/>
  <c r="N28" i="1" s="1"/>
  <c r="N77" i="14"/>
  <c r="N27" i="1" s="1"/>
  <c r="N35" i="13"/>
  <c r="N26" i="1" s="1"/>
  <c r="N43" i="12"/>
  <c r="N25" i="1" s="1"/>
  <c r="N27" i="11"/>
  <c r="N24" i="1" s="1"/>
  <c r="N25" i="10"/>
  <c r="N23" i="1" s="1"/>
  <c r="N31" i="8"/>
  <c r="N22" i="1" s="1"/>
  <c r="N15" i="1"/>
  <c r="N34" i="1" s="1"/>
  <c r="N30" i="7"/>
  <c r="N21" i="1" s="1"/>
  <c r="N25" i="6"/>
  <c r="N20" i="1" s="1"/>
  <c r="O131" i="5"/>
  <c r="O118" i="5"/>
  <c r="O102" i="5"/>
  <c r="O150" i="5"/>
  <c r="M48" i="16"/>
  <c r="M77" i="14"/>
  <c r="M35" i="13"/>
  <c r="M43" i="12"/>
  <c r="M27" i="11"/>
  <c r="M25" i="10"/>
  <c r="M31" i="8"/>
  <c r="M30" i="7"/>
  <c r="M25" i="6"/>
  <c r="N131" i="5"/>
  <c r="N102" i="5"/>
  <c r="N118" i="5"/>
  <c r="N150" i="5"/>
  <c r="Z181" i="5"/>
  <c r="X166" i="5"/>
  <c r="Y150" i="5"/>
  <c r="Y166" i="5"/>
  <c r="V166" i="5"/>
  <c r="P150" i="5"/>
  <c r="V150" i="5"/>
  <c r="U166" i="5"/>
  <c r="R166" i="5"/>
  <c r="R181" i="5" s="1"/>
  <c r="Q19" i="1" s="1"/>
  <c r="Q135" i="5"/>
  <c r="O166" i="5"/>
  <c r="Q166" i="5"/>
  <c r="Q181" i="5" s="1"/>
  <c r="P19" i="1" s="1"/>
  <c r="W150" i="5"/>
  <c r="W181" i="5" s="1"/>
  <c r="X181" i="5"/>
  <c r="T150" i="5"/>
  <c r="T181" i="5" s="1"/>
  <c r="S19" i="1" s="1"/>
  <c r="S150" i="5"/>
  <c r="AA166" i="5"/>
  <c r="AA181" i="5" s="1"/>
  <c r="N166" i="5"/>
  <c r="H12" i="11"/>
  <c r="U135" i="5" l="1"/>
  <c r="T5" i="1" s="1"/>
  <c r="T15" i="1" s="1"/>
  <c r="T34" i="1" s="1"/>
  <c r="U181" i="5"/>
  <c r="T19" i="1" s="1"/>
  <c r="T29" i="1" s="1"/>
  <c r="T35" i="1" s="1"/>
  <c r="S29" i="1"/>
  <c r="S35" i="1" s="1"/>
  <c r="T135" i="5"/>
  <c r="S5" i="1" s="1"/>
  <c r="S15" i="1" s="1"/>
  <c r="S34" i="1" s="1"/>
  <c r="S135" i="5"/>
  <c r="R5" i="1" s="1"/>
  <c r="R15" i="1" s="1"/>
  <c r="R34" i="1" s="1"/>
  <c r="Q29" i="1"/>
  <c r="Q35" i="1" s="1"/>
  <c r="R135" i="5"/>
  <c r="Q5" i="1" s="1"/>
  <c r="Q15" i="1" s="1"/>
  <c r="Q34" i="1" s="1"/>
  <c r="P29" i="1"/>
  <c r="P35" i="1" s="1"/>
  <c r="O29" i="1"/>
  <c r="O35" i="1" s="1"/>
  <c r="P181" i="5"/>
  <c r="O19" i="1" s="1"/>
  <c r="O181" i="5"/>
  <c r="N19" i="1" s="1"/>
  <c r="N29" i="1" s="1"/>
  <c r="N35" i="1" s="1"/>
  <c r="O135" i="5"/>
  <c r="N135" i="5"/>
  <c r="N181" i="5"/>
  <c r="M19" i="1" s="1"/>
  <c r="M29" i="1" s="1"/>
  <c r="M35" i="1" s="1"/>
  <c r="V181" i="5"/>
  <c r="S181" i="5"/>
  <c r="R19" i="1" s="1"/>
  <c r="R29" i="1" s="1"/>
  <c r="R35" i="1" s="1"/>
  <c r="Y181" i="5"/>
  <c r="D172" i="5"/>
  <c r="E172" i="5"/>
  <c r="F172" i="5"/>
  <c r="G172" i="5"/>
  <c r="H172" i="5"/>
  <c r="I172" i="5"/>
  <c r="D173" i="5"/>
  <c r="E173" i="5"/>
  <c r="F173" i="5"/>
  <c r="G173" i="5"/>
  <c r="H173" i="5"/>
  <c r="I173" i="5"/>
  <c r="D174" i="5"/>
  <c r="E174" i="5"/>
  <c r="F174" i="5"/>
  <c r="G174" i="5"/>
  <c r="H174" i="5"/>
  <c r="I174" i="5"/>
  <c r="D175" i="5"/>
  <c r="E175" i="5"/>
  <c r="F175" i="5"/>
  <c r="G175" i="5"/>
  <c r="H175" i="5"/>
  <c r="I175" i="5"/>
  <c r="D176" i="5"/>
  <c r="E176" i="5"/>
  <c r="F176" i="5"/>
  <c r="G176" i="5"/>
  <c r="H176" i="5"/>
  <c r="I176" i="5"/>
  <c r="D177" i="5"/>
  <c r="E177" i="5"/>
  <c r="F177" i="5"/>
  <c r="G177" i="5"/>
  <c r="H177" i="5"/>
  <c r="I177" i="5"/>
  <c r="D178" i="5"/>
  <c r="E178" i="5"/>
  <c r="F178" i="5"/>
  <c r="G178" i="5"/>
  <c r="H178" i="5"/>
  <c r="I178" i="5"/>
  <c r="C173" i="5"/>
  <c r="C174" i="5"/>
  <c r="C175" i="5"/>
  <c r="C176" i="5"/>
  <c r="C177" i="5"/>
  <c r="C178" i="5"/>
  <c r="C172" i="5"/>
  <c r="H28" i="1"/>
  <c r="H14" i="1"/>
  <c r="B15" i="1"/>
  <c r="H48" i="16"/>
  <c r="I30" i="16"/>
  <c r="J30" i="16"/>
  <c r="K30" i="16"/>
  <c r="L30" i="16"/>
  <c r="I31" i="16"/>
  <c r="J31" i="16"/>
  <c r="K31" i="16"/>
  <c r="L31" i="16"/>
  <c r="I32" i="16"/>
  <c r="J32" i="16"/>
  <c r="K32" i="16"/>
  <c r="L32" i="16"/>
  <c r="I33" i="16"/>
  <c r="J33" i="16"/>
  <c r="K33" i="16"/>
  <c r="L33" i="16"/>
  <c r="I34" i="16"/>
  <c r="J34" i="16"/>
  <c r="K34" i="16"/>
  <c r="L34" i="16"/>
  <c r="I35" i="16"/>
  <c r="J35" i="16"/>
  <c r="K35" i="16"/>
  <c r="L35" i="16"/>
  <c r="I36" i="16"/>
  <c r="J36" i="16"/>
  <c r="K36" i="16"/>
  <c r="L36" i="16"/>
  <c r="I37" i="16"/>
  <c r="J37" i="16"/>
  <c r="K37" i="16"/>
  <c r="L37" i="16"/>
  <c r="I38" i="16"/>
  <c r="J38" i="16"/>
  <c r="K38" i="16"/>
  <c r="L38" i="16"/>
  <c r="I39" i="16"/>
  <c r="J39" i="16"/>
  <c r="K39" i="16"/>
  <c r="L39" i="16"/>
  <c r="I40" i="16"/>
  <c r="J40" i="16"/>
  <c r="K40" i="16"/>
  <c r="L40" i="16"/>
  <c r="I41" i="16"/>
  <c r="J41" i="16"/>
  <c r="K41" i="16"/>
  <c r="L41" i="16"/>
  <c r="I42" i="16"/>
  <c r="J42" i="16"/>
  <c r="K42" i="16"/>
  <c r="L42" i="16"/>
  <c r="I43" i="16"/>
  <c r="J43" i="16"/>
  <c r="K43" i="16"/>
  <c r="L43" i="16"/>
  <c r="I44" i="16"/>
  <c r="J44" i="16"/>
  <c r="K44" i="16"/>
  <c r="L44" i="16"/>
  <c r="I45" i="16"/>
  <c r="J45" i="16"/>
  <c r="K45" i="16"/>
  <c r="L45" i="16"/>
  <c r="I46" i="16"/>
  <c r="J46" i="16"/>
  <c r="K46" i="16"/>
  <c r="L46" i="16"/>
  <c r="C30" i="16"/>
  <c r="C48" i="16" s="1"/>
  <c r="D30" i="16"/>
  <c r="E30" i="16"/>
  <c r="E48" i="16" s="1"/>
  <c r="F30" i="16"/>
  <c r="F48" i="16" s="1"/>
  <c r="G30" i="16"/>
  <c r="G48" i="16" s="1"/>
  <c r="H30" i="16"/>
  <c r="C31" i="16"/>
  <c r="D31" i="16"/>
  <c r="E31" i="16"/>
  <c r="F31" i="16"/>
  <c r="G31" i="16"/>
  <c r="H31" i="16"/>
  <c r="C32" i="16"/>
  <c r="D32" i="16"/>
  <c r="D48" i="16" s="1"/>
  <c r="E32" i="16"/>
  <c r="F32" i="16"/>
  <c r="G32" i="16"/>
  <c r="H32" i="16"/>
  <c r="C33" i="16"/>
  <c r="D33" i="16"/>
  <c r="E33" i="16"/>
  <c r="F33" i="16"/>
  <c r="G33" i="16"/>
  <c r="H33" i="16"/>
  <c r="C34" i="16"/>
  <c r="D34" i="16"/>
  <c r="E34" i="16"/>
  <c r="F34" i="16"/>
  <c r="G34" i="16"/>
  <c r="H34" i="16"/>
  <c r="C35" i="16"/>
  <c r="D35" i="16"/>
  <c r="E35" i="16"/>
  <c r="F35" i="16"/>
  <c r="G35" i="16"/>
  <c r="H35" i="16"/>
  <c r="C36" i="16"/>
  <c r="D36" i="16"/>
  <c r="E36" i="16"/>
  <c r="F36" i="16"/>
  <c r="G36" i="16"/>
  <c r="H36" i="16"/>
  <c r="C37" i="16"/>
  <c r="D37" i="16"/>
  <c r="E37" i="16"/>
  <c r="F37" i="16"/>
  <c r="G37" i="16"/>
  <c r="H37" i="16"/>
  <c r="C38" i="16"/>
  <c r="D38" i="16"/>
  <c r="E38" i="16"/>
  <c r="F38" i="16"/>
  <c r="G38" i="16"/>
  <c r="H38" i="16"/>
  <c r="C39" i="16"/>
  <c r="D39" i="16"/>
  <c r="E39" i="16"/>
  <c r="F39" i="16"/>
  <c r="G39" i="16"/>
  <c r="H39" i="16"/>
  <c r="C40" i="16"/>
  <c r="D40" i="16"/>
  <c r="E40" i="16"/>
  <c r="F40" i="16"/>
  <c r="G40" i="16"/>
  <c r="H40" i="16"/>
  <c r="C41" i="16"/>
  <c r="D41" i="16"/>
  <c r="E41" i="16"/>
  <c r="F41" i="16"/>
  <c r="G41" i="16"/>
  <c r="H41" i="16"/>
  <c r="C42" i="16"/>
  <c r="D42" i="16"/>
  <c r="E42" i="16"/>
  <c r="F42" i="16"/>
  <c r="G42" i="16"/>
  <c r="H42" i="16"/>
  <c r="C43" i="16"/>
  <c r="D43" i="16"/>
  <c r="E43" i="16"/>
  <c r="F43" i="16"/>
  <c r="G43" i="16"/>
  <c r="H43" i="16"/>
  <c r="C44" i="16"/>
  <c r="D44" i="16"/>
  <c r="E44" i="16"/>
  <c r="F44" i="16"/>
  <c r="G44" i="16"/>
  <c r="H44" i="16"/>
  <c r="C45" i="16"/>
  <c r="D45" i="16"/>
  <c r="E45" i="16"/>
  <c r="F45" i="16"/>
  <c r="G45" i="16"/>
  <c r="H45" i="16"/>
  <c r="C46" i="16"/>
  <c r="D46" i="16"/>
  <c r="E46" i="16"/>
  <c r="F46" i="16"/>
  <c r="G46" i="16"/>
  <c r="H46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30" i="16"/>
  <c r="B48" i="16" s="1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30" i="16"/>
  <c r="C29" i="16"/>
  <c r="D29" i="16"/>
  <c r="E29" i="16"/>
  <c r="F29" i="16"/>
  <c r="G29" i="16"/>
  <c r="H29" i="16"/>
  <c r="B29" i="16"/>
  <c r="I23" i="16"/>
  <c r="I14" i="1" s="1"/>
  <c r="J23" i="16"/>
  <c r="J14" i="1" s="1"/>
  <c r="K23" i="16"/>
  <c r="K14" i="1" s="1"/>
  <c r="L23" i="16"/>
  <c r="L14" i="1" s="1"/>
  <c r="C23" i="16"/>
  <c r="C15" i="1" s="1"/>
  <c r="D23" i="16"/>
  <c r="D15" i="1" s="1"/>
  <c r="E23" i="16"/>
  <c r="E15" i="1" s="1"/>
  <c r="F23" i="16"/>
  <c r="F15" i="1" s="1"/>
  <c r="G23" i="16"/>
  <c r="G15" i="1" s="1"/>
  <c r="H23" i="16"/>
  <c r="B23" i="16"/>
  <c r="C4" i="16"/>
  <c r="D4" i="16"/>
  <c r="E4" i="16"/>
  <c r="F4" i="16"/>
  <c r="G4" i="16"/>
  <c r="H4" i="16"/>
  <c r="B4" i="16"/>
  <c r="H5" i="1"/>
  <c r="I3" i="5"/>
  <c r="G20" i="1"/>
  <c r="G21" i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L48" i="16" l="1"/>
  <c r="L28" i="1" s="1"/>
  <c r="K48" i="16"/>
  <c r="K28" i="1" s="1"/>
  <c r="J48" i="16"/>
  <c r="J28" i="1" s="1"/>
  <c r="I48" i="16"/>
  <c r="I28" i="1" s="1"/>
  <c r="G34" i="1"/>
  <c r="G77" i="14"/>
  <c r="C45" i="14"/>
  <c r="D45" i="14"/>
  <c r="E45" i="14"/>
  <c r="F45" i="14"/>
  <c r="G45" i="14"/>
  <c r="H45" i="14"/>
  <c r="I45" i="14"/>
  <c r="J45" i="14"/>
  <c r="K45" i="14"/>
  <c r="L45" i="14"/>
  <c r="C46" i="14"/>
  <c r="D46" i="14"/>
  <c r="E46" i="14"/>
  <c r="F46" i="14"/>
  <c r="G46" i="14"/>
  <c r="H46" i="14"/>
  <c r="I46" i="14"/>
  <c r="J46" i="14"/>
  <c r="K46" i="14"/>
  <c r="L46" i="14"/>
  <c r="C47" i="14"/>
  <c r="D47" i="14"/>
  <c r="E47" i="14"/>
  <c r="F47" i="14"/>
  <c r="G47" i="14"/>
  <c r="H47" i="14"/>
  <c r="I47" i="14"/>
  <c r="J47" i="14"/>
  <c r="K47" i="14"/>
  <c r="L47" i="14"/>
  <c r="C48" i="14"/>
  <c r="D48" i="14"/>
  <c r="E48" i="14"/>
  <c r="F48" i="14"/>
  <c r="G48" i="14"/>
  <c r="H48" i="14"/>
  <c r="I48" i="14"/>
  <c r="J48" i="14"/>
  <c r="K48" i="14"/>
  <c r="L48" i="14"/>
  <c r="C49" i="14"/>
  <c r="D49" i="14"/>
  <c r="E49" i="14"/>
  <c r="F49" i="14"/>
  <c r="G49" i="14"/>
  <c r="H49" i="14"/>
  <c r="I49" i="14"/>
  <c r="J49" i="14"/>
  <c r="K49" i="14"/>
  <c r="L49" i="14"/>
  <c r="C50" i="14"/>
  <c r="D50" i="14"/>
  <c r="E50" i="14"/>
  <c r="F50" i="14"/>
  <c r="G50" i="14"/>
  <c r="H50" i="14"/>
  <c r="I50" i="14"/>
  <c r="J50" i="14"/>
  <c r="K50" i="14"/>
  <c r="L50" i="14"/>
  <c r="C51" i="14"/>
  <c r="D51" i="14"/>
  <c r="E51" i="14"/>
  <c r="F51" i="14"/>
  <c r="G51" i="14"/>
  <c r="H51" i="14"/>
  <c r="I51" i="14"/>
  <c r="J51" i="14"/>
  <c r="K51" i="14"/>
  <c r="L51" i="14"/>
  <c r="C52" i="14"/>
  <c r="D52" i="14"/>
  <c r="E52" i="14"/>
  <c r="F52" i="14"/>
  <c r="G52" i="14"/>
  <c r="H52" i="14"/>
  <c r="I52" i="14"/>
  <c r="J52" i="14"/>
  <c r="K52" i="14"/>
  <c r="L52" i="14"/>
  <c r="C53" i="14"/>
  <c r="D53" i="14"/>
  <c r="E53" i="14"/>
  <c r="F53" i="14"/>
  <c r="G53" i="14"/>
  <c r="H53" i="14"/>
  <c r="I53" i="14"/>
  <c r="J53" i="14"/>
  <c r="K53" i="14"/>
  <c r="L53" i="14"/>
  <c r="C54" i="14"/>
  <c r="D54" i="14"/>
  <c r="E54" i="14"/>
  <c r="F54" i="14"/>
  <c r="G54" i="14"/>
  <c r="H54" i="14"/>
  <c r="I54" i="14"/>
  <c r="J54" i="14"/>
  <c r="K54" i="14"/>
  <c r="L54" i="14"/>
  <c r="C55" i="14"/>
  <c r="D55" i="14"/>
  <c r="E55" i="14"/>
  <c r="F55" i="14"/>
  <c r="G55" i="14"/>
  <c r="H55" i="14"/>
  <c r="I55" i="14"/>
  <c r="J55" i="14"/>
  <c r="K55" i="14"/>
  <c r="L55" i="14"/>
  <c r="C56" i="14"/>
  <c r="D56" i="14"/>
  <c r="E56" i="14"/>
  <c r="F56" i="14"/>
  <c r="G56" i="14"/>
  <c r="H56" i="14"/>
  <c r="I56" i="14"/>
  <c r="J56" i="14"/>
  <c r="K56" i="14"/>
  <c r="L56" i="14"/>
  <c r="C57" i="14"/>
  <c r="D57" i="14"/>
  <c r="E57" i="14"/>
  <c r="F57" i="14"/>
  <c r="G57" i="14"/>
  <c r="H57" i="14"/>
  <c r="I57" i="14"/>
  <c r="J57" i="14"/>
  <c r="K57" i="14"/>
  <c r="L57" i="14"/>
  <c r="C58" i="14"/>
  <c r="D58" i="14"/>
  <c r="E58" i="14"/>
  <c r="F58" i="14"/>
  <c r="G58" i="14"/>
  <c r="H58" i="14"/>
  <c r="I58" i="14"/>
  <c r="J58" i="14"/>
  <c r="K58" i="14"/>
  <c r="L58" i="14"/>
  <c r="C59" i="14"/>
  <c r="D59" i="14"/>
  <c r="E59" i="14"/>
  <c r="F59" i="14"/>
  <c r="G59" i="14"/>
  <c r="H59" i="14"/>
  <c r="I59" i="14"/>
  <c r="J59" i="14"/>
  <c r="K59" i="14"/>
  <c r="L59" i="14"/>
  <c r="C60" i="14"/>
  <c r="D60" i="14"/>
  <c r="E60" i="14"/>
  <c r="F60" i="14"/>
  <c r="G60" i="14"/>
  <c r="H60" i="14"/>
  <c r="I60" i="14"/>
  <c r="J60" i="14"/>
  <c r="K60" i="14"/>
  <c r="L60" i="14"/>
  <c r="C61" i="14"/>
  <c r="D61" i="14"/>
  <c r="E61" i="14"/>
  <c r="F61" i="14"/>
  <c r="G61" i="14"/>
  <c r="H61" i="14"/>
  <c r="I61" i="14"/>
  <c r="J61" i="14"/>
  <c r="K61" i="14"/>
  <c r="L61" i="14"/>
  <c r="C62" i="14"/>
  <c r="D62" i="14"/>
  <c r="E62" i="14"/>
  <c r="F62" i="14"/>
  <c r="G62" i="14"/>
  <c r="H62" i="14"/>
  <c r="I62" i="14"/>
  <c r="J62" i="14"/>
  <c r="K62" i="14"/>
  <c r="L62" i="14"/>
  <c r="C63" i="14"/>
  <c r="D63" i="14"/>
  <c r="E63" i="14"/>
  <c r="F63" i="14"/>
  <c r="G63" i="14"/>
  <c r="H63" i="14"/>
  <c r="I63" i="14"/>
  <c r="J63" i="14"/>
  <c r="K63" i="14"/>
  <c r="L63" i="14"/>
  <c r="C64" i="14"/>
  <c r="D64" i="14"/>
  <c r="E64" i="14"/>
  <c r="F64" i="14"/>
  <c r="G64" i="14"/>
  <c r="H64" i="14"/>
  <c r="I64" i="14"/>
  <c r="J64" i="14"/>
  <c r="K64" i="14"/>
  <c r="L64" i="14"/>
  <c r="C65" i="14"/>
  <c r="D65" i="14"/>
  <c r="E65" i="14"/>
  <c r="F65" i="14"/>
  <c r="G65" i="14"/>
  <c r="H65" i="14"/>
  <c r="I65" i="14"/>
  <c r="J65" i="14"/>
  <c r="K65" i="14"/>
  <c r="L65" i="14"/>
  <c r="C66" i="14"/>
  <c r="D66" i="14"/>
  <c r="E66" i="14"/>
  <c r="F66" i="14"/>
  <c r="G66" i="14"/>
  <c r="H66" i="14"/>
  <c r="I66" i="14"/>
  <c r="J66" i="14"/>
  <c r="K66" i="14"/>
  <c r="L66" i="14"/>
  <c r="C67" i="14"/>
  <c r="D67" i="14"/>
  <c r="E67" i="14"/>
  <c r="F67" i="14"/>
  <c r="G67" i="14"/>
  <c r="H67" i="14"/>
  <c r="I67" i="14"/>
  <c r="J67" i="14"/>
  <c r="K67" i="14"/>
  <c r="L67" i="14"/>
  <c r="C68" i="14"/>
  <c r="D68" i="14"/>
  <c r="E68" i="14"/>
  <c r="F68" i="14"/>
  <c r="G68" i="14"/>
  <c r="H68" i="14"/>
  <c r="I68" i="14"/>
  <c r="J68" i="14"/>
  <c r="K68" i="14"/>
  <c r="L68" i="14"/>
  <c r="C69" i="14"/>
  <c r="D69" i="14"/>
  <c r="E69" i="14"/>
  <c r="F69" i="14"/>
  <c r="G69" i="14"/>
  <c r="H69" i="14"/>
  <c r="I69" i="14"/>
  <c r="J69" i="14"/>
  <c r="K69" i="14"/>
  <c r="L69" i="14"/>
  <c r="C70" i="14"/>
  <c r="D70" i="14"/>
  <c r="E70" i="14"/>
  <c r="F70" i="14"/>
  <c r="G70" i="14"/>
  <c r="H70" i="14"/>
  <c r="I70" i="14"/>
  <c r="J70" i="14"/>
  <c r="K70" i="14"/>
  <c r="L70" i="14"/>
  <c r="C71" i="14"/>
  <c r="D71" i="14"/>
  <c r="E71" i="14"/>
  <c r="F71" i="14"/>
  <c r="G71" i="14"/>
  <c r="H71" i="14"/>
  <c r="I71" i="14"/>
  <c r="J71" i="14"/>
  <c r="K71" i="14"/>
  <c r="L71" i="14"/>
  <c r="C72" i="14"/>
  <c r="D72" i="14"/>
  <c r="E72" i="14"/>
  <c r="F72" i="14"/>
  <c r="G72" i="14"/>
  <c r="H72" i="14"/>
  <c r="I72" i="14"/>
  <c r="J72" i="14"/>
  <c r="K72" i="14"/>
  <c r="L72" i="14"/>
  <c r="C73" i="14"/>
  <c r="D73" i="14"/>
  <c r="E73" i="14"/>
  <c r="F73" i="14"/>
  <c r="G73" i="14"/>
  <c r="H73" i="14"/>
  <c r="I73" i="14"/>
  <c r="J73" i="14"/>
  <c r="K73" i="14"/>
  <c r="L73" i="14"/>
  <c r="C74" i="14"/>
  <c r="D74" i="14"/>
  <c r="E74" i="14"/>
  <c r="F74" i="14"/>
  <c r="G74" i="14"/>
  <c r="H74" i="14"/>
  <c r="I74" i="14"/>
  <c r="J74" i="14"/>
  <c r="K74" i="14"/>
  <c r="L74" i="14"/>
  <c r="C75" i="14"/>
  <c r="D75" i="14"/>
  <c r="E75" i="14"/>
  <c r="F75" i="14"/>
  <c r="G75" i="14"/>
  <c r="H75" i="14"/>
  <c r="I75" i="14"/>
  <c r="J75" i="14"/>
  <c r="K75" i="14"/>
  <c r="L7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45" i="14"/>
  <c r="C24" i="13"/>
  <c r="D24" i="13"/>
  <c r="E24" i="13"/>
  <c r="F24" i="13"/>
  <c r="G24" i="13"/>
  <c r="H24" i="13"/>
  <c r="I24" i="13"/>
  <c r="J24" i="13"/>
  <c r="K24" i="13"/>
  <c r="L24" i="13"/>
  <c r="C25" i="13"/>
  <c r="D25" i="13"/>
  <c r="E25" i="13"/>
  <c r="F25" i="13"/>
  <c r="G25" i="13"/>
  <c r="H25" i="13"/>
  <c r="I25" i="13"/>
  <c r="J25" i="13"/>
  <c r="K25" i="13"/>
  <c r="L25" i="13"/>
  <c r="C26" i="13"/>
  <c r="D26" i="13"/>
  <c r="E26" i="13"/>
  <c r="F26" i="13"/>
  <c r="G26" i="13"/>
  <c r="H26" i="13"/>
  <c r="I26" i="13"/>
  <c r="J26" i="13"/>
  <c r="K26" i="13"/>
  <c r="L26" i="13"/>
  <c r="C27" i="13"/>
  <c r="D27" i="13"/>
  <c r="E27" i="13"/>
  <c r="F27" i="13"/>
  <c r="G27" i="13"/>
  <c r="H27" i="13"/>
  <c r="I27" i="13"/>
  <c r="J27" i="13"/>
  <c r="K27" i="13"/>
  <c r="L27" i="13"/>
  <c r="C28" i="13"/>
  <c r="D28" i="13"/>
  <c r="E28" i="13"/>
  <c r="F28" i="13"/>
  <c r="G28" i="13"/>
  <c r="H28" i="13"/>
  <c r="I28" i="13"/>
  <c r="J28" i="13"/>
  <c r="K28" i="13"/>
  <c r="L28" i="13"/>
  <c r="C29" i="13"/>
  <c r="D29" i="13"/>
  <c r="E29" i="13"/>
  <c r="F29" i="13"/>
  <c r="G29" i="13"/>
  <c r="H29" i="13"/>
  <c r="I29" i="13"/>
  <c r="J29" i="13"/>
  <c r="K29" i="13"/>
  <c r="L29" i="13"/>
  <c r="C30" i="13"/>
  <c r="D30" i="13"/>
  <c r="E30" i="13"/>
  <c r="F30" i="13"/>
  <c r="G30" i="13"/>
  <c r="H30" i="13"/>
  <c r="I30" i="13"/>
  <c r="J30" i="13"/>
  <c r="K30" i="13"/>
  <c r="L30" i="13"/>
  <c r="C31" i="13"/>
  <c r="D31" i="13"/>
  <c r="E31" i="13"/>
  <c r="F31" i="13"/>
  <c r="G31" i="13"/>
  <c r="H31" i="13"/>
  <c r="I31" i="13"/>
  <c r="J31" i="13"/>
  <c r="K31" i="13"/>
  <c r="L31" i="13"/>
  <c r="C32" i="13"/>
  <c r="D32" i="13"/>
  <c r="E32" i="13"/>
  <c r="F32" i="13"/>
  <c r="G32" i="13"/>
  <c r="H32" i="13"/>
  <c r="I32" i="13"/>
  <c r="J32" i="13"/>
  <c r="K32" i="13"/>
  <c r="L32" i="13"/>
  <c r="C33" i="13"/>
  <c r="D33" i="13"/>
  <c r="E33" i="13"/>
  <c r="F33" i="13"/>
  <c r="G33" i="13"/>
  <c r="H33" i="13"/>
  <c r="I33" i="13"/>
  <c r="J33" i="13"/>
  <c r="K33" i="13"/>
  <c r="L33" i="13"/>
  <c r="B25" i="13"/>
  <c r="B26" i="13"/>
  <c r="B27" i="13"/>
  <c r="B28" i="13"/>
  <c r="B29" i="13"/>
  <c r="B30" i="13"/>
  <c r="B31" i="13"/>
  <c r="B32" i="13"/>
  <c r="B33" i="13"/>
  <c r="B24" i="13"/>
  <c r="C28" i="12"/>
  <c r="D28" i="12"/>
  <c r="E28" i="12"/>
  <c r="F28" i="12"/>
  <c r="G28" i="12"/>
  <c r="H28" i="12"/>
  <c r="I28" i="12"/>
  <c r="J28" i="12"/>
  <c r="K28" i="12"/>
  <c r="L28" i="12"/>
  <c r="C29" i="12"/>
  <c r="D29" i="12"/>
  <c r="E29" i="12"/>
  <c r="F29" i="12"/>
  <c r="G29" i="12"/>
  <c r="H29" i="12"/>
  <c r="I29" i="12"/>
  <c r="J29" i="12"/>
  <c r="K29" i="12"/>
  <c r="L29" i="12"/>
  <c r="C30" i="12"/>
  <c r="D30" i="12"/>
  <c r="E30" i="12"/>
  <c r="F30" i="12"/>
  <c r="G30" i="12"/>
  <c r="H30" i="12"/>
  <c r="I30" i="12"/>
  <c r="J30" i="12"/>
  <c r="K30" i="12"/>
  <c r="L30" i="12"/>
  <c r="C31" i="12"/>
  <c r="D31" i="12"/>
  <c r="E31" i="12"/>
  <c r="F31" i="12"/>
  <c r="G31" i="12"/>
  <c r="H31" i="12"/>
  <c r="I31" i="12"/>
  <c r="J31" i="12"/>
  <c r="K31" i="12"/>
  <c r="L31" i="12"/>
  <c r="C32" i="12"/>
  <c r="D32" i="12"/>
  <c r="E32" i="12"/>
  <c r="F32" i="12"/>
  <c r="G32" i="12"/>
  <c r="H32" i="12"/>
  <c r="I32" i="12"/>
  <c r="J32" i="12"/>
  <c r="K32" i="12"/>
  <c r="L32" i="12"/>
  <c r="C33" i="12"/>
  <c r="D33" i="12"/>
  <c r="E33" i="12"/>
  <c r="F33" i="12"/>
  <c r="G33" i="12"/>
  <c r="H33" i="12"/>
  <c r="I33" i="12"/>
  <c r="J33" i="12"/>
  <c r="K33" i="12"/>
  <c r="L33" i="12"/>
  <c r="C34" i="12"/>
  <c r="D34" i="12"/>
  <c r="E34" i="12"/>
  <c r="F34" i="12"/>
  <c r="G34" i="12"/>
  <c r="H34" i="12"/>
  <c r="I34" i="12"/>
  <c r="J34" i="12"/>
  <c r="K34" i="12"/>
  <c r="L34" i="12"/>
  <c r="C35" i="12"/>
  <c r="D35" i="12"/>
  <c r="E35" i="12"/>
  <c r="F35" i="12"/>
  <c r="G35" i="12"/>
  <c r="H35" i="12"/>
  <c r="I35" i="12"/>
  <c r="J35" i="12"/>
  <c r="K35" i="12"/>
  <c r="L35" i="12"/>
  <c r="C36" i="12"/>
  <c r="D36" i="12"/>
  <c r="E36" i="12"/>
  <c r="F36" i="12"/>
  <c r="G36" i="12"/>
  <c r="H36" i="12"/>
  <c r="I36" i="12"/>
  <c r="J36" i="12"/>
  <c r="K36" i="12"/>
  <c r="L36" i="12"/>
  <c r="C37" i="12"/>
  <c r="D37" i="12"/>
  <c r="E37" i="12"/>
  <c r="F37" i="12"/>
  <c r="G37" i="12"/>
  <c r="H37" i="12"/>
  <c r="I37" i="12"/>
  <c r="J37" i="12"/>
  <c r="K37" i="12"/>
  <c r="L37" i="12"/>
  <c r="C38" i="12"/>
  <c r="D38" i="12"/>
  <c r="E38" i="12"/>
  <c r="F38" i="12"/>
  <c r="G38" i="12"/>
  <c r="H38" i="12"/>
  <c r="I38" i="12"/>
  <c r="J38" i="12"/>
  <c r="K38" i="12"/>
  <c r="L38" i="12"/>
  <c r="C39" i="12"/>
  <c r="D39" i="12"/>
  <c r="E39" i="12"/>
  <c r="F39" i="12"/>
  <c r="G39" i="12"/>
  <c r="H39" i="12"/>
  <c r="I39" i="12"/>
  <c r="J39" i="12"/>
  <c r="K39" i="12"/>
  <c r="L39" i="12"/>
  <c r="C40" i="12"/>
  <c r="D40" i="12"/>
  <c r="E40" i="12"/>
  <c r="F40" i="12"/>
  <c r="G40" i="12"/>
  <c r="H40" i="12"/>
  <c r="I40" i="12"/>
  <c r="J40" i="12"/>
  <c r="K40" i="12"/>
  <c r="L40" i="12"/>
  <c r="C41" i="12"/>
  <c r="D41" i="12"/>
  <c r="E41" i="12"/>
  <c r="F41" i="12"/>
  <c r="G41" i="12"/>
  <c r="H41" i="12"/>
  <c r="I41" i="12"/>
  <c r="J41" i="12"/>
  <c r="K41" i="12"/>
  <c r="L41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28" i="12"/>
  <c r="C20" i="11"/>
  <c r="D20" i="11"/>
  <c r="E20" i="11"/>
  <c r="F20" i="11"/>
  <c r="G20" i="11"/>
  <c r="H20" i="11"/>
  <c r="I20" i="11"/>
  <c r="J20" i="11"/>
  <c r="K20" i="11"/>
  <c r="L20" i="11"/>
  <c r="C21" i="11"/>
  <c r="D21" i="11"/>
  <c r="E21" i="11"/>
  <c r="F21" i="11"/>
  <c r="G21" i="11"/>
  <c r="H21" i="11"/>
  <c r="I21" i="11"/>
  <c r="J21" i="11"/>
  <c r="K21" i="11"/>
  <c r="L21" i="11"/>
  <c r="C22" i="11"/>
  <c r="D22" i="11"/>
  <c r="E22" i="11"/>
  <c r="F22" i="11"/>
  <c r="G22" i="11"/>
  <c r="H22" i="11"/>
  <c r="I22" i="11"/>
  <c r="J22" i="11"/>
  <c r="K22" i="11"/>
  <c r="L22" i="11"/>
  <c r="C23" i="11"/>
  <c r="D23" i="11"/>
  <c r="E23" i="11"/>
  <c r="F23" i="11"/>
  <c r="G23" i="11"/>
  <c r="H23" i="11"/>
  <c r="I23" i="11"/>
  <c r="J23" i="11"/>
  <c r="K23" i="11"/>
  <c r="L23" i="11"/>
  <c r="C24" i="11"/>
  <c r="D24" i="11"/>
  <c r="E24" i="11"/>
  <c r="F24" i="11"/>
  <c r="G24" i="11"/>
  <c r="H24" i="11"/>
  <c r="I24" i="11"/>
  <c r="J24" i="11"/>
  <c r="K24" i="11"/>
  <c r="L24" i="11"/>
  <c r="C25" i="11"/>
  <c r="D25" i="11"/>
  <c r="E25" i="11"/>
  <c r="F25" i="11"/>
  <c r="G25" i="11"/>
  <c r="H25" i="11"/>
  <c r="I25" i="11"/>
  <c r="J25" i="11"/>
  <c r="K25" i="11"/>
  <c r="L25" i="11"/>
  <c r="B21" i="11"/>
  <c r="B22" i="11"/>
  <c r="B23" i="11"/>
  <c r="B24" i="11"/>
  <c r="B25" i="11"/>
  <c r="B20" i="11"/>
  <c r="C20" i="10"/>
  <c r="D20" i="10"/>
  <c r="E20" i="10"/>
  <c r="F20" i="10"/>
  <c r="G20" i="10"/>
  <c r="H20" i="10"/>
  <c r="I20" i="10"/>
  <c r="J20" i="10"/>
  <c r="K20" i="10"/>
  <c r="L20" i="10"/>
  <c r="C21" i="10"/>
  <c r="D21" i="10"/>
  <c r="E21" i="10"/>
  <c r="F21" i="10"/>
  <c r="G21" i="10"/>
  <c r="H21" i="10"/>
  <c r="I21" i="10"/>
  <c r="J21" i="10"/>
  <c r="K21" i="10"/>
  <c r="L21" i="10"/>
  <c r="C22" i="10"/>
  <c r="D22" i="10"/>
  <c r="E22" i="10"/>
  <c r="F22" i="10"/>
  <c r="G22" i="10"/>
  <c r="H22" i="10"/>
  <c r="I22" i="10"/>
  <c r="J22" i="10"/>
  <c r="K22" i="10"/>
  <c r="L22" i="10"/>
  <c r="C23" i="10"/>
  <c r="D23" i="10"/>
  <c r="E23" i="10"/>
  <c r="F23" i="10"/>
  <c r="G23" i="10"/>
  <c r="H23" i="10"/>
  <c r="I23" i="10"/>
  <c r="J23" i="10"/>
  <c r="K23" i="10"/>
  <c r="L23" i="10"/>
  <c r="B21" i="10"/>
  <c r="B22" i="10"/>
  <c r="B23" i="10"/>
  <c r="B20" i="10"/>
  <c r="C22" i="8"/>
  <c r="D22" i="8"/>
  <c r="E22" i="8"/>
  <c r="F22" i="8"/>
  <c r="G22" i="8"/>
  <c r="H22" i="8"/>
  <c r="I22" i="8"/>
  <c r="J22" i="8"/>
  <c r="K22" i="8"/>
  <c r="L22" i="8"/>
  <c r="C23" i="8"/>
  <c r="D23" i="8"/>
  <c r="E23" i="8"/>
  <c r="F23" i="8"/>
  <c r="G23" i="8"/>
  <c r="H23" i="8"/>
  <c r="I23" i="8"/>
  <c r="J23" i="8"/>
  <c r="K23" i="8"/>
  <c r="L23" i="8"/>
  <c r="C24" i="8"/>
  <c r="D24" i="8"/>
  <c r="E24" i="8"/>
  <c r="F24" i="8"/>
  <c r="G24" i="8"/>
  <c r="H24" i="8"/>
  <c r="I24" i="8"/>
  <c r="J24" i="8"/>
  <c r="K24" i="8"/>
  <c r="L24" i="8"/>
  <c r="C25" i="8"/>
  <c r="D25" i="8"/>
  <c r="E25" i="8"/>
  <c r="F25" i="8"/>
  <c r="G25" i="8"/>
  <c r="H25" i="8"/>
  <c r="I25" i="8"/>
  <c r="J25" i="8"/>
  <c r="K25" i="8"/>
  <c r="L25" i="8"/>
  <c r="C26" i="8"/>
  <c r="D26" i="8"/>
  <c r="E26" i="8"/>
  <c r="F26" i="8"/>
  <c r="G26" i="8"/>
  <c r="H26" i="8"/>
  <c r="I26" i="8"/>
  <c r="J26" i="8"/>
  <c r="K26" i="8"/>
  <c r="L26" i="8"/>
  <c r="C27" i="8"/>
  <c r="D27" i="8"/>
  <c r="E27" i="8"/>
  <c r="F27" i="8"/>
  <c r="G27" i="8"/>
  <c r="H27" i="8"/>
  <c r="I27" i="8"/>
  <c r="J27" i="8"/>
  <c r="K27" i="8"/>
  <c r="L27" i="8"/>
  <c r="C28" i="8"/>
  <c r="D28" i="8"/>
  <c r="E28" i="8"/>
  <c r="F28" i="8"/>
  <c r="G28" i="8"/>
  <c r="H28" i="8"/>
  <c r="I28" i="8"/>
  <c r="J28" i="8"/>
  <c r="K28" i="8"/>
  <c r="L28" i="8"/>
  <c r="C29" i="8"/>
  <c r="D29" i="8"/>
  <c r="E29" i="8"/>
  <c r="F29" i="8"/>
  <c r="G29" i="8"/>
  <c r="H29" i="8"/>
  <c r="I29" i="8"/>
  <c r="J29" i="8"/>
  <c r="K29" i="8"/>
  <c r="L29" i="8"/>
  <c r="B23" i="8"/>
  <c r="B24" i="8"/>
  <c r="B25" i="8"/>
  <c r="B26" i="8"/>
  <c r="B27" i="8"/>
  <c r="B28" i="8"/>
  <c r="B29" i="8"/>
  <c r="B22" i="8"/>
  <c r="C20" i="6"/>
  <c r="D20" i="6"/>
  <c r="E20" i="6"/>
  <c r="F20" i="6"/>
  <c r="G20" i="6"/>
  <c r="H20" i="6"/>
  <c r="I20" i="6"/>
  <c r="J20" i="6"/>
  <c r="K20" i="6"/>
  <c r="L20" i="6"/>
  <c r="C21" i="6"/>
  <c r="D21" i="6"/>
  <c r="E21" i="6"/>
  <c r="F21" i="6"/>
  <c r="G21" i="6"/>
  <c r="H21" i="6"/>
  <c r="I21" i="6"/>
  <c r="J21" i="6"/>
  <c r="K21" i="6"/>
  <c r="L21" i="6"/>
  <c r="C22" i="6"/>
  <c r="D22" i="6"/>
  <c r="E22" i="6"/>
  <c r="F22" i="6"/>
  <c r="G22" i="6"/>
  <c r="H22" i="6"/>
  <c r="I22" i="6"/>
  <c r="J22" i="6"/>
  <c r="K22" i="6"/>
  <c r="L22" i="6"/>
  <c r="C23" i="6"/>
  <c r="D23" i="6"/>
  <c r="E23" i="6"/>
  <c r="F23" i="6"/>
  <c r="G23" i="6"/>
  <c r="H23" i="6"/>
  <c r="I23" i="6"/>
  <c r="J23" i="6"/>
  <c r="K23" i="6"/>
  <c r="L23" i="6"/>
  <c r="B21" i="6"/>
  <c r="B22" i="6"/>
  <c r="B23" i="6"/>
  <c r="B20" i="6"/>
  <c r="C22" i="7"/>
  <c r="D22" i="7"/>
  <c r="E22" i="7"/>
  <c r="F22" i="7"/>
  <c r="G22" i="7"/>
  <c r="H22" i="7"/>
  <c r="I22" i="7"/>
  <c r="J22" i="7"/>
  <c r="K22" i="7"/>
  <c r="L22" i="7"/>
  <c r="C23" i="7"/>
  <c r="D23" i="7"/>
  <c r="E23" i="7"/>
  <c r="F23" i="7"/>
  <c r="G23" i="7"/>
  <c r="H23" i="7"/>
  <c r="I23" i="7"/>
  <c r="J23" i="7"/>
  <c r="K23" i="7"/>
  <c r="L23" i="7"/>
  <c r="C24" i="7"/>
  <c r="D24" i="7"/>
  <c r="E24" i="7"/>
  <c r="F24" i="7"/>
  <c r="G24" i="7"/>
  <c r="H24" i="7"/>
  <c r="I24" i="7"/>
  <c r="J24" i="7"/>
  <c r="K24" i="7"/>
  <c r="L24" i="7"/>
  <c r="C25" i="7"/>
  <c r="D25" i="7"/>
  <c r="E25" i="7"/>
  <c r="F25" i="7"/>
  <c r="G25" i="7"/>
  <c r="H25" i="7"/>
  <c r="I25" i="7"/>
  <c r="J25" i="7"/>
  <c r="K25" i="7"/>
  <c r="L25" i="7"/>
  <c r="C26" i="7"/>
  <c r="D26" i="7"/>
  <c r="E26" i="7"/>
  <c r="F26" i="7"/>
  <c r="G26" i="7"/>
  <c r="H26" i="7"/>
  <c r="I26" i="7"/>
  <c r="J26" i="7"/>
  <c r="K26" i="7"/>
  <c r="L26" i="7"/>
  <c r="C27" i="7"/>
  <c r="D27" i="7"/>
  <c r="E27" i="7"/>
  <c r="F27" i="7"/>
  <c r="G27" i="7"/>
  <c r="H27" i="7"/>
  <c r="I27" i="7"/>
  <c r="J27" i="7"/>
  <c r="K27" i="7"/>
  <c r="L27" i="7"/>
  <c r="C28" i="7"/>
  <c r="D28" i="7"/>
  <c r="E28" i="7"/>
  <c r="F28" i="7"/>
  <c r="G28" i="7"/>
  <c r="H28" i="7"/>
  <c r="I28" i="7"/>
  <c r="J28" i="7"/>
  <c r="K28" i="7"/>
  <c r="L28" i="7"/>
  <c r="B23" i="7"/>
  <c r="B24" i="7"/>
  <c r="B25" i="7"/>
  <c r="B26" i="7"/>
  <c r="B27" i="7"/>
  <c r="B28" i="7"/>
  <c r="B22" i="7"/>
  <c r="C124" i="5"/>
  <c r="C125" i="5"/>
  <c r="C126" i="5"/>
  <c r="C127" i="5"/>
  <c r="C128" i="5"/>
  <c r="C129" i="5"/>
  <c r="C130" i="5"/>
  <c r="D124" i="5"/>
  <c r="E124" i="5"/>
  <c r="F124" i="5"/>
  <c r="G124" i="5"/>
  <c r="H124" i="5"/>
  <c r="I124" i="5"/>
  <c r="J124" i="5"/>
  <c r="K124" i="5"/>
  <c r="L124" i="5"/>
  <c r="M124" i="5"/>
  <c r="D125" i="5"/>
  <c r="E125" i="5"/>
  <c r="F125" i="5"/>
  <c r="G125" i="5"/>
  <c r="H125" i="5"/>
  <c r="I125" i="5"/>
  <c r="J125" i="5"/>
  <c r="K125" i="5"/>
  <c r="L125" i="5"/>
  <c r="M125" i="5"/>
  <c r="D126" i="5"/>
  <c r="E126" i="5"/>
  <c r="F126" i="5"/>
  <c r="G126" i="5"/>
  <c r="H126" i="5"/>
  <c r="I126" i="5"/>
  <c r="J126" i="5"/>
  <c r="K126" i="5"/>
  <c r="L126" i="5"/>
  <c r="M126" i="5"/>
  <c r="D127" i="5"/>
  <c r="E127" i="5"/>
  <c r="F127" i="5"/>
  <c r="G127" i="5"/>
  <c r="H127" i="5"/>
  <c r="I127" i="5"/>
  <c r="J127" i="5"/>
  <c r="K127" i="5"/>
  <c r="L127" i="5"/>
  <c r="M127" i="5"/>
  <c r="D128" i="5"/>
  <c r="E128" i="5"/>
  <c r="F128" i="5"/>
  <c r="G128" i="5"/>
  <c r="H128" i="5"/>
  <c r="I128" i="5"/>
  <c r="J128" i="5"/>
  <c r="K128" i="5"/>
  <c r="L128" i="5"/>
  <c r="M128" i="5"/>
  <c r="D129" i="5"/>
  <c r="E129" i="5"/>
  <c r="F129" i="5"/>
  <c r="G129" i="5"/>
  <c r="H129" i="5"/>
  <c r="I129" i="5"/>
  <c r="J129" i="5"/>
  <c r="K129" i="5"/>
  <c r="L129" i="5"/>
  <c r="M129" i="5"/>
  <c r="D130" i="5"/>
  <c r="E130" i="5"/>
  <c r="F130" i="5"/>
  <c r="G130" i="5"/>
  <c r="H130" i="5"/>
  <c r="I130" i="5"/>
  <c r="J130" i="5"/>
  <c r="K130" i="5"/>
  <c r="L130" i="5"/>
  <c r="M130" i="5"/>
  <c r="D81" i="5" l="1"/>
  <c r="E81" i="5"/>
  <c r="F81" i="5"/>
  <c r="G81" i="5"/>
  <c r="H81" i="5"/>
  <c r="I81" i="5"/>
  <c r="J81" i="5"/>
  <c r="J172" i="5" s="1"/>
  <c r="K81" i="5"/>
  <c r="K172" i="5" s="1"/>
  <c r="L81" i="5"/>
  <c r="L172" i="5" s="1"/>
  <c r="M81" i="5"/>
  <c r="D82" i="5"/>
  <c r="E82" i="5"/>
  <c r="F82" i="5"/>
  <c r="G82" i="5"/>
  <c r="H82" i="5"/>
  <c r="I82" i="5"/>
  <c r="J82" i="5"/>
  <c r="J173" i="5" s="1"/>
  <c r="K82" i="5"/>
  <c r="K173" i="5" s="1"/>
  <c r="L82" i="5"/>
  <c r="L173" i="5" s="1"/>
  <c r="M82" i="5"/>
  <c r="D83" i="5"/>
  <c r="E83" i="5"/>
  <c r="F83" i="5"/>
  <c r="G83" i="5"/>
  <c r="H83" i="5"/>
  <c r="I83" i="5"/>
  <c r="J83" i="5"/>
  <c r="J174" i="5" s="1"/>
  <c r="K83" i="5"/>
  <c r="K174" i="5" s="1"/>
  <c r="L83" i="5"/>
  <c r="L174" i="5" s="1"/>
  <c r="M83" i="5"/>
  <c r="D84" i="5"/>
  <c r="E84" i="5"/>
  <c r="F84" i="5"/>
  <c r="G84" i="5"/>
  <c r="H84" i="5"/>
  <c r="I84" i="5"/>
  <c r="J84" i="5"/>
  <c r="J175" i="5" s="1"/>
  <c r="K84" i="5"/>
  <c r="K175" i="5" s="1"/>
  <c r="L84" i="5"/>
  <c r="L175" i="5" s="1"/>
  <c r="M84" i="5"/>
  <c r="D85" i="5"/>
  <c r="E85" i="5"/>
  <c r="F85" i="5"/>
  <c r="G85" i="5"/>
  <c r="H85" i="5"/>
  <c r="I85" i="5"/>
  <c r="J85" i="5"/>
  <c r="J176" i="5" s="1"/>
  <c r="K85" i="5"/>
  <c r="K176" i="5" s="1"/>
  <c r="L85" i="5"/>
  <c r="L176" i="5" s="1"/>
  <c r="M85" i="5"/>
  <c r="D86" i="5"/>
  <c r="E86" i="5"/>
  <c r="F86" i="5"/>
  <c r="G86" i="5"/>
  <c r="H86" i="5"/>
  <c r="I86" i="5"/>
  <c r="J86" i="5"/>
  <c r="J177" i="5" s="1"/>
  <c r="K86" i="5"/>
  <c r="K177" i="5" s="1"/>
  <c r="L86" i="5"/>
  <c r="L177" i="5" s="1"/>
  <c r="M86" i="5"/>
  <c r="D87" i="5"/>
  <c r="E87" i="5"/>
  <c r="F87" i="5"/>
  <c r="G87" i="5"/>
  <c r="H87" i="5"/>
  <c r="I87" i="5"/>
  <c r="J87" i="5"/>
  <c r="J178" i="5" s="1"/>
  <c r="K87" i="5"/>
  <c r="K178" i="5" s="1"/>
  <c r="L87" i="5"/>
  <c r="L178" i="5" s="1"/>
  <c r="M87" i="5"/>
  <c r="C82" i="5"/>
  <c r="C83" i="5"/>
  <c r="C84" i="5"/>
  <c r="C85" i="5"/>
  <c r="C86" i="5"/>
  <c r="C87" i="5"/>
  <c r="M131" i="5" l="1"/>
  <c r="L131" i="5"/>
  <c r="K131" i="5"/>
  <c r="J131" i="5"/>
  <c r="I131" i="5"/>
  <c r="H131" i="5"/>
  <c r="G131" i="5"/>
  <c r="F131" i="5"/>
  <c r="E131" i="5"/>
  <c r="D131" i="5"/>
  <c r="C131" i="5"/>
  <c r="M117" i="5"/>
  <c r="L117" i="5"/>
  <c r="K117" i="5"/>
  <c r="J117" i="5"/>
  <c r="I117" i="5"/>
  <c r="H117" i="5"/>
  <c r="G117" i="5"/>
  <c r="F117" i="5"/>
  <c r="E117" i="5"/>
  <c r="D117" i="5"/>
  <c r="C117" i="5"/>
  <c r="M116" i="5"/>
  <c r="L116" i="5"/>
  <c r="K116" i="5"/>
  <c r="J116" i="5"/>
  <c r="I116" i="5"/>
  <c r="H116" i="5"/>
  <c r="G116" i="5"/>
  <c r="F116" i="5"/>
  <c r="E116" i="5"/>
  <c r="D116" i="5"/>
  <c r="C116" i="5"/>
  <c r="M115" i="5"/>
  <c r="L115" i="5"/>
  <c r="K115" i="5"/>
  <c r="J115" i="5"/>
  <c r="I115" i="5"/>
  <c r="H115" i="5"/>
  <c r="G115" i="5"/>
  <c r="F115" i="5"/>
  <c r="E115" i="5"/>
  <c r="D115" i="5"/>
  <c r="C115" i="5"/>
  <c r="M114" i="5"/>
  <c r="L114" i="5"/>
  <c r="K114" i="5"/>
  <c r="J114" i="5"/>
  <c r="I114" i="5"/>
  <c r="H114" i="5"/>
  <c r="G114" i="5"/>
  <c r="F114" i="5"/>
  <c r="E114" i="5"/>
  <c r="D114" i="5"/>
  <c r="C114" i="5"/>
  <c r="M113" i="5"/>
  <c r="L113" i="5"/>
  <c r="K113" i="5"/>
  <c r="J113" i="5"/>
  <c r="I113" i="5"/>
  <c r="H113" i="5"/>
  <c r="G113" i="5"/>
  <c r="F113" i="5"/>
  <c r="E113" i="5"/>
  <c r="D113" i="5"/>
  <c r="C113" i="5"/>
  <c r="M112" i="5"/>
  <c r="L112" i="5"/>
  <c r="K112" i="5"/>
  <c r="J112" i="5"/>
  <c r="I112" i="5"/>
  <c r="H112" i="5"/>
  <c r="G112" i="5"/>
  <c r="F112" i="5"/>
  <c r="E112" i="5"/>
  <c r="D112" i="5"/>
  <c r="C112" i="5"/>
  <c r="M111" i="5"/>
  <c r="L111" i="5"/>
  <c r="K111" i="5"/>
  <c r="J111" i="5"/>
  <c r="I111" i="5"/>
  <c r="H111" i="5"/>
  <c r="G111" i="5"/>
  <c r="F111" i="5"/>
  <c r="E111" i="5"/>
  <c r="D111" i="5"/>
  <c r="C111" i="5"/>
  <c r="M110" i="5"/>
  <c r="L110" i="5"/>
  <c r="K110" i="5"/>
  <c r="J110" i="5"/>
  <c r="I110" i="5"/>
  <c r="H110" i="5"/>
  <c r="G110" i="5"/>
  <c r="F110" i="5"/>
  <c r="E110" i="5"/>
  <c r="D110" i="5"/>
  <c r="C110" i="5"/>
  <c r="M109" i="5"/>
  <c r="L109" i="5"/>
  <c r="K109" i="5"/>
  <c r="J109" i="5"/>
  <c r="I109" i="5"/>
  <c r="H109" i="5"/>
  <c r="G109" i="5"/>
  <c r="F109" i="5"/>
  <c r="E109" i="5"/>
  <c r="D109" i="5"/>
  <c r="C109" i="5"/>
  <c r="M108" i="5"/>
  <c r="L108" i="5"/>
  <c r="K108" i="5"/>
  <c r="J108" i="5"/>
  <c r="I108" i="5"/>
  <c r="H108" i="5"/>
  <c r="G108" i="5"/>
  <c r="G118" i="5" s="1"/>
  <c r="F108" i="5"/>
  <c r="E108" i="5"/>
  <c r="D108" i="5"/>
  <c r="C108" i="5"/>
  <c r="M101" i="5"/>
  <c r="L101" i="5"/>
  <c r="K101" i="5"/>
  <c r="J101" i="5"/>
  <c r="I101" i="5"/>
  <c r="H101" i="5"/>
  <c r="G101" i="5"/>
  <c r="F101" i="5"/>
  <c r="E101" i="5"/>
  <c r="D101" i="5"/>
  <c r="C101" i="5"/>
  <c r="M100" i="5"/>
  <c r="L100" i="5"/>
  <c r="K100" i="5"/>
  <c r="J100" i="5"/>
  <c r="I100" i="5"/>
  <c r="H100" i="5"/>
  <c r="G100" i="5"/>
  <c r="F100" i="5"/>
  <c r="E100" i="5"/>
  <c r="D100" i="5"/>
  <c r="C100" i="5"/>
  <c r="M99" i="5"/>
  <c r="L99" i="5"/>
  <c r="K99" i="5"/>
  <c r="J99" i="5"/>
  <c r="I99" i="5"/>
  <c r="H99" i="5"/>
  <c r="G99" i="5"/>
  <c r="F99" i="5"/>
  <c r="E99" i="5"/>
  <c r="D99" i="5"/>
  <c r="C99" i="5"/>
  <c r="M98" i="5"/>
  <c r="L98" i="5"/>
  <c r="K98" i="5"/>
  <c r="J98" i="5"/>
  <c r="I98" i="5"/>
  <c r="H98" i="5"/>
  <c r="G98" i="5"/>
  <c r="F98" i="5"/>
  <c r="E98" i="5"/>
  <c r="D98" i="5"/>
  <c r="C98" i="5"/>
  <c r="M97" i="5"/>
  <c r="L97" i="5"/>
  <c r="K97" i="5"/>
  <c r="J97" i="5"/>
  <c r="I97" i="5"/>
  <c r="H97" i="5"/>
  <c r="G97" i="5"/>
  <c r="F97" i="5"/>
  <c r="E97" i="5"/>
  <c r="D97" i="5"/>
  <c r="C97" i="5"/>
  <c r="L179" i="5"/>
  <c r="K179" i="5"/>
  <c r="J179" i="5"/>
  <c r="I179" i="5"/>
  <c r="H179" i="5"/>
  <c r="G179" i="5"/>
  <c r="F179" i="5"/>
  <c r="E179" i="5"/>
  <c r="D179" i="5"/>
  <c r="C81" i="5"/>
  <c r="C179" i="5" s="1"/>
  <c r="M74" i="5"/>
  <c r="M165" i="5" s="1"/>
  <c r="L74" i="5"/>
  <c r="L165" i="5" s="1"/>
  <c r="K74" i="5"/>
  <c r="K165" i="5" s="1"/>
  <c r="J74" i="5"/>
  <c r="J165" i="5" s="1"/>
  <c r="I74" i="5"/>
  <c r="I165" i="5" s="1"/>
  <c r="H74" i="5"/>
  <c r="H165" i="5" s="1"/>
  <c r="G74" i="5"/>
  <c r="G165" i="5" s="1"/>
  <c r="F74" i="5"/>
  <c r="F165" i="5" s="1"/>
  <c r="E74" i="5"/>
  <c r="E165" i="5" s="1"/>
  <c r="D74" i="5"/>
  <c r="D165" i="5" s="1"/>
  <c r="C74" i="5"/>
  <c r="C165" i="5" s="1"/>
  <c r="M73" i="5"/>
  <c r="M164" i="5" s="1"/>
  <c r="L73" i="5"/>
  <c r="L164" i="5" s="1"/>
  <c r="K73" i="5"/>
  <c r="K164" i="5" s="1"/>
  <c r="J73" i="5"/>
  <c r="J164" i="5" s="1"/>
  <c r="I73" i="5"/>
  <c r="I164" i="5" s="1"/>
  <c r="H73" i="5"/>
  <c r="H164" i="5" s="1"/>
  <c r="G73" i="5"/>
  <c r="G164" i="5" s="1"/>
  <c r="F73" i="5"/>
  <c r="F164" i="5" s="1"/>
  <c r="E73" i="5"/>
  <c r="E164" i="5" s="1"/>
  <c r="D73" i="5"/>
  <c r="D164" i="5" s="1"/>
  <c r="C73" i="5"/>
  <c r="C164" i="5" s="1"/>
  <c r="M72" i="5"/>
  <c r="M163" i="5" s="1"/>
  <c r="L72" i="5"/>
  <c r="L163" i="5" s="1"/>
  <c r="K72" i="5"/>
  <c r="K163" i="5" s="1"/>
  <c r="J72" i="5"/>
  <c r="J163" i="5" s="1"/>
  <c r="I72" i="5"/>
  <c r="I163" i="5" s="1"/>
  <c r="H72" i="5"/>
  <c r="H163" i="5" s="1"/>
  <c r="G72" i="5"/>
  <c r="G163" i="5" s="1"/>
  <c r="F72" i="5"/>
  <c r="F163" i="5" s="1"/>
  <c r="E72" i="5"/>
  <c r="E163" i="5" s="1"/>
  <c r="D72" i="5"/>
  <c r="D163" i="5" s="1"/>
  <c r="C72" i="5"/>
  <c r="C163" i="5" s="1"/>
  <c r="M71" i="5"/>
  <c r="M162" i="5" s="1"/>
  <c r="L71" i="5"/>
  <c r="L162" i="5" s="1"/>
  <c r="K71" i="5"/>
  <c r="K162" i="5" s="1"/>
  <c r="J71" i="5"/>
  <c r="J162" i="5" s="1"/>
  <c r="I71" i="5"/>
  <c r="I162" i="5" s="1"/>
  <c r="H71" i="5"/>
  <c r="H162" i="5" s="1"/>
  <c r="G71" i="5"/>
  <c r="G162" i="5" s="1"/>
  <c r="F71" i="5"/>
  <c r="F162" i="5" s="1"/>
  <c r="E71" i="5"/>
  <c r="E162" i="5" s="1"/>
  <c r="D71" i="5"/>
  <c r="D162" i="5" s="1"/>
  <c r="C71" i="5"/>
  <c r="C162" i="5" s="1"/>
  <c r="M70" i="5"/>
  <c r="M161" i="5" s="1"/>
  <c r="L70" i="5"/>
  <c r="L161" i="5" s="1"/>
  <c r="K70" i="5"/>
  <c r="K161" i="5" s="1"/>
  <c r="J70" i="5"/>
  <c r="J161" i="5" s="1"/>
  <c r="I70" i="5"/>
  <c r="I161" i="5" s="1"/>
  <c r="H70" i="5"/>
  <c r="H161" i="5" s="1"/>
  <c r="G70" i="5"/>
  <c r="G161" i="5" s="1"/>
  <c r="F70" i="5"/>
  <c r="F161" i="5" s="1"/>
  <c r="E70" i="5"/>
  <c r="E161" i="5" s="1"/>
  <c r="D70" i="5"/>
  <c r="D161" i="5" s="1"/>
  <c r="C70" i="5"/>
  <c r="C161" i="5" s="1"/>
  <c r="M69" i="5"/>
  <c r="M160" i="5" s="1"/>
  <c r="L69" i="5"/>
  <c r="L160" i="5" s="1"/>
  <c r="K69" i="5"/>
  <c r="K160" i="5" s="1"/>
  <c r="J69" i="5"/>
  <c r="J160" i="5" s="1"/>
  <c r="I69" i="5"/>
  <c r="I160" i="5" s="1"/>
  <c r="H69" i="5"/>
  <c r="H160" i="5" s="1"/>
  <c r="G69" i="5"/>
  <c r="G160" i="5" s="1"/>
  <c r="F69" i="5"/>
  <c r="F160" i="5" s="1"/>
  <c r="E69" i="5"/>
  <c r="E160" i="5" s="1"/>
  <c r="D69" i="5"/>
  <c r="D160" i="5" s="1"/>
  <c r="C69" i="5"/>
  <c r="C160" i="5" s="1"/>
  <c r="M68" i="5"/>
  <c r="M159" i="5" s="1"/>
  <c r="L68" i="5"/>
  <c r="L159" i="5" s="1"/>
  <c r="K68" i="5"/>
  <c r="K159" i="5" s="1"/>
  <c r="J68" i="5"/>
  <c r="J159" i="5" s="1"/>
  <c r="I68" i="5"/>
  <c r="I159" i="5" s="1"/>
  <c r="H68" i="5"/>
  <c r="H159" i="5" s="1"/>
  <c r="G68" i="5"/>
  <c r="G159" i="5" s="1"/>
  <c r="F68" i="5"/>
  <c r="F159" i="5" s="1"/>
  <c r="E68" i="5"/>
  <c r="E159" i="5" s="1"/>
  <c r="D68" i="5"/>
  <c r="D159" i="5" s="1"/>
  <c r="C68" i="5"/>
  <c r="C159" i="5" s="1"/>
  <c r="M67" i="5"/>
  <c r="M158" i="5" s="1"/>
  <c r="L67" i="5"/>
  <c r="L158" i="5" s="1"/>
  <c r="K67" i="5"/>
  <c r="K158" i="5" s="1"/>
  <c r="J67" i="5"/>
  <c r="J158" i="5" s="1"/>
  <c r="I67" i="5"/>
  <c r="I158" i="5" s="1"/>
  <c r="H67" i="5"/>
  <c r="H158" i="5" s="1"/>
  <c r="G67" i="5"/>
  <c r="G158" i="5" s="1"/>
  <c r="F67" i="5"/>
  <c r="F158" i="5" s="1"/>
  <c r="E67" i="5"/>
  <c r="E158" i="5" s="1"/>
  <c r="D67" i="5"/>
  <c r="D158" i="5" s="1"/>
  <c r="C67" i="5"/>
  <c r="C158" i="5" s="1"/>
  <c r="M66" i="5"/>
  <c r="M157" i="5" s="1"/>
  <c r="L66" i="5"/>
  <c r="L157" i="5" s="1"/>
  <c r="K66" i="5"/>
  <c r="K157" i="5" s="1"/>
  <c r="J66" i="5"/>
  <c r="J157" i="5" s="1"/>
  <c r="I66" i="5"/>
  <c r="I157" i="5" s="1"/>
  <c r="H66" i="5"/>
  <c r="H157" i="5" s="1"/>
  <c r="G66" i="5"/>
  <c r="G157" i="5" s="1"/>
  <c r="F66" i="5"/>
  <c r="F157" i="5" s="1"/>
  <c r="E66" i="5"/>
  <c r="E157" i="5" s="1"/>
  <c r="D66" i="5"/>
  <c r="D157" i="5" s="1"/>
  <c r="C66" i="5"/>
  <c r="C157" i="5" s="1"/>
  <c r="M65" i="5"/>
  <c r="M156" i="5" s="1"/>
  <c r="L65" i="5"/>
  <c r="L156" i="5" s="1"/>
  <c r="K65" i="5"/>
  <c r="K156" i="5" s="1"/>
  <c r="J65" i="5"/>
  <c r="J156" i="5" s="1"/>
  <c r="I65" i="5"/>
  <c r="I156" i="5" s="1"/>
  <c r="H65" i="5"/>
  <c r="H156" i="5" s="1"/>
  <c r="G65" i="5"/>
  <c r="G156" i="5" s="1"/>
  <c r="F65" i="5"/>
  <c r="F156" i="5" s="1"/>
  <c r="E65" i="5"/>
  <c r="E156" i="5" s="1"/>
  <c r="D65" i="5"/>
  <c r="D156" i="5" s="1"/>
  <c r="C65" i="5"/>
  <c r="C156" i="5" s="1"/>
  <c r="K102" i="5" l="1"/>
  <c r="D166" i="5"/>
  <c r="H118" i="5"/>
  <c r="E102" i="5"/>
  <c r="M118" i="5"/>
  <c r="I102" i="5"/>
  <c r="J102" i="5"/>
  <c r="C118" i="5"/>
  <c r="D118" i="5"/>
  <c r="I118" i="5"/>
  <c r="F118" i="5"/>
  <c r="E166" i="5"/>
  <c r="M102" i="5"/>
  <c r="M135" i="5" s="1"/>
  <c r="L5" i="1" s="1"/>
  <c r="F166" i="5"/>
  <c r="L102" i="5"/>
  <c r="F102" i="5"/>
  <c r="J118" i="5"/>
  <c r="J135" i="5" s="1"/>
  <c r="I5" i="1" s="1"/>
  <c r="C102" i="5"/>
  <c r="K118" i="5"/>
  <c r="E118" i="5"/>
  <c r="E135" i="5" s="1"/>
  <c r="D5" i="1" s="1"/>
  <c r="D102" i="5"/>
  <c r="D135" i="5" s="1"/>
  <c r="C5" i="1" s="1"/>
  <c r="L118" i="5"/>
  <c r="G102" i="5"/>
  <c r="G135" i="5" s="1"/>
  <c r="H102" i="5"/>
  <c r="G166" i="5"/>
  <c r="J166" i="5"/>
  <c r="K166" i="5"/>
  <c r="L166" i="5"/>
  <c r="M166" i="5"/>
  <c r="F135" i="5"/>
  <c r="E5" i="1" s="1"/>
  <c r="C166" i="5"/>
  <c r="H166" i="5"/>
  <c r="I166" i="5"/>
  <c r="F37" i="14"/>
  <c r="L77" i="14"/>
  <c r="L27" i="1" s="1"/>
  <c r="G37" i="14"/>
  <c r="H37" i="14"/>
  <c r="H13" i="1" s="1"/>
  <c r="I37" i="14"/>
  <c r="I13" i="1" s="1"/>
  <c r="J37" i="14"/>
  <c r="J13" i="1" s="1"/>
  <c r="K37" i="14"/>
  <c r="K13" i="1" s="1"/>
  <c r="L37" i="14"/>
  <c r="L13" i="1" s="1"/>
  <c r="I35" i="13"/>
  <c r="I26" i="1" s="1"/>
  <c r="J35" i="13"/>
  <c r="J26" i="1" s="1"/>
  <c r="K35" i="13"/>
  <c r="K26" i="1" s="1"/>
  <c r="L35" i="13"/>
  <c r="L26" i="1" s="1"/>
  <c r="H35" i="13"/>
  <c r="H26" i="1" s="1"/>
  <c r="F16" i="13"/>
  <c r="F12" i="1" s="1"/>
  <c r="G16" i="13"/>
  <c r="H16" i="13"/>
  <c r="H12" i="1" s="1"/>
  <c r="I16" i="13"/>
  <c r="I12" i="1" s="1"/>
  <c r="J16" i="13"/>
  <c r="J12" i="1" s="1"/>
  <c r="K16" i="13"/>
  <c r="K12" i="1" s="1"/>
  <c r="L16" i="13"/>
  <c r="L12" i="1" s="1"/>
  <c r="I43" i="12"/>
  <c r="I25" i="1" s="1"/>
  <c r="J43" i="12"/>
  <c r="J25" i="1" s="1"/>
  <c r="K43" i="12"/>
  <c r="K25" i="1" s="1"/>
  <c r="L43" i="12"/>
  <c r="L25" i="1" s="1"/>
  <c r="H43" i="12"/>
  <c r="H25" i="1" s="1"/>
  <c r="F20" i="12"/>
  <c r="F11" i="1" s="1"/>
  <c r="G20" i="12"/>
  <c r="H20" i="12"/>
  <c r="H11" i="1" s="1"/>
  <c r="I20" i="12"/>
  <c r="I11" i="1" s="1"/>
  <c r="J20" i="12"/>
  <c r="J11" i="1" s="1"/>
  <c r="K20" i="12"/>
  <c r="K11" i="1" s="1"/>
  <c r="L20" i="12"/>
  <c r="L11" i="1" s="1"/>
  <c r="I27" i="11"/>
  <c r="I24" i="1" s="1"/>
  <c r="J27" i="11"/>
  <c r="J24" i="1" s="1"/>
  <c r="L27" i="11"/>
  <c r="L24" i="1" s="1"/>
  <c r="H27" i="11"/>
  <c r="H24" i="1" s="1"/>
  <c r="K27" i="11"/>
  <c r="K24" i="1" s="1"/>
  <c r="F12" i="11"/>
  <c r="F10" i="1" s="1"/>
  <c r="G12" i="11"/>
  <c r="H10" i="1"/>
  <c r="H15" i="1" s="1"/>
  <c r="I12" i="11"/>
  <c r="I10" i="1" s="1"/>
  <c r="J12" i="11"/>
  <c r="J10" i="1" s="1"/>
  <c r="K12" i="11"/>
  <c r="K10" i="1" s="1"/>
  <c r="L12" i="11"/>
  <c r="L10" i="1" s="1"/>
  <c r="J25" i="10"/>
  <c r="J23" i="1" s="1"/>
  <c r="L25" i="10"/>
  <c r="L23" i="1" s="1"/>
  <c r="H25" i="10"/>
  <c r="H23" i="1" s="1"/>
  <c r="I25" i="10"/>
  <c r="I23" i="1" s="1"/>
  <c r="K25" i="10"/>
  <c r="K23" i="1" s="1"/>
  <c r="F10" i="10"/>
  <c r="F9" i="1" s="1"/>
  <c r="G10" i="10"/>
  <c r="H10" i="10"/>
  <c r="H9" i="1" s="1"/>
  <c r="I10" i="10"/>
  <c r="I9" i="1" s="1"/>
  <c r="J10" i="10"/>
  <c r="J9" i="1" s="1"/>
  <c r="K10" i="10"/>
  <c r="K9" i="1" s="1"/>
  <c r="L10" i="10"/>
  <c r="L9" i="1" s="1"/>
  <c r="I31" i="8"/>
  <c r="I22" i="1" s="1"/>
  <c r="J31" i="8"/>
  <c r="J22" i="1" s="1"/>
  <c r="K31" i="8"/>
  <c r="K22" i="1" s="1"/>
  <c r="L31" i="8"/>
  <c r="L22" i="1" s="1"/>
  <c r="H31" i="8"/>
  <c r="H22" i="1" s="1"/>
  <c r="F14" i="8"/>
  <c r="F8" i="1" s="1"/>
  <c r="G14" i="8"/>
  <c r="H14" i="8"/>
  <c r="H8" i="1" s="1"/>
  <c r="I14" i="8"/>
  <c r="I8" i="1" s="1"/>
  <c r="J14" i="8"/>
  <c r="J8" i="1" s="1"/>
  <c r="K14" i="8"/>
  <c r="K8" i="1" s="1"/>
  <c r="L14" i="8"/>
  <c r="L8" i="1" s="1"/>
  <c r="I30" i="7"/>
  <c r="I21" i="1" s="1"/>
  <c r="J30" i="7"/>
  <c r="J21" i="1" s="1"/>
  <c r="K30" i="7"/>
  <c r="K21" i="1" s="1"/>
  <c r="L30" i="7"/>
  <c r="L21" i="1" s="1"/>
  <c r="H30" i="7"/>
  <c r="H21" i="1" s="1"/>
  <c r="F13" i="7"/>
  <c r="F7" i="1" s="1"/>
  <c r="G13" i="7"/>
  <c r="H13" i="7"/>
  <c r="H7" i="1" s="1"/>
  <c r="I13" i="7"/>
  <c r="I7" i="1" s="1"/>
  <c r="J13" i="7"/>
  <c r="J7" i="1" s="1"/>
  <c r="K13" i="7"/>
  <c r="K7" i="1" s="1"/>
  <c r="L13" i="7"/>
  <c r="L7" i="1" s="1"/>
  <c r="J25" i="6"/>
  <c r="J20" i="1" s="1"/>
  <c r="K25" i="6"/>
  <c r="K20" i="1" s="1"/>
  <c r="L25" i="6"/>
  <c r="L20" i="1" s="1"/>
  <c r="H25" i="6"/>
  <c r="H20" i="1" s="1"/>
  <c r="I25" i="6"/>
  <c r="I20" i="1" s="1"/>
  <c r="F10" i="6"/>
  <c r="F6" i="1" s="1"/>
  <c r="G10" i="6"/>
  <c r="H10" i="6"/>
  <c r="H6" i="1" s="1"/>
  <c r="I10" i="6"/>
  <c r="I6" i="1" s="1"/>
  <c r="J10" i="6"/>
  <c r="J6" i="1" s="1"/>
  <c r="K10" i="6"/>
  <c r="K6" i="1" s="1"/>
  <c r="L10" i="6"/>
  <c r="L6" i="1" s="1"/>
  <c r="G54" i="5"/>
  <c r="G145" i="5" s="1"/>
  <c r="H54" i="5"/>
  <c r="H145" i="5" s="1"/>
  <c r="I54" i="5"/>
  <c r="I145" i="5" s="1"/>
  <c r="J54" i="5"/>
  <c r="J145" i="5" s="1"/>
  <c r="K54" i="5"/>
  <c r="K145" i="5" s="1"/>
  <c r="L54" i="5"/>
  <c r="L145" i="5" s="1"/>
  <c r="M54" i="5"/>
  <c r="M145" i="5" s="1"/>
  <c r="G55" i="5"/>
  <c r="G146" i="5" s="1"/>
  <c r="H55" i="5"/>
  <c r="H146" i="5" s="1"/>
  <c r="I55" i="5"/>
  <c r="I146" i="5" s="1"/>
  <c r="J55" i="5"/>
  <c r="J146" i="5" s="1"/>
  <c r="K55" i="5"/>
  <c r="K146" i="5" s="1"/>
  <c r="L55" i="5"/>
  <c r="L146" i="5" s="1"/>
  <c r="M55" i="5"/>
  <c r="M146" i="5" s="1"/>
  <c r="G56" i="5"/>
  <c r="G147" i="5" s="1"/>
  <c r="H56" i="5"/>
  <c r="H147" i="5" s="1"/>
  <c r="I56" i="5"/>
  <c r="I147" i="5" s="1"/>
  <c r="J56" i="5"/>
  <c r="J147" i="5" s="1"/>
  <c r="K56" i="5"/>
  <c r="K147" i="5" s="1"/>
  <c r="L56" i="5"/>
  <c r="L147" i="5" s="1"/>
  <c r="M56" i="5"/>
  <c r="M147" i="5" s="1"/>
  <c r="G57" i="5"/>
  <c r="G148" i="5" s="1"/>
  <c r="H57" i="5"/>
  <c r="H148" i="5" s="1"/>
  <c r="I57" i="5"/>
  <c r="I148" i="5" s="1"/>
  <c r="J57" i="5"/>
  <c r="J148" i="5" s="1"/>
  <c r="K57" i="5"/>
  <c r="K148" i="5" s="1"/>
  <c r="L57" i="5"/>
  <c r="L148" i="5" s="1"/>
  <c r="M57" i="5"/>
  <c r="M148" i="5" s="1"/>
  <c r="G58" i="5"/>
  <c r="G149" i="5" s="1"/>
  <c r="H58" i="5"/>
  <c r="H149" i="5" s="1"/>
  <c r="I58" i="5"/>
  <c r="I149" i="5" s="1"/>
  <c r="J58" i="5"/>
  <c r="J149" i="5" s="1"/>
  <c r="K58" i="5"/>
  <c r="K149" i="5" s="1"/>
  <c r="L58" i="5"/>
  <c r="L149" i="5" s="1"/>
  <c r="M58" i="5"/>
  <c r="M149" i="5" s="1"/>
  <c r="F5" i="1"/>
  <c r="F13" i="1"/>
  <c r="C33" i="1"/>
  <c r="D33" i="1"/>
  <c r="E33" i="1"/>
  <c r="F33" i="1"/>
  <c r="G33" i="1"/>
  <c r="H33" i="1"/>
  <c r="I33" i="1"/>
  <c r="J33" i="1"/>
  <c r="K33" i="1"/>
  <c r="L33" i="1"/>
  <c r="B33" i="1"/>
  <c r="C27" i="1"/>
  <c r="B13" i="1"/>
  <c r="C77" i="14"/>
  <c r="D77" i="14"/>
  <c r="D27" i="1" s="1"/>
  <c r="E77" i="14"/>
  <c r="E27" i="1" s="1"/>
  <c r="B77" i="14"/>
  <c r="B27" i="1" s="1"/>
  <c r="C37" i="14"/>
  <c r="C13" i="1" s="1"/>
  <c r="D37" i="14"/>
  <c r="D13" i="1" s="1"/>
  <c r="E37" i="14"/>
  <c r="E13" i="1" s="1"/>
  <c r="B37" i="14"/>
  <c r="E44" i="14"/>
  <c r="D44" i="14"/>
  <c r="L4" i="14"/>
  <c r="K4" i="14"/>
  <c r="J4" i="14"/>
  <c r="I4" i="14"/>
  <c r="H4" i="14"/>
  <c r="H44" i="14" s="1"/>
  <c r="G4" i="14"/>
  <c r="G44" i="14" s="1"/>
  <c r="F4" i="14"/>
  <c r="F44" i="14" s="1"/>
  <c r="E4" i="14"/>
  <c r="D4" i="14"/>
  <c r="C4" i="14"/>
  <c r="C44" i="14" s="1"/>
  <c r="B4" i="14"/>
  <c r="B44" i="14" s="1"/>
  <c r="C26" i="1"/>
  <c r="D26" i="1"/>
  <c r="C12" i="1"/>
  <c r="D12" i="1"/>
  <c r="E12" i="1"/>
  <c r="B12" i="1"/>
  <c r="C35" i="13"/>
  <c r="D35" i="13"/>
  <c r="E35" i="13"/>
  <c r="E26" i="1" s="1"/>
  <c r="B35" i="13"/>
  <c r="B26" i="1" s="1"/>
  <c r="C16" i="13"/>
  <c r="D16" i="13"/>
  <c r="E16" i="13"/>
  <c r="B16" i="13"/>
  <c r="L4" i="13"/>
  <c r="L23" i="13" s="1"/>
  <c r="K4" i="13"/>
  <c r="K23" i="13" s="1"/>
  <c r="J4" i="13"/>
  <c r="J23" i="13" s="1"/>
  <c r="I4" i="13"/>
  <c r="I23" i="13" s="1"/>
  <c r="H4" i="13"/>
  <c r="H23" i="13" s="1"/>
  <c r="G4" i="13"/>
  <c r="G23" i="13" s="1"/>
  <c r="F4" i="13"/>
  <c r="F23" i="13" s="1"/>
  <c r="E4" i="13"/>
  <c r="E23" i="13" s="1"/>
  <c r="D4" i="13"/>
  <c r="D23" i="13" s="1"/>
  <c r="C4" i="13"/>
  <c r="C23" i="13" s="1"/>
  <c r="B4" i="13"/>
  <c r="B23" i="13" s="1"/>
  <c r="C25" i="1"/>
  <c r="E25" i="1"/>
  <c r="C11" i="1"/>
  <c r="D11" i="1"/>
  <c r="E11" i="1"/>
  <c r="B11" i="1"/>
  <c r="C43" i="12"/>
  <c r="D43" i="12"/>
  <c r="D25" i="1" s="1"/>
  <c r="E43" i="12"/>
  <c r="B43" i="12"/>
  <c r="B25" i="1" s="1"/>
  <c r="I27" i="12"/>
  <c r="C20" i="12"/>
  <c r="D20" i="12"/>
  <c r="E20" i="12"/>
  <c r="B20" i="12"/>
  <c r="L4" i="12"/>
  <c r="L27" i="12" s="1"/>
  <c r="K4" i="12"/>
  <c r="K27" i="12" s="1"/>
  <c r="J4" i="12"/>
  <c r="J27" i="12" s="1"/>
  <c r="I4" i="12"/>
  <c r="H4" i="12"/>
  <c r="H27" i="12" s="1"/>
  <c r="G4" i="12"/>
  <c r="G27" i="12" s="1"/>
  <c r="F4" i="12"/>
  <c r="F27" i="12" s="1"/>
  <c r="E4" i="12"/>
  <c r="E27" i="12" s="1"/>
  <c r="D4" i="12"/>
  <c r="D27" i="12" s="1"/>
  <c r="C4" i="12"/>
  <c r="C27" i="12" s="1"/>
  <c r="B4" i="12"/>
  <c r="B27" i="12" s="1"/>
  <c r="B24" i="1"/>
  <c r="C10" i="1"/>
  <c r="D10" i="1"/>
  <c r="E10" i="1"/>
  <c r="B10" i="1"/>
  <c r="C27" i="11"/>
  <c r="C24" i="1" s="1"/>
  <c r="D27" i="11"/>
  <c r="D24" i="1" s="1"/>
  <c r="E27" i="11"/>
  <c r="E24" i="1" s="1"/>
  <c r="B27" i="11"/>
  <c r="C12" i="11"/>
  <c r="D12" i="11"/>
  <c r="E12" i="11"/>
  <c r="B12" i="11"/>
  <c r="B19" i="11"/>
  <c r="L4" i="11"/>
  <c r="L19" i="11" s="1"/>
  <c r="K4" i="11"/>
  <c r="K19" i="11" s="1"/>
  <c r="J4" i="11"/>
  <c r="J19" i="11" s="1"/>
  <c r="I4" i="11"/>
  <c r="I19" i="11" s="1"/>
  <c r="H4" i="11"/>
  <c r="H19" i="11" s="1"/>
  <c r="G4" i="11"/>
  <c r="G19" i="11" s="1"/>
  <c r="F4" i="11"/>
  <c r="F19" i="11" s="1"/>
  <c r="E4" i="11"/>
  <c r="E19" i="11" s="1"/>
  <c r="D4" i="11"/>
  <c r="D19" i="11" s="1"/>
  <c r="C4" i="11"/>
  <c r="C19" i="11" s="1"/>
  <c r="B4" i="11"/>
  <c r="C9" i="1"/>
  <c r="D9" i="1"/>
  <c r="E9" i="1"/>
  <c r="B9" i="1"/>
  <c r="C8" i="1"/>
  <c r="D8" i="1"/>
  <c r="E8" i="1"/>
  <c r="B8" i="1"/>
  <c r="C21" i="1"/>
  <c r="E21" i="1"/>
  <c r="C7" i="1"/>
  <c r="D7" i="1"/>
  <c r="E7" i="1"/>
  <c r="B7" i="1"/>
  <c r="E25" i="10"/>
  <c r="E23" i="1" s="1"/>
  <c r="D25" i="10"/>
  <c r="D23" i="1" s="1"/>
  <c r="C25" i="10"/>
  <c r="C23" i="1" s="1"/>
  <c r="B25" i="10"/>
  <c r="B23" i="1" s="1"/>
  <c r="E10" i="10"/>
  <c r="D10" i="10"/>
  <c r="C10" i="10"/>
  <c r="B10" i="10"/>
  <c r="L4" i="10"/>
  <c r="L19" i="10" s="1"/>
  <c r="K4" i="10"/>
  <c r="K19" i="10" s="1"/>
  <c r="J4" i="10"/>
  <c r="J19" i="10" s="1"/>
  <c r="I4" i="10"/>
  <c r="I19" i="10" s="1"/>
  <c r="H4" i="10"/>
  <c r="H19" i="10" s="1"/>
  <c r="G4" i="10"/>
  <c r="G19" i="10" s="1"/>
  <c r="F4" i="10"/>
  <c r="F19" i="10" s="1"/>
  <c r="E4" i="10"/>
  <c r="E19" i="10" s="1"/>
  <c r="D4" i="10"/>
  <c r="D19" i="10" s="1"/>
  <c r="C4" i="10"/>
  <c r="C19" i="10" s="1"/>
  <c r="B4" i="10"/>
  <c r="B19" i="10" s="1"/>
  <c r="C31" i="8"/>
  <c r="C22" i="1" s="1"/>
  <c r="D31" i="8"/>
  <c r="D22" i="1" s="1"/>
  <c r="E31" i="8"/>
  <c r="E22" i="1" s="1"/>
  <c r="B31" i="8"/>
  <c r="B22" i="1" s="1"/>
  <c r="C14" i="8"/>
  <c r="D14" i="8"/>
  <c r="E14" i="8"/>
  <c r="B14" i="8"/>
  <c r="C30" i="7"/>
  <c r="D30" i="7"/>
  <c r="D21" i="1" s="1"/>
  <c r="E30" i="7"/>
  <c r="B30" i="7"/>
  <c r="B21" i="1" s="1"/>
  <c r="B21" i="7"/>
  <c r="C13" i="7"/>
  <c r="D13" i="7"/>
  <c r="E13" i="7"/>
  <c r="B13" i="7"/>
  <c r="E4" i="7"/>
  <c r="E21" i="7" s="1"/>
  <c r="F4" i="7"/>
  <c r="F21" i="7" s="1"/>
  <c r="B4" i="7"/>
  <c r="C20" i="1"/>
  <c r="E20" i="1"/>
  <c r="C6" i="1"/>
  <c r="D6" i="1"/>
  <c r="E6" i="1"/>
  <c r="B6" i="1"/>
  <c r="C25" i="6"/>
  <c r="D25" i="6"/>
  <c r="D20" i="1" s="1"/>
  <c r="E25" i="6"/>
  <c r="B25" i="6"/>
  <c r="B20" i="1" s="1"/>
  <c r="C10" i="6"/>
  <c r="D10" i="6"/>
  <c r="E10" i="6"/>
  <c r="B10" i="6"/>
  <c r="C4" i="6"/>
  <c r="C19" i="6" s="1"/>
  <c r="D4" i="6"/>
  <c r="D19" i="6" s="1"/>
  <c r="E4" i="6"/>
  <c r="E19" i="6" s="1"/>
  <c r="F4" i="6"/>
  <c r="F4" i="8" s="1"/>
  <c r="F21" i="8" s="1"/>
  <c r="G4" i="6"/>
  <c r="G4" i="8" s="1"/>
  <c r="G21" i="8" s="1"/>
  <c r="H4" i="6"/>
  <c r="H4" i="7" s="1"/>
  <c r="H21" i="7" s="1"/>
  <c r="I4" i="6"/>
  <c r="I4" i="7" s="1"/>
  <c r="I21" i="7" s="1"/>
  <c r="J4" i="6"/>
  <c r="J4" i="7" s="1"/>
  <c r="J21" i="7" s="1"/>
  <c r="K4" i="6"/>
  <c r="K4" i="8" s="1"/>
  <c r="K21" i="8" s="1"/>
  <c r="L4" i="6"/>
  <c r="L4" i="8" s="1"/>
  <c r="L21" i="8" s="1"/>
  <c r="B4" i="6"/>
  <c r="B19" i="6" s="1"/>
  <c r="D54" i="5"/>
  <c r="D145" i="5" s="1"/>
  <c r="E54" i="5"/>
  <c r="E145" i="5" s="1"/>
  <c r="F54" i="5"/>
  <c r="F145" i="5" s="1"/>
  <c r="D55" i="5"/>
  <c r="D146" i="5" s="1"/>
  <c r="E55" i="5"/>
  <c r="E146" i="5" s="1"/>
  <c r="F55" i="5"/>
  <c r="F146" i="5" s="1"/>
  <c r="D56" i="5"/>
  <c r="D147" i="5" s="1"/>
  <c r="E56" i="5"/>
  <c r="E147" i="5" s="1"/>
  <c r="F56" i="5"/>
  <c r="F147" i="5" s="1"/>
  <c r="D57" i="5"/>
  <c r="D148" i="5" s="1"/>
  <c r="E57" i="5"/>
  <c r="E148" i="5" s="1"/>
  <c r="F57" i="5"/>
  <c r="F148" i="5" s="1"/>
  <c r="D58" i="5"/>
  <c r="D149" i="5" s="1"/>
  <c r="E58" i="5"/>
  <c r="E149" i="5" s="1"/>
  <c r="F58" i="5"/>
  <c r="F149" i="5" s="1"/>
  <c r="C55" i="5"/>
  <c r="C146" i="5" s="1"/>
  <c r="C56" i="5"/>
  <c r="C147" i="5" s="1"/>
  <c r="C57" i="5"/>
  <c r="C148" i="5" s="1"/>
  <c r="C58" i="5"/>
  <c r="C149" i="5" s="1"/>
  <c r="C54" i="5"/>
  <c r="C145" i="5" s="1"/>
  <c r="C53" i="5"/>
  <c r="C64" i="5" s="1"/>
  <c r="C80" i="5" s="1"/>
  <c r="C96" i="5" s="1"/>
  <c r="C107" i="5" s="1"/>
  <c r="C123" i="5" s="1"/>
  <c r="C144" i="5" s="1"/>
  <c r="C155" i="5" s="1"/>
  <c r="C171" i="5" s="1"/>
  <c r="M3" i="5"/>
  <c r="M14" i="5" s="1"/>
  <c r="M30" i="5" s="1"/>
  <c r="M53" i="5" s="1"/>
  <c r="M64" i="5" s="1"/>
  <c r="M80" i="5" s="1"/>
  <c r="M96" i="5" s="1"/>
  <c r="M107" i="5" s="1"/>
  <c r="M123" i="5" s="1"/>
  <c r="M144" i="5" s="1"/>
  <c r="M155" i="5" s="1"/>
  <c r="M171" i="5" s="1"/>
  <c r="L3" i="5"/>
  <c r="L14" i="5" s="1"/>
  <c r="L30" i="5" s="1"/>
  <c r="L53" i="5" s="1"/>
  <c r="L64" i="5" s="1"/>
  <c r="L80" i="5" s="1"/>
  <c r="L96" i="5" s="1"/>
  <c r="L107" i="5" s="1"/>
  <c r="L123" i="5" s="1"/>
  <c r="L144" i="5" s="1"/>
  <c r="L155" i="5" s="1"/>
  <c r="L171" i="5" s="1"/>
  <c r="K3" i="5"/>
  <c r="K14" i="5" s="1"/>
  <c r="K30" i="5" s="1"/>
  <c r="K53" i="5" s="1"/>
  <c r="K64" i="5" s="1"/>
  <c r="K80" i="5" s="1"/>
  <c r="K96" i="5" s="1"/>
  <c r="K107" i="5" s="1"/>
  <c r="K123" i="5" s="1"/>
  <c r="K144" i="5" s="1"/>
  <c r="K155" i="5" s="1"/>
  <c r="K171" i="5" s="1"/>
  <c r="J3" i="5"/>
  <c r="J14" i="5" s="1"/>
  <c r="J30" i="5" s="1"/>
  <c r="J53" i="5" s="1"/>
  <c r="J64" i="5" s="1"/>
  <c r="J80" i="5" s="1"/>
  <c r="J96" i="5" s="1"/>
  <c r="J107" i="5" s="1"/>
  <c r="J123" i="5" s="1"/>
  <c r="J144" i="5" s="1"/>
  <c r="J155" i="5" s="1"/>
  <c r="J171" i="5" s="1"/>
  <c r="I14" i="5"/>
  <c r="I30" i="5" s="1"/>
  <c r="I53" i="5" s="1"/>
  <c r="I64" i="5" s="1"/>
  <c r="I80" i="5" s="1"/>
  <c r="I96" i="5" s="1"/>
  <c r="I107" i="5" s="1"/>
  <c r="I123" i="5" s="1"/>
  <c r="I144" i="5" s="1"/>
  <c r="I155" i="5" s="1"/>
  <c r="I171" i="5" s="1"/>
  <c r="H3" i="5"/>
  <c r="H14" i="5" s="1"/>
  <c r="H30" i="5" s="1"/>
  <c r="H53" i="5" s="1"/>
  <c r="H64" i="5" s="1"/>
  <c r="H80" i="5" s="1"/>
  <c r="H96" i="5" s="1"/>
  <c r="H107" i="5" s="1"/>
  <c r="H123" i="5" s="1"/>
  <c r="H144" i="5" s="1"/>
  <c r="H155" i="5" s="1"/>
  <c r="H171" i="5" s="1"/>
  <c r="G3" i="5"/>
  <c r="G14" i="5" s="1"/>
  <c r="G30" i="5" s="1"/>
  <c r="G53" i="5" s="1"/>
  <c r="G64" i="5" s="1"/>
  <c r="G80" i="5" s="1"/>
  <c r="G96" i="5" s="1"/>
  <c r="G107" i="5" s="1"/>
  <c r="G123" i="5" s="1"/>
  <c r="G144" i="5" s="1"/>
  <c r="G155" i="5" s="1"/>
  <c r="G171" i="5" s="1"/>
  <c r="F3" i="5"/>
  <c r="F14" i="5" s="1"/>
  <c r="F30" i="5" s="1"/>
  <c r="F53" i="5" s="1"/>
  <c r="F64" i="5" s="1"/>
  <c r="F80" i="5" s="1"/>
  <c r="F96" i="5" s="1"/>
  <c r="F107" i="5" s="1"/>
  <c r="F123" i="5" s="1"/>
  <c r="F144" i="5" s="1"/>
  <c r="F155" i="5" s="1"/>
  <c r="F171" i="5" s="1"/>
  <c r="E3" i="5"/>
  <c r="E14" i="5" s="1"/>
  <c r="E30" i="5" s="1"/>
  <c r="E53" i="5" s="1"/>
  <c r="E64" i="5" s="1"/>
  <c r="E80" i="5" s="1"/>
  <c r="E96" i="5" s="1"/>
  <c r="E107" i="5" s="1"/>
  <c r="E123" i="5" s="1"/>
  <c r="E144" i="5" s="1"/>
  <c r="E155" i="5" s="1"/>
  <c r="E171" i="5" s="1"/>
  <c r="D3" i="5"/>
  <c r="D14" i="5" s="1"/>
  <c r="D30" i="5" s="1"/>
  <c r="D53" i="5" s="1"/>
  <c r="D64" i="5" s="1"/>
  <c r="D80" i="5" s="1"/>
  <c r="D96" i="5" s="1"/>
  <c r="D107" i="5" s="1"/>
  <c r="D123" i="5" s="1"/>
  <c r="D144" i="5" s="1"/>
  <c r="D155" i="5" s="1"/>
  <c r="D171" i="5" s="1"/>
  <c r="C3" i="5"/>
  <c r="C14" i="5" s="1"/>
  <c r="C30" i="5" s="1"/>
  <c r="C18" i="1"/>
  <c r="D18" i="1"/>
  <c r="E18" i="1"/>
  <c r="F18" i="1"/>
  <c r="G18" i="1"/>
  <c r="H18" i="1"/>
  <c r="I18" i="1"/>
  <c r="J18" i="1"/>
  <c r="K18" i="1"/>
  <c r="L18" i="1"/>
  <c r="B18" i="1"/>
  <c r="L15" i="1" l="1"/>
  <c r="L34" i="1" s="1"/>
  <c r="L44" i="14"/>
  <c r="L4" i="16"/>
  <c r="L29" i="16" s="1"/>
  <c r="L135" i="5"/>
  <c r="K5" i="1" s="1"/>
  <c r="K15" i="1" s="1"/>
  <c r="K34" i="1" s="1"/>
  <c r="K4" i="7"/>
  <c r="K21" i="7" s="1"/>
  <c r="K44" i="14"/>
  <c r="K4" i="16"/>
  <c r="K29" i="16" s="1"/>
  <c r="K135" i="5"/>
  <c r="J5" i="1" s="1"/>
  <c r="J15" i="1" s="1"/>
  <c r="J34" i="1" s="1"/>
  <c r="J44" i="14"/>
  <c r="J4" i="16"/>
  <c r="J29" i="16" s="1"/>
  <c r="I15" i="1"/>
  <c r="I34" i="1" s="1"/>
  <c r="I44" i="14"/>
  <c r="I4" i="16"/>
  <c r="I29" i="16" s="1"/>
  <c r="H34" i="1"/>
  <c r="K19" i="6"/>
  <c r="I19" i="6"/>
  <c r="F19" i="6"/>
  <c r="B4" i="8"/>
  <c r="B21" i="8" s="1"/>
  <c r="D4" i="7"/>
  <c r="D21" i="7" s="1"/>
  <c r="C4" i="7"/>
  <c r="C21" i="7" s="1"/>
  <c r="C4" i="8"/>
  <c r="C21" i="8" s="1"/>
  <c r="D4" i="8"/>
  <c r="D21" i="8" s="1"/>
  <c r="L19" i="6"/>
  <c r="E4" i="8"/>
  <c r="E21" i="8" s="1"/>
  <c r="H4" i="8"/>
  <c r="H21" i="8" s="1"/>
  <c r="J19" i="6"/>
  <c r="I4" i="8"/>
  <c r="I21" i="8" s="1"/>
  <c r="J4" i="8"/>
  <c r="J21" i="8" s="1"/>
  <c r="H19" i="6"/>
  <c r="L4" i="7"/>
  <c r="L21" i="7" s="1"/>
  <c r="I135" i="5"/>
  <c r="F77" i="14"/>
  <c r="F27" i="1" s="1"/>
  <c r="G35" i="13"/>
  <c r="G43" i="12"/>
  <c r="G27" i="11"/>
  <c r="G25" i="10"/>
  <c r="G31" i="8"/>
  <c r="G30" i="7"/>
  <c r="G25" i="6"/>
  <c r="H135" i="5"/>
  <c r="G19" i="6"/>
  <c r="G4" i="7"/>
  <c r="G21" i="7" s="1"/>
  <c r="C150" i="5"/>
  <c r="C135" i="5"/>
  <c r="B5" i="1" s="1"/>
  <c r="B34" i="1" s="1"/>
  <c r="M150" i="5"/>
  <c r="M181" i="5" s="1"/>
  <c r="L19" i="1" s="1"/>
  <c r="L29" i="1" s="1"/>
  <c r="L35" i="1" s="1"/>
  <c r="L150" i="5"/>
  <c r="L181" i="5" s="1"/>
  <c r="K19" i="1" s="1"/>
  <c r="K150" i="5"/>
  <c r="K181" i="5" s="1"/>
  <c r="J19" i="1" s="1"/>
  <c r="J150" i="5"/>
  <c r="J181" i="5" s="1"/>
  <c r="I19" i="1" s="1"/>
  <c r="H150" i="5"/>
  <c r="H181" i="5" s="1"/>
  <c r="G19" i="1" s="1"/>
  <c r="G29" i="1" s="1"/>
  <c r="G35" i="1" s="1"/>
  <c r="F150" i="5"/>
  <c r="F181" i="5" s="1"/>
  <c r="E19" i="1" s="1"/>
  <c r="G150" i="5"/>
  <c r="G181" i="5" s="1"/>
  <c r="F19" i="1" s="1"/>
  <c r="F29" i="1" s="1"/>
  <c r="E150" i="5"/>
  <c r="E181" i="5" s="1"/>
  <c r="D19" i="1" s="1"/>
  <c r="D150" i="5"/>
  <c r="D181" i="5" s="1"/>
  <c r="C19" i="1" s="1"/>
  <c r="I150" i="5"/>
  <c r="I181" i="5" s="1"/>
  <c r="H19" i="1" s="1"/>
  <c r="H29" i="1" s="1"/>
  <c r="C181" i="5"/>
  <c r="B19" i="1" s="1"/>
  <c r="D34" i="1"/>
  <c r="C34" i="1"/>
  <c r="I77" i="14"/>
  <c r="I27" i="1" s="1"/>
  <c r="K77" i="14"/>
  <c r="K27" i="1" s="1"/>
  <c r="H77" i="14"/>
  <c r="H27" i="1" s="1"/>
  <c r="H35" i="1" s="1"/>
  <c r="J77" i="14"/>
  <c r="J27" i="1" s="1"/>
  <c r="F35" i="13"/>
  <c r="F26" i="1" s="1"/>
  <c r="F43" i="12"/>
  <c r="F25" i="1" s="1"/>
  <c r="F27" i="11"/>
  <c r="F24" i="1" s="1"/>
  <c r="F25" i="10"/>
  <c r="F23" i="1" s="1"/>
  <c r="F31" i="8"/>
  <c r="F22" i="1" s="1"/>
  <c r="F30" i="7"/>
  <c r="F21" i="1" s="1"/>
  <c r="F25" i="6"/>
  <c r="F20" i="1" s="1"/>
  <c r="F34" i="1"/>
  <c r="E34" i="1"/>
  <c r="K29" i="1" l="1"/>
  <c r="K35" i="1" s="1"/>
  <c r="J29" i="1"/>
  <c r="J35" i="1" s="1"/>
  <c r="I29" i="1"/>
  <c r="I35" i="1" s="1"/>
  <c r="D29" i="1"/>
  <c r="D35" i="1" s="1"/>
  <c r="C29" i="1"/>
  <c r="C35" i="1" s="1"/>
  <c r="E29" i="1"/>
  <c r="E35" i="1" s="1"/>
  <c r="B29" i="1"/>
  <c r="B35" i="1" s="1"/>
  <c r="F35" i="1"/>
</calcChain>
</file>

<file path=xl/sharedStrings.xml><?xml version="1.0" encoding="utf-8"?>
<sst xmlns="http://schemas.openxmlformats.org/spreadsheetml/2006/main" count="375" uniqueCount="148">
  <si>
    <t>Knives</t>
  </si>
  <si>
    <t>Investments</t>
  </si>
  <si>
    <t>AWP</t>
  </si>
  <si>
    <t>Total Value</t>
  </si>
  <si>
    <t>M4A4</t>
  </si>
  <si>
    <t>M4A1-S</t>
  </si>
  <si>
    <t>AK-47</t>
  </si>
  <si>
    <t>SMG</t>
  </si>
  <si>
    <t>Heavy</t>
  </si>
  <si>
    <t>Pistols</t>
  </si>
  <si>
    <t>Total Sale Value</t>
  </si>
  <si>
    <t>Amount</t>
  </si>
  <si>
    <t>Name</t>
  </si>
  <si>
    <t>Danger Zone Cases</t>
  </si>
  <si>
    <t>Horizon Cases</t>
  </si>
  <si>
    <t>Prisma 2 Cases</t>
  </si>
  <si>
    <t>CS20-Cases</t>
  </si>
  <si>
    <t>Fracture Cases</t>
  </si>
  <si>
    <t>Ingame Drops</t>
  </si>
  <si>
    <t>Prisma 2 Case</t>
  </si>
  <si>
    <t>Prisma Case</t>
  </si>
  <si>
    <t>Fracture Case</t>
  </si>
  <si>
    <t>Danger Zone Case</t>
  </si>
  <si>
    <t>Clutch Case</t>
  </si>
  <si>
    <t>CS20 Case</t>
  </si>
  <si>
    <t>Shattered Web Case</t>
  </si>
  <si>
    <t>Spectrum 2 Case</t>
  </si>
  <si>
    <t>Horizon Case</t>
  </si>
  <si>
    <t>Spectrum Case</t>
  </si>
  <si>
    <t>Weapon Skin Inventory</t>
  </si>
  <si>
    <t>M4A4 Dark Blossom FN</t>
  </si>
  <si>
    <t>Totals</t>
  </si>
  <si>
    <t>CHANGE DATES HERE</t>
  </si>
  <si>
    <t>Sale-Value</t>
  </si>
  <si>
    <t>Total if sold</t>
  </si>
  <si>
    <t>TOTAL</t>
  </si>
  <si>
    <t>Bayonet Rust Coat BS</t>
  </si>
  <si>
    <t>Butterfly Knife Tiger Tooth FN</t>
  </si>
  <si>
    <t>Flip Knife Freehand FN</t>
  </si>
  <si>
    <t>Karambit Ultraviolet FT</t>
  </si>
  <si>
    <t>Fewer Dream MW</t>
  </si>
  <si>
    <t>Elite Build FT</t>
  </si>
  <si>
    <t>Stattrak Hyper Beast FT</t>
  </si>
  <si>
    <t>Mortis MW</t>
  </si>
  <si>
    <t>Boom MW</t>
  </si>
  <si>
    <t>Neo-Noir FN</t>
  </si>
  <si>
    <t>Atheris MW</t>
  </si>
  <si>
    <t>Stattrak Dragon King MW</t>
  </si>
  <si>
    <t>Desolate Space MW</t>
  </si>
  <si>
    <t>Bullet Rain MW</t>
  </si>
  <si>
    <t>Evil Daimyo FN</t>
  </si>
  <si>
    <t>Hellfire MW</t>
  </si>
  <si>
    <t>Neo-Noir MW</t>
  </si>
  <si>
    <t>The Battlestar FN</t>
  </si>
  <si>
    <t>Stattrak Cyber Security MW</t>
  </si>
  <si>
    <t>Golden Coil FT</t>
  </si>
  <si>
    <t>Hyper Beast MW</t>
  </si>
  <si>
    <t>Stattrak Cyrex MW</t>
  </si>
  <si>
    <t>Flashback FN</t>
  </si>
  <si>
    <t>AK47</t>
  </si>
  <si>
    <t>Redline FT</t>
  </si>
  <si>
    <t>Vulcan MW</t>
  </si>
  <si>
    <t>Bloodsport MW</t>
  </si>
  <si>
    <t>Stattrak Point Disarray FT</t>
  </si>
  <si>
    <t>Frontside Misty MW</t>
  </si>
  <si>
    <t>Aquamarine Revenge MW</t>
  </si>
  <si>
    <t>Stattrak PP-Bizon Osiris FT</t>
  </si>
  <si>
    <t>P90 Asiimov Ft</t>
  </si>
  <si>
    <t>Stattrak MP9 Dart MW</t>
  </si>
  <si>
    <t>Stattrak UMP-45 Primal Saber FT</t>
  </si>
  <si>
    <t>MP7 Bloodsport MW</t>
  </si>
  <si>
    <t>UMP-45 Momentum FN</t>
  </si>
  <si>
    <t>Stattrak MAC-10 Neon Rider MW</t>
  </si>
  <si>
    <t>MP5-SD Bamboo Garden MW</t>
  </si>
  <si>
    <t>MAC-10 Malachite MW</t>
  </si>
  <si>
    <t>MP7 Impire MW</t>
  </si>
  <si>
    <t>MP9 Hydra MW</t>
  </si>
  <si>
    <t>PP-Bizon Fuel Rod FT</t>
  </si>
  <si>
    <t>UMP-45 Plastique MW</t>
  </si>
  <si>
    <t>Stattrak MAG-7 Heat FT</t>
  </si>
  <si>
    <t>Sawed-Off The Kraken MW</t>
  </si>
  <si>
    <t>XM1014 Heaven Guard FT</t>
  </si>
  <si>
    <t>Nova Hyper Beast FT</t>
  </si>
  <si>
    <t>Nova Wild Six FT</t>
  </si>
  <si>
    <t>Nova Toy Soldier MW</t>
  </si>
  <si>
    <t>MAG-7 Swag-7 FT</t>
  </si>
  <si>
    <t>Souvenir XM1014 VariCamo Blue FN</t>
  </si>
  <si>
    <t>MAG-7 Popdog FN</t>
  </si>
  <si>
    <t>Sawed-Off Limelight MW</t>
  </si>
  <si>
    <t>Pistol</t>
  </si>
  <si>
    <t>USP-S Kill Confirmed BS</t>
  </si>
  <si>
    <t>Stattrak Dual Berettas Dualing Dragons MW</t>
  </si>
  <si>
    <t>Stattrak P250 Wingshot MW</t>
  </si>
  <si>
    <t>Stattrak Tec-9 Avalanche FT</t>
  </si>
  <si>
    <t>Desert Eagle Kumicho Dragon MW</t>
  </si>
  <si>
    <t>Stattrak P2000 Imperial Dragon FT</t>
  </si>
  <si>
    <t>Stattrak CZ75-Auto Red Astor MW</t>
  </si>
  <si>
    <t>R8 Revolver Reboot FT</t>
  </si>
  <si>
    <t>Stattrak Glock-18 Water Elemental FT</t>
  </si>
  <si>
    <t>Dual Berettas Urban Shock MW</t>
  </si>
  <si>
    <t>Stattrak USP-S Cyrex FN</t>
  </si>
  <si>
    <t>Stattrak CZ75-Auto Eco MW</t>
  </si>
  <si>
    <t>Stattrak Five-Seven Monkey Business FT</t>
  </si>
  <si>
    <t>USP-S Cyrex WW</t>
  </si>
  <si>
    <t>Glock-18 Candy Apple MW</t>
  </si>
  <si>
    <t>Stattrak Desert Eagle Conspiracy MW</t>
  </si>
  <si>
    <t>Glock-18 Wasteland Rebel MW</t>
  </si>
  <si>
    <t>P250 See Ya Later MW</t>
  </si>
  <si>
    <t>Five-Seven Angry Mob MW</t>
  </si>
  <si>
    <t>Five-Seven Hyper Beast MW</t>
  </si>
  <si>
    <t>Desert Eagle Light Rail FN</t>
  </si>
  <si>
    <t>Desert Eagle Hypnotic FN</t>
  </si>
  <si>
    <t>Desert Eagle Code Red MW</t>
  </si>
  <si>
    <t>Stattrak Glock-18 Weasel FT</t>
  </si>
  <si>
    <t>Stattrak Five-Seven Buddy MW</t>
  </si>
  <si>
    <t>R8 Revolver Canal Spray FT</t>
  </si>
  <si>
    <t>Desert Eagle Midnight Storm MW</t>
  </si>
  <si>
    <t>Dual Berettas Emerald FN</t>
  </si>
  <si>
    <t>Five-Seven Hot Shot MW</t>
  </si>
  <si>
    <t>Glock-18 Nuclear Garden FT</t>
  </si>
  <si>
    <t>USP-S Flashback MW</t>
  </si>
  <si>
    <t>Raw Value</t>
  </si>
  <si>
    <t>Sale-Revenue</t>
  </si>
  <si>
    <t>M4A4 Dark Blossom MW</t>
  </si>
  <si>
    <t>XM1014 Banana Leaf MW</t>
  </si>
  <si>
    <t>XM1014 Banana Leaf FN</t>
  </si>
  <si>
    <t>Tec-9 Rust Leaf MW</t>
  </si>
  <si>
    <t>Tec-9 Rust Leaf FN</t>
  </si>
  <si>
    <t>P90 Sunset Lily FN</t>
  </si>
  <si>
    <t>Other Rifles</t>
  </si>
  <si>
    <t>SCAR-20 Cardiac FT</t>
  </si>
  <si>
    <t>AUG Chameleon MW</t>
  </si>
  <si>
    <t>SSG 08 Blood in the Water MW</t>
  </si>
  <si>
    <t>G3SG1 Stinger FN</t>
  </si>
  <si>
    <t>Stattrak FAMAS Valence FT</t>
  </si>
  <si>
    <t>FAMAS Roll Cage MW</t>
  </si>
  <si>
    <t>Stattrak SSG 08 Death's Head MW</t>
  </si>
  <si>
    <t>Stattrak Galil AR Stone Cold FT</t>
  </si>
  <si>
    <t>Stattrak AUG Momentum MW</t>
  </si>
  <si>
    <t>Galil AR Tornado BS</t>
  </si>
  <si>
    <t>FAMAS Night Borre FT</t>
  </si>
  <si>
    <t>FAMAS Macabre MW</t>
  </si>
  <si>
    <t>Galil AR Eco FT</t>
  </si>
  <si>
    <t>SCAR-20 Powercore MW</t>
  </si>
  <si>
    <t>SG 553 Atlas FN</t>
  </si>
  <si>
    <t>SSG 08 Necropos MW</t>
  </si>
  <si>
    <t>Stattrak SG 553 Tiger Moth FT</t>
  </si>
  <si>
    <t>MP7 Nemesis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</si>
</sst>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Total Inventory Value &amp; Sale-Revenue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Totals!$A$34</c:f>
              <c:strCache>
                <c:ptCount val="1"/>
                <c:pt idx="0">
                  <c:v>Raw Value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Totals!$B$33:$Z$33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Totals!$B$34:$Z$34</c:f>
              <c:numCache>
                <c:formatCode>General</c:formatCode>
                <c:ptCount val="25"/>
                <c:pt idx="0">
                  <c:v>4004.8099999999986</c:v>
                </c:pt>
                <c:pt idx="1">
                  <c:v>4000.21</c:v>
                </c:pt>
                <c:pt idx="2">
                  <c:v>4058.05</c:v>
                </c:pt>
                <c:pt idx="3">
                  <c:v>4121.28</c:v>
                </c:pt>
                <c:pt idx="4">
                  <c:v>4156.71</c:v>
                </c:pt>
                <c:pt idx="5">
                  <c:v>4254.2599999999993</c:v>
                </c:pt>
                <c:pt idx="6">
                  <c:v>4363.28</c:v>
                </c:pt>
                <c:pt idx="7">
                  <c:v>4454.08</c:v>
                </c:pt>
                <c:pt idx="8">
                  <c:v>4423.8500000000004</c:v>
                </c:pt>
                <c:pt idx="9">
                  <c:v>4761.1400000000003</c:v>
                </c:pt>
                <c:pt idx="10">
                  <c:v>4811.6000000000004</c:v>
                </c:pt>
                <c:pt idx="11">
                  <c:v>4777.24</c:v>
                </c:pt>
                <c:pt idx="12">
                  <c:v>4676.1499999999996</c:v>
                </c:pt>
                <c:pt idx="13">
                  <c:v>4634.8600000000006</c:v>
                </c:pt>
                <c:pt idx="14">
                  <c:v>4592.6799999999994</c:v>
                </c:pt>
                <c:pt idx="15">
                  <c:v>4667.3200000000006</c:v>
                </c:pt>
                <c:pt idx="16">
                  <c:v>4792.9000000000015</c:v>
                </c:pt>
                <c:pt idx="17">
                  <c:v>4863.38</c:v>
                </c:pt>
                <c:pt idx="18">
                  <c:v>5029.26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53-411E-B60B-67021EBC96E9}"/>
            </c:ext>
          </c:extLst>
        </c:ser>
        <c:ser>
          <c:idx val="1"/>
          <c:order val="1"/>
          <c:tx>
            <c:strRef>
              <c:f>Totals!$A$35</c:f>
              <c:strCache>
                <c:ptCount val="1"/>
                <c:pt idx="0">
                  <c:v>Sale-Revenue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Totals!$B$33:$Z$33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Totals!$B$35:$Z$35</c:f>
              <c:numCache>
                <c:formatCode>General</c:formatCode>
                <c:ptCount val="25"/>
                <c:pt idx="0">
                  <c:v>2731.9499999999994</c:v>
                </c:pt>
                <c:pt idx="1">
                  <c:v>2728.77</c:v>
                </c:pt>
                <c:pt idx="2">
                  <c:v>2768.26</c:v>
                </c:pt>
                <c:pt idx="3">
                  <c:v>2815.4100000000003</c:v>
                </c:pt>
                <c:pt idx="4">
                  <c:v>2840.45</c:v>
                </c:pt>
                <c:pt idx="5">
                  <c:v>2907.9299999999994</c:v>
                </c:pt>
                <c:pt idx="6">
                  <c:v>2974.829999999999</c:v>
                </c:pt>
                <c:pt idx="7">
                  <c:v>3042.8</c:v>
                </c:pt>
                <c:pt idx="8">
                  <c:v>3021.5399999999995</c:v>
                </c:pt>
                <c:pt idx="9">
                  <c:v>3252.0699999999997</c:v>
                </c:pt>
                <c:pt idx="10">
                  <c:v>3285.5200000000004</c:v>
                </c:pt>
                <c:pt idx="11">
                  <c:v>3259.64</c:v>
                </c:pt>
                <c:pt idx="12">
                  <c:v>3190.1199999999994</c:v>
                </c:pt>
                <c:pt idx="13">
                  <c:v>3159.12</c:v>
                </c:pt>
                <c:pt idx="14">
                  <c:v>3137.7300000000005</c:v>
                </c:pt>
                <c:pt idx="15">
                  <c:v>3188.02</c:v>
                </c:pt>
                <c:pt idx="16">
                  <c:v>3273.3599999999997</c:v>
                </c:pt>
                <c:pt idx="17">
                  <c:v>3321.4799999999987</c:v>
                </c:pt>
                <c:pt idx="18">
                  <c:v>3460.8700000000003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53-411E-B60B-67021EBC9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221167"/>
        <c:axId val="1695596047"/>
      </c:lineChart>
      <c:dateAx>
        <c:axId val="170922116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596047"/>
        <c:crosses val="autoZero"/>
        <c:auto val="1"/>
        <c:lblOffset val="100"/>
        <c:baseTimeUnit val="days"/>
      </c:dateAx>
      <c:valAx>
        <c:axId val="16955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0922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Invested Cases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Investments!$B$4</c:f>
              <c:strCache>
                <c:ptCount val="1"/>
                <c:pt idx="0">
                  <c:v>Danger Zone Cases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Investments!$C$3:$AA$3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Investments!$C$4:$AA$4</c:f>
              <c:numCache>
                <c:formatCode>General</c:formatCode>
                <c:ptCount val="2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0.06</c:v>
                </c:pt>
                <c:pt idx="12">
                  <c:v>0.06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4-49D7-BADF-31AADAD0A672}"/>
            </c:ext>
          </c:extLst>
        </c:ser>
        <c:ser>
          <c:idx val="1"/>
          <c:order val="1"/>
          <c:tx>
            <c:strRef>
              <c:f>Investments!$B$5</c:f>
              <c:strCache>
                <c:ptCount val="1"/>
                <c:pt idx="0">
                  <c:v>Horizon Cases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Investments!$C$3:$AA$3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Investments!$C$5:$AA$5</c:f>
              <c:numCache>
                <c:formatCode>General</c:formatCode>
                <c:ptCount val="2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4-49D7-BADF-31AADAD0A672}"/>
            </c:ext>
          </c:extLst>
        </c:ser>
        <c:ser>
          <c:idx val="2"/>
          <c:order val="2"/>
          <c:tx>
            <c:strRef>
              <c:f>Investments!$B$6</c:f>
              <c:strCache>
                <c:ptCount val="1"/>
                <c:pt idx="0">
                  <c:v>Prisma 2 Cases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Investments!$C$3:$AA$3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Investments!$C$6:$AA$6</c:f>
              <c:numCache>
                <c:formatCode>General</c:formatCode>
                <c:ptCount val="25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0.05</c:v>
                </c:pt>
                <c:pt idx="7">
                  <c:v>0.06</c:v>
                </c:pt>
                <c:pt idx="8">
                  <c:v>0.06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0.06</c:v>
                </c:pt>
                <c:pt idx="13">
                  <c:v>0.05</c:v>
                </c:pt>
                <c:pt idx="14">
                  <c:v>0.06</c:v>
                </c:pt>
                <c:pt idx="15">
                  <c:v>0.06</c:v>
                </c:pt>
                <c:pt idx="16">
                  <c:v>0.06</c:v>
                </c:pt>
                <c:pt idx="17">
                  <c:v>0.06</c:v>
                </c:pt>
                <c:pt idx="18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E4-49D7-BADF-31AADAD0A672}"/>
            </c:ext>
          </c:extLst>
        </c:ser>
        <c:ser>
          <c:idx val="3"/>
          <c:order val="3"/>
          <c:tx>
            <c:strRef>
              <c:f>Investments!$B$7</c:f>
              <c:strCache>
                <c:ptCount val="1"/>
                <c:pt idx="0">
                  <c:v>CS20-Cases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Investments!$C$3:$AA$3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Investments!$C$7:$AA$7</c:f>
              <c:numCache>
                <c:formatCode>General</c:formatCode>
                <c:ptCount val="25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0.08</c:v>
                </c:pt>
                <c:pt idx="18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E4-49D7-BADF-31AADAD0A672}"/>
            </c:ext>
          </c:extLst>
        </c:ser>
        <c:ser>
          <c:idx val="4"/>
          <c:order val="4"/>
          <c:tx>
            <c:strRef>
              <c:f>Investments!$B$8</c:f>
              <c:strCache>
                <c:ptCount val="1"/>
                <c:pt idx="0">
                  <c:v>Fracture Cases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Investments!$C$3:$AA$3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Investments!$C$8:$AA$8</c:f>
              <c:numCache>
                <c:formatCode>General</c:formatCode>
                <c:ptCount val="25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0.31</c:v>
                </c:pt>
                <c:pt idx="4">
                  <c:v>0.3</c:v>
                </c:pt>
                <c:pt idx="5">
                  <c:v>0.34</c:v>
                </c:pt>
                <c:pt idx="6">
                  <c:v>0.3</c:v>
                </c:pt>
                <c:pt idx="7">
                  <c:v>0.3</c:v>
                </c:pt>
                <c:pt idx="8">
                  <c:v>0.31</c:v>
                </c:pt>
                <c:pt idx="9">
                  <c:v>0.3</c:v>
                </c:pt>
                <c:pt idx="10">
                  <c:v>0.31</c:v>
                </c:pt>
                <c:pt idx="11">
                  <c:v>0.3</c:v>
                </c:pt>
                <c:pt idx="12">
                  <c:v>0.32</c:v>
                </c:pt>
                <c:pt idx="13">
                  <c:v>0.32</c:v>
                </c:pt>
                <c:pt idx="14">
                  <c:v>0.34</c:v>
                </c:pt>
                <c:pt idx="15">
                  <c:v>0.3</c:v>
                </c:pt>
                <c:pt idx="16">
                  <c:v>0.32</c:v>
                </c:pt>
                <c:pt idx="17">
                  <c:v>0.3</c:v>
                </c:pt>
                <c:pt idx="18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8E4-49D7-BADF-31AADAD0A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9356911"/>
        <c:axId val="1695312111"/>
      </c:lineChart>
      <c:dateAx>
        <c:axId val="180935691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312111"/>
        <c:crosses val="autoZero"/>
        <c:auto val="1"/>
        <c:lblOffset val="100"/>
        <c:baseTimeUnit val="days"/>
      </c:dateAx>
      <c:valAx>
        <c:axId val="1695312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935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Ingame-Drops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Investments!$B$15</c:f>
              <c:strCache>
                <c:ptCount val="1"/>
                <c:pt idx="0">
                  <c:v>Prisma 2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Investments!$D$15:$AB$15</c:f>
              <c:numCache>
                <c:formatCode>General</c:formatCode>
                <c:ptCount val="25"/>
                <c:pt idx="0">
                  <c:v>0.05</c:v>
                </c:pt>
                <c:pt idx="1">
                  <c:v>0.05</c:v>
                </c:pt>
                <c:pt idx="2">
                  <c:v>0.06</c:v>
                </c:pt>
                <c:pt idx="3">
                  <c:v>0.06</c:v>
                </c:pt>
                <c:pt idx="4">
                  <c:v>0.06</c:v>
                </c:pt>
                <c:pt idx="5">
                  <c:v>0.05</c:v>
                </c:pt>
                <c:pt idx="6">
                  <c:v>0.06</c:v>
                </c:pt>
                <c:pt idx="7">
                  <c:v>0.06</c:v>
                </c:pt>
                <c:pt idx="8">
                  <c:v>0.06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0.05</c:v>
                </c:pt>
                <c:pt idx="13">
                  <c:v>0.06</c:v>
                </c:pt>
                <c:pt idx="14">
                  <c:v>0.06</c:v>
                </c:pt>
                <c:pt idx="15">
                  <c:v>0.06</c:v>
                </c:pt>
                <c:pt idx="16">
                  <c:v>0.06</c:v>
                </c:pt>
                <c:pt idx="17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D1-4330-9B10-472B2858AE0A}"/>
            </c:ext>
          </c:extLst>
        </c:ser>
        <c:ser>
          <c:idx val="1"/>
          <c:order val="1"/>
          <c:tx>
            <c:strRef>
              <c:f>Investments!$B$16</c:f>
              <c:strCache>
                <c:ptCount val="1"/>
                <c:pt idx="0">
                  <c:v>Prisma 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Investments!$D$16:$AB$16</c:f>
              <c:numCache>
                <c:formatCode>General</c:formatCode>
                <c:ptCount val="2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D1-4330-9B10-472B2858AE0A}"/>
            </c:ext>
          </c:extLst>
        </c:ser>
        <c:ser>
          <c:idx val="2"/>
          <c:order val="2"/>
          <c:tx>
            <c:strRef>
              <c:f>Investments!$B$17</c:f>
              <c:strCache>
                <c:ptCount val="1"/>
                <c:pt idx="0">
                  <c:v>Fracture Case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Investments!$D$17:$AB$17</c:f>
              <c:numCache>
                <c:formatCode>General</c:formatCode>
                <c:ptCount val="25"/>
                <c:pt idx="0">
                  <c:v>0.35</c:v>
                </c:pt>
                <c:pt idx="1">
                  <c:v>0.35</c:v>
                </c:pt>
                <c:pt idx="2">
                  <c:v>0.31</c:v>
                </c:pt>
                <c:pt idx="3">
                  <c:v>0.3</c:v>
                </c:pt>
                <c:pt idx="4">
                  <c:v>0.34</c:v>
                </c:pt>
                <c:pt idx="5">
                  <c:v>0.3</c:v>
                </c:pt>
                <c:pt idx="6">
                  <c:v>0.3</c:v>
                </c:pt>
                <c:pt idx="7">
                  <c:v>0.31</c:v>
                </c:pt>
                <c:pt idx="8">
                  <c:v>0.3</c:v>
                </c:pt>
                <c:pt idx="9">
                  <c:v>0.31</c:v>
                </c:pt>
                <c:pt idx="10">
                  <c:v>0.3</c:v>
                </c:pt>
                <c:pt idx="11">
                  <c:v>0.32</c:v>
                </c:pt>
                <c:pt idx="12">
                  <c:v>0.32</c:v>
                </c:pt>
                <c:pt idx="13">
                  <c:v>0.34</c:v>
                </c:pt>
                <c:pt idx="14">
                  <c:v>0.3</c:v>
                </c:pt>
                <c:pt idx="15">
                  <c:v>0.32</c:v>
                </c:pt>
                <c:pt idx="16">
                  <c:v>0.3</c:v>
                </c:pt>
                <c:pt idx="1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D1-4330-9B10-472B2858AE0A}"/>
            </c:ext>
          </c:extLst>
        </c:ser>
        <c:ser>
          <c:idx val="3"/>
          <c:order val="3"/>
          <c:tx>
            <c:strRef>
              <c:f>Investments!$B$18</c:f>
              <c:strCache>
                <c:ptCount val="1"/>
                <c:pt idx="0">
                  <c:v>Danger Zone Case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Investments!$D$18:$AB$18</c:f>
              <c:numCache>
                <c:formatCode>General</c:formatCode>
                <c:ptCount val="2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0.06</c:v>
                </c:pt>
                <c:pt idx="11">
                  <c:v>0.06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D1-4330-9B10-472B2858AE0A}"/>
            </c:ext>
          </c:extLst>
        </c:ser>
        <c:ser>
          <c:idx val="4"/>
          <c:order val="4"/>
          <c:tx>
            <c:strRef>
              <c:f>Investments!$B$19</c:f>
              <c:strCache>
                <c:ptCount val="1"/>
                <c:pt idx="0">
                  <c:v>Clutch Case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Investments!$D$19:$AB$19</c:f>
              <c:numCache>
                <c:formatCode>General</c:formatCode>
                <c:ptCount val="25"/>
                <c:pt idx="0">
                  <c:v>0.21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</c:v>
                </c:pt>
                <c:pt idx="9">
                  <c:v>0.2</c:v>
                </c:pt>
                <c:pt idx="10">
                  <c:v>0.21</c:v>
                </c:pt>
                <c:pt idx="11">
                  <c:v>0.21</c:v>
                </c:pt>
                <c:pt idx="12">
                  <c:v>0.24</c:v>
                </c:pt>
                <c:pt idx="13">
                  <c:v>0.24</c:v>
                </c:pt>
                <c:pt idx="14">
                  <c:v>0.24</c:v>
                </c:pt>
                <c:pt idx="15">
                  <c:v>0.26</c:v>
                </c:pt>
                <c:pt idx="16">
                  <c:v>0.27</c:v>
                </c:pt>
                <c:pt idx="17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D1-4330-9B10-472B2858AE0A}"/>
            </c:ext>
          </c:extLst>
        </c:ser>
        <c:ser>
          <c:idx val="5"/>
          <c:order val="5"/>
          <c:tx>
            <c:strRef>
              <c:f>Investments!$B$20</c:f>
              <c:strCache>
                <c:ptCount val="1"/>
                <c:pt idx="0">
                  <c:v>CS20 Case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Investments!$D$20:$AB$20</c:f>
              <c:numCache>
                <c:formatCode>General</c:formatCode>
                <c:ptCount val="25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D1-4330-9B10-472B2858AE0A}"/>
            </c:ext>
          </c:extLst>
        </c:ser>
        <c:ser>
          <c:idx val="6"/>
          <c:order val="6"/>
          <c:tx>
            <c:strRef>
              <c:f>Investments!$B$21</c:f>
              <c:strCache>
                <c:ptCount val="1"/>
                <c:pt idx="0">
                  <c:v>Shattered Web Case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Investments!$D$21:$AB$21</c:f>
              <c:numCache>
                <c:formatCode>General</c:formatCode>
                <c:ptCount val="25"/>
                <c:pt idx="0">
                  <c:v>1.1200000000000001</c:v>
                </c:pt>
                <c:pt idx="1">
                  <c:v>1.2</c:v>
                </c:pt>
                <c:pt idx="2">
                  <c:v>1.24</c:v>
                </c:pt>
                <c:pt idx="3">
                  <c:v>1.21</c:v>
                </c:pt>
                <c:pt idx="4">
                  <c:v>1.26</c:v>
                </c:pt>
                <c:pt idx="5">
                  <c:v>1.27</c:v>
                </c:pt>
                <c:pt idx="6">
                  <c:v>1.31</c:v>
                </c:pt>
                <c:pt idx="7">
                  <c:v>1.53</c:v>
                </c:pt>
                <c:pt idx="8">
                  <c:v>1.45</c:v>
                </c:pt>
                <c:pt idx="9">
                  <c:v>1.51</c:v>
                </c:pt>
                <c:pt idx="10">
                  <c:v>1.49</c:v>
                </c:pt>
                <c:pt idx="11">
                  <c:v>1.41</c:v>
                </c:pt>
                <c:pt idx="12">
                  <c:v>1.39</c:v>
                </c:pt>
                <c:pt idx="13">
                  <c:v>1.31</c:v>
                </c:pt>
                <c:pt idx="14">
                  <c:v>1.34</c:v>
                </c:pt>
                <c:pt idx="15">
                  <c:v>1.31</c:v>
                </c:pt>
                <c:pt idx="16">
                  <c:v>1.35</c:v>
                </c:pt>
                <c:pt idx="17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D1-4330-9B10-472B2858AE0A}"/>
            </c:ext>
          </c:extLst>
        </c:ser>
        <c:ser>
          <c:idx val="7"/>
          <c:order val="7"/>
          <c:tx>
            <c:strRef>
              <c:f>Investments!$B$22</c:f>
              <c:strCache>
                <c:ptCount val="1"/>
                <c:pt idx="0">
                  <c:v>Spectrum 2 Case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Investments!$D$22:$AB$22</c:f>
              <c:numCache>
                <c:formatCode>General</c:formatCode>
                <c:ptCount val="25"/>
                <c:pt idx="0">
                  <c:v>0.17</c:v>
                </c:pt>
                <c:pt idx="1">
                  <c:v>0.19</c:v>
                </c:pt>
                <c:pt idx="2">
                  <c:v>0.19</c:v>
                </c:pt>
                <c:pt idx="3">
                  <c:v>0.17</c:v>
                </c:pt>
                <c:pt idx="4">
                  <c:v>0.18</c:v>
                </c:pt>
                <c:pt idx="5">
                  <c:v>0.18</c:v>
                </c:pt>
                <c:pt idx="6">
                  <c:v>0.17</c:v>
                </c:pt>
                <c:pt idx="7">
                  <c:v>0.17</c:v>
                </c:pt>
                <c:pt idx="8">
                  <c:v>0.18</c:v>
                </c:pt>
                <c:pt idx="9">
                  <c:v>0.18</c:v>
                </c:pt>
                <c:pt idx="10">
                  <c:v>0.19</c:v>
                </c:pt>
                <c:pt idx="11">
                  <c:v>0.2</c:v>
                </c:pt>
                <c:pt idx="12">
                  <c:v>0.21</c:v>
                </c:pt>
                <c:pt idx="13">
                  <c:v>0.21</c:v>
                </c:pt>
                <c:pt idx="14">
                  <c:v>0.24</c:v>
                </c:pt>
                <c:pt idx="15">
                  <c:v>0.24</c:v>
                </c:pt>
                <c:pt idx="16">
                  <c:v>0.23</c:v>
                </c:pt>
                <c:pt idx="17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D1-4330-9B10-472B2858AE0A}"/>
            </c:ext>
          </c:extLst>
        </c:ser>
        <c:ser>
          <c:idx val="8"/>
          <c:order val="8"/>
          <c:tx>
            <c:strRef>
              <c:f>Investments!$B$23</c:f>
              <c:strCache>
                <c:ptCount val="1"/>
                <c:pt idx="0">
                  <c:v>Horizon Case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Investments!$D$23:$AB$23</c:f>
              <c:numCache>
                <c:formatCode>General</c:formatCode>
                <c:ptCount val="2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BD1-4330-9B10-472B2858AE0A}"/>
            </c:ext>
          </c:extLst>
        </c:ser>
        <c:ser>
          <c:idx val="9"/>
          <c:order val="9"/>
          <c:tx>
            <c:strRef>
              <c:f>Investments!$B$24</c:f>
              <c:strCache>
                <c:ptCount val="1"/>
                <c:pt idx="0">
                  <c:v>Spectrum Case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Investments!$D$14:$AB$14</c:f>
              <c:numCache>
                <c:formatCode>m/d/yyyy</c:formatCode>
                <c:ptCount val="2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</c:numCache>
            </c:numRef>
          </c:cat>
          <c:val>
            <c:numRef>
              <c:f>Investments!$D$24:$AB$24</c:f>
              <c:numCache>
                <c:formatCode>General</c:formatCode>
                <c:ptCount val="25"/>
                <c:pt idx="0">
                  <c:v>0.57999999999999996</c:v>
                </c:pt>
                <c:pt idx="1">
                  <c:v>0.55000000000000004</c:v>
                </c:pt>
                <c:pt idx="2">
                  <c:v>0.53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0.61</c:v>
                </c:pt>
                <c:pt idx="7">
                  <c:v>0.57999999999999996</c:v>
                </c:pt>
                <c:pt idx="8">
                  <c:v>0.61</c:v>
                </c:pt>
                <c:pt idx="9">
                  <c:v>0.57999999999999996</c:v>
                </c:pt>
                <c:pt idx="10">
                  <c:v>0.62</c:v>
                </c:pt>
                <c:pt idx="11">
                  <c:v>0.65</c:v>
                </c:pt>
                <c:pt idx="12">
                  <c:v>0.66</c:v>
                </c:pt>
                <c:pt idx="13">
                  <c:v>0.65</c:v>
                </c:pt>
                <c:pt idx="14">
                  <c:v>0.66</c:v>
                </c:pt>
                <c:pt idx="15">
                  <c:v>0.64</c:v>
                </c:pt>
                <c:pt idx="16">
                  <c:v>0.64</c:v>
                </c:pt>
                <c:pt idx="17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BD1-4330-9B10-472B2858A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504127"/>
        <c:axId val="2038948943"/>
      </c:lineChart>
      <c:dateAx>
        <c:axId val="20585041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8943"/>
        <c:crosses val="autoZero"/>
        <c:auto val="1"/>
        <c:lblOffset val="100"/>
        <c:baseTimeUnit val="days"/>
      </c:dateAx>
      <c:valAx>
        <c:axId val="203894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50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Value of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6.2944837777630741E-2"/>
          <c:y val="0.15269264069264069"/>
          <c:w val="0.90120082048567463"/>
          <c:h val="0.54637733919623688"/>
        </c:manualLayout>
      </c:layout>
      <c:lineChart>
        <c:grouping val="standard"/>
        <c:varyColors val="0"/>
        <c:ser>
          <c:idx val="0"/>
          <c:order val="0"/>
          <c:tx>
            <c:strRef>
              <c:f>Totals!$A$5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Totals!$B$5:$Z$5</c:f>
              <c:numCache>
                <c:formatCode>General</c:formatCode>
                <c:ptCount val="25"/>
                <c:pt idx="0">
                  <c:v>758.47</c:v>
                </c:pt>
                <c:pt idx="1">
                  <c:v>748.99</c:v>
                </c:pt>
                <c:pt idx="2">
                  <c:v>775.47</c:v>
                </c:pt>
                <c:pt idx="3">
                  <c:v>836.83999999999992</c:v>
                </c:pt>
                <c:pt idx="4">
                  <c:v>844.7</c:v>
                </c:pt>
                <c:pt idx="5">
                  <c:v>993.96999999999991</c:v>
                </c:pt>
                <c:pt idx="6">
                  <c:v>976</c:v>
                </c:pt>
                <c:pt idx="7">
                  <c:v>1035.1599999999999</c:v>
                </c:pt>
                <c:pt idx="8">
                  <c:v>1042.3999999999999</c:v>
                </c:pt>
                <c:pt idx="9">
                  <c:v>1150.24</c:v>
                </c:pt>
                <c:pt idx="10">
                  <c:v>1231.1599999999999</c:v>
                </c:pt>
                <c:pt idx="11">
                  <c:v>1219.44</c:v>
                </c:pt>
                <c:pt idx="12">
                  <c:v>1169.1000000000001</c:v>
                </c:pt>
                <c:pt idx="13">
                  <c:v>1112.32</c:v>
                </c:pt>
                <c:pt idx="14">
                  <c:v>1092.4099999999999</c:v>
                </c:pt>
                <c:pt idx="15">
                  <c:v>1135.18</c:v>
                </c:pt>
                <c:pt idx="16">
                  <c:v>1223.8499999999999</c:v>
                </c:pt>
                <c:pt idx="17">
                  <c:v>1284.6300000000001</c:v>
                </c:pt>
                <c:pt idx="18">
                  <c:v>1491.52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6-465C-89E3-BB9B7E1A95A1}"/>
            </c:ext>
          </c:extLst>
        </c:ser>
        <c:ser>
          <c:idx val="1"/>
          <c:order val="1"/>
          <c:tx>
            <c:strRef>
              <c:f>Totals!$A$6</c:f>
              <c:strCache>
                <c:ptCount val="1"/>
                <c:pt idx="0">
                  <c:v>Knives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Totals!$B$6:$Z$6</c:f>
              <c:numCache>
                <c:formatCode>General</c:formatCode>
                <c:ptCount val="25"/>
                <c:pt idx="0">
                  <c:v>1973.0399999999997</c:v>
                </c:pt>
                <c:pt idx="1">
                  <c:v>1981.8999999999999</c:v>
                </c:pt>
                <c:pt idx="2">
                  <c:v>2000.1100000000001</c:v>
                </c:pt>
                <c:pt idx="3">
                  <c:v>2012.3300000000002</c:v>
                </c:pt>
                <c:pt idx="4">
                  <c:v>2033.0700000000002</c:v>
                </c:pt>
                <c:pt idx="5">
                  <c:v>1997.2199999999998</c:v>
                </c:pt>
                <c:pt idx="6">
                  <c:v>2013.88</c:v>
                </c:pt>
                <c:pt idx="7">
                  <c:v>2043.2699999999998</c:v>
                </c:pt>
                <c:pt idx="8">
                  <c:v>2020.53</c:v>
                </c:pt>
                <c:pt idx="9">
                  <c:v>2205.54</c:v>
                </c:pt>
                <c:pt idx="10">
                  <c:v>2177.7400000000002</c:v>
                </c:pt>
                <c:pt idx="11">
                  <c:v>2165.3000000000002</c:v>
                </c:pt>
                <c:pt idx="12">
                  <c:v>2132.02</c:v>
                </c:pt>
                <c:pt idx="13">
                  <c:v>2137.7199999999998</c:v>
                </c:pt>
                <c:pt idx="14">
                  <c:v>2110.66</c:v>
                </c:pt>
                <c:pt idx="15">
                  <c:v>2114.9700000000003</c:v>
                </c:pt>
                <c:pt idx="16">
                  <c:v>2140.1000000000004</c:v>
                </c:pt>
                <c:pt idx="17">
                  <c:v>2154.6799999999998</c:v>
                </c:pt>
                <c:pt idx="18">
                  <c:v>2100.75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6-465C-89E3-BB9B7E1A95A1}"/>
            </c:ext>
          </c:extLst>
        </c:ser>
        <c:ser>
          <c:idx val="2"/>
          <c:order val="2"/>
          <c:tx>
            <c:strRef>
              <c:f>Totals!$A$7</c:f>
              <c:strCache>
                <c:ptCount val="1"/>
                <c:pt idx="0">
                  <c:v>AWP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Totals!$B$7:$Z$7</c:f>
              <c:numCache>
                <c:formatCode>General</c:formatCode>
                <c:ptCount val="25"/>
                <c:pt idx="0">
                  <c:v>195.47</c:v>
                </c:pt>
                <c:pt idx="1">
                  <c:v>190.54</c:v>
                </c:pt>
                <c:pt idx="2">
                  <c:v>199.98999999999998</c:v>
                </c:pt>
                <c:pt idx="3">
                  <c:v>193.30999999999997</c:v>
                </c:pt>
                <c:pt idx="4">
                  <c:v>193.18999999999997</c:v>
                </c:pt>
                <c:pt idx="5">
                  <c:v>185.43999999999997</c:v>
                </c:pt>
                <c:pt idx="6">
                  <c:v>198.10999999999999</c:v>
                </c:pt>
                <c:pt idx="7">
                  <c:v>199.2</c:v>
                </c:pt>
                <c:pt idx="8">
                  <c:v>194.04999999999998</c:v>
                </c:pt>
                <c:pt idx="9">
                  <c:v>205.29999999999998</c:v>
                </c:pt>
                <c:pt idx="10">
                  <c:v>205.65</c:v>
                </c:pt>
                <c:pt idx="11">
                  <c:v>195.62999999999997</c:v>
                </c:pt>
                <c:pt idx="12">
                  <c:v>199.72999999999996</c:v>
                </c:pt>
                <c:pt idx="13">
                  <c:v>190.32</c:v>
                </c:pt>
                <c:pt idx="14">
                  <c:v>196.61</c:v>
                </c:pt>
                <c:pt idx="15">
                  <c:v>200.15</c:v>
                </c:pt>
                <c:pt idx="16">
                  <c:v>209.24</c:v>
                </c:pt>
                <c:pt idx="17">
                  <c:v>202.45</c:v>
                </c:pt>
                <c:pt idx="18">
                  <c:v>203.49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A6-465C-89E3-BB9B7E1A95A1}"/>
            </c:ext>
          </c:extLst>
        </c:ser>
        <c:ser>
          <c:idx val="3"/>
          <c:order val="3"/>
          <c:tx>
            <c:strRef>
              <c:f>Totals!$A$8</c:f>
              <c:strCache>
                <c:ptCount val="1"/>
                <c:pt idx="0">
                  <c:v>M4A4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Totals!$B$8:$Z$8</c:f>
              <c:numCache>
                <c:formatCode>General</c:formatCode>
                <c:ptCount val="25"/>
                <c:pt idx="0">
                  <c:v>178.95000000000002</c:v>
                </c:pt>
                <c:pt idx="1">
                  <c:v>175.29000000000002</c:v>
                </c:pt>
                <c:pt idx="2">
                  <c:v>172.94</c:v>
                </c:pt>
                <c:pt idx="3">
                  <c:v>175.82</c:v>
                </c:pt>
                <c:pt idx="4">
                  <c:v>175.51</c:v>
                </c:pt>
                <c:pt idx="5">
                  <c:v>177.33</c:v>
                </c:pt>
                <c:pt idx="6">
                  <c:v>173.10999999999999</c:v>
                </c:pt>
                <c:pt idx="7">
                  <c:v>171.3</c:v>
                </c:pt>
                <c:pt idx="8">
                  <c:v>167.67</c:v>
                </c:pt>
                <c:pt idx="9">
                  <c:v>171.02</c:v>
                </c:pt>
                <c:pt idx="10">
                  <c:v>169.12</c:v>
                </c:pt>
                <c:pt idx="11">
                  <c:v>169.39999999999998</c:v>
                </c:pt>
                <c:pt idx="12">
                  <c:v>170.18</c:v>
                </c:pt>
                <c:pt idx="13">
                  <c:v>172.92</c:v>
                </c:pt>
                <c:pt idx="14">
                  <c:v>173.81</c:v>
                </c:pt>
                <c:pt idx="15">
                  <c:v>175.42999999999998</c:v>
                </c:pt>
                <c:pt idx="16">
                  <c:v>176.54</c:v>
                </c:pt>
                <c:pt idx="17">
                  <c:v>171.85000000000002</c:v>
                </c:pt>
                <c:pt idx="18">
                  <c:v>179.60999999999999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A6-465C-89E3-BB9B7E1A95A1}"/>
            </c:ext>
          </c:extLst>
        </c:ser>
        <c:ser>
          <c:idx val="4"/>
          <c:order val="4"/>
          <c:tx>
            <c:strRef>
              <c:f>Totals!$A$9</c:f>
              <c:strCache>
                <c:ptCount val="1"/>
                <c:pt idx="0">
                  <c:v>M4A1-S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Totals!$B$9:$Z$9</c:f>
              <c:numCache>
                <c:formatCode>General</c:formatCode>
                <c:ptCount val="25"/>
                <c:pt idx="0">
                  <c:v>76.64</c:v>
                </c:pt>
                <c:pt idx="1">
                  <c:v>74.11</c:v>
                </c:pt>
                <c:pt idx="2">
                  <c:v>72.600000000000009</c:v>
                </c:pt>
                <c:pt idx="3">
                  <c:v>70.94</c:v>
                </c:pt>
                <c:pt idx="4">
                  <c:v>74.349999999999994</c:v>
                </c:pt>
                <c:pt idx="5">
                  <c:v>72.739999999999995</c:v>
                </c:pt>
                <c:pt idx="6">
                  <c:v>70.75</c:v>
                </c:pt>
                <c:pt idx="7">
                  <c:v>72.7</c:v>
                </c:pt>
                <c:pt idx="8">
                  <c:v>71.73</c:v>
                </c:pt>
                <c:pt idx="9">
                  <c:v>70.23</c:v>
                </c:pt>
                <c:pt idx="10">
                  <c:v>69.36</c:v>
                </c:pt>
                <c:pt idx="11">
                  <c:v>71.36</c:v>
                </c:pt>
                <c:pt idx="12">
                  <c:v>71.34</c:v>
                </c:pt>
                <c:pt idx="13">
                  <c:v>79.61999999999999</c:v>
                </c:pt>
                <c:pt idx="14">
                  <c:v>74.830000000000013</c:v>
                </c:pt>
                <c:pt idx="15">
                  <c:v>73.97</c:v>
                </c:pt>
                <c:pt idx="16">
                  <c:v>73.09</c:v>
                </c:pt>
                <c:pt idx="17">
                  <c:v>71.33</c:v>
                </c:pt>
                <c:pt idx="18">
                  <c:v>73.13000000000001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A6-465C-89E3-BB9B7E1A95A1}"/>
            </c:ext>
          </c:extLst>
        </c:ser>
        <c:ser>
          <c:idx val="5"/>
          <c:order val="5"/>
          <c:tx>
            <c:strRef>
              <c:f>Totals!$A$10</c:f>
              <c:strCache>
                <c:ptCount val="1"/>
                <c:pt idx="0">
                  <c:v>AK-47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Totals!$B$10:$Z$10</c:f>
              <c:numCache>
                <c:formatCode>General</c:formatCode>
                <c:ptCount val="25"/>
                <c:pt idx="0">
                  <c:v>385.2</c:v>
                </c:pt>
                <c:pt idx="1">
                  <c:v>398.33000000000004</c:v>
                </c:pt>
                <c:pt idx="2">
                  <c:v>408.55</c:v>
                </c:pt>
                <c:pt idx="3">
                  <c:v>396.45</c:v>
                </c:pt>
                <c:pt idx="4">
                  <c:v>401.81</c:v>
                </c:pt>
                <c:pt idx="5">
                  <c:v>389.48</c:v>
                </c:pt>
                <c:pt idx="6">
                  <c:v>389.59</c:v>
                </c:pt>
                <c:pt idx="7">
                  <c:v>395.04999999999995</c:v>
                </c:pt>
                <c:pt idx="8">
                  <c:v>382.46</c:v>
                </c:pt>
                <c:pt idx="9">
                  <c:v>403.94</c:v>
                </c:pt>
                <c:pt idx="10">
                  <c:v>404.38</c:v>
                </c:pt>
                <c:pt idx="11">
                  <c:v>401.66</c:v>
                </c:pt>
                <c:pt idx="12">
                  <c:v>383.82000000000005</c:v>
                </c:pt>
                <c:pt idx="13">
                  <c:v>392.5</c:v>
                </c:pt>
                <c:pt idx="14">
                  <c:v>396.03</c:v>
                </c:pt>
                <c:pt idx="15">
                  <c:v>405.53000000000003</c:v>
                </c:pt>
                <c:pt idx="16">
                  <c:v>403.7</c:v>
                </c:pt>
                <c:pt idx="17">
                  <c:v>409.21</c:v>
                </c:pt>
                <c:pt idx="18">
                  <c:v>411.23999999999995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A6-465C-89E3-BB9B7E1A95A1}"/>
            </c:ext>
          </c:extLst>
        </c:ser>
        <c:ser>
          <c:idx val="6"/>
          <c:order val="6"/>
          <c:tx>
            <c:strRef>
              <c:f>Totals!$A$11</c:f>
              <c:strCache>
                <c:ptCount val="1"/>
                <c:pt idx="0">
                  <c:v>SMG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Totals!$B$11:$Z$11</c:f>
              <c:numCache>
                <c:formatCode>General</c:formatCode>
                <c:ptCount val="25"/>
                <c:pt idx="0">
                  <c:v>66.949999999999989</c:v>
                </c:pt>
                <c:pt idx="1">
                  <c:v>67.2</c:v>
                </c:pt>
                <c:pt idx="2">
                  <c:v>63.86</c:v>
                </c:pt>
                <c:pt idx="3">
                  <c:v>63.059999999999995</c:v>
                </c:pt>
                <c:pt idx="4">
                  <c:v>66.269999999999982</c:v>
                </c:pt>
                <c:pt idx="5">
                  <c:v>67.61999999999999</c:v>
                </c:pt>
                <c:pt idx="6">
                  <c:v>66.72</c:v>
                </c:pt>
                <c:pt idx="7">
                  <c:v>66.37</c:v>
                </c:pt>
                <c:pt idx="8">
                  <c:v>66.61999999999999</c:v>
                </c:pt>
                <c:pt idx="9">
                  <c:v>67.290000000000006</c:v>
                </c:pt>
                <c:pt idx="10">
                  <c:v>67.490000000000009</c:v>
                </c:pt>
                <c:pt idx="11">
                  <c:v>65.86</c:v>
                </c:pt>
                <c:pt idx="12">
                  <c:v>66.28</c:v>
                </c:pt>
                <c:pt idx="13">
                  <c:v>64.61</c:v>
                </c:pt>
                <c:pt idx="14">
                  <c:v>67.579999999999984</c:v>
                </c:pt>
                <c:pt idx="15">
                  <c:v>66.710000000000008</c:v>
                </c:pt>
                <c:pt idx="16">
                  <c:v>66.59</c:v>
                </c:pt>
                <c:pt idx="17">
                  <c:v>65.92</c:v>
                </c:pt>
                <c:pt idx="18">
                  <c:v>66.84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A6-465C-89E3-BB9B7E1A95A1}"/>
            </c:ext>
          </c:extLst>
        </c:ser>
        <c:ser>
          <c:idx val="7"/>
          <c:order val="7"/>
          <c:tx>
            <c:strRef>
              <c:f>Totals!$A$12</c:f>
              <c:strCache>
                <c:ptCount val="1"/>
                <c:pt idx="0">
                  <c:v>Heavy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Totals!$B$12:$Z$12</c:f>
              <c:numCache>
                <c:formatCode>General</c:formatCode>
                <c:ptCount val="25"/>
                <c:pt idx="0">
                  <c:v>23.470000000000002</c:v>
                </c:pt>
                <c:pt idx="1">
                  <c:v>23.17</c:v>
                </c:pt>
                <c:pt idx="2">
                  <c:v>22.01</c:v>
                </c:pt>
                <c:pt idx="3">
                  <c:v>22.600000000000005</c:v>
                </c:pt>
                <c:pt idx="4">
                  <c:v>22.220000000000002</c:v>
                </c:pt>
                <c:pt idx="5">
                  <c:v>22.89</c:v>
                </c:pt>
                <c:pt idx="6">
                  <c:v>21.77</c:v>
                </c:pt>
                <c:pt idx="7">
                  <c:v>22.729999999999997</c:v>
                </c:pt>
                <c:pt idx="8">
                  <c:v>22.259999999999998</c:v>
                </c:pt>
                <c:pt idx="9">
                  <c:v>22.8</c:v>
                </c:pt>
                <c:pt idx="10">
                  <c:v>22.68</c:v>
                </c:pt>
                <c:pt idx="11">
                  <c:v>23.410000000000004</c:v>
                </c:pt>
                <c:pt idx="12">
                  <c:v>23.259999999999998</c:v>
                </c:pt>
                <c:pt idx="13">
                  <c:v>22.509999999999998</c:v>
                </c:pt>
                <c:pt idx="14">
                  <c:v>22.850000000000005</c:v>
                </c:pt>
                <c:pt idx="15">
                  <c:v>23.580000000000002</c:v>
                </c:pt>
                <c:pt idx="16">
                  <c:v>24.09</c:v>
                </c:pt>
                <c:pt idx="17">
                  <c:v>23.599999999999998</c:v>
                </c:pt>
                <c:pt idx="18">
                  <c:v>23.330000000000002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BA6-465C-89E3-BB9B7E1A95A1}"/>
            </c:ext>
          </c:extLst>
        </c:ser>
        <c:ser>
          <c:idx val="8"/>
          <c:order val="8"/>
          <c:tx>
            <c:strRef>
              <c:f>Totals!$A$13</c:f>
              <c:strCache>
                <c:ptCount val="1"/>
                <c:pt idx="0">
                  <c:v>Pistols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Totals!$B$13:$Z$13</c:f>
              <c:numCache>
                <c:formatCode>General</c:formatCode>
                <c:ptCount val="25"/>
                <c:pt idx="0">
                  <c:v>346.62000000000006</c:v>
                </c:pt>
                <c:pt idx="1">
                  <c:v>340.68000000000012</c:v>
                </c:pt>
                <c:pt idx="2">
                  <c:v>342.52</c:v>
                </c:pt>
                <c:pt idx="3">
                  <c:v>349.93</c:v>
                </c:pt>
                <c:pt idx="4">
                  <c:v>345.59000000000003</c:v>
                </c:pt>
                <c:pt idx="5">
                  <c:v>347.56999999999994</c:v>
                </c:pt>
                <c:pt idx="6">
                  <c:v>350.87000000000006</c:v>
                </c:pt>
                <c:pt idx="7">
                  <c:v>349.74000000000012</c:v>
                </c:pt>
                <c:pt idx="8">
                  <c:v>354.99999999999994</c:v>
                </c:pt>
                <c:pt idx="9">
                  <c:v>360.81000000000012</c:v>
                </c:pt>
                <c:pt idx="10">
                  <c:v>357.97</c:v>
                </c:pt>
                <c:pt idx="11">
                  <c:v>359.93999999999988</c:v>
                </c:pt>
                <c:pt idx="12">
                  <c:v>357.37</c:v>
                </c:pt>
                <c:pt idx="13">
                  <c:v>356.7000000000001</c:v>
                </c:pt>
                <c:pt idx="14">
                  <c:v>352.5</c:v>
                </c:pt>
                <c:pt idx="15">
                  <c:v>364.53999999999991</c:v>
                </c:pt>
                <c:pt idx="16">
                  <c:v>370.18000000000006</c:v>
                </c:pt>
                <c:pt idx="17">
                  <c:v>374.84000000000003</c:v>
                </c:pt>
                <c:pt idx="18">
                  <c:v>375.61999999999995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A6-465C-89E3-BB9B7E1A95A1}"/>
            </c:ext>
          </c:extLst>
        </c:ser>
        <c:ser>
          <c:idx val="9"/>
          <c:order val="9"/>
          <c:tx>
            <c:strRef>
              <c:f>Totals!$A$14</c:f>
              <c:strCache>
                <c:ptCount val="1"/>
                <c:pt idx="0">
                  <c:v>Other Rifles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Totals!$B$14:$Z$14</c:f>
              <c:numCache>
                <c:formatCode>General</c:formatCode>
                <c:ptCount val="25"/>
                <c:pt idx="6">
                  <c:v>102.47999999999999</c:v>
                </c:pt>
                <c:pt idx="7">
                  <c:v>98.559999999999974</c:v>
                </c:pt>
                <c:pt idx="8">
                  <c:v>101.12999999999998</c:v>
                </c:pt>
                <c:pt idx="9">
                  <c:v>103.96999999999997</c:v>
                </c:pt>
                <c:pt idx="10">
                  <c:v>106.04999999999998</c:v>
                </c:pt>
                <c:pt idx="11">
                  <c:v>105.24</c:v>
                </c:pt>
                <c:pt idx="12">
                  <c:v>103.05000000000001</c:v>
                </c:pt>
                <c:pt idx="13">
                  <c:v>105.63999999999999</c:v>
                </c:pt>
                <c:pt idx="14">
                  <c:v>105.4</c:v>
                </c:pt>
                <c:pt idx="15">
                  <c:v>107.26000000000002</c:v>
                </c:pt>
                <c:pt idx="16">
                  <c:v>105.52</c:v>
                </c:pt>
                <c:pt idx="17">
                  <c:v>104.86999999999999</c:v>
                </c:pt>
                <c:pt idx="18">
                  <c:v>103.73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4-45C2-B323-A455C8DC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93999"/>
        <c:axId val="2065124783"/>
      </c:lineChart>
      <c:dateAx>
        <c:axId val="19173939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65124783"/>
        <c:crosses val="autoZero"/>
        <c:auto val="1"/>
        <c:lblOffset val="100"/>
        <c:baseTimeUnit val="days"/>
      </c:dateAx>
      <c:valAx>
        <c:axId val="206512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7393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Category Sale-Revenue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Totals!$A$19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Totals!$B$19:$Z$19</c:f>
              <c:numCache>
                <c:formatCode>General</c:formatCode>
                <c:ptCount val="25"/>
                <c:pt idx="0">
                  <c:v>525.4</c:v>
                </c:pt>
                <c:pt idx="1">
                  <c:v>518.91</c:v>
                </c:pt>
                <c:pt idx="2">
                  <c:v>537.06999999999994</c:v>
                </c:pt>
                <c:pt idx="3">
                  <c:v>582.99</c:v>
                </c:pt>
                <c:pt idx="4">
                  <c:v>589.27</c:v>
                </c:pt>
                <c:pt idx="5">
                  <c:v>691.93000000000006</c:v>
                </c:pt>
                <c:pt idx="6">
                  <c:v>672.6099999999999</c:v>
                </c:pt>
                <c:pt idx="7">
                  <c:v>719.01</c:v>
                </c:pt>
                <c:pt idx="8">
                  <c:v>723.31</c:v>
                </c:pt>
                <c:pt idx="9">
                  <c:v>797.8599999999999</c:v>
                </c:pt>
                <c:pt idx="10">
                  <c:v>852.05</c:v>
                </c:pt>
                <c:pt idx="11">
                  <c:v>841.56999999999994</c:v>
                </c:pt>
                <c:pt idx="12">
                  <c:v>806.5</c:v>
                </c:pt>
                <c:pt idx="13">
                  <c:v>765.02</c:v>
                </c:pt>
                <c:pt idx="14">
                  <c:v>758.63</c:v>
                </c:pt>
                <c:pt idx="15">
                  <c:v>787.32999999999993</c:v>
                </c:pt>
                <c:pt idx="16">
                  <c:v>847.58999999999992</c:v>
                </c:pt>
                <c:pt idx="17">
                  <c:v>889.18000000000006</c:v>
                </c:pt>
                <c:pt idx="18">
                  <c:v>1056.3400000000001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79-4B9A-B20F-4EAFADC22563}"/>
            </c:ext>
          </c:extLst>
        </c:ser>
        <c:ser>
          <c:idx val="1"/>
          <c:order val="1"/>
          <c:tx>
            <c:strRef>
              <c:f>Totals!$A$20</c:f>
              <c:strCache>
                <c:ptCount val="1"/>
                <c:pt idx="0">
                  <c:v>Knives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Totals!$B$20:$Z$20</c:f>
              <c:numCache>
                <c:formatCode>General</c:formatCode>
                <c:ptCount val="25"/>
                <c:pt idx="0">
                  <c:v>1341.61</c:v>
                </c:pt>
                <c:pt idx="1">
                  <c:v>1347.64</c:v>
                </c:pt>
                <c:pt idx="2">
                  <c:v>1360.04</c:v>
                </c:pt>
                <c:pt idx="3">
                  <c:v>1368.3400000000001</c:v>
                </c:pt>
                <c:pt idx="4">
                  <c:v>1382.44</c:v>
                </c:pt>
                <c:pt idx="5">
                  <c:v>1358.07</c:v>
                </c:pt>
                <c:pt idx="6">
                  <c:v>1369.3999999999999</c:v>
                </c:pt>
                <c:pt idx="7">
                  <c:v>1389.3999999999999</c:v>
                </c:pt>
                <c:pt idx="8">
                  <c:v>1373.9199999999998</c:v>
                </c:pt>
                <c:pt idx="9">
                  <c:v>1499.72</c:v>
                </c:pt>
                <c:pt idx="10">
                  <c:v>1480.83</c:v>
                </c:pt>
                <c:pt idx="11">
                  <c:v>1472.35</c:v>
                </c:pt>
                <c:pt idx="12">
                  <c:v>1449.75</c:v>
                </c:pt>
                <c:pt idx="13">
                  <c:v>1453.6</c:v>
                </c:pt>
                <c:pt idx="14">
                  <c:v>1435.21</c:v>
                </c:pt>
                <c:pt idx="15">
                  <c:v>1438.15</c:v>
                </c:pt>
                <c:pt idx="16">
                  <c:v>1455.23</c:v>
                </c:pt>
                <c:pt idx="17">
                  <c:v>1465.1399999999999</c:v>
                </c:pt>
                <c:pt idx="18">
                  <c:v>1428.49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79-4B9A-B20F-4EAFADC22563}"/>
            </c:ext>
          </c:extLst>
        </c:ser>
        <c:ser>
          <c:idx val="2"/>
          <c:order val="2"/>
          <c:tx>
            <c:strRef>
              <c:f>Totals!$A$21</c:f>
              <c:strCache>
                <c:ptCount val="1"/>
                <c:pt idx="0">
                  <c:v>AWP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Totals!$B$21:$Z$21</c:f>
              <c:numCache>
                <c:formatCode>General</c:formatCode>
                <c:ptCount val="25"/>
                <c:pt idx="0">
                  <c:v>132.84</c:v>
                </c:pt>
                <c:pt idx="1">
                  <c:v>129.48000000000002</c:v>
                </c:pt>
                <c:pt idx="2">
                  <c:v>135.91999999999999</c:v>
                </c:pt>
                <c:pt idx="3">
                  <c:v>131.34</c:v>
                </c:pt>
                <c:pt idx="4">
                  <c:v>131.30000000000001</c:v>
                </c:pt>
                <c:pt idx="5">
                  <c:v>126.00999999999998</c:v>
                </c:pt>
                <c:pt idx="6">
                  <c:v>134.62</c:v>
                </c:pt>
                <c:pt idx="7">
                  <c:v>135.38</c:v>
                </c:pt>
                <c:pt idx="8">
                  <c:v>131.88</c:v>
                </c:pt>
                <c:pt idx="9">
                  <c:v>139.54</c:v>
                </c:pt>
                <c:pt idx="10">
                  <c:v>139.76000000000002</c:v>
                </c:pt>
                <c:pt idx="11">
                  <c:v>132.94</c:v>
                </c:pt>
                <c:pt idx="12">
                  <c:v>135.73999999999998</c:v>
                </c:pt>
                <c:pt idx="13">
                  <c:v>129.32000000000002</c:v>
                </c:pt>
                <c:pt idx="14">
                  <c:v>133.63</c:v>
                </c:pt>
                <c:pt idx="15">
                  <c:v>136.01000000000002</c:v>
                </c:pt>
                <c:pt idx="16">
                  <c:v>142.19000000000003</c:v>
                </c:pt>
                <c:pt idx="17">
                  <c:v>137.6</c:v>
                </c:pt>
                <c:pt idx="18">
                  <c:v>138.29999999999998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79-4B9A-B20F-4EAFADC22563}"/>
            </c:ext>
          </c:extLst>
        </c:ser>
        <c:ser>
          <c:idx val="3"/>
          <c:order val="3"/>
          <c:tx>
            <c:strRef>
              <c:f>Totals!$A$22</c:f>
              <c:strCache>
                <c:ptCount val="1"/>
                <c:pt idx="0">
                  <c:v>M4A4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Totals!$B$22:$Z$22</c:f>
              <c:numCache>
                <c:formatCode>General</c:formatCode>
                <c:ptCount val="25"/>
                <c:pt idx="0">
                  <c:v>121.59</c:v>
                </c:pt>
                <c:pt idx="1">
                  <c:v>119.11000000000001</c:v>
                </c:pt>
                <c:pt idx="2">
                  <c:v>117.53999999999999</c:v>
                </c:pt>
                <c:pt idx="3">
                  <c:v>119.46000000000001</c:v>
                </c:pt>
                <c:pt idx="4">
                  <c:v>119.24</c:v>
                </c:pt>
                <c:pt idx="5">
                  <c:v>120.49000000000001</c:v>
                </c:pt>
                <c:pt idx="6">
                  <c:v>117.63999999999999</c:v>
                </c:pt>
                <c:pt idx="7">
                  <c:v>116.38999999999999</c:v>
                </c:pt>
                <c:pt idx="8">
                  <c:v>113.93000000000002</c:v>
                </c:pt>
                <c:pt idx="9">
                  <c:v>116.18</c:v>
                </c:pt>
                <c:pt idx="10">
                  <c:v>114.9</c:v>
                </c:pt>
                <c:pt idx="11">
                  <c:v>115.07</c:v>
                </c:pt>
                <c:pt idx="12">
                  <c:v>115.64</c:v>
                </c:pt>
                <c:pt idx="13">
                  <c:v>117.48</c:v>
                </c:pt>
                <c:pt idx="14">
                  <c:v>118.10000000000001</c:v>
                </c:pt>
                <c:pt idx="15">
                  <c:v>119.21000000000001</c:v>
                </c:pt>
                <c:pt idx="16">
                  <c:v>119.92000000000002</c:v>
                </c:pt>
                <c:pt idx="17">
                  <c:v>116.75999999999999</c:v>
                </c:pt>
                <c:pt idx="18">
                  <c:v>122.03999999999999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79-4B9A-B20F-4EAFADC22563}"/>
            </c:ext>
          </c:extLst>
        </c:ser>
        <c:ser>
          <c:idx val="4"/>
          <c:order val="4"/>
          <c:tx>
            <c:strRef>
              <c:f>Totals!$A$23</c:f>
              <c:strCache>
                <c:ptCount val="1"/>
                <c:pt idx="0">
                  <c:v>M4A1-S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Totals!$B$23:$Z$23</c:f>
              <c:numCache>
                <c:formatCode>General</c:formatCode>
                <c:ptCount val="25"/>
                <c:pt idx="0">
                  <c:v>52.08</c:v>
                </c:pt>
                <c:pt idx="1">
                  <c:v>50.35</c:v>
                </c:pt>
                <c:pt idx="2">
                  <c:v>49.309999999999995</c:v>
                </c:pt>
                <c:pt idx="3">
                  <c:v>48.19</c:v>
                </c:pt>
                <c:pt idx="4">
                  <c:v>50.499999999999993</c:v>
                </c:pt>
                <c:pt idx="5">
                  <c:v>49.410000000000004</c:v>
                </c:pt>
                <c:pt idx="6">
                  <c:v>48.07</c:v>
                </c:pt>
                <c:pt idx="7">
                  <c:v>49.4</c:v>
                </c:pt>
                <c:pt idx="8">
                  <c:v>48.72</c:v>
                </c:pt>
                <c:pt idx="9">
                  <c:v>47.69</c:v>
                </c:pt>
                <c:pt idx="10">
                  <c:v>47.120000000000005</c:v>
                </c:pt>
                <c:pt idx="11">
                  <c:v>48.47</c:v>
                </c:pt>
                <c:pt idx="12">
                  <c:v>48.46</c:v>
                </c:pt>
                <c:pt idx="13">
                  <c:v>54.1</c:v>
                </c:pt>
                <c:pt idx="14">
                  <c:v>50.849999999999994</c:v>
                </c:pt>
                <c:pt idx="15">
                  <c:v>50.24</c:v>
                </c:pt>
                <c:pt idx="16">
                  <c:v>49.65</c:v>
                </c:pt>
                <c:pt idx="17">
                  <c:v>48.45</c:v>
                </c:pt>
                <c:pt idx="18">
                  <c:v>49.669999999999995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79-4B9A-B20F-4EAFADC22563}"/>
            </c:ext>
          </c:extLst>
        </c:ser>
        <c:ser>
          <c:idx val="5"/>
          <c:order val="5"/>
          <c:tx>
            <c:strRef>
              <c:f>Totals!$A$24</c:f>
              <c:strCache>
                <c:ptCount val="1"/>
                <c:pt idx="0">
                  <c:v>AK-47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Totals!$B$24:$Z$24</c:f>
              <c:numCache>
                <c:formatCode>General</c:formatCode>
                <c:ptCount val="25"/>
                <c:pt idx="0">
                  <c:v>261.87</c:v>
                </c:pt>
                <c:pt idx="1">
                  <c:v>270.81</c:v>
                </c:pt>
                <c:pt idx="2">
                  <c:v>277.74</c:v>
                </c:pt>
                <c:pt idx="3">
                  <c:v>269.50000000000006</c:v>
                </c:pt>
                <c:pt idx="4">
                  <c:v>273.16000000000003</c:v>
                </c:pt>
                <c:pt idx="5">
                  <c:v>264.77</c:v>
                </c:pt>
                <c:pt idx="6">
                  <c:v>264.83</c:v>
                </c:pt>
                <c:pt idx="7">
                  <c:v>268.57</c:v>
                </c:pt>
                <c:pt idx="8">
                  <c:v>259.99999999999994</c:v>
                </c:pt>
                <c:pt idx="9">
                  <c:v>274.61</c:v>
                </c:pt>
                <c:pt idx="10">
                  <c:v>274.90000000000003</c:v>
                </c:pt>
                <c:pt idx="11">
                  <c:v>273.05</c:v>
                </c:pt>
                <c:pt idx="12">
                  <c:v>260.90999999999997</c:v>
                </c:pt>
                <c:pt idx="13">
                  <c:v>266.83</c:v>
                </c:pt>
                <c:pt idx="14">
                  <c:v>269.22000000000003</c:v>
                </c:pt>
                <c:pt idx="15">
                  <c:v>275.69</c:v>
                </c:pt>
                <c:pt idx="16">
                  <c:v>274.44</c:v>
                </c:pt>
                <c:pt idx="17">
                  <c:v>278.2</c:v>
                </c:pt>
                <c:pt idx="18">
                  <c:v>279.58999999999997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79-4B9A-B20F-4EAFADC22563}"/>
            </c:ext>
          </c:extLst>
        </c:ser>
        <c:ser>
          <c:idx val="6"/>
          <c:order val="6"/>
          <c:tx>
            <c:strRef>
              <c:f>Totals!$A$25</c:f>
              <c:strCache>
                <c:ptCount val="1"/>
                <c:pt idx="0">
                  <c:v>SMG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Totals!$B$25:$Z$25</c:f>
              <c:numCache>
                <c:formatCode>General</c:formatCode>
                <c:ptCount val="25"/>
                <c:pt idx="0">
                  <c:v>45.37</c:v>
                </c:pt>
                <c:pt idx="1">
                  <c:v>45.5</c:v>
                </c:pt>
                <c:pt idx="2">
                  <c:v>43.26</c:v>
                </c:pt>
                <c:pt idx="3">
                  <c:v>42.749999999999993</c:v>
                </c:pt>
                <c:pt idx="4">
                  <c:v>44.910000000000004</c:v>
                </c:pt>
                <c:pt idx="5">
                  <c:v>45.809999999999995</c:v>
                </c:pt>
                <c:pt idx="6">
                  <c:v>45.22</c:v>
                </c:pt>
                <c:pt idx="7">
                  <c:v>45.000000000000007</c:v>
                </c:pt>
                <c:pt idx="8">
                  <c:v>45.12</c:v>
                </c:pt>
                <c:pt idx="9">
                  <c:v>45.61999999999999</c:v>
                </c:pt>
                <c:pt idx="10">
                  <c:v>45.749999999999993</c:v>
                </c:pt>
                <c:pt idx="11">
                  <c:v>44.61999999999999</c:v>
                </c:pt>
                <c:pt idx="12">
                  <c:v>44.91</c:v>
                </c:pt>
                <c:pt idx="13">
                  <c:v>43.769999999999996</c:v>
                </c:pt>
                <c:pt idx="14">
                  <c:v>45.79999999999999</c:v>
                </c:pt>
                <c:pt idx="15">
                  <c:v>45.2</c:v>
                </c:pt>
                <c:pt idx="16">
                  <c:v>45.099999999999994</c:v>
                </c:pt>
                <c:pt idx="17">
                  <c:v>44.64</c:v>
                </c:pt>
                <c:pt idx="18">
                  <c:v>45.249999999999993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79-4B9A-B20F-4EAFADC22563}"/>
            </c:ext>
          </c:extLst>
        </c:ser>
        <c:ser>
          <c:idx val="7"/>
          <c:order val="7"/>
          <c:tx>
            <c:strRef>
              <c:f>Totals!$A$26</c:f>
              <c:strCache>
                <c:ptCount val="1"/>
                <c:pt idx="0">
                  <c:v>Heavy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Totals!$B$26:$Z$26</c:f>
              <c:numCache>
                <c:formatCode>General</c:formatCode>
                <c:ptCount val="25"/>
                <c:pt idx="0">
                  <c:v>15.849999999999998</c:v>
                </c:pt>
                <c:pt idx="1">
                  <c:v>15.66</c:v>
                </c:pt>
                <c:pt idx="2">
                  <c:v>14.860000000000001</c:v>
                </c:pt>
                <c:pt idx="3">
                  <c:v>15.25</c:v>
                </c:pt>
                <c:pt idx="4">
                  <c:v>15.02</c:v>
                </c:pt>
                <c:pt idx="5">
                  <c:v>15.449999999999998</c:v>
                </c:pt>
                <c:pt idx="6">
                  <c:v>14.7</c:v>
                </c:pt>
                <c:pt idx="7">
                  <c:v>15.329999999999998</c:v>
                </c:pt>
                <c:pt idx="8">
                  <c:v>15.050000000000002</c:v>
                </c:pt>
                <c:pt idx="9">
                  <c:v>15.38</c:v>
                </c:pt>
                <c:pt idx="10">
                  <c:v>15.29</c:v>
                </c:pt>
                <c:pt idx="11">
                  <c:v>15.79</c:v>
                </c:pt>
                <c:pt idx="12">
                  <c:v>15.69</c:v>
                </c:pt>
                <c:pt idx="13">
                  <c:v>15.179999999999998</c:v>
                </c:pt>
                <c:pt idx="14">
                  <c:v>15.419999999999996</c:v>
                </c:pt>
                <c:pt idx="15">
                  <c:v>15.91</c:v>
                </c:pt>
                <c:pt idx="16">
                  <c:v>16.29</c:v>
                </c:pt>
                <c:pt idx="17">
                  <c:v>15.949999999999998</c:v>
                </c:pt>
                <c:pt idx="18">
                  <c:v>15.799999999999995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779-4B9A-B20F-4EAFADC22563}"/>
            </c:ext>
          </c:extLst>
        </c:ser>
        <c:ser>
          <c:idx val="8"/>
          <c:order val="8"/>
          <c:tx>
            <c:strRef>
              <c:f>Totals!$A$27</c:f>
              <c:strCache>
                <c:ptCount val="1"/>
                <c:pt idx="0">
                  <c:v>Pistols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Totals!$B$18:$Z$18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Totals!$B$27:$Z$27</c:f>
              <c:numCache>
                <c:formatCode>General</c:formatCode>
                <c:ptCount val="25"/>
                <c:pt idx="0">
                  <c:v>235.34</c:v>
                </c:pt>
                <c:pt idx="1">
                  <c:v>231.30999999999997</c:v>
                </c:pt>
                <c:pt idx="2">
                  <c:v>232.52000000000004</c:v>
                </c:pt>
                <c:pt idx="3">
                  <c:v>237.59</c:v>
                </c:pt>
                <c:pt idx="4">
                  <c:v>234.61</c:v>
                </c:pt>
                <c:pt idx="5">
                  <c:v>235.98999999999995</c:v>
                </c:pt>
                <c:pt idx="6">
                  <c:v>238.26999999999998</c:v>
                </c:pt>
                <c:pt idx="7">
                  <c:v>237.48000000000005</c:v>
                </c:pt>
                <c:pt idx="8">
                  <c:v>241.04000000000002</c:v>
                </c:pt>
                <c:pt idx="9">
                  <c:v>244.97000000000003</c:v>
                </c:pt>
                <c:pt idx="10">
                  <c:v>243.01999999999998</c:v>
                </c:pt>
                <c:pt idx="11">
                  <c:v>244.43000000000004</c:v>
                </c:pt>
                <c:pt idx="12">
                  <c:v>242.61999999999998</c:v>
                </c:pt>
                <c:pt idx="13">
                  <c:v>242.17000000000002</c:v>
                </c:pt>
                <c:pt idx="14">
                  <c:v>239.37000000000003</c:v>
                </c:pt>
                <c:pt idx="15">
                  <c:v>247.53000000000003</c:v>
                </c:pt>
                <c:pt idx="16">
                  <c:v>251.39000000000001</c:v>
                </c:pt>
                <c:pt idx="17">
                  <c:v>254.46000000000006</c:v>
                </c:pt>
                <c:pt idx="18">
                  <c:v>255.03999999999996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779-4B9A-B20F-4EAFADC22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9259471"/>
        <c:axId val="1700818431"/>
      </c:lineChart>
      <c:dateAx>
        <c:axId val="20392594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00818431"/>
        <c:crosses val="autoZero"/>
        <c:auto val="1"/>
        <c:lblOffset val="100"/>
        <c:baseTimeUnit val="days"/>
      </c:dateAx>
      <c:valAx>
        <c:axId val="170081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925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Invested</a:t>
            </a:r>
            <a:r>
              <a:rPr lang="de-CH" baseline="0"/>
              <a:t> Skins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Investments!$B$31</c:f>
              <c:strCache>
                <c:ptCount val="1"/>
                <c:pt idx="0">
                  <c:v>M4A4 Dark Blossom 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Investments!$C$31:$AA$31</c:f>
              <c:numCache>
                <c:formatCode>General</c:formatCode>
                <c:ptCount val="25"/>
                <c:pt idx="0">
                  <c:v>3.88</c:v>
                </c:pt>
                <c:pt idx="1">
                  <c:v>3.68</c:v>
                </c:pt>
                <c:pt idx="2">
                  <c:v>3.95</c:v>
                </c:pt>
                <c:pt idx="3">
                  <c:v>4.45</c:v>
                </c:pt>
                <c:pt idx="4">
                  <c:v>4.41</c:v>
                </c:pt>
                <c:pt idx="5">
                  <c:v>5.99</c:v>
                </c:pt>
                <c:pt idx="6">
                  <c:v>5.89</c:v>
                </c:pt>
                <c:pt idx="7">
                  <c:v>6.51</c:v>
                </c:pt>
                <c:pt idx="8">
                  <c:v>6.53</c:v>
                </c:pt>
                <c:pt idx="9">
                  <c:v>7.68</c:v>
                </c:pt>
                <c:pt idx="10">
                  <c:v>8.69</c:v>
                </c:pt>
                <c:pt idx="11">
                  <c:v>8.59</c:v>
                </c:pt>
                <c:pt idx="12">
                  <c:v>7.72</c:v>
                </c:pt>
                <c:pt idx="13">
                  <c:v>7.24</c:v>
                </c:pt>
                <c:pt idx="14">
                  <c:v>6.86</c:v>
                </c:pt>
                <c:pt idx="15">
                  <c:v>7.73</c:v>
                </c:pt>
                <c:pt idx="16">
                  <c:v>8.58</c:v>
                </c:pt>
                <c:pt idx="17">
                  <c:v>9.0500000000000007</c:v>
                </c:pt>
                <c:pt idx="18">
                  <c:v>9.33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93-4B33-9211-62206763B5D8}"/>
            </c:ext>
          </c:extLst>
        </c:ser>
        <c:ser>
          <c:idx val="1"/>
          <c:order val="1"/>
          <c:tx>
            <c:strRef>
              <c:f>Investments!$B$32</c:f>
              <c:strCache>
                <c:ptCount val="1"/>
                <c:pt idx="0">
                  <c:v>M4A4 Dark Blossom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Investments!$C$32:$AA$32</c:f>
              <c:numCache>
                <c:formatCode>General</c:formatCode>
                <c:ptCount val="25"/>
                <c:pt idx="0">
                  <c:v>3.48</c:v>
                </c:pt>
                <c:pt idx="1">
                  <c:v>3.52</c:v>
                </c:pt>
                <c:pt idx="2">
                  <c:v>3.93</c:v>
                </c:pt>
                <c:pt idx="3">
                  <c:v>4.28</c:v>
                </c:pt>
                <c:pt idx="4">
                  <c:v>4.5</c:v>
                </c:pt>
                <c:pt idx="5">
                  <c:v>5.8</c:v>
                </c:pt>
                <c:pt idx="6">
                  <c:v>5.7</c:v>
                </c:pt>
                <c:pt idx="7">
                  <c:v>6.3</c:v>
                </c:pt>
                <c:pt idx="8">
                  <c:v>6.26</c:v>
                </c:pt>
                <c:pt idx="9">
                  <c:v>7.32</c:v>
                </c:pt>
                <c:pt idx="10">
                  <c:v>7.99</c:v>
                </c:pt>
                <c:pt idx="11">
                  <c:v>8.44</c:v>
                </c:pt>
                <c:pt idx="12">
                  <c:v>8.14</c:v>
                </c:pt>
                <c:pt idx="13">
                  <c:v>7.19</c:v>
                </c:pt>
                <c:pt idx="14">
                  <c:v>6.37</c:v>
                </c:pt>
                <c:pt idx="15">
                  <c:v>6.86</c:v>
                </c:pt>
                <c:pt idx="16">
                  <c:v>8.0500000000000007</c:v>
                </c:pt>
                <c:pt idx="17">
                  <c:v>8.85</c:v>
                </c:pt>
                <c:pt idx="18">
                  <c:v>9.02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93-4B33-9211-62206763B5D8}"/>
            </c:ext>
          </c:extLst>
        </c:ser>
        <c:ser>
          <c:idx val="2"/>
          <c:order val="2"/>
          <c:tx>
            <c:strRef>
              <c:f>Investments!$B$33</c:f>
              <c:strCache>
                <c:ptCount val="1"/>
                <c:pt idx="0">
                  <c:v>XM1014 Banana Leaf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Investments!$C$33:$AA$33</c:f>
              <c:numCache>
                <c:formatCode>General</c:formatCode>
                <c:ptCount val="25"/>
                <c:pt idx="0">
                  <c:v>3.55</c:v>
                </c:pt>
                <c:pt idx="1">
                  <c:v>3.44</c:v>
                </c:pt>
                <c:pt idx="2">
                  <c:v>3.96</c:v>
                </c:pt>
                <c:pt idx="3">
                  <c:v>4.43</c:v>
                </c:pt>
                <c:pt idx="4">
                  <c:v>4.51</c:v>
                </c:pt>
                <c:pt idx="5">
                  <c:v>6.71</c:v>
                </c:pt>
                <c:pt idx="6">
                  <c:v>7.22</c:v>
                </c:pt>
                <c:pt idx="7">
                  <c:v>6.07</c:v>
                </c:pt>
                <c:pt idx="8">
                  <c:v>6.58</c:v>
                </c:pt>
                <c:pt idx="9">
                  <c:v>7.49</c:v>
                </c:pt>
                <c:pt idx="10">
                  <c:v>8.1300000000000008</c:v>
                </c:pt>
                <c:pt idx="11">
                  <c:v>8.51</c:v>
                </c:pt>
                <c:pt idx="12">
                  <c:v>7.87</c:v>
                </c:pt>
                <c:pt idx="13">
                  <c:v>7.56</c:v>
                </c:pt>
                <c:pt idx="14">
                  <c:v>6.94</c:v>
                </c:pt>
                <c:pt idx="15">
                  <c:v>7.04</c:v>
                </c:pt>
                <c:pt idx="16">
                  <c:v>7.9</c:v>
                </c:pt>
                <c:pt idx="17">
                  <c:v>9.69</c:v>
                </c:pt>
                <c:pt idx="18">
                  <c:v>9.7200000000000006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93-4B33-9211-62206763B5D8}"/>
            </c:ext>
          </c:extLst>
        </c:ser>
        <c:ser>
          <c:idx val="3"/>
          <c:order val="3"/>
          <c:tx>
            <c:strRef>
              <c:f>Investments!$B$34</c:f>
              <c:strCache>
                <c:ptCount val="1"/>
                <c:pt idx="0">
                  <c:v>XM1014 Banana Leaf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Investments!$C$34:$AA$34</c:f>
              <c:numCache>
                <c:formatCode>General</c:formatCode>
                <c:ptCount val="25"/>
                <c:pt idx="0">
                  <c:v>4.1399999999999997</c:v>
                </c:pt>
                <c:pt idx="1">
                  <c:v>3.9</c:v>
                </c:pt>
                <c:pt idx="2">
                  <c:v>3.9</c:v>
                </c:pt>
                <c:pt idx="3">
                  <c:v>4.72</c:v>
                </c:pt>
                <c:pt idx="4">
                  <c:v>5.0999999999999996</c:v>
                </c:pt>
                <c:pt idx="5">
                  <c:v>5.9</c:v>
                </c:pt>
                <c:pt idx="6">
                  <c:v>6.56</c:v>
                </c:pt>
                <c:pt idx="7">
                  <c:v>7.13</c:v>
                </c:pt>
                <c:pt idx="8">
                  <c:v>7.19</c:v>
                </c:pt>
                <c:pt idx="9">
                  <c:v>7.96</c:v>
                </c:pt>
                <c:pt idx="10">
                  <c:v>8.5399999999999991</c:v>
                </c:pt>
                <c:pt idx="11">
                  <c:v>8.32</c:v>
                </c:pt>
                <c:pt idx="12">
                  <c:v>8.1999999999999993</c:v>
                </c:pt>
                <c:pt idx="13">
                  <c:v>7.6</c:v>
                </c:pt>
                <c:pt idx="14">
                  <c:v>7.55</c:v>
                </c:pt>
                <c:pt idx="15">
                  <c:v>7.85</c:v>
                </c:pt>
                <c:pt idx="16">
                  <c:v>8.7799999999999994</c:v>
                </c:pt>
                <c:pt idx="17">
                  <c:v>9.06</c:v>
                </c:pt>
                <c:pt idx="18">
                  <c:v>10.08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93-4B33-9211-62206763B5D8}"/>
            </c:ext>
          </c:extLst>
        </c:ser>
        <c:ser>
          <c:idx val="4"/>
          <c:order val="4"/>
          <c:tx>
            <c:strRef>
              <c:f>Investments!$B$35</c:f>
              <c:strCache>
                <c:ptCount val="1"/>
                <c:pt idx="0">
                  <c:v>Tec-9 Rust Leaf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Investments!$C$35:$AA$35</c:f>
              <c:numCache>
                <c:formatCode>General</c:formatCode>
                <c:ptCount val="25"/>
                <c:pt idx="0">
                  <c:v>3.57</c:v>
                </c:pt>
                <c:pt idx="1">
                  <c:v>3.56</c:v>
                </c:pt>
                <c:pt idx="2">
                  <c:v>3.84</c:v>
                </c:pt>
                <c:pt idx="3">
                  <c:v>4.29</c:v>
                </c:pt>
                <c:pt idx="4">
                  <c:v>4.4000000000000004</c:v>
                </c:pt>
                <c:pt idx="5">
                  <c:v>5.67</c:v>
                </c:pt>
                <c:pt idx="6">
                  <c:v>5.87</c:v>
                </c:pt>
                <c:pt idx="7">
                  <c:v>6.3</c:v>
                </c:pt>
                <c:pt idx="8">
                  <c:v>6.23</c:v>
                </c:pt>
                <c:pt idx="9">
                  <c:v>7.42</c:v>
                </c:pt>
                <c:pt idx="10">
                  <c:v>7.86</c:v>
                </c:pt>
                <c:pt idx="11">
                  <c:v>8.2100000000000009</c:v>
                </c:pt>
                <c:pt idx="12">
                  <c:v>8.0500000000000007</c:v>
                </c:pt>
                <c:pt idx="13">
                  <c:v>7.96</c:v>
                </c:pt>
                <c:pt idx="14">
                  <c:v>7.24</c:v>
                </c:pt>
                <c:pt idx="15">
                  <c:v>6.93</c:v>
                </c:pt>
                <c:pt idx="16">
                  <c:v>7.97</c:v>
                </c:pt>
                <c:pt idx="17">
                  <c:v>8.89</c:v>
                </c:pt>
                <c:pt idx="18">
                  <c:v>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93-4B33-9211-62206763B5D8}"/>
            </c:ext>
          </c:extLst>
        </c:ser>
        <c:ser>
          <c:idx val="5"/>
          <c:order val="5"/>
          <c:tx>
            <c:strRef>
              <c:f>Investments!$B$36</c:f>
              <c:strCache>
                <c:ptCount val="1"/>
                <c:pt idx="0">
                  <c:v>Tec-9 Rust Leaf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Investments!$C$36:$AA$36</c:f>
              <c:numCache>
                <c:formatCode>General</c:formatCode>
                <c:ptCount val="25"/>
                <c:pt idx="0">
                  <c:v>3.49</c:v>
                </c:pt>
                <c:pt idx="1">
                  <c:v>3.76</c:v>
                </c:pt>
                <c:pt idx="2">
                  <c:v>4.03</c:v>
                </c:pt>
                <c:pt idx="3">
                  <c:v>4.41</c:v>
                </c:pt>
                <c:pt idx="4">
                  <c:v>4.76</c:v>
                </c:pt>
                <c:pt idx="5">
                  <c:v>6.12</c:v>
                </c:pt>
                <c:pt idx="6">
                  <c:v>6.58</c:v>
                </c:pt>
                <c:pt idx="7">
                  <c:v>6.58</c:v>
                </c:pt>
                <c:pt idx="8">
                  <c:v>6.57</c:v>
                </c:pt>
                <c:pt idx="9">
                  <c:v>7.69</c:v>
                </c:pt>
                <c:pt idx="10">
                  <c:v>8.5299999999999994</c:v>
                </c:pt>
                <c:pt idx="11">
                  <c:v>8.4600000000000009</c:v>
                </c:pt>
                <c:pt idx="12">
                  <c:v>8.48</c:v>
                </c:pt>
                <c:pt idx="13">
                  <c:v>7.97</c:v>
                </c:pt>
                <c:pt idx="14">
                  <c:v>7.9</c:v>
                </c:pt>
                <c:pt idx="15">
                  <c:v>7.89</c:v>
                </c:pt>
                <c:pt idx="16">
                  <c:v>8.59</c:v>
                </c:pt>
                <c:pt idx="17">
                  <c:v>9.3699999999999992</c:v>
                </c:pt>
                <c:pt idx="18">
                  <c:v>11.08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93-4B33-9211-62206763B5D8}"/>
            </c:ext>
          </c:extLst>
        </c:ser>
        <c:ser>
          <c:idx val="6"/>
          <c:order val="6"/>
          <c:tx>
            <c:strRef>
              <c:f>Investments!$B$37</c:f>
              <c:strCache>
                <c:ptCount val="1"/>
                <c:pt idx="0">
                  <c:v>P90 Sunset Lily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Investments!$C$30:$AA$30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Investments!$C$37:$AA$37</c:f>
              <c:numCache>
                <c:formatCode>General</c:formatCode>
                <c:ptCount val="25"/>
                <c:pt idx="0">
                  <c:v>3.5</c:v>
                </c:pt>
                <c:pt idx="1">
                  <c:v>3.7</c:v>
                </c:pt>
                <c:pt idx="2">
                  <c:v>3.9</c:v>
                </c:pt>
                <c:pt idx="3">
                  <c:v>4.2</c:v>
                </c:pt>
                <c:pt idx="4">
                  <c:v>4.5</c:v>
                </c:pt>
                <c:pt idx="5">
                  <c:v>6.6</c:v>
                </c:pt>
                <c:pt idx="6">
                  <c:v>6.41</c:v>
                </c:pt>
                <c:pt idx="7">
                  <c:v>6.41</c:v>
                </c:pt>
                <c:pt idx="8">
                  <c:v>6.56</c:v>
                </c:pt>
                <c:pt idx="9">
                  <c:v>8.83</c:v>
                </c:pt>
                <c:pt idx="10">
                  <c:v>9.61</c:v>
                </c:pt>
                <c:pt idx="11">
                  <c:v>9.02</c:v>
                </c:pt>
                <c:pt idx="12">
                  <c:v>8.69</c:v>
                </c:pt>
                <c:pt idx="13">
                  <c:v>8.19</c:v>
                </c:pt>
                <c:pt idx="14">
                  <c:v>7.37</c:v>
                </c:pt>
                <c:pt idx="15">
                  <c:v>7.63</c:v>
                </c:pt>
                <c:pt idx="16">
                  <c:v>8.23</c:v>
                </c:pt>
                <c:pt idx="17">
                  <c:v>9.16</c:v>
                </c:pt>
                <c:pt idx="18">
                  <c:v>9.89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D-4FF1-8D74-B34952C7F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2676319"/>
        <c:axId val="565131935"/>
      </c:lineChart>
      <c:dateAx>
        <c:axId val="622676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65131935"/>
        <c:crosses val="autoZero"/>
        <c:auto val="1"/>
        <c:lblOffset val="100"/>
        <c:baseTimeUnit val="days"/>
      </c:dateAx>
      <c:valAx>
        <c:axId val="56513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2267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Knives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Knives!$A$5</c:f>
              <c:strCache>
                <c:ptCount val="1"/>
                <c:pt idx="0">
                  <c:v>Bayonet Rust Coat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Knives!$B$4:$Z$4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Knives!$B$5:$Z$5</c:f>
              <c:numCache>
                <c:formatCode>General</c:formatCode>
                <c:ptCount val="25"/>
                <c:pt idx="0">
                  <c:v>196.27</c:v>
                </c:pt>
                <c:pt idx="1">
                  <c:v>201.82</c:v>
                </c:pt>
                <c:pt idx="2">
                  <c:v>197</c:v>
                </c:pt>
                <c:pt idx="3">
                  <c:v>196.88</c:v>
                </c:pt>
                <c:pt idx="4">
                  <c:v>207.18</c:v>
                </c:pt>
                <c:pt idx="5">
                  <c:v>209.46</c:v>
                </c:pt>
                <c:pt idx="6">
                  <c:v>201.89</c:v>
                </c:pt>
                <c:pt idx="7">
                  <c:v>202.48</c:v>
                </c:pt>
                <c:pt idx="8">
                  <c:v>196.23</c:v>
                </c:pt>
                <c:pt idx="9">
                  <c:v>204.01</c:v>
                </c:pt>
                <c:pt idx="10">
                  <c:v>206.61</c:v>
                </c:pt>
                <c:pt idx="11">
                  <c:v>209.15</c:v>
                </c:pt>
                <c:pt idx="12">
                  <c:v>207.58</c:v>
                </c:pt>
                <c:pt idx="13">
                  <c:v>207.32</c:v>
                </c:pt>
                <c:pt idx="14">
                  <c:v>202.17</c:v>
                </c:pt>
                <c:pt idx="15">
                  <c:v>201.3</c:v>
                </c:pt>
                <c:pt idx="16">
                  <c:v>201.79</c:v>
                </c:pt>
                <c:pt idx="17">
                  <c:v>203.29</c:v>
                </c:pt>
                <c:pt idx="18">
                  <c:v>201.2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A-4747-95D1-F09DC4C6A2ED}"/>
            </c:ext>
          </c:extLst>
        </c:ser>
        <c:ser>
          <c:idx val="1"/>
          <c:order val="1"/>
          <c:tx>
            <c:strRef>
              <c:f>Knives!$A$6</c:f>
              <c:strCache>
                <c:ptCount val="1"/>
                <c:pt idx="0">
                  <c:v>Butterfly Knife Tiger Tooth 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Knives!$B$4:$Z$4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Knives!$B$6:$Z$6</c:f>
              <c:numCache>
                <c:formatCode>General</c:formatCode>
                <c:ptCount val="25"/>
                <c:pt idx="0">
                  <c:v>1201.5999999999999</c:v>
                </c:pt>
                <c:pt idx="1">
                  <c:v>1205.46</c:v>
                </c:pt>
                <c:pt idx="2">
                  <c:v>1261.0999999999999</c:v>
                </c:pt>
                <c:pt idx="3">
                  <c:v>1261.06</c:v>
                </c:pt>
                <c:pt idx="4">
                  <c:v>1261.06</c:v>
                </c:pt>
                <c:pt idx="5">
                  <c:v>1230.57</c:v>
                </c:pt>
                <c:pt idx="6">
                  <c:v>1294.3599999999999</c:v>
                </c:pt>
                <c:pt idx="7">
                  <c:v>1294.3599999999999</c:v>
                </c:pt>
                <c:pt idx="8">
                  <c:v>1290.31</c:v>
                </c:pt>
                <c:pt idx="9">
                  <c:v>1427.45</c:v>
                </c:pt>
                <c:pt idx="10">
                  <c:v>1391</c:v>
                </c:pt>
                <c:pt idx="11">
                  <c:v>1383.65</c:v>
                </c:pt>
                <c:pt idx="12">
                  <c:v>1363.98</c:v>
                </c:pt>
                <c:pt idx="13">
                  <c:v>1354.05</c:v>
                </c:pt>
                <c:pt idx="14">
                  <c:v>1341.3</c:v>
                </c:pt>
                <c:pt idx="15">
                  <c:v>1341.3</c:v>
                </c:pt>
                <c:pt idx="16">
                  <c:v>1354.94</c:v>
                </c:pt>
                <c:pt idx="17">
                  <c:v>1364.6</c:v>
                </c:pt>
                <c:pt idx="18">
                  <c:v>1349.99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A-4747-95D1-F09DC4C6A2ED}"/>
            </c:ext>
          </c:extLst>
        </c:ser>
        <c:ser>
          <c:idx val="2"/>
          <c:order val="2"/>
          <c:tx>
            <c:strRef>
              <c:f>Knives!$A$7</c:f>
              <c:strCache>
                <c:ptCount val="1"/>
                <c:pt idx="0">
                  <c:v>Flip Knife Freehand 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Knives!$B$4:$Z$4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Knives!$B$7:$Z$7</c:f>
              <c:numCache>
                <c:formatCode>General</c:formatCode>
                <c:ptCount val="25"/>
                <c:pt idx="0">
                  <c:v>194.62</c:v>
                </c:pt>
                <c:pt idx="1">
                  <c:v>191.6</c:v>
                </c:pt>
                <c:pt idx="2">
                  <c:v>180.11</c:v>
                </c:pt>
                <c:pt idx="3">
                  <c:v>192.42</c:v>
                </c:pt>
                <c:pt idx="4">
                  <c:v>192.42</c:v>
                </c:pt>
                <c:pt idx="5">
                  <c:v>191.29</c:v>
                </c:pt>
                <c:pt idx="6">
                  <c:v>183.02</c:v>
                </c:pt>
                <c:pt idx="7">
                  <c:v>190.84</c:v>
                </c:pt>
                <c:pt idx="8">
                  <c:v>183.2</c:v>
                </c:pt>
                <c:pt idx="9">
                  <c:v>188.79</c:v>
                </c:pt>
                <c:pt idx="10">
                  <c:v>188.98</c:v>
                </c:pt>
                <c:pt idx="11">
                  <c:v>181.09</c:v>
                </c:pt>
                <c:pt idx="12">
                  <c:v>190.1</c:v>
                </c:pt>
                <c:pt idx="13">
                  <c:v>189.75</c:v>
                </c:pt>
                <c:pt idx="14">
                  <c:v>180.74</c:v>
                </c:pt>
                <c:pt idx="15">
                  <c:v>189.61</c:v>
                </c:pt>
                <c:pt idx="16">
                  <c:v>186.36</c:v>
                </c:pt>
                <c:pt idx="17">
                  <c:v>180.21</c:v>
                </c:pt>
                <c:pt idx="18">
                  <c:v>164.58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4A-4747-95D1-F09DC4C6A2ED}"/>
            </c:ext>
          </c:extLst>
        </c:ser>
        <c:ser>
          <c:idx val="3"/>
          <c:order val="3"/>
          <c:tx>
            <c:strRef>
              <c:f>Knives!$A$8</c:f>
              <c:strCache>
                <c:ptCount val="1"/>
                <c:pt idx="0">
                  <c:v>Karambit Ultraviolet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Knives!$B$4:$Z$4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Knives!$B$8:$Z$8</c:f>
              <c:numCache>
                <c:formatCode>General</c:formatCode>
                <c:ptCount val="25"/>
                <c:pt idx="0">
                  <c:v>380.55</c:v>
                </c:pt>
                <c:pt idx="1">
                  <c:v>383.02</c:v>
                </c:pt>
                <c:pt idx="2">
                  <c:v>361.9</c:v>
                </c:pt>
                <c:pt idx="3">
                  <c:v>361.97</c:v>
                </c:pt>
                <c:pt idx="4">
                  <c:v>372.41</c:v>
                </c:pt>
                <c:pt idx="5">
                  <c:v>365.9</c:v>
                </c:pt>
                <c:pt idx="6">
                  <c:v>334.61</c:v>
                </c:pt>
                <c:pt idx="7">
                  <c:v>355.59</c:v>
                </c:pt>
                <c:pt idx="8">
                  <c:v>350.79</c:v>
                </c:pt>
                <c:pt idx="9">
                  <c:v>385.29</c:v>
                </c:pt>
                <c:pt idx="10">
                  <c:v>391.15</c:v>
                </c:pt>
                <c:pt idx="11">
                  <c:v>391.41</c:v>
                </c:pt>
                <c:pt idx="12">
                  <c:v>370.36</c:v>
                </c:pt>
                <c:pt idx="13">
                  <c:v>386.6</c:v>
                </c:pt>
                <c:pt idx="14">
                  <c:v>386.45</c:v>
                </c:pt>
                <c:pt idx="15">
                  <c:v>382.76</c:v>
                </c:pt>
                <c:pt idx="16">
                  <c:v>397.01</c:v>
                </c:pt>
                <c:pt idx="17">
                  <c:v>406.58</c:v>
                </c:pt>
                <c:pt idx="18">
                  <c:v>384.98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4A-4747-95D1-F09DC4C6A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203007"/>
        <c:axId val="1695690847"/>
      </c:lineChart>
      <c:dateAx>
        <c:axId val="19162030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690847"/>
        <c:crosses val="autoZero"/>
        <c:auto val="1"/>
        <c:lblOffset val="100"/>
        <c:baseTimeUnit val="days"/>
      </c:dateAx>
      <c:valAx>
        <c:axId val="169569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62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AWP-Skins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AWP!$A$5</c:f>
              <c:strCache>
                <c:ptCount val="1"/>
                <c:pt idx="0">
                  <c:v>Fewer Dream MW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AWP!$B$5:$Z$5</c:f>
              <c:numCache>
                <c:formatCode>General</c:formatCode>
                <c:ptCount val="25"/>
                <c:pt idx="0">
                  <c:v>7.47</c:v>
                </c:pt>
                <c:pt idx="1">
                  <c:v>7.52</c:v>
                </c:pt>
                <c:pt idx="2">
                  <c:v>7.36</c:v>
                </c:pt>
                <c:pt idx="3">
                  <c:v>7.24</c:v>
                </c:pt>
                <c:pt idx="4">
                  <c:v>7.42</c:v>
                </c:pt>
                <c:pt idx="5">
                  <c:v>7.21</c:v>
                </c:pt>
                <c:pt idx="6">
                  <c:v>7.03</c:v>
                </c:pt>
                <c:pt idx="7">
                  <c:v>7.44</c:v>
                </c:pt>
                <c:pt idx="8">
                  <c:v>7.33</c:v>
                </c:pt>
                <c:pt idx="9">
                  <c:v>6.98</c:v>
                </c:pt>
                <c:pt idx="10">
                  <c:v>6.95</c:v>
                </c:pt>
                <c:pt idx="11">
                  <c:v>6.92</c:v>
                </c:pt>
                <c:pt idx="12">
                  <c:v>7.05</c:v>
                </c:pt>
                <c:pt idx="13">
                  <c:v>6.62</c:v>
                </c:pt>
                <c:pt idx="14">
                  <c:v>6.71</c:v>
                </c:pt>
                <c:pt idx="15">
                  <c:v>7.14</c:v>
                </c:pt>
                <c:pt idx="16">
                  <c:v>6.86</c:v>
                </c:pt>
                <c:pt idx="17">
                  <c:v>7.3</c:v>
                </c:pt>
                <c:pt idx="18">
                  <c:v>7.04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0-4C49-BEEA-FE813D36E1D1}"/>
            </c:ext>
          </c:extLst>
        </c:ser>
        <c:ser>
          <c:idx val="1"/>
          <c:order val="1"/>
          <c:tx>
            <c:strRef>
              <c:f>AWP!$A$6</c:f>
              <c:strCache>
                <c:ptCount val="1"/>
                <c:pt idx="0">
                  <c:v>Elite Build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AWP!$B$6:$Z$6</c:f>
              <c:numCache>
                <c:formatCode>General</c:formatCode>
                <c:ptCount val="25"/>
                <c:pt idx="0">
                  <c:v>6.81</c:v>
                </c:pt>
                <c:pt idx="1">
                  <c:v>7.26</c:v>
                </c:pt>
                <c:pt idx="2">
                  <c:v>7.22</c:v>
                </c:pt>
                <c:pt idx="3">
                  <c:v>6.73</c:v>
                </c:pt>
                <c:pt idx="4">
                  <c:v>6.71</c:v>
                </c:pt>
                <c:pt idx="5">
                  <c:v>6.73</c:v>
                </c:pt>
                <c:pt idx="6">
                  <c:v>6.97</c:v>
                </c:pt>
                <c:pt idx="7">
                  <c:v>7.34</c:v>
                </c:pt>
                <c:pt idx="8">
                  <c:v>7.18</c:v>
                </c:pt>
                <c:pt idx="9">
                  <c:v>6.93</c:v>
                </c:pt>
                <c:pt idx="10">
                  <c:v>6.5</c:v>
                </c:pt>
                <c:pt idx="11">
                  <c:v>6.4</c:v>
                </c:pt>
                <c:pt idx="12">
                  <c:v>7.28</c:v>
                </c:pt>
                <c:pt idx="13">
                  <c:v>7.32</c:v>
                </c:pt>
                <c:pt idx="14">
                  <c:v>7.71</c:v>
                </c:pt>
                <c:pt idx="15">
                  <c:v>7.27</c:v>
                </c:pt>
                <c:pt idx="16">
                  <c:v>7.36</c:v>
                </c:pt>
                <c:pt idx="17">
                  <c:v>7.14</c:v>
                </c:pt>
                <c:pt idx="18">
                  <c:v>7.32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0-4C49-BEEA-FE813D36E1D1}"/>
            </c:ext>
          </c:extLst>
        </c:ser>
        <c:ser>
          <c:idx val="2"/>
          <c:order val="2"/>
          <c:tx>
            <c:strRef>
              <c:f>AWP!$A$7</c:f>
              <c:strCache>
                <c:ptCount val="1"/>
                <c:pt idx="0">
                  <c:v>Stattrak Hyper Beast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AWP!$B$7:$Z$7</c:f>
              <c:numCache>
                <c:formatCode>General</c:formatCode>
                <c:ptCount val="25"/>
                <c:pt idx="0">
                  <c:v>74.08</c:v>
                </c:pt>
                <c:pt idx="1">
                  <c:v>71.31</c:v>
                </c:pt>
                <c:pt idx="2">
                  <c:v>71.88</c:v>
                </c:pt>
                <c:pt idx="3">
                  <c:v>71.23</c:v>
                </c:pt>
                <c:pt idx="4">
                  <c:v>70.58</c:v>
                </c:pt>
                <c:pt idx="5">
                  <c:v>65.36</c:v>
                </c:pt>
                <c:pt idx="6">
                  <c:v>73.31</c:v>
                </c:pt>
                <c:pt idx="7">
                  <c:v>73.31</c:v>
                </c:pt>
                <c:pt idx="8">
                  <c:v>72.87</c:v>
                </c:pt>
                <c:pt idx="9">
                  <c:v>84.58</c:v>
                </c:pt>
                <c:pt idx="10">
                  <c:v>84.44</c:v>
                </c:pt>
                <c:pt idx="11">
                  <c:v>75.84</c:v>
                </c:pt>
                <c:pt idx="12">
                  <c:v>76.16</c:v>
                </c:pt>
                <c:pt idx="13">
                  <c:v>69.569999999999993</c:v>
                </c:pt>
                <c:pt idx="14">
                  <c:v>74.78</c:v>
                </c:pt>
                <c:pt idx="15">
                  <c:v>75.67</c:v>
                </c:pt>
                <c:pt idx="16">
                  <c:v>83.34</c:v>
                </c:pt>
                <c:pt idx="17">
                  <c:v>78.56</c:v>
                </c:pt>
                <c:pt idx="18">
                  <c:v>78.23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0-4C49-BEEA-FE813D36E1D1}"/>
            </c:ext>
          </c:extLst>
        </c:ser>
        <c:ser>
          <c:idx val="3"/>
          <c:order val="3"/>
          <c:tx>
            <c:strRef>
              <c:f>AWP!$A$8</c:f>
              <c:strCache>
                <c:ptCount val="1"/>
                <c:pt idx="0">
                  <c:v>Mortis MW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AWP!$B$8:$Z$8</c:f>
              <c:numCache>
                <c:formatCode>General</c:formatCode>
                <c:ptCount val="25"/>
                <c:pt idx="0">
                  <c:v>3.23</c:v>
                </c:pt>
                <c:pt idx="1">
                  <c:v>3.14</c:v>
                </c:pt>
                <c:pt idx="2">
                  <c:v>3.5</c:v>
                </c:pt>
                <c:pt idx="3">
                  <c:v>3.27</c:v>
                </c:pt>
                <c:pt idx="4">
                  <c:v>3.28</c:v>
                </c:pt>
                <c:pt idx="5">
                  <c:v>3.41</c:v>
                </c:pt>
                <c:pt idx="6">
                  <c:v>3.47</c:v>
                </c:pt>
                <c:pt idx="7">
                  <c:v>3.16</c:v>
                </c:pt>
                <c:pt idx="8">
                  <c:v>3.26</c:v>
                </c:pt>
                <c:pt idx="9">
                  <c:v>3.28</c:v>
                </c:pt>
                <c:pt idx="10">
                  <c:v>3.29</c:v>
                </c:pt>
                <c:pt idx="11">
                  <c:v>3.38</c:v>
                </c:pt>
                <c:pt idx="12">
                  <c:v>3.25</c:v>
                </c:pt>
                <c:pt idx="13">
                  <c:v>3.26</c:v>
                </c:pt>
                <c:pt idx="14">
                  <c:v>3.19</c:v>
                </c:pt>
                <c:pt idx="15">
                  <c:v>3.39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0-4C49-BEEA-FE813D36E1D1}"/>
            </c:ext>
          </c:extLst>
        </c:ser>
        <c:ser>
          <c:idx val="4"/>
          <c:order val="4"/>
          <c:tx>
            <c:strRef>
              <c:f>AWP!$A$9</c:f>
              <c:strCache>
                <c:ptCount val="1"/>
                <c:pt idx="0">
                  <c:v>Boom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AWP!$B$9:$Z$9</c:f>
              <c:numCache>
                <c:formatCode>General</c:formatCode>
                <c:ptCount val="25"/>
                <c:pt idx="0">
                  <c:v>52.57</c:v>
                </c:pt>
                <c:pt idx="1">
                  <c:v>50.84</c:v>
                </c:pt>
                <c:pt idx="2">
                  <c:v>61.12</c:v>
                </c:pt>
                <c:pt idx="3">
                  <c:v>54.92</c:v>
                </c:pt>
                <c:pt idx="4">
                  <c:v>54.99</c:v>
                </c:pt>
                <c:pt idx="5">
                  <c:v>52.25</c:v>
                </c:pt>
                <c:pt idx="6">
                  <c:v>56.03</c:v>
                </c:pt>
                <c:pt idx="7">
                  <c:v>55.57</c:v>
                </c:pt>
                <c:pt idx="8">
                  <c:v>54.76</c:v>
                </c:pt>
                <c:pt idx="9">
                  <c:v>54.99</c:v>
                </c:pt>
                <c:pt idx="10">
                  <c:v>54.7</c:v>
                </c:pt>
                <c:pt idx="11">
                  <c:v>52.32</c:v>
                </c:pt>
                <c:pt idx="12">
                  <c:v>54.62</c:v>
                </c:pt>
                <c:pt idx="13">
                  <c:v>55.38</c:v>
                </c:pt>
                <c:pt idx="14">
                  <c:v>53.77</c:v>
                </c:pt>
                <c:pt idx="15">
                  <c:v>56.08</c:v>
                </c:pt>
                <c:pt idx="16">
                  <c:v>56.08</c:v>
                </c:pt>
                <c:pt idx="17">
                  <c:v>57.36</c:v>
                </c:pt>
                <c:pt idx="18">
                  <c:v>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30-4C49-BEEA-FE813D36E1D1}"/>
            </c:ext>
          </c:extLst>
        </c:ser>
        <c:ser>
          <c:idx val="5"/>
          <c:order val="5"/>
          <c:tx>
            <c:strRef>
              <c:f>AWP!$A$10</c:f>
              <c:strCache>
                <c:ptCount val="1"/>
                <c:pt idx="0">
                  <c:v>Neo-Noir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AWP!$B$10:$Z$10</c:f>
              <c:numCache>
                <c:formatCode>General</c:formatCode>
                <c:ptCount val="25"/>
                <c:pt idx="0">
                  <c:v>47</c:v>
                </c:pt>
                <c:pt idx="1">
                  <c:v>45.93</c:v>
                </c:pt>
                <c:pt idx="2">
                  <c:v>44.54</c:v>
                </c:pt>
                <c:pt idx="3">
                  <c:v>45.51</c:v>
                </c:pt>
                <c:pt idx="4">
                  <c:v>46.05</c:v>
                </c:pt>
                <c:pt idx="5">
                  <c:v>46.08</c:v>
                </c:pt>
                <c:pt idx="6">
                  <c:v>46.57</c:v>
                </c:pt>
                <c:pt idx="7">
                  <c:v>47.69</c:v>
                </c:pt>
                <c:pt idx="8">
                  <c:v>44.11</c:v>
                </c:pt>
                <c:pt idx="9">
                  <c:v>44.01</c:v>
                </c:pt>
                <c:pt idx="10">
                  <c:v>45.22</c:v>
                </c:pt>
                <c:pt idx="11">
                  <c:v>46.55</c:v>
                </c:pt>
                <c:pt idx="12">
                  <c:v>46.98</c:v>
                </c:pt>
                <c:pt idx="13">
                  <c:v>43.94</c:v>
                </c:pt>
                <c:pt idx="14">
                  <c:v>46.39</c:v>
                </c:pt>
                <c:pt idx="15">
                  <c:v>46.37</c:v>
                </c:pt>
                <c:pt idx="16">
                  <c:v>47.84</c:v>
                </c:pt>
                <c:pt idx="17">
                  <c:v>44.88</c:v>
                </c:pt>
                <c:pt idx="18">
                  <c:v>48.07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30-4C49-BEEA-FE813D36E1D1}"/>
            </c:ext>
          </c:extLst>
        </c:ser>
        <c:ser>
          <c:idx val="6"/>
          <c:order val="6"/>
          <c:tx>
            <c:strRef>
              <c:f>AWP!$A$11</c:f>
              <c:strCache>
                <c:ptCount val="1"/>
                <c:pt idx="0">
                  <c:v>Atheris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AWP!$B$4:$Z$4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AWP!$B$11:$Z$11</c:f>
              <c:numCache>
                <c:formatCode>General</c:formatCode>
                <c:ptCount val="25"/>
                <c:pt idx="0">
                  <c:v>4.3099999999999996</c:v>
                </c:pt>
                <c:pt idx="1">
                  <c:v>4.54</c:v>
                </c:pt>
                <c:pt idx="2">
                  <c:v>4.37</c:v>
                </c:pt>
                <c:pt idx="3">
                  <c:v>4.41</c:v>
                </c:pt>
                <c:pt idx="4">
                  <c:v>4.16</c:v>
                </c:pt>
                <c:pt idx="5">
                  <c:v>4.4000000000000004</c:v>
                </c:pt>
                <c:pt idx="6">
                  <c:v>4.7300000000000004</c:v>
                </c:pt>
                <c:pt idx="7">
                  <c:v>4.6900000000000004</c:v>
                </c:pt>
                <c:pt idx="8">
                  <c:v>4.54</c:v>
                </c:pt>
                <c:pt idx="9">
                  <c:v>4.53</c:v>
                </c:pt>
                <c:pt idx="10">
                  <c:v>4.55</c:v>
                </c:pt>
                <c:pt idx="11">
                  <c:v>4.22</c:v>
                </c:pt>
                <c:pt idx="12">
                  <c:v>4.3899999999999997</c:v>
                </c:pt>
                <c:pt idx="13">
                  <c:v>4.2300000000000004</c:v>
                </c:pt>
                <c:pt idx="14">
                  <c:v>4.0599999999999996</c:v>
                </c:pt>
                <c:pt idx="15">
                  <c:v>4.2300000000000004</c:v>
                </c:pt>
                <c:pt idx="16">
                  <c:v>4.62</c:v>
                </c:pt>
                <c:pt idx="17">
                  <c:v>4.07</c:v>
                </c:pt>
                <c:pt idx="18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30-4C49-BEEA-FE813D36E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146207"/>
        <c:axId val="1695692927"/>
      </c:lineChart>
      <c:dateAx>
        <c:axId val="19161462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692927"/>
        <c:crosses val="autoZero"/>
        <c:auto val="1"/>
        <c:lblOffset val="100"/>
        <c:baseTimeUnit val="days"/>
      </c:dateAx>
      <c:valAx>
        <c:axId val="169569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614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M4A4-Skins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M4A4!$A$5</c:f>
              <c:strCache>
                <c:ptCount val="1"/>
                <c:pt idx="0">
                  <c:v>Stattrak Dragon King MW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M4A4!$B$5:$Z$5</c:f>
              <c:numCache>
                <c:formatCode>General</c:formatCode>
                <c:ptCount val="25"/>
                <c:pt idx="0">
                  <c:v>37.31</c:v>
                </c:pt>
                <c:pt idx="1">
                  <c:v>36.880000000000003</c:v>
                </c:pt>
                <c:pt idx="2">
                  <c:v>38.799999999999997</c:v>
                </c:pt>
                <c:pt idx="3">
                  <c:v>37.92</c:v>
                </c:pt>
                <c:pt idx="4">
                  <c:v>39.03</c:v>
                </c:pt>
                <c:pt idx="5">
                  <c:v>38.35</c:v>
                </c:pt>
                <c:pt idx="6">
                  <c:v>37.799999999999997</c:v>
                </c:pt>
                <c:pt idx="7">
                  <c:v>36.909999999999997</c:v>
                </c:pt>
                <c:pt idx="8">
                  <c:v>35.35</c:v>
                </c:pt>
                <c:pt idx="9">
                  <c:v>38.06</c:v>
                </c:pt>
                <c:pt idx="10">
                  <c:v>35.93</c:v>
                </c:pt>
                <c:pt idx="11">
                  <c:v>36.22</c:v>
                </c:pt>
                <c:pt idx="12">
                  <c:v>35.090000000000003</c:v>
                </c:pt>
                <c:pt idx="13">
                  <c:v>36.14</c:v>
                </c:pt>
                <c:pt idx="14">
                  <c:v>36.81</c:v>
                </c:pt>
                <c:pt idx="15">
                  <c:v>37.950000000000003</c:v>
                </c:pt>
                <c:pt idx="16">
                  <c:v>39.409999999999997</c:v>
                </c:pt>
                <c:pt idx="17">
                  <c:v>37.04</c:v>
                </c:pt>
                <c:pt idx="18">
                  <c:v>39.44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E-47A1-A1F4-2E8C77CEF40C}"/>
            </c:ext>
          </c:extLst>
        </c:ser>
        <c:ser>
          <c:idx val="1"/>
          <c:order val="1"/>
          <c:tx>
            <c:strRef>
              <c:f>M4A4!$A$6</c:f>
              <c:strCache>
                <c:ptCount val="1"/>
                <c:pt idx="0">
                  <c:v>Desolate Space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M4A4!$B$6:$Z$6</c:f>
              <c:numCache>
                <c:formatCode>General</c:formatCode>
                <c:ptCount val="25"/>
                <c:pt idx="0">
                  <c:v>13.77</c:v>
                </c:pt>
                <c:pt idx="1">
                  <c:v>14.43</c:v>
                </c:pt>
                <c:pt idx="2">
                  <c:v>13.96</c:v>
                </c:pt>
                <c:pt idx="3">
                  <c:v>13.19</c:v>
                </c:pt>
                <c:pt idx="4">
                  <c:v>14.41</c:v>
                </c:pt>
                <c:pt idx="5">
                  <c:v>14.08</c:v>
                </c:pt>
                <c:pt idx="6">
                  <c:v>14.66</c:v>
                </c:pt>
                <c:pt idx="7">
                  <c:v>13.65</c:v>
                </c:pt>
                <c:pt idx="8">
                  <c:v>13.29</c:v>
                </c:pt>
                <c:pt idx="9">
                  <c:v>13.64</c:v>
                </c:pt>
                <c:pt idx="10">
                  <c:v>13.24</c:v>
                </c:pt>
                <c:pt idx="11">
                  <c:v>13.22</c:v>
                </c:pt>
                <c:pt idx="12">
                  <c:v>13.98</c:v>
                </c:pt>
                <c:pt idx="13">
                  <c:v>13.53</c:v>
                </c:pt>
                <c:pt idx="14">
                  <c:v>13.74</c:v>
                </c:pt>
                <c:pt idx="15">
                  <c:v>13.68</c:v>
                </c:pt>
                <c:pt idx="16">
                  <c:v>13.85</c:v>
                </c:pt>
                <c:pt idx="17">
                  <c:v>12.95</c:v>
                </c:pt>
                <c:pt idx="18">
                  <c:v>13.12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E-47A1-A1F4-2E8C77CEF40C}"/>
            </c:ext>
          </c:extLst>
        </c:ser>
        <c:ser>
          <c:idx val="2"/>
          <c:order val="2"/>
          <c:tx>
            <c:strRef>
              <c:f>M4A4!$A$7</c:f>
              <c:strCache>
                <c:ptCount val="1"/>
                <c:pt idx="0">
                  <c:v>Bullet Rain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M4A4!$B$7:$Z$7</c:f>
              <c:numCache>
                <c:formatCode>General</c:formatCode>
                <c:ptCount val="25"/>
                <c:pt idx="0">
                  <c:v>17.309999999999999</c:v>
                </c:pt>
                <c:pt idx="1">
                  <c:v>16.39</c:v>
                </c:pt>
                <c:pt idx="2">
                  <c:v>18.760000000000002</c:v>
                </c:pt>
                <c:pt idx="3">
                  <c:v>18.239999999999998</c:v>
                </c:pt>
                <c:pt idx="4">
                  <c:v>18.28</c:v>
                </c:pt>
                <c:pt idx="5">
                  <c:v>17.510000000000002</c:v>
                </c:pt>
                <c:pt idx="6">
                  <c:v>17.170000000000002</c:v>
                </c:pt>
                <c:pt idx="7">
                  <c:v>18.43</c:v>
                </c:pt>
                <c:pt idx="8">
                  <c:v>17.95</c:v>
                </c:pt>
                <c:pt idx="9">
                  <c:v>18.690000000000001</c:v>
                </c:pt>
                <c:pt idx="10">
                  <c:v>17.260000000000002</c:v>
                </c:pt>
                <c:pt idx="11">
                  <c:v>18.41</c:v>
                </c:pt>
                <c:pt idx="12">
                  <c:v>18.350000000000001</c:v>
                </c:pt>
                <c:pt idx="13">
                  <c:v>18.91</c:v>
                </c:pt>
                <c:pt idx="14">
                  <c:v>17.68</c:v>
                </c:pt>
                <c:pt idx="15">
                  <c:v>18.25</c:v>
                </c:pt>
                <c:pt idx="16">
                  <c:v>18.32</c:v>
                </c:pt>
                <c:pt idx="17">
                  <c:v>18.260000000000002</c:v>
                </c:pt>
                <c:pt idx="18">
                  <c:v>17.87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E-47A1-A1F4-2E8C77CEF40C}"/>
            </c:ext>
          </c:extLst>
        </c:ser>
        <c:ser>
          <c:idx val="3"/>
          <c:order val="3"/>
          <c:tx>
            <c:strRef>
              <c:f>M4A4!$A$8</c:f>
              <c:strCache>
                <c:ptCount val="1"/>
                <c:pt idx="0">
                  <c:v>Evil Daimyo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M4A4!$B$8:$Z$8</c:f>
              <c:numCache>
                <c:formatCode>General</c:formatCode>
                <c:ptCount val="25"/>
                <c:pt idx="0">
                  <c:v>6.9</c:v>
                </c:pt>
                <c:pt idx="1">
                  <c:v>7.37</c:v>
                </c:pt>
                <c:pt idx="2">
                  <c:v>6.99</c:v>
                </c:pt>
                <c:pt idx="3">
                  <c:v>6.87</c:v>
                </c:pt>
                <c:pt idx="4">
                  <c:v>6.82</c:v>
                </c:pt>
                <c:pt idx="5">
                  <c:v>7.06</c:v>
                </c:pt>
                <c:pt idx="6">
                  <c:v>6.74</c:v>
                </c:pt>
                <c:pt idx="7">
                  <c:v>7.04</c:v>
                </c:pt>
                <c:pt idx="8">
                  <c:v>6.99</c:v>
                </c:pt>
                <c:pt idx="9">
                  <c:v>7.14</c:v>
                </c:pt>
                <c:pt idx="10">
                  <c:v>6.68</c:v>
                </c:pt>
                <c:pt idx="11">
                  <c:v>6.85</c:v>
                </c:pt>
                <c:pt idx="12">
                  <c:v>6.98</c:v>
                </c:pt>
                <c:pt idx="13">
                  <c:v>7.03</c:v>
                </c:pt>
                <c:pt idx="14">
                  <c:v>6.48</c:v>
                </c:pt>
                <c:pt idx="15">
                  <c:v>6.63</c:v>
                </c:pt>
                <c:pt idx="16">
                  <c:v>6.64</c:v>
                </c:pt>
                <c:pt idx="17">
                  <c:v>7.06</c:v>
                </c:pt>
                <c:pt idx="18">
                  <c:v>6.58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AE-47A1-A1F4-2E8C77CEF40C}"/>
            </c:ext>
          </c:extLst>
        </c:ser>
        <c:ser>
          <c:idx val="4"/>
          <c:order val="4"/>
          <c:tx>
            <c:strRef>
              <c:f>M4A4!$A$9</c:f>
              <c:strCache>
                <c:ptCount val="1"/>
                <c:pt idx="0">
                  <c:v>Hellfire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M4A4!$B$9:$Z$9</c:f>
              <c:numCache>
                <c:formatCode>General</c:formatCode>
                <c:ptCount val="25"/>
                <c:pt idx="0">
                  <c:v>26.86</c:v>
                </c:pt>
                <c:pt idx="1">
                  <c:v>25.93</c:v>
                </c:pt>
                <c:pt idx="2">
                  <c:v>25.2</c:v>
                </c:pt>
                <c:pt idx="3">
                  <c:v>26.25</c:v>
                </c:pt>
                <c:pt idx="4">
                  <c:v>26.3</c:v>
                </c:pt>
                <c:pt idx="5">
                  <c:v>26.9</c:v>
                </c:pt>
                <c:pt idx="6">
                  <c:v>24.86</c:v>
                </c:pt>
                <c:pt idx="7">
                  <c:v>27.3</c:v>
                </c:pt>
                <c:pt idx="8">
                  <c:v>25.21</c:v>
                </c:pt>
                <c:pt idx="9">
                  <c:v>26.11</c:v>
                </c:pt>
                <c:pt idx="10">
                  <c:v>27.42</c:v>
                </c:pt>
                <c:pt idx="11">
                  <c:v>27.34</c:v>
                </c:pt>
                <c:pt idx="12">
                  <c:v>27.33</c:v>
                </c:pt>
                <c:pt idx="13">
                  <c:v>28.52</c:v>
                </c:pt>
                <c:pt idx="14">
                  <c:v>28.58</c:v>
                </c:pt>
                <c:pt idx="15">
                  <c:v>29.09</c:v>
                </c:pt>
                <c:pt idx="16">
                  <c:v>29.49</c:v>
                </c:pt>
                <c:pt idx="17">
                  <c:v>28.06</c:v>
                </c:pt>
                <c:pt idx="18">
                  <c:v>32.92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AE-47A1-A1F4-2E8C77CEF40C}"/>
            </c:ext>
          </c:extLst>
        </c:ser>
        <c:ser>
          <c:idx val="5"/>
          <c:order val="5"/>
          <c:tx>
            <c:strRef>
              <c:f>M4A4!$A$10</c:f>
              <c:strCache>
                <c:ptCount val="1"/>
                <c:pt idx="0">
                  <c:v>Neo-Noir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M4A4!$B$10:$Z$10</c:f>
              <c:numCache>
                <c:formatCode>General</c:formatCode>
                <c:ptCount val="25"/>
                <c:pt idx="0">
                  <c:v>29.07</c:v>
                </c:pt>
                <c:pt idx="1">
                  <c:v>29.37</c:v>
                </c:pt>
                <c:pt idx="2">
                  <c:v>26.79</c:v>
                </c:pt>
                <c:pt idx="3">
                  <c:v>27.5</c:v>
                </c:pt>
                <c:pt idx="4">
                  <c:v>27.26</c:v>
                </c:pt>
                <c:pt idx="5">
                  <c:v>28.86</c:v>
                </c:pt>
                <c:pt idx="6">
                  <c:v>27.29</c:v>
                </c:pt>
                <c:pt idx="7">
                  <c:v>25.83</c:v>
                </c:pt>
                <c:pt idx="8">
                  <c:v>26.17</c:v>
                </c:pt>
                <c:pt idx="9">
                  <c:v>25.72</c:v>
                </c:pt>
                <c:pt idx="10">
                  <c:v>27.42</c:v>
                </c:pt>
                <c:pt idx="11">
                  <c:v>25.94</c:v>
                </c:pt>
                <c:pt idx="12">
                  <c:v>26.04</c:v>
                </c:pt>
                <c:pt idx="13">
                  <c:v>25.26</c:v>
                </c:pt>
                <c:pt idx="14">
                  <c:v>27.4</c:v>
                </c:pt>
                <c:pt idx="15">
                  <c:v>27.17</c:v>
                </c:pt>
                <c:pt idx="16">
                  <c:v>26.02</c:v>
                </c:pt>
                <c:pt idx="17">
                  <c:v>26.27</c:v>
                </c:pt>
                <c:pt idx="18">
                  <c:v>27.83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AE-47A1-A1F4-2E8C77CEF40C}"/>
            </c:ext>
          </c:extLst>
        </c:ser>
        <c:ser>
          <c:idx val="6"/>
          <c:order val="6"/>
          <c:tx>
            <c:strRef>
              <c:f>M4A4!$A$11</c:f>
              <c:strCache>
                <c:ptCount val="1"/>
                <c:pt idx="0">
                  <c:v>The Battlestar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M4A4!$B$11:$Z$11</c:f>
              <c:numCache>
                <c:formatCode>General</c:formatCode>
                <c:ptCount val="25"/>
                <c:pt idx="0">
                  <c:v>14.52</c:v>
                </c:pt>
                <c:pt idx="1">
                  <c:v>13.27</c:v>
                </c:pt>
                <c:pt idx="2">
                  <c:v>13.26</c:v>
                </c:pt>
                <c:pt idx="3">
                  <c:v>14.11</c:v>
                </c:pt>
                <c:pt idx="4">
                  <c:v>14.06</c:v>
                </c:pt>
                <c:pt idx="5">
                  <c:v>14.27</c:v>
                </c:pt>
                <c:pt idx="6">
                  <c:v>13.84</c:v>
                </c:pt>
                <c:pt idx="7">
                  <c:v>13.34</c:v>
                </c:pt>
                <c:pt idx="8">
                  <c:v>12.49</c:v>
                </c:pt>
                <c:pt idx="9">
                  <c:v>12.85</c:v>
                </c:pt>
                <c:pt idx="10">
                  <c:v>12.48</c:v>
                </c:pt>
                <c:pt idx="11">
                  <c:v>13.5</c:v>
                </c:pt>
                <c:pt idx="12">
                  <c:v>13.54</c:v>
                </c:pt>
                <c:pt idx="13">
                  <c:v>13.54</c:v>
                </c:pt>
                <c:pt idx="14">
                  <c:v>14.22</c:v>
                </c:pt>
                <c:pt idx="15">
                  <c:v>13.54</c:v>
                </c:pt>
                <c:pt idx="16">
                  <c:v>13.19</c:v>
                </c:pt>
                <c:pt idx="17">
                  <c:v>13.66</c:v>
                </c:pt>
                <c:pt idx="18">
                  <c:v>12.69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AE-47A1-A1F4-2E8C77CEF40C}"/>
            </c:ext>
          </c:extLst>
        </c:ser>
        <c:ser>
          <c:idx val="7"/>
          <c:order val="7"/>
          <c:tx>
            <c:strRef>
              <c:f>M4A4!$A$12</c:f>
              <c:strCache>
                <c:ptCount val="1"/>
                <c:pt idx="0">
                  <c:v>Stattrak Cyber Security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M4A4!$B$4:$Z$4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M4A4!$B$12:$Z$12</c:f>
              <c:numCache>
                <c:formatCode>General</c:formatCode>
                <c:ptCount val="25"/>
                <c:pt idx="0">
                  <c:v>33.21</c:v>
                </c:pt>
                <c:pt idx="1">
                  <c:v>31.65</c:v>
                </c:pt>
                <c:pt idx="2">
                  <c:v>29.18</c:v>
                </c:pt>
                <c:pt idx="3">
                  <c:v>31.74</c:v>
                </c:pt>
                <c:pt idx="4">
                  <c:v>29.35</c:v>
                </c:pt>
                <c:pt idx="5">
                  <c:v>30.3</c:v>
                </c:pt>
                <c:pt idx="6">
                  <c:v>30.75</c:v>
                </c:pt>
                <c:pt idx="7">
                  <c:v>28.8</c:v>
                </c:pt>
                <c:pt idx="8">
                  <c:v>30.22</c:v>
                </c:pt>
                <c:pt idx="9">
                  <c:v>28.81</c:v>
                </c:pt>
                <c:pt idx="10">
                  <c:v>28.69</c:v>
                </c:pt>
                <c:pt idx="11">
                  <c:v>27.92</c:v>
                </c:pt>
                <c:pt idx="12">
                  <c:v>28.87</c:v>
                </c:pt>
                <c:pt idx="13">
                  <c:v>29.99</c:v>
                </c:pt>
                <c:pt idx="14">
                  <c:v>28.9</c:v>
                </c:pt>
                <c:pt idx="15">
                  <c:v>29.12</c:v>
                </c:pt>
                <c:pt idx="16">
                  <c:v>29.62</c:v>
                </c:pt>
                <c:pt idx="17">
                  <c:v>28.55</c:v>
                </c:pt>
                <c:pt idx="18">
                  <c:v>29.16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8AE-47A1-A1F4-2E8C77CEF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67599"/>
        <c:axId val="2038941039"/>
      </c:lineChart>
      <c:dateAx>
        <c:axId val="20581675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1039"/>
        <c:crosses val="autoZero"/>
        <c:auto val="1"/>
        <c:lblOffset val="100"/>
        <c:baseTimeUnit val="days"/>
      </c:dateAx>
      <c:valAx>
        <c:axId val="203894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167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M4A1-S-Skins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'M4A1-S'!$A$5</c:f>
              <c:strCache>
                <c:ptCount val="1"/>
                <c:pt idx="0">
                  <c:v>Golden Coil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'M4A1-S'!$B$4:$Z$4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'M4A1-S'!$B$5:$Z$5</c:f>
              <c:numCache>
                <c:formatCode>General</c:formatCode>
                <c:ptCount val="25"/>
                <c:pt idx="0">
                  <c:v>15.54</c:v>
                </c:pt>
                <c:pt idx="1">
                  <c:v>15.25</c:v>
                </c:pt>
                <c:pt idx="2">
                  <c:v>15.81</c:v>
                </c:pt>
                <c:pt idx="3">
                  <c:v>15.02</c:v>
                </c:pt>
                <c:pt idx="4">
                  <c:v>15.8</c:v>
                </c:pt>
                <c:pt idx="5">
                  <c:v>15.47</c:v>
                </c:pt>
                <c:pt idx="6">
                  <c:v>15.35</c:v>
                </c:pt>
                <c:pt idx="7">
                  <c:v>15.48</c:v>
                </c:pt>
                <c:pt idx="8">
                  <c:v>15.22</c:v>
                </c:pt>
                <c:pt idx="9">
                  <c:v>14.51</c:v>
                </c:pt>
                <c:pt idx="10">
                  <c:v>15.48</c:v>
                </c:pt>
                <c:pt idx="11">
                  <c:v>14.67</c:v>
                </c:pt>
                <c:pt idx="12">
                  <c:v>14.07</c:v>
                </c:pt>
                <c:pt idx="13">
                  <c:v>14.65</c:v>
                </c:pt>
                <c:pt idx="14">
                  <c:v>14.89</c:v>
                </c:pt>
                <c:pt idx="15">
                  <c:v>14.91</c:v>
                </c:pt>
                <c:pt idx="16">
                  <c:v>15.3</c:v>
                </c:pt>
                <c:pt idx="17">
                  <c:v>15.45</c:v>
                </c:pt>
                <c:pt idx="18">
                  <c:v>14.51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1B-4CE0-8319-E7B679268C2E}"/>
            </c:ext>
          </c:extLst>
        </c:ser>
        <c:ser>
          <c:idx val="1"/>
          <c:order val="1"/>
          <c:tx>
            <c:strRef>
              <c:f>'M4A1-S'!$A$6</c:f>
              <c:strCache>
                <c:ptCount val="1"/>
                <c:pt idx="0">
                  <c:v>Hyper Beast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'M4A1-S'!$B$4:$Z$4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'M4A1-S'!$B$6:$Z$6</c:f>
              <c:numCache>
                <c:formatCode>General</c:formatCode>
                <c:ptCount val="25"/>
                <c:pt idx="0">
                  <c:v>21.98</c:v>
                </c:pt>
                <c:pt idx="1">
                  <c:v>21.05</c:v>
                </c:pt>
                <c:pt idx="2">
                  <c:v>20.67</c:v>
                </c:pt>
                <c:pt idx="3">
                  <c:v>19.8</c:v>
                </c:pt>
                <c:pt idx="4">
                  <c:v>21.22</c:v>
                </c:pt>
                <c:pt idx="5">
                  <c:v>21.31</c:v>
                </c:pt>
                <c:pt idx="6">
                  <c:v>21.25</c:v>
                </c:pt>
                <c:pt idx="7">
                  <c:v>21.06</c:v>
                </c:pt>
                <c:pt idx="8">
                  <c:v>20.420000000000002</c:v>
                </c:pt>
                <c:pt idx="9">
                  <c:v>20.03</c:v>
                </c:pt>
                <c:pt idx="10">
                  <c:v>20.100000000000001</c:v>
                </c:pt>
                <c:pt idx="11">
                  <c:v>19.739999999999998</c:v>
                </c:pt>
                <c:pt idx="12">
                  <c:v>20.52</c:v>
                </c:pt>
                <c:pt idx="13">
                  <c:v>21.08</c:v>
                </c:pt>
                <c:pt idx="14">
                  <c:v>21.17</c:v>
                </c:pt>
                <c:pt idx="15">
                  <c:v>21.44</c:v>
                </c:pt>
                <c:pt idx="16">
                  <c:v>19.41</c:v>
                </c:pt>
                <c:pt idx="17">
                  <c:v>19.41</c:v>
                </c:pt>
                <c:pt idx="18">
                  <c:v>20.84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1B-4CE0-8319-E7B679268C2E}"/>
            </c:ext>
          </c:extLst>
        </c:ser>
        <c:ser>
          <c:idx val="2"/>
          <c:order val="2"/>
          <c:tx>
            <c:strRef>
              <c:f>'M4A1-S'!$A$7</c:f>
              <c:strCache>
                <c:ptCount val="1"/>
                <c:pt idx="0">
                  <c:v>Stattrak Cyrex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'M4A1-S'!$B$4:$Z$4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'M4A1-S'!$B$7:$Z$7</c:f>
              <c:numCache>
                <c:formatCode>General</c:formatCode>
                <c:ptCount val="25"/>
                <c:pt idx="0">
                  <c:v>36.200000000000003</c:v>
                </c:pt>
                <c:pt idx="1">
                  <c:v>34.799999999999997</c:v>
                </c:pt>
                <c:pt idx="2">
                  <c:v>33.229999999999997</c:v>
                </c:pt>
                <c:pt idx="3">
                  <c:v>33.31</c:v>
                </c:pt>
                <c:pt idx="4">
                  <c:v>34.51</c:v>
                </c:pt>
                <c:pt idx="5">
                  <c:v>33.049999999999997</c:v>
                </c:pt>
                <c:pt idx="6">
                  <c:v>31.31</c:v>
                </c:pt>
                <c:pt idx="7">
                  <c:v>33.380000000000003</c:v>
                </c:pt>
                <c:pt idx="8">
                  <c:v>33.380000000000003</c:v>
                </c:pt>
                <c:pt idx="9">
                  <c:v>33.01</c:v>
                </c:pt>
                <c:pt idx="10">
                  <c:v>30.97</c:v>
                </c:pt>
                <c:pt idx="11">
                  <c:v>34.409999999999997</c:v>
                </c:pt>
                <c:pt idx="12">
                  <c:v>34.11</c:v>
                </c:pt>
                <c:pt idx="13">
                  <c:v>41.12</c:v>
                </c:pt>
                <c:pt idx="14">
                  <c:v>36.270000000000003</c:v>
                </c:pt>
                <c:pt idx="15">
                  <c:v>35.090000000000003</c:v>
                </c:pt>
                <c:pt idx="16">
                  <c:v>35.93</c:v>
                </c:pt>
                <c:pt idx="17">
                  <c:v>33.97</c:v>
                </c:pt>
                <c:pt idx="18">
                  <c:v>35.33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1B-4CE0-8319-E7B679268C2E}"/>
            </c:ext>
          </c:extLst>
        </c:ser>
        <c:ser>
          <c:idx val="3"/>
          <c:order val="3"/>
          <c:tx>
            <c:strRef>
              <c:f>'M4A1-S'!$A$8</c:f>
              <c:strCache>
                <c:ptCount val="1"/>
                <c:pt idx="0">
                  <c:v>Flashback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'M4A1-S'!$B$4:$Z$4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'M4A1-S'!$B$8:$Z$8</c:f>
              <c:numCache>
                <c:formatCode>General</c:formatCode>
                <c:ptCount val="25"/>
                <c:pt idx="0">
                  <c:v>2.92</c:v>
                </c:pt>
                <c:pt idx="1">
                  <c:v>3.01</c:v>
                </c:pt>
                <c:pt idx="2">
                  <c:v>2.89</c:v>
                </c:pt>
                <c:pt idx="3">
                  <c:v>2.81</c:v>
                </c:pt>
                <c:pt idx="4">
                  <c:v>2.82</c:v>
                </c:pt>
                <c:pt idx="5">
                  <c:v>2.91</c:v>
                </c:pt>
                <c:pt idx="6">
                  <c:v>2.84</c:v>
                </c:pt>
                <c:pt idx="7">
                  <c:v>2.78</c:v>
                </c:pt>
                <c:pt idx="8">
                  <c:v>2.71</c:v>
                </c:pt>
                <c:pt idx="9">
                  <c:v>2.68</c:v>
                </c:pt>
                <c:pt idx="10">
                  <c:v>2.81</c:v>
                </c:pt>
                <c:pt idx="11">
                  <c:v>2.54</c:v>
                </c:pt>
                <c:pt idx="12">
                  <c:v>2.64</c:v>
                </c:pt>
                <c:pt idx="13">
                  <c:v>2.77</c:v>
                </c:pt>
                <c:pt idx="14">
                  <c:v>2.5</c:v>
                </c:pt>
                <c:pt idx="15">
                  <c:v>2.5299999999999998</c:v>
                </c:pt>
                <c:pt idx="16">
                  <c:v>2.4500000000000002</c:v>
                </c:pt>
                <c:pt idx="17">
                  <c:v>2.5</c:v>
                </c:pt>
                <c:pt idx="18">
                  <c:v>2.4500000000000002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1B-4CE0-8319-E7B679268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382319"/>
        <c:axId val="2038924399"/>
      </c:lineChart>
      <c:dateAx>
        <c:axId val="1919382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24399"/>
        <c:crosses val="autoZero"/>
        <c:auto val="1"/>
        <c:lblOffset val="100"/>
        <c:baseTimeUnit val="days"/>
      </c:dateAx>
      <c:valAx>
        <c:axId val="20389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93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AK47-Skins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'AK47'!$A$5</c:f>
              <c:strCache>
                <c:ptCount val="1"/>
                <c:pt idx="0">
                  <c:v>Redline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'AK47'!$B$4:$Z$4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'AK47'!$B$5:$Z$5</c:f>
              <c:numCache>
                <c:formatCode>General</c:formatCode>
                <c:ptCount val="25"/>
                <c:pt idx="0">
                  <c:v>18.21</c:v>
                </c:pt>
                <c:pt idx="1">
                  <c:v>18.21</c:v>
                </c:pt>
                <c:pt idx="2">
                  <c:v>18.36</c:v>
                </c:pt>
                <c:pt idx="3">
                  <c:v>18.21</c:v>
                </c:pt>
                <c:pt idx="4">
                  <c:v>18.2</c:v>
                </c:pt>
                <c:pt idx="5">
                  <c:v>18.899999999999999</c:v>
                </c:pt>
                <c:pt idx="6">
                  <c:v>17.899999999999999</c:v>
                </c:pt>
                <c:pt idx="7">
                  <c:v>18.010000000000002</c:v>
                </c:pt>
                <c:pt idx="8">
                  <c:v>18.05</c:v>
                </c:pt>
                <c:pt idx="9">
                  <c:v>18.100000000000001</c:v>
                </c:pt>
                <c:pt idx="10">
                  <c:v>18.11</c:v>
                </c:pt>
                <c:pt idx="11">
                  <c:v>17.559999999999999</c:v>
                </c:pt>
                <c:pt idx="12">
                  <c:v>18.05</c:v>
                </c:pt>
                <c:pt idx="13">
                  <c:v>17.829999999999998</c:v>
                </c:pt>
                <c:pt idx="14">
                  <c:v>17.53</c:v>
                </c:pt>
                <c:pt idx="15">
                  <c:v>17.329999999999998</c:v>
                </c:pt>
                <c:pt idx="16">
                  <c:v>17.55</c:v>
                </c:pt>
                <c:pt idx="17">
                  <c:v>17.43</c:v>
                </c:pt>
                <c:pt idx="18">
                  <c:v>17.559999999999999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C-474D-AB15-0168C7622C04}"/>
            </c:ext>
          </c:extLst>
        </c:ser>
        <c:ser>
          <c:idx val="1"/>
          <c:order val="1"/>
          <c:tx>
            <c:strRef>
              <c:f>'AK47'!$A$6</c:f>
              <c:strCache>
                <c:ptCount val="1"/>
                <c:pt idx="0">
                  <c:v>Vulcan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'AK47'!$B$4:$Z$4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'AK47'!$B$6:$Z$6</c:f>
              <c:numCache>
                <c:formatCode>General</c:formatCode>
                <c:ptCount val="25"/>
                <c:pt idx="0">
                  <c:v>192.99</c:v>
                </c:pt>
                <c:pt idx="1">
                  <c:v>203.36</c:v>
                </c:pt>
                <c:pt idx="2">
                  <c:v>210.82</c:v>
                </c:pt>
                <c:pt idx="3">
                  <c:v>201.42</c:v>
                </c:pt>
                <c:pt idx="4">
                  <c:v>212.4</c:v>
                </c:pt>
                <c:pt idx="5">
                  <c:v>197.46</c:v>
                </c:pt>
                <c:pt idx="6">
                  <c:v>200.73</c:v>
                </c:pt>
                <c:pt idx="7">
                  <c:v>207.88</c:v>
                </c:pt>
                <c:pt idx="8">
                  <c:v>194.84</c:v>
                </c:pt>
                <c:pt idx="9">
                  <c:v>215.86</c:v>
                </c:pt>
                <c:pt idx="10">
                  <c:v>215.62</c:v>
                </c:pt>
                <c:pt idx="11">
                  <c:v>213.15</c:v>
                </c:pt>
                <c:pt idx="12">
                  <c:v>195.27</c:v>
                </c:pt>
                <c:pt idx="13">
                  <c:v>206.84</c:v>
                </c:pt>
                <c:pt idx="14">
                  <c:v>206.2</c:v>
                </c:pt>
                <c:pt idx="15">
                  <c:v>217.85</c:v>
                </c:pt>
                <c:pt idx="16">
                  <c:v>214.41</c:v>
                </c:pt>
                <c:pt idx="17">
                  <c:v>219.34</c:v>
                </c:pt>
                <c:pt idx="18">
                  <c:v>226.95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C-474D-AB15-0168C7622C04}"/>
            </c:ext>
          </c:extLst>
        </c:ser>
        <c:ser>
          <c:idx val="2"/>
          <c:order val="2"/>
          <c:tx>
            <c:strRef>
              <c:f>'AK47'!$A$7</c:f>
              <c:strCache>
                <c:ptCount val="1"/>
                <c:pt idx="0">
                  <c:v>Bloodsport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'AK47'!$B$4:$Z$4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'AK47'!$B$7:$Z$7</c:f>
              <c:numCache>
                <c:formatCode>General</c:formatCode>
                <c:ptCount val="25"/>
                <c:pt idx="0">
                  <c:v>62.15</c:v>
                </c:pt>
                <c:pt idx="1">
                  <c:v>61.77</c:v>
                </c:pt>
                <c:pt idx="2">
                  <c:v>62.83</c:v>
                </c:pt>
                <c:pt idx="3">
                  <c:v>62.69</c:v>
                </c:pt>
                <c:pt idx="4">
                  <c:v>59.41</c:v>
                </c:pt>
                <c:pt idx="5">
                  <c:v>62.97</c:v>
                </c:pt>
                <c:pt idx="6">
                  <c:v>61.22</c:v>
                </c:pt>
                <c:pt idx="7">
                  <c:v>59.28</c:v>
                </c:pt>
                <c:pt idx="8">
                  <c:v>60</c:v>
                </c:pt>
                <c:pt idx="9">
                  <c:v>61.12</c:v>
                </c:pt>
                <c:pt idx="10">
                  <c:v>60.26</c:v>
                </c:pt>
                <c:pt idx="11">
                  <c:v>60.03</c:v>
                </c:pt>
                <c:pt idx="12">
                  <c:v>60.1</c:v>
                </c:pt>
                <c:pt idx="13">
                  <c:v>61.83</c:v>
                </c:pt>
                <c:pt idx="14">
                  <c:v>63.61</c:v>
                </c:pt>
                <c:pt idx="15">
                  <c:v>59.98</c:v>
                </c:pt>
                <c:pt idx="16">
                  <c:v>60.1</c:v>
                </c:pt>
                <c:pt idx="17">
                  <c:v>61.21</c:v>
                </c:pt>
                <c:pt idx="18">
                  <c:v>60.3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C-474D-AB15-0168C7622C04}"/>
            </c:ext>
          </c:extLst>
        </c:ser>
        <c:ser>
          <c:idx val="3"/>
          <c:order val="3"/>
          <c:tx>
            <c:strRef>
              <c:f>'AK47'!$A$8</c:f>
              <c:strCache>
                <c:ptCount val="1"/>
                <c:pt idx="0">
                  <c:v>Stattrak Point Disarray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'AK47'!$B$4:$Z$4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'AK47'!$B$8:$Z$8</c:f>
              <c:numCache>
                <c:formatCode>General</c:formatCode>
                <c:ptCount val="25"/>
                <c:pt idx="0">
                  <c:v>37.770000000000003</c:v>
                </c:pt>
                <c:pt idx="1">
                  <c:v>40.4</c:v>
                </c:pt>
                <c:pt idx="2">
                  <c:v>39.340000000000003</c:v>
                </c:pt>
                <c:pt idx="3">
                  <c:v>38.5</c:v>
                </c:pt>
                <c:pt idx="4">
                  <c:v>40.049999999999997</c:v>
                </c:pt>
                <c:pt idx="5">
                  <c:v>39.93</c:v>
                </c:pt>
                <c:pt idx="6">
                  <c:v>38.409999999999997</c:v>
                </c:pt>
                <c:pt idx="7">
                  <c:v>38.11</c:v>
                </c:pt>
                <c:pt idx="8">
                  <c:v>37.81</c:v>
                </c:pt>
                <c:pt idx="9">
                  <c:v>37.83</c:v>
                </c:pt>
                <c:pt idx="10">
                  <c:v>39.6</c:v>
                </c:pt>
                <c:pt idx="11">
                  <c:v>39.72</c:v>
                </c:pt>
                <c:pt idx="12">
                  <c:v>39.450000000000003</c:v>
                </c:pt>
                <c:pt idx="13">
                  <c:v>35.369999999999997</c:v>
                </c:pt>
                <c:pt idx="14">
                  <c:v>38.56</c:v>
                </c:pt>
                <c:pt idx="15">
                  <c:v>37.049999999999997</c:v>
                </c:pt>
                <c:pt idx="16">
                  <c:v>38.83</c:v>
                </c:pt>
                <c:pt idx="17">
                  <c:v>39.65</c:v>
                </c:pt>
                <c:pt idx="18">
                  <c:v>35.33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C-474D-AB15-0168C7622C04}"/>
            </c:ext>
          </c:extLst>
        </c:ser>
        <c:ser>
          <c:idx val="4"/>
          <c:order val="4"/>
          <c:tx>
            <c:strRef>
              <c:f>'AK47'!$A$9</c:f>
              <c:strCache>
                <c:ptCount val="1"/>
                <c:pt idx="0">
                  <c:v>Frontside Misty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'AK47'!$B$4:$Z$4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'AK47'!$B$9:$Z$9</c:f>
              <c:numCache>
                <c:formatCode>General</c:formatCode>
                <c:ptCount val="25"/>
                <c:pt idx="0">
                  <c:v>26.57</c:v>
                </c:pt>
                <c:pt idx="1">
                  <c:v>27.42</c:v>
                </c:pt>
                <c:pt idx="2">
                  <c:v>27.83</c:v>
                </c:pt>
                <c:pt idx="3">
                  <c:v>27.26</c:v>
                </c:pt>
                <c:pt idx="4">
                  <c:v>25.67</c:v>
                </c:pt>
                <c:pt idx="5">
                  <c:v>25.26</c:v>
                </c:pt>
                <c:pt idx="6">
                  <c:v>25.26</c:v>
                </c:pt>
                <c:pt idx="7">
                  <c:v>25.88</c:v>
                </c:pt>
                <c:pt idx="8">
                  <c:v>26.82</c:v>
                </c:pt>
                <c:pt idx="9">
                  <c:v>25.54</c:v>
                </c:pt>
                <c:pt idx="10">
                  <c:v>24.7</c:v>
                </c:pt>
                <c:pt idx="11">
                  <c:v>25.46</c:v>
                </c:pt>
                <c:pt idx="12">
                  <c:v>25.22</c:v>
                </c:pt>
                <c:pt idx="13">
                  <c:v>25.89</c:v>
                </c:pt>
                <c:pt idx="14">
                  <c:v>25.22</c:v>
                </c:pt>
                <c:pt idx="15">
                  <c:v>27.19</c:v>
                </c:pt>
                <c:pt idx="16">
                  <c:v>26.35</c:v>
                </c:pt>
                <c:pt idx="17">
                  <c:v>26</c:v>
                </c:pt>
                <c:pt idx="18">
                  <c:v>25.71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C-474D-AB15-0168C7622C04}"/>
            </c:ext>
          </c:extLst>
        </c:ser>
        <c:ser>
          <c:idx val="5"/>
          <c:order val="5"/>
          <c:tx>
            <c:strRef>
              <c:f>'AK47'!$A$10</c:f>
              <c:strCache>
                <c:ptCount val="1"/>
                <c:pt idx="0">
                  <c:v>Aquamarine Revenge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'AK47'!$B$4:$Z$4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'AK47'!$B$10:$Z$10</c:f>
              <c:numCache>
                <c:formatCode>General</c:formatCode>
                <c:ptCount val="25"/>
                <c:pt idx="0">
                  <c:v>47.51</c:v>
                </c:pt>
                <c:pt idx="1">
                  <c:v>47.17</c:v>
                </c:pt>
                <c:pt idx="2">
                  <c:v>49.37</c:v>
                </c:pt>
                <c:pt idx="3">
                  <c:v>48.37</c:v>
                </c:pt>
                <c:pt idx="4">
                  <c:v>46.08</c:v>
                </c:pt>
                <c:pt idx="5">
                  <c:v>44.96</c:v>
                </c:pt>
                <c:pt idx="6">
                  <c:v>46.07</c:v>
                </c:pt>
                <c:pt idx="7">
                  <c:v>45.89</c:v>
                </c:pt>
                <c:pt idx="8">
                  <c:v>44.94</c:v>
                </c:pt>
                <c:pt idx="9">
                  <c:v>45.49</c:v>
                </c:pt>
                <c:pt idx="10">
                  <c:v>46.09</c:v>
                </c:pt>
                <c:pt idx="11">
                  <c:v>45.74</c:v>
                </c:pt>
                <c:pt idx="12">
                  <c:v>45.73</c:v>
                </c:pt>
                <c:pt idx="13">
                  <c:v>44.74</c:v>
                </c:pt>
                <c:pt idx="14">
                  <c:v>44.91</c:v>
                </c:pt>
                <c:pt idx="15">
                  <c:v>46.13</c:v>
                </c:pt>
                <c:pt idx="16">
                  <c:v>46.46</c:v>
                </c:pt>
                <c:pt idx="17">
                  <c:v>45.58</c:v>
                </c:pt>
                <c:pt idx="18">
                  <c:v>45.39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FC-474D-AB15-0168C762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70399"/>
        <c:axId val="2038944367"/>
      </c:lineChart>
      <c:dateAx>
        <c:axId val="20581703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4367"/>
        <c:crosses val="autoZero"/>
        <c:auto val="1"/>
        <c:lblOffset val="100"/>
        <c:baseTimeUnit val="days"/>
      </c:dateAx>
      <c:valAx>
        <c:axId val="203894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17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SMG-Skins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SMG!$A$5</c:f>
              <c:strCache>
                <c:ptCount val="1"/>
                <c:pt idx="0">
                  <c:v>Stattrak PP-Bizon Osiris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SMG!$B$5:$Z$5</c:f>
              <c:numCache>
                <c:formatCode>General</c:formatCode>
                <c:ptCount val="25"/>
                <c:pt idx="0">
                  <c:v>1.46</c:v>
                </c:pt>
                <c:pt idx="1">
                  <c:v>1.44</c:v>
                </c:pt>
                <c:pt idx="2">
                  <c:v>1.44</c:v>
                </c:pt>
                <c:pt idx="3">
                  <c:v>1.39</c:v>
                </c:pt>
                <c:pt idx="4">
                  <c:v>1.47</c:v>
                </c:pt>
                <c:pt idx="5">
                  <c:v>1.44</c:v>
                </c:pt>
                <c:pt idx="6">
                  <c:v>1.43</c:v>
                </c:pt>
                <c:pt idx="7">
                  <c:v>1.39</c:v>
                </c:pt>
                <c:pt idx="8">
                  <c:v>1.43</c:v>
                </c:pt>
                <c:pt idx="9">
                  <c:v>1.53</c:v>
                </c:pt>
                <c:pt idx="10">
                  <c:v>1.54</c:v>
                </c:pt>
                <c:pt idx="11">
                  <c:v>1.57</c:v>
                </c:pt>
                <c:pt idx="12">
                  <c:v>1.65</c:v>
                </c:pt>
                <c:pt idx="13">
                  <c:v>1.61</c:v>
                </c:pt>
                <c:pt idx="14">
                  <c:v>1.61</c:v>
                </c:pt>
                <c:pt idx="15">
                  <c:v>1.65</c:v>
                </c:pt>
                <c:pt idx="16">
                  <c:v>1.58</c:v>
                </c:pt>
                <c:pt idx="17">
                  <c:v>1.49</c:v>
                </c:pt>
                <c:pt idx="18">
                  <c:v>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6-4754-8755-7BB159334307}"/>
            </c:ext>
          </c:extLst>
        </c:ser>
        <c:ser>
          <c:idx val="1"/>
          <c:order val="1"/>
          <c:tx>
            <c:strRef>
              <c:f>SMG!$A$6</c:f>
              <c:strCache>
                <c:ptCount val="1"/>
                <c:pt idx="0">
                  <c:v>P90 Asiimov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SMG!$B$6:$Z$6</c:f>
              <c:numCache>
                <c:formatCode>General</c:formatCode>
                <c:ptCount val="25"/>
                <c:pt idx="0">
                  <c:v>8.36</c:v>
                </c:pt>
                <c:pt idx="1">
                  <c:v>8.0500000000000007</c:v>
                </c:pt>
                <c:pt idx="2">
                  <c:v>7.84</c:v>
                </c:pt>
                <c:pt idx="3">
                  <c:v>8.07</c:v>
                </c:pt>
                <c:pt idx="4">
                  <c:v>8.6999999999999993</c:v>
                </c:pt>
                <c:pt idx="5">
                  <c:v>8.58</c:v>
                </c:pt>
                <c:pt idx="6">
                  <c:v>8.42</c:v>
                </c:pt>
                <c:pt idx="7">
                  <c:v>7.84</c:v>
                </c:pt>
                <c:pt idx="8">
                  <c:v>8.1</c:v>
                </c:pt>
                <c:pt idx="9">
                  <c:v>7.68</c:v>
                </c:pt>
                <c:pt idx="10">
                  <c:v>8.07</c:v>
                </c:pt>
                <c:pt idx="11">
                  <c:v>8.23</c:v>
                </c:pt>
                <c:pt idx="12">
                  <c:v>8.7799999999999994</c:v>
                </c:pt>
                <c:pt idx="13">
                  <c:v>7.94</c:v>
                </c:pt>
                <c:pt idx="14">
                  <c:v>8.4600000000000009</c:v>
                </c:pt>
                <c:pt idx="15">
                  <c:v>8.58</c:v>
                </c:pt>
                <c:pt idx="16">
                  <c:v>7.98</c:v>
                </c:pt>
                <c:pt idx="17">
                  <c:v>8.35</c:v>
                </c:pt>
                <c:pt idx="18">
                  <c:v>8.6300000000000008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6-4754-8755-7BB159334307}"/>
            </c:ext>
          </c:extLst>
        </c:ser>
        <c:ser>
          <c:idx val="2"/>
          <c:order val="2"/>
          <c:tx>
            <c:strRef>
              <c:f>SMG!$A$7</c:f>
              <c:strCache>
                <c:ptCount val="1"/>
                <c:pt idx="0">
                  <c:v>Stattrak MP9 Dart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SMG!$B$7:$Z$7</c:f>
              <c:numCache>
                <c:formatCode>General</c:formatCode>
                <c:ptCount val="25"/>
                <c:pt idx="0">
                  <c:v>1.73</c:v>
                </c:pt>
                <c:pt idx="1">
                  <c:v>1.74</c:v>
                </c:pt>
                <c:pt idx="2">
                  <c:v>1.61</c:v>
                </c:pt>
                <c:pt idx="3">
                  <c:v>1.72</c:v>
                </c:pt>
                <c:pt idx="4">
                  <c:v>1.73</c:v>
                </c:pt>
                <c:pt idx="5">
                  <c:v>1.65</c:v>
                </c:pt>
                <c:pt idx="6">
                  <c:v>1.69</c:v>
                </c:pt>
                <c:pt idx="7">
                  <c:v>1.75</c:v>
                </c:pt>
                <c:pt idx="8">
                  <c:v>2.09</c:v>
                </c:pt>
                <c:pt idx="9">
                  <c:v>1.77</c:v>
                </c:pt>
                <c:pt idx="10">
                  <c:v>1.72</c:v>
                </c:pt>
                <c:pt idx="11">
                  <c:v>1.69</c:v>
                </c:pt>
                <c:pt idx="12">
                  <c:v>1.63</c:v>
                </c:pt>
                <c:pt idx="13">
                  <c:v>1.49</c:v>
                </c:pt>
                <c:pt idx="14">
                  <c:v>1.75</c:v>
                </c:pt>
                <c:pt idx="15">
                  <c:v>1.7</c:v>
                </c:pt>
                <c:pt idx="16">
                  <c:v>1.69</c:v>
                </c:pt>
                <c:pt idx="17">
                  <c:v>1.69</c:v>
                </c:pt>
                <c:pt idx="18">
                  <c:v>1.72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6-4754-8755-7BB159334307}"/>
            </c:ext>
          </c:extLst>
        </c:ser>
        <c:ser>
          <c:idx val="3"/>
          <c:order val="3"/>
          <c:tx>
            <c:strRef>
              <c:f>SMG!$A$8</c:f>
              <c:strCache>
                <c:ptCount val="1"/>
                <c:pt idx="0">
                  <c:v>Stattrak UMP-45 Primal Saber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SMG!$B$8:$Z$8</c:f>
              <c:numCache>
                <c:formatCode>General</c:formatCode>
                <c:ptCount val="25"/>
                <c:pt idx="0">
                  <c:v>4.41</c:v>
                </c:pt>
                <c:pt idx="1">
                  <c:v>4.16</c:v>
                </c:pt>
                <c:pt idx="2">
                  <c:v>4.37</c:v>
                </c:pt>
                <c:pt idx="3">
                  <c:v>4.34</c:v>
                </c:pt>
                <c:pt idx="4">
                  <c:v>3.77</c:v>
                </c:pt>
                <c:pt idx="5">
                  <c:v>4.34</c:v>
                </c:pt>
                <c:pt idx="6">
                  <c:v>3.96</c:v>
                </c:pt>
                <c:pt idx="7">
                  <c:v>4.2699999999999996</c:v>
                </c:pt>
                <c:pt idx="8">
                  <c:v>4.05</c:v>
                </c:pt>
                <c:pt idx="9">
                  <c:v>3.79</c:v>
                </c:pt>
                <c:pt idx="10">
                  <c:v>3.93</c:v>
                </c:pt>
                <c:pt idx="11">
                  <c:v>3.88</c:v>
                </c:pt>
                <c:pt idx="12">
                  <c:v>4.2300000000000004</c:v>
                </c:pt>
                <c:pt idx="13">
                  <c:v>3.91</c:v>
                </c:pt>
                <c:pt idx="14">
                  <c:v>4.33</c:v>
                </c:pt>
                <c:pt idx="15">
                  <c:v>3.93</c:v>
                </c:pt>
                <c:pt idx="16">
                  <c:v>4.08</c:v>
                </c:pt>
                <c:pt idx="17">
                  <c:v>3.75</c:v>
                </c:pt>
                <c:pt idx="18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6-4754-8755-7BB159334307}"/>
            </c:ext>
          </c:extLst>
        </c:ser>
        <c:ser>
          <c:idx val="4"/>
          <c:order val="4"/>
          <c:tx>
            <c:strRef>
              <c:f>SMG!$A$9</c:f>
              <c:strCache>
                <c:ptCount val="1"/>
                <c:pt idx="0">
                  <c:v>MP7 Nemesis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SMG!$B$9:$Z$9</c:f>
              <c:numCache>
                <c:formatCode>General</c:formatCode>
                <c:ptCount val="25"/>
                <c:pt idx="0">
                  <c:v>5.33</c:v>
                </c:pt>
                <c:pt idx="1">
                  <c:v>5.67</c:v>
                </c:pt>
                <c:pt idx="2">
                  <c:v>5.86</c:v>
                </c:pt>
                <c:pt idx="3">
                  <c:v>5.63</c:v>
                </c:pt>
                <c:pt idx="4">
                  <c:v>5.79</c:v>
                </c:pt>
                <c:pt idx="5">
                  <c:v>5.22</c:v>
                </c:pt>
                <c:pt idx="6">
                  <c:v>5.4</c:v>
                </c:pt>
                <c:pt idx="7">
                  <c:v>5.59</c:v>
                </c:pt>
                <c:pt idx="8">
                  <c:v>5.26</c:v>
                </c:pt>
                <c:pt idx="9">
                  <c:v>6.57</c:v>
                </c:pt>
                <c:pt idx="10">
                  <c:v>5.89</c:v>
                </c:pt>
                <c:pt idx="11">
                  <c:v>5.25</c:v>
                </c:pt>
                <c:pt idx="12">
                  <c:v>5.48</c:v>
                </c:pt>
                <c:pt idx="13">
                  <c:v>5.58</c:v>
                </c:pt>
                <c:pt idx="14">
                  <c:v>5.88</c:v>
                </c:pt>
                <c:pt idx="15">
                  <c:v>5.53</c:v>
                </c:pt>
                <c:pt idx="16">
                  <c:v>5.66</c:v>
                </c:pt>
                <c:pt idx="17">
                  <c:v>5.03</c:v>
                </c:pt>
                <c:pt idx="18">
                  <c:v>5.91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6-4754-8755-7BB159334307}"/>
            </c:ext>
          </c:extLst>
        </c:ser>
        <c:ser>
          <c:idx val="5"/>
          <c:order val="5"/>
          <c:tx>
            <c:strRef>
              <c:f>SMG!$A$10</c:f>
              <c:strCache>
                <c:ptCount val="1"/>
                <c:pt idx="0">
                  <c:v>MP7 Bloodsport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SMG!$B$10:$Z$10</c:f>
              <c:numCache>
                <c:formatCode>General</c:formatCode>
                <c:ptCount val="25"/>
                <c:pt idx="0">
                  <c:v>3.63</c:v>
                </c:pt>
                <c:pt idx="1">
                  <c:v>3.61</c:v>
                </c:pt>
                <c:pt idx="2">
                  <c:v>3.63</c:v>
                </c:pt>
                <c:pt idx="3">
                  <c:v>3.49</c:v>
                </c:pt>
                <c:pt idx="4">
                  <c:v>3.84</c:v>
                </c:pt>
                <c:pt idx="5">
                  <c:v>3.54</c:v>
                </c:pt>
                <c:pt idx="6">
                  <c:v>3.57</c:v>
                </c:pt>
                <c:pt idx="7">
                  <c:v>3.54</c:v>
                </c:pt>
                <c:pt idx="8">
                  <c:v>3.75</c:v>
                </c:pt>
                <c:pt idx="9">
                  <c:v>3.79</c:v>
                </c:pt>
                <c:pt idx="10">
                  <c:v>3.49</c:v>
                </c:pt>
                <c:pt idx="11">
                  <c:v>3.61</c:v>
                </c:pt>
                <c:pt idx="12">
                  <c:v>3.39</c:v>
                </c:pt>
                <c:pt idx="13">
                  <c:v>3.53</c:v>
                </c:pt>
                <c:pt idx="14">
                  <c:v>3.4</c:v>
                </c:pt>
                <c:pt idx="15">
                  <c:v>3.49</c:v>
                </c:pt>
                <c:pt idx="16">
                  <c:v>3.41</c:v>
                </c:pt>
                <c:pt idx="17">
                  <c:v>3.64</c:v>
                </c:pt>
                <c:pt idx="18">
                  <c:v>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6-4754-8755-7BB159334307}"/>
            </c:ext>
          </c:extLst>
        </c:ser>
        <c:ser>
          <c:idx val="6"/>
          <c:order val="6"/>
          <c:tx>
            <c:strRef>
              <c:f>SMG!$A$11</c:f>
              <c:strCache>
                <c:ptCount val="1"/>
                <c:pt idx="0">
                  <c:v>UMP-45 Momentum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SMG!$B$11:$Z$11</c:f>
              <c:numCache>
                <c:formatCode>General</c:formatCode>
                <c:ptCount val="25"/>
                <c:pt idx="0">
                  <c:v>7.79</c:v>
                </c:pt>
                <c:pt idx="1">
                  <c:v>8.19</c:v>
                </c:pt>
                <c:pt idx="2">
                  <c:v>7.47</c:v>
                </c:pt>
                <c:pt idx="3">
                  <c:v>7.59</c:v>
                </c:pt>
                <c:pt idx="4">
                  <c:v>7.85</c:v>
                </c:pt>
                <c:pt idx="5">
                  <c:v>7.68</c:v>
                </c:pt>
                <c:pt idx="6">
                  <c:v>7.31</c:v>
                </c:pt>
                <c:pt idx="7">
                  <c:v>7.53</c:v>
                </c:pt>
                <c:pt idx="8">
                  <c:v>7.43</c:v>
                </c:pt>
                <c:pt idx="9">
                  <c:v>7.4</c:v>
                </c:pt>
                <c:pt idx="10">
                  <c:v>7.98</c:v>
                </c:pt>
                <c:pt idx="11">
                  <c:v>7.1</c:v>
                </c:pt>
                <c:pt idx="12">
                  <c:v>7.31</c:v>
                </c:pt>
                <c:pt idx="13">
                  <c:v>7.64</c:v>
                </c:pt>
                <c:pt idx="14">
                  <c:v>7.47</c:v>
                </c:pt>
                <c:pt idx="15">
                  <c:v>7.42</c:v>
                </c:pt>
                <c:pt idx="16">
                  <c:v>7.47</c:v>
                </c:pt>
                <c:pt idx="17">
                  <c:v>7.62</c:v>
                </c:pt>
                <c:pt idx="18">
                  <c:v>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6-4754-8755-7BB159334307}"/>
            </c:ext>
          </c:extLst>
        </c:ser>
        <c:ser>
          <c:idx val="7"/>
          <c:order val="7"/>
          <c:tx>
            <c:strRef>
              <c:f>SMG!$A$12</c:f>
              <c:strCache>
                <c:ptCount val="1"/>
                <c:pt idx="0">
                  <c:v>Stattrak MAC-10 Neon Rider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SMG!$B$12:$Z$12</c:f>
              <c:numCache>
                <c:formatCode>General</c:formatCode>
                <c:ptCount val="25"/>
                <c:pt idx="0">
                  <c:v>22.48</c:v>
                </c:pt>
                <c:pt idx="1">
                  <c:v>23.47</c:v>
                </c:pt>
                <c:pt idx="2">
                  <c:v>20.71</c:v>
                </c:pt>
                <c:pt idx="3">
                  <c:v>19.8</c:v>
                </c:pt>
                <c:pt idx="4">
                  <c:v>21.98</c:v>
                </c:pt>
                <c:pt idx="5">
                  <c:v>23.47</c:v>
                </c:pt>
                <c:pt idx="6">
                  <c:v>23.57</c:v>
                </c:pt>
                <c:pt idx="7">
                  <c:v>22.65</c:v>
                </c:pt>
                <c:pt idx="8">
                  <c:v>23.03</c:v>
                </c:pt>
                <c:pt idx="9">
                  <c:v>23.07</c:v>
                </c:pt>
                <c:pt idx="10">
                  <c:v>22.67</c:v>
                </c:pt>
                <c:pt idx="11">
                  <c:v>22.71</c:v>
                </c:pt>
                <c:pt idx="12">
                  <c:v>21.96</c:v>
                </c:pt>
                <c:pt idx="13">
                  <c:v>21.29</c:v>
                </c:pt>
                <c:pt idx="14">
                  <c:v>22.8</c:v>
                </c:pt>
                <c:pt idx="15">
                  <c:v>22.7</c:v>
                </c:pt>
                <c:pt idx="16">
                  <c:v>22.81</c:v>
                </c:pt>
                <c:pt idx="17">
                  <c:v>22.88</c:v>
                </c:pt>
                <c:pt idx="18">
                  <c:v>21.67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6-4754-8755-7BB159334307}"/>
            </c:ext>
          </c:extLst>
        </c:ser>
        <c:ser>
          <c:idx val="8"/>
          <c:order val="8"/>
          <c:tx>
            <c:strRef>
              <c:f>SMG!$A$13</c:f>
              <c:strCache>
                <c:ptCount val="1"/>
                <c:pt idx="0">
                  <c:v>MP5-SD Bamboo Garden MW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SMG!$B$13:$Z$13</c:f>
              <c:numCache>
                <c:formatCode>General</c:formatCode>
                <c:ptCount val="25"/>
                <c:pt idx="0">
                  <c:v>0.52</c:v>
                </c:pt>
                <c:pt idx="1">
                  <c:v>0.48</c:v>
                </c:pt>
                <c:pt idx="2">
                  <c:v>0.54</c:v>
                </c:pt>
                <c:pt idx="3">
                  <c:v>0.55000000000000004</c:v>
                </c:pt>
                <c:pt idx="4">
                  <c:v>0.53</c:v>
                </c:pt>
                <c:pt idx="5">
                  <c:v>0.61</c:v>
                </c:pt>
                <c:pt idx="6">
                  <c:v>0.76</c:v>
                </c:pt>
                <c:pt idx="7">
                  <c:v>0.78</c:v>
                </c:pt>
                <c:pt idx="8">
                  <c:v>0.83</c:v>
                </c:pt>
                <c:pt idx="9">
                  <c:v>1.06</c:v>
                </c:pt>
                <c:pt idx="10">
                  <c:v>1.29</c:v>
                </c:pt>
                <c:pt idx="11">
                  <c:v>1.21</c:v>
                </c:pt>
                <c:pt idx="12">
                  <c:v>1.0900000000000001</c:v>
                </c:pt>
                <c:pt idx="13">
                  <c:v>1.04</c:v>
                </c:pt>
                <c:pt idx="14">
                  <c:v>0.98</c:v>
                </c:pt>
                <c:pt idx="15">
                  <c:v>0.93</c:v>
                </c:pt>
                <c:pt idx="16">
                  <c:v>1.01</c:v>
                </c:pt>
                <c:pt idx="17">
                  <c:v>1.08</c:v>
                </c:pt>
                <c:pt idx="18">
                  <c:v>1.23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6-4754-8755-7BB159334307}"/>
            </c:ext>
          </c:extLst>
        </c:ser>
        <c:ser>
          <c:idx val="9"/>
          <c:order val="9"/>
          <c:tx>
            <c:strRef>
              <c:f>SMG!$A$14</c:f>
              <c:strCache>
                <c:ptCount val="1"/>
                <c:pt idx="0">
                  <c:v>MAC-10 Malachite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SMG!$B$14:$Z$14</c:f>
              <c:numCache>
                <c:formatCode>General</c:formatCode>
                <c:ptCount val="25"/>
                <c:pt idx="0">
                  <c:v>1.5</c:v>
                </c:pt>
                <c:pt idx="1">
                  <c:v>1.45</c:v>
                </c:pt>
                <c:pt idx="2">
                  <c:v>1.4</c:v>
                </c:pt>
                <c:pt idx="3">
                  <c:v>1.39</c:v>
                </c:pt>
                <c:pt idx="4">
                  <c:v>1.51</c:v>
                </c:pt>
                <c:pt idx="5">
                  <c:v>1.54</c:v>
                </c:pt>
                <c:pt idx="6">
                  <c:v>1.46</c:v>
                </c:pt>
                <c:pt idx="7">
                  <c:v>1.55</c:v>
                </c:pt>
                <c:pt idx="8">
                  <c:v>1.55</c:v>
                </c:pt>
                <c:pt idx="9">
                  <c:v>1.51</c:v>
                </c:pt>
                <c:pt idx="10">
                  <c:v>1.49</c:v>
                </c:pt>
                <c:pt idx="11">
                  <c:v>1.5</c:v>
                </c:pt>
                <c:pt idx="12">
                  <c:v>1.51</c:v>
                </c:pt>
                <c:pt idx="13">
                  <c:v>1.54</c:v>
                </c:pt>
                <c:pt idx="14">
                  <c:v>1.54</c:v>
                </c:pt>
                <c:pt idx="15">
                  <c:v>1.55</c:v>
                </c:pt>
                <c:pt idx="16">
                  <c:v>1.56</c:v>
                </c:pt>
                <c:pt idx="17">
                  <c:v>1.52</c:v>
                </c:pt>
                <c:pt idx="18">
                  <c:v>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6-4754-8755-7BB159334307}"/>
            </c:ext>
          </c:extLst>
        </c:ser>
        <c:ser>
          <c:idx val="10"/>
          <c:order val="10"/>
          <c:tx>
            <c:strRef>
              <c:f>SMG!$A$15</c:f>
              <c:strCache>
                <c:ptCount val="1"/>
                <c:pt idx="0">
                  <c:v>MP7 Impire MW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SMG!$B$15:$Z$15</c:f>
              <c:numCache>
                <c:formatCode>General</c:formatCode>
                <c:ptCount val="25"/>
                <c:pt idx="0">
                  <c:v>1.46</c:v>
                </c:pt>
                <c:pt idx="1">
                  <c:v>1.44</c:v>
                </c:pt>
                <c:pt idx="2">
                  <c:v>1.49</c:v>
                </c:pt>
                <c:pt idx="3">
                  <c:v>1.46</c:v>
                </c:pt>
                <c:pt idx="4">
                  <c:v>1.53</c:v>
                </c:pt>
                <c:pt idx="5">
                  <c:v>1.53</c:v>
                </c:pt>
                <c:pt idx="6">
                  <c:v>1.45</c:v>
                </c:pt>
                <c:pt idx="7">
                  <c:v>1.53</c:v>
                </c:pt>
                <c:pt idx="8">
                  <c:v>1.46</c:v>
                </c:pt>
                <c:pt idx="9">
                  <c:v>1.49</c:v>
                </c:pt>
                <c:pt idx="10">
                  <c:v>1.52</c:v>
                </c:pt>
                <c:pt idx="11">
                  <c:v>1.51</c:v>
                </c:pt>
                <c:pt idx="12">
                  <c:v>1.56</c:v>
                </c:pt>
                <c:pt idx="13">
                  <c:v>1.54</c:v>
                </c:pt>
                <c:pt idx="14">
                  <c:v>1.41</c:v>
                </c:pt>
                <c:pt idx="15">
                  <c:v>1.51</c:v>
                </c:pt>
                <c:pt idx="16">
                  <c:v>1.45</c:v>
                </c:pt>
                <c:pt idx="17">
                  <c:v>1.51</c:v>
                </c:pt>
                <c:pt idx="18">
                  <c:v>1.41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6-4754-8755-7BB159334307}"/>
            </c:ext>
          </c:extLst>
        </c:ser>
        <c:ser>
          <c:idx val="11"/>
          <c:order val="11"/>
          <c:tx>
            <c:strRef>
              <c:f>SMG!$A$16</c:f>
              <c:strCache>
                <c:ptCount val="1"/>
                <c:pt idx="0">
                  <c:v>MP9 Hydra MW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SMG!$B$16:$Z$16</c:f>
              <c:numCache>
                <c:formatCode>General</c:formatCode>
                <c:ptCount val="25"/>
                <c:pt idx="0">
                  <c:v>6.38</c:v>
                </c:pt>
                <c:pt idx="1">
                  <c:v>5.63</c:v>
                </c:pt>
                <c:pt idx="2">
                  <c:v>5.7</c:v>
                </c:pt>
                <c:pt idx="3">
                  <c:v>5.94</c:v>
                </c:pt>
                <c:pt idx="4">
                  <c:v>5.87</c:v>
                </c:pt>
                <c:pt idx="5">
                  <c:v>6.21</c:v>
                </c:pt>
                <c:pt idx="6">
                  <c:v>5.92</c:v>
                </c:pt>
                <c:pt idx="7">
                  <c:v>6.18</c:v>
                </c:pt>
                <c:pt idx="8">
                  <c:v>5.84</c:v>
                </c:pt>
                <c:pt idx="9">
                  <c:v>5.87</c:v>
                </c:pt>
                <c:pt idx="10">
                  <c:v>6.07</c:v>
                </c:pt>
                <c:pt idx="11">
                  <c:v>5.77</c:v>
                </c:pt>
                <c:pt idx="12">
                  <c:v>5.94</c:v>
                </c:pt>
                <c:pt idx="13">
                  <c:v>5.78</c:v>
                </c:pt>
                <c:pt idx="14">
                  <c:v>6.27</c:v>
                </c:pt>
                <c:pt idx="15">
                  <c:v>6.04</c:v>
                </c:pt>
                <c:pt idx="16">
                  <c:v>6.14</c:v>
                </c:pt>
                <c:pt idx="17">
                  <c:v>5.75</c:v>
                </c:pt>
                <c:pt idx="18">
                  <c:v>5.92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6-4754-8755-7BB159334307}"/>
            </c:ext>
          </c:extLst>
        </c:ser>
        <c:ser>
          <c:idx val="12"/>
          <c:order val="12"/>
          <c:tx>
            <c:strRef>
              <c:f>SMG!$A$17</c:f>
              <c:strCache>
                <c:ptCount val="1"/>
                <c:pt idx="0">
                  <c:v>PP-Bizon Fuel Rod FT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SMG!$B$17:$Z$17</c:f>
              <c:numCache>
                <c:formatCode>General</c:formatCode>
                <c:ptCount val="25"/>
                <c:pt idx="0">
                  <c:v>1.1000000000000001</c:v>
                </c:pt>
                <c:pt idx="1">
                  <c:v>1.04</c:v>
                </c:pt>
                <c:pt idx="2">
                  <c:v>0.98</c:v>
                </c:pt>
                <c:pt idx="3">
                  <c:v>0.93</c:v>
                </c:pt>
                <c:pt idx="4">
                  <c:v>0.88</c:v>
                </c:pt>
                <c:pt idx="5">
                  <c:v>0.98</c:v>
                </c:pt>
                <c:pt idx="6">
                  <c:v>0.94</c:v>
                </c:pt>
                <c:pt idx="7">
                  <c:v>0.93</c:v>
                </c:pt>
                <c:pt idx="8">
                  <c:v>0.96</c:v>
                </c:pt>
                <c:pt idx="9">
                  <c:v>0.93</c:v>
                </c:pt>
                <c:pt idx="10">
                  <c:v>0.98</c:v>
                </c:pt>
                <c:pt idx="11">
                  <c:v>0.98</c:v>
                </c:pt>
                <c:pt idx="12">
                  <c:v>0.88</c:v>
                </c:pt>
                <c:pt idx="13">
                  <c:v>0.87</c:v>
                </c:pt>
                <c:pt idx="14">
                  <c:v>0.85</c:v>
                </c:pt>
                <c:pt idx="15">
                  <c:v>0.84</c:v>
                </c:pt>
                <c:pt idx="16">
                  <c:v>0.92</c:v>
                </c:pt>
                <c:pt idx="17">
                  <c:v>0.86</c:v>
                </c:pt>
                <c:pt idx="18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6-4754-8755-7BB159334307}"/>
            </c:ext>
          </c:extLst>
        </c:ser>
        <c:ser>
          <c:idx val="13"/>
          <c:order val="13"/>
          <c:tx>
            <c:strRef>
              <c:f>SMG!$A$18</c:f>
              <c:strCache>
                <c:ptCount val="1"/>
                <c:pt idx="0">
                  <c:v>UMP-45 Plastique MW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SMG!$B$18:$Z$18</c:f>
              <c:numCache>
                <c:formatCode>General</c:formatCode>
                <c:ptCount val="25"/>
                <c:pt idx="0">
                  <c:v>0.8</c:v>
                </c:pt>
                <c:pt idx="1">
                  <c:v>0.83</c:v>
                </c:pt>
                <c:pt idx="2">
                  <c:v>0.82</c:v>
                </c:pt>
                <c:pt idx="3">
                  <c:v>0.76</c:v>
                </c:pt>
                <c:pt idx="4">
                  <c:v>0.82</c:v>
                </c:pt>
                <c:pt idx="5">
                  <c:v>0.83</c:v>
                </c:pt>
                <c:pt idx="6">
                  <c:v>0.84</c:v>
                </c:pt>
                <c:pt idx="7">
                  <c:v>0.84</c:v>
                </c:pt>
                <c:pt idx="8">
                  <c:v>0.84</c:v>
                </c:pt>
                <c:pt idx="9">
                  <c:v>0.83</c:v>
                </c:pt>
                <c:pt idx="10">
                  <c:v>0.85</c:v>
                </c:pt>
                <c:pt idx="11">
                  <c:v>0.85</c:v>
                </c:pt>
                <c:pt idx="12">
                  <c:v>0.87</c:v>
                </c:pt>
                <c:pt idx="13">
                  <c:v>0.85</c:v>
                </c:pt>
                <c:pt idx="14">
                  <c:v>0.83</c:v>
                </c:pt>
                <c:pt idx="15">
                  <c:v>0.84</c:v>
                </c:pt>
                <c:pt idx="16">
                  <c:v>0.83</c:v>
                </c:pt>
                <c:pt idx="17">
                  <c:v>0.75</c:v>
                </c:pt>
                <c:pt idx="18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26-4754-8755-7BB159334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14959"/>
        <c:axId val="2038941871"/>
      </c:lineChart>
      <c:dateAx>
        <c:axId val="1089149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1871"/>
        <c:crosses val="autoZero"/>
        <c:auto val="1"/>
        <c:lblOffset val="100"/>
        <c:baseTimeUnit val="days"/>
      </c:dateAx>
      <c:valAx>
        <c:axId val="203894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8914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Heavy-Skins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Heavy!$A$5</c:f>
              <c:strCache>
                <c:ptCount val="1"/>
                <c:pt idx="0">
                  <c:v>Stattrak MAG-7 Heat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Heavy!$B$5:$Z$5</c:f>
              <c:numCache>
                <c:formatCode>General</c:formatCode>
                <c:ptCount val="25"/>
                <c:pt idx="0">
                  <c:v>0.88</c:v>
                </c:pt>
                <c:pt idx="1">
                  <c:v>0.93</c:v>
                </c:pt>
                <c:pt idx="2">
                  <c:v>0.94</c:v>
                </c:pt>
                <c:pt idx="3">
                  <c:v>0.89</c:v>
                </c:pt>
                <c:pt idx="4">
                  <c:v>0.92</c:v>
                </c:pt>
                <c:pt idx="5">
                  <c:v>0.93</c:v>
                </c:pt>
                <c:pt idx="6">
                  <c:v>0.93</c:v>
                </c:pt>
                <c:pt idx="7">
                  <c:v>0.96</c:v>
                </c:pt>
                <c:pt idx="8">
                  <c:v>0.97</c:v>
                </c:pt>
                <c:pt idx="9">
                  <c:v>0.97</c:v>
                </c:pt>
                <c:pt idx="10">
                  <c:v>1.03</c:v>
                </c:pt>
                <c:pt idx="11">
                  <c:v>1.04</c:v>
                </c:pt>
                <c:pt idx="12">
                  <c:v>0.97</c:v>
                </c:pt>
                <c:pt idx="13">
                  <c:v>0.93</c:v>
                </c:pt>
                <c:pt idx="14">
                  <c:v>0.95</c:v>
                </c:pt>
                <c:pt idx="15">
                  <c:v>0.84</c:v>
                </c:pt>
                <c:pt idx="16">
                  <c:v>0.87</c:v>
                </c:pt>
                <c:pt idx="17">
                  <c:v>0.95</c:v>
                </c:pt>
                <c:pt idx="18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22-41DF-8B12-5A1E4550D661}"/>
            </c:ext>
          </c:extLst>
        </c:ser>
        <c:ser>
          <c:idx val="1"/>
          <c:order val="1"/>
          <c:tx>
            <c:strRef>
              <c:f>Heavy!$A$6</c:f>
              <c:strCache>
                <c:ptCount val="1"/>
                <c:pt idx="0">
                  <c:v>Sawed-Off The Kraken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Heavy!$B$6:$Z$6</c:f>
              <c:numCache>
                <c:formatCode>General</c:formatCode>
                <c:ptCount val="25"/>
                <c:pt idx="0">
                  <c:v>5.92</c:v>
                </c:pt>
                <c:pt idx="1">
                  <c:v>5.49</c:v>
                </c:pt>
                <c:pt idx="2">
                  <c:v>5.64</c:v>
                </c:pt>
                <c:pt idx="3">
                  <c:v>5.75</c:v>
                </c:pt>
                <c:pt idx="4">
                  <c:v>5.59</c:v>
                </c:pt>
                <c:pt idx="5">
                  <c:v>5.93</c:v>
                </c:pt>
                <c:pt idx="6">
                  <c:v>5.7</c:v>
                </c:pt>
                <c:pt idx="7">
                  <c:v>5.9</c:v>
                </c:pt>
                <c:pt idx="8">
                  <c:v>5.59</c:v>
                </c:pt>
                <c:pt idx="9">
                  <c:v>5.82</c:v>
                </c:pt>
                <c:pt idx="10">
                  <c:v>5.41</c:v>
                </c:pt>
                <c:pt idx="11">
                  <c:v>5.44</c:v>
                </c:pt>
                <c:pt idx="12">
                  <c:v>5.83</c:v>
                </c:pt>
                <c:pt idx="13">
                  <c:v>5.8</c:v>
                </c:pt>
                <c:pt idx="14">
                  <c:v>5.9</c:v>
                </c:pt>
                <c:pt idx="15">
                  <c:v>5.9</c:v>
                </c:pt>
                <c:pt idx="16">
                  <c:v>6.17</c:v>
                </c:pt>
                <c:pt idx="17">
                  <c:v>5.99</c:v>
                </c:pt>
                <c:pt idx="18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22-41DF-8B12-5A1E4550D661}"/>
            </c:ext>
          </c:extLst>
        </c:ser>
        <c:ser>
          <c:idx val="2"/>
          <c:order val="2"/>
          <c:tx>
            <c:strRef>
              <c:f>Heavy!$A$7</c:f>
              <c:strCache>
                <c:ptCount val="1"/>
                <c:pt idx="0">
                  <c:v>XM1014 Heaven Guard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Heavy!$B$7:$Z$7</c:f>
              <c:numCache>
                <c:formatCode>General</c:formatCode>
                <c:ptCount val="25"/>
                <c:pt idx="0">
                  <c:v>3.12</c:v>
                </c:pt>
                <c:pt idx="1">
                  <c:v>2.89</c:v>
                </c:pt>
                <c:pt idx="2">
                  <c:v>2.5</c:v>
                </c:pt>
                <c:pt idx="3">
                  <c:v>2.6</c:v>
                </c:pt>
                <c:pt idx="4">
                  <c:v>2.8</c:v>
                </c:pt>
                <c:pt idx="5">
                  <c:v>3.02</c:v>
                </c:pt>
                <c:pt idx="6">
                  <c:v>2.69</c:v>
                </c:pt>
                <c:pt idx="7">
                  <c:v>2.81</c:v>
                </c:pt>
                <c:pt idx="8">
                  <c:v>2.8</c:v>
                </c:pt>
                <c:pt idx="9">
                  <c:v>2.84</c:v>
                </c:pt>
                <c:pt idx="10">
                  <c:v>2.82</c:v>
                </c:pt>
                <c:pt idx="11">
                  <c:v>2.83</c:v>
                </c:pt>
                <c:pt idx="12">
                  <c:v>2.82</c:v>
                </c:pt>
                <c:pt idx="13">
                  <c:v>2.91</c:v>
                </c:pt>
                <c:pt idx="14">
                  <c:v>2.93</c:v>
                </c:pt>
                <c:pt idx="15">
                  <c:v>2.91</c:v>
                </c:pt>
                <c:pt idx="16">
                  <c:v>3</c:v>
                </c:pt>
                <c:pt idx="17">
                  <c:v>2.76</c:v>
                </c:pt>
                <c:pt idx="1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22-41DF-8B12-5A1E4550D661}"/>
            </c:ext>
          </c:extLst>
        </c:ser>
        <c:ser>
          <c:idx val="3"/>
          <c:order val="3"/>
          <c:tx>
            <c:strRef>
              <c:f>Heavy!$A$8</c:f>
              <c:strCache>
                <c:ptCount val="1"/>
                <c:pt idx="0">
                  <c:v>Nova Hyper Beast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Heavy!$B$8:$Z$8</c:f>
              <c:numCache>
                <c:formatCode>General</c:formatCode>
                <c:ptCount val="25"/>
                <c:pt idx="0">
                  <c:v>7.22</c:v>
                </c:pt>
                <c:pt idx="1">
                  <c:v>7.74</c:v>
                </c:pt>
                <c:pt idx="2">
                  <c:v>6.67</c:v>
                </c:pt>
                <c:pt idx="3">
                  <c:v>6.74</c:v>
                </c:pt>
                <c:pt idx="4">
                  <c:v>6.72</c:v>
                </c:pt>
                <c:pt idx="5">
                  <c:v>6.86</c:v>
                </c:pt>
                <c:pt idx="6">
                  <c:v>6.36</c:v>
                </c:pt>
                <c:pt idx="7">
                  <c:v>7.02</c:v>
                </c:pt>
                <c:pt idx="8">
                  <c:v>7.16</c:v>
                </c:pt>
                <c:pt idx="9">
                  <c:v>7.02</c:v>
                </c:pt>
                <c:pt idx="10">
                  <c:v>7.25</c:v>
                </c:pt>
                <c:pt idx="11">
                  <c:v>7.31</c:v>
                </c:pt>
                <c:pt idx="12">
                  <c:v>7.05</c:v>
                </c:pt>
                <c:pt idx="13">
                  <c:v>6.58</c:v>
                </c:pt>
                <c:pt idx="14">
                  <c:v>6.44</c:v>
                </c:pt>
                <c:pt idx="15">
                  <c:v>7.54</c:v>
                </c:pt>
                <c:pt idx="16">
                  <c:v>7.54</c:v>
                </c:pt>
                <c:pt idx="17">
                  <c:v>7.63</c:v>
                </c:pt>
                <c:pt idx="18">
                  <c:v>7.36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22-41DF-8B12-5A1E4550D661}"/>
            </c:ext>
          </c:extLst>
        </c:ser>
        <c:ser>
          <c:idx val="4"/>
          <c:order val="4"/>
          <c:tx>
            <c:strRef>
              <c:f>Heavy!$A$9</c:f>
              <c:strCache>
                <c:ptCount val="1"/>
                <c:pt idx="0">
                  <c:v>Nova Wild Six FT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Heavy!$B$9:$Z$9</c:f>
              <c:numCache>
                <c:formatCode>General</c:formatCode>
                <c:ptCount val="25"/>
                <c:pt idx="0">
                  <c:v>0.36</c:v>
                </c:pt>
                <c:pt idx="1">
                  <c:v>0.34</c:v>
                </c:pt>
                <c:pt idx="2">
                  <c:v>0.35</c:v>
                </c:pt>
                <c:pt idx="3">
                  <c:v>0.32</c:v>
                </c:pt>
                <c:pt idx="4">
                  <c:v>0.35</c:v>
                </c:pt>
                <c:pt idx="5">
                  <c:v>0.32</c:v>
                </c:pt>
                <c:pt idx="6">
                  <c:v>0.32</c:v>
                </c:pt>
                <c:pt idx="7">
                  <c:v>0.34</c:v>
                </c:pt>
                <c:pt idx="8">
                  <c:v>0.38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0.32</c:v>
                </c:pt>
                <c:pt idx="13">
                  <c:v>0.35</c:v>
                </c:pt>
                <c:pt idx="14">
                  <c:v>0.3</c:v>
                </c:pt>
                <c:pt idx="15">
                  <c:v>0.32</c:v>
                </c:pt>
                <c:pt idx="16">
                  <c:v>0.35</c:v>
                </c:pt>
                <c:pt idx="17">
                  <c:v>0.35</c:v>
                </c:pt>
                <c:pt idx="18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22-41DF-8B12-5A1E4550D661}"/>
            </c:ext>
          </c:extLst>
        </c:ser>
        <c:ser>
          <c:idx val="5"/>
          <c:order val="5"/>
          <c:tx>
            <c:strRef>
              <c:f>Heavy!$A$10</c:f>
              <c:strCache>
                <c:ptCount val="1"/>
                <c:pt idx="0">
                  <c:v>Nova Toy Soldier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Heavy!$B$10:$Z$10</c:f>
              <c:numCache>
                <c:formatCode>General</c:formatCode>
                <c:ptCount val="25"/>
                <c:pt idx="0">
                  <c:v>0.82</c:v>
                </c:pt>
                <c:pt idx="1">
                  <c:v>0.77</c:v>
                </c:pt>
                <c:pt idx="2">
                  <c:v>0.8</c:v>
                </c:pt>
                <c:pt idx="3">
                  <c:v>0.78</c:v>
                </c:pt>
                <c:pt idx="4">
                  <c:v>0.76</c:v>
                </c:pt>
                <c:pt idx="5">
                  <c:v>0.76</c:v>
                </c:pt>
                <c:pt idx="6">
                  <c:v>0.78</c:v>
                </c:pt>
                <c:pt idx="7">
                  <c:v>0.73</c:v>
                </c:pt>
                <c:pt idx="8">
                  <c:v>0.75</c:v>
                </c:pt>
                <c:pt idx="9">
                  <c:v>0.74</c:v>
                </c:pt>
                <c:pt idx="10">
                  <c:v>0.77</c:v>
                </c:pt>
                <c:pt idx="11">
                  <c:v>0.78</c:v>
                </c:pt>
                <c:pt idx="12">
                  <c:v>0.84</c:v>
                </c:pt>
                <c:pt idx="13">
                  <c:v>0.83</c:v>
                </c:pt>
                <c:pt idx="14">
                  <c:v>0.92</c:v>
                </c:pt>
                <c:pt idx="15">
                  <c:v>0.83</c:v>
                </c:pt>
                <c:pt idx="16">
                  <c:v>0.85</c:v>
                </c:pt>
                <c:pt idx="17">
                  <c:v>0.82</c:v>
                </c:pt>
                <c:pt idx="18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22-41DF-8B12-5A1E4550D661}"/>
            </c:ext>
          </c:extLst>
        </c:ser>
        <c:ser>
          <c:idx val="6"/>
          <c:order val="6"/>
          <c:tx>
            <c:strRef>
              <c:f>Heavy!$A$11</c:f>
              <c:strCache>
                <c:ptCount val="1"/>
                <c:pt idx="0">
                  <c:v>MAG-7 Swag-7 FT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Heavy!$B$11:$Z$11</c:f>
              <c:numCache>
                <c:formatCode>General</c:formatCode>
                <c:ptCount val="25"/>
                <c:pt idx="0">
                  <c:v>0.35</c:v>
                </c:pt>
                <c:pt idx="1">
                  <c:v>0.34</c:v>
                </c:pt>
                <c:pt idx="2">
                  <c:v>0.34</c:v>
                </c:pt>
                <c:pt idx="3">
                  <c:v>0.34</c:v>
                </c:pt>
                <c:pt idx="4">
                  <c:v>0.31</c:v>
                </c:pt>
                <c:pt idx="5">
                  <c:v>0.3</c:v>
                </c:pt>
                <c:pt idx="6">
                  <c:v>0.3</c:v>
                </c:pt>
                <c:pt idx="7">
                  <c:v>0.31</c:v>
                </c:pt>
                <c:pt idx="8">
                  <c:v>0.34</c:v>
                </c:pt>
                <c:pt idx="9">
                  <c:v>0.34</c:v>
                </c:pt>
                <c:pt idx="10">
                  <c:v>0.32</c:v>
                </c:pt>
                <c:pt idx="11">
                  <c:v>0.31</c:v>
                </c:pt>
                <c:pt idx="12">
                  <c:v>0.31</c:v>
                </c:pt>
                <c:pt idx="13">
                  <c:v>0.31</c:v>
                </c:pt>
                <c:pt idx="14">
                  <c:v>0.32</c:v>
                </c:pt>
                <c:pt idx="15">
                  <c:v>0.3</c:v>
                </c:pt>
                <c:pt idx="16">
                  <c:v>0.31</c:v>
                </c:pt>
                <c:pt idx="17">
                  <c:v>0.32</c:v>
                </c:pt>
                <c:pt idx="18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22-41DF-8B12-5A1E4550D661}"/>
            </c:ext>
          </c:extLst>
        </c:ser>
        <c:ser>
          <c:idx val="7"/>
          <c:order val="7"/>
          <c:tx>
            <c:strRef>
              <c:f>Heavy!$A$12</c:f>
              <c:strCache>
                <c:ptCount val="1"/>
                <c:pt idx="0">
                  <c:v>Souvenir XM1014 VariCamo Blue FN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Heavy!$B$12:$Z$12</c:f>
              <c:numCache>
                <c:formatCode>General</c:formatCode>
                <c:ptCount val="25"/>
                <c:pt idx="0">
                  <c:v>3.61</c:v>
                </c:pt>
                <c:pt idx="1">
                  <c:v>3.49</c:v>
                </c:pt>
                <c:pt idx="2">
                  <c:v>3.47</c:v>
                </c:pt>
                <c:pt idx="3">
                  <c:v>3.92</c:v>
                </c:pt>
                <c:pt idx="4">
                  <c:v>3.58</c:v>
                </c:pt>
                <c:pt idx="5">
                  <c:v>3.49</c:v>
                </c:pt>
                <c:pt idx="6">
                  <c:v>3.49</c:v>
                </c:pt>
                <c:pt idx="7">
                  <c:v>3.49</c:v>
                </c:pt>
                <c:pt idx="8">
                  <c:v>3.05</c:v>
                </c:pt>
                <c:pt idx="9">
                  <c:v>3.46</c:v>
                </c:pt>
                <c:pt idx="10">
                  <c:v>3.46</c:v>
                </c:pt>
                <c:pt idx="11">
                  <c:v>4.21</c:v>
                </c:pt>
                <c:pt idx="12">
                  <c:v>3.94</c:v>
                </c:pt>
                <c:pt idx="13">
                  <c:v>3.62</c:v>
                </c:pt>
                <c:pt idx="14">
                  <c:v>3.86</c:v>
                </c:pt>
                <c:pt idx="15">
                  <c:v>3.8</c:v>
                </c:pt>
                <c:pt idx="16">
                  <c:v>3.8</c:v>
                </c:pt>
                <c:pt idx="17">
                  <c:v>3.72</c:v>
                </c:pt>
                <c:pt idx="18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A22-41DF-8B12-5A1E4550D661}"/>
            </c:ext>
          </c:extLst>
        </c:ser>
        <c:ser>
          <c:idx val="8"/>
          <c:order val="8"/>
          <c:tx>
            <c:strRef>
              <c:f>Heavy!$A$13</c:f>
              <c:strCache>
                <c:ptCount val="1"/>
                <c:pt idx="0">
                  <c:v>MAG-7 Popdog FN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Heavy!$B$13:$Z$13</c:f>
              <c:numCache>
                <c:formatCode>General</c:formatCode>
                <c:ptCount val="25"/>
                <c:pt idx="0">
                  <c:v>0.3</c:v>
                </c:pt>
                <c:pt idx="1">
                  <c:v>0.3</c:v>
                </c:pt>
                <c:pt idx="2">
                  <c:v>0.34</c:v>
                </c:pt>
                <c:pt idx="3">
                  <c:v>0.34</c:v>
                </c:pt>
                <c:pt idx="4">
                  <c:v>0.32</c:v>
                </c:pt>
                <c:pt idx="5">
                  <c:v>0.36</c:v>
                </c:pt>
                <c:pt idx="6">
                  <c:v>0.34</c:v>
                </c:pt>
                <c:pt idx="7">
                  <c:v>0.3</c:v>
                </c:pt>
                <c:pt idx="8">
                  <c:v>0.34</c:v>
                </c:pt>
                <c:pt idx="9">
                  <c:v>0.32</c:v>
                </c:pt>
                <c:pt idx="10">
                  <c:v>0.34</c:v>
                </c:pt>
                <c:pt idx="11">
                  <c:v>0.3</c:v>
                </c:pt>
                <c:pt idx="12">
                  <c:v>0.31</c:v>
                </c:pt>
                <c:pt idx="13">
                  <c:v>0.32</c:v>
                </c:pt>
                <c:pt idx="14">
                  <c:v>0.3</c:v>
                </c:pt>
                <c:pt idx="15">
                  <c:v>0.32</c:v>
                </c:pt>
                <c:pt idx="16">
                  <c:v>0.32</c:v>
                </c:pt>
                <c:pt idx="17">
                  <c:v>0.28999999999999998</c:v>
                </c:pt>
                <c:pt idx="18">
                  <c:v>0.28999999999999998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A22-41DF-8B12-5A1E4550D661}"/>
            </c:ext>
          </c:extLst>
        </c:ser>
        <c:ser>
          <c:idx val="9"/>
          <c:order val="9"/>
          <c:tx>
            <c:strRef>
              <c:f>Heavy!$A$14</c:f>
              <c:strCache>
                <c:ptCount val="1"/>
                <c:pt idx="0">
                  <c:v>Sawed-Off Limelight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Heavy!$B$14:$Z$14</c:f>
              <c:numCache>
                <c:formatCode>General</c:formatCode>
                <c:ptCount val="25"/>
                <c:pt idx="0">
                  <c:v>0.89</c:v>
                </c:pt>
                <c:pt idx="1">
                  <c:v>0.88</c:v>
                </c:pt>
                <c:pt idx="2">
                  <c:v>0.96</c:v>
                </c:pt>
                <c:pt idx="3">
                  <c:v>0.92</c:v>
                </c:pt>
                <c:pt idx="4">
                  <c:v>0.87</c:v>
                </c:pt>
                <c:pt idx="5">
                  <c:v>0.92</c:v>
                </c:pt>
                <c:pt idx="6">
                  <c:v>0.86</c:v>
                </c:pt>
                <c:pt idx="7">
                  <c:v>0.87</c:v>
                </c:pt>
                <c:pt idx="8">
                  <c:v>0.88</c:v>
                </c:pt>
                <c:pt idx="9">
                  <c:v>0.94</c:v>
                </c:pt>
                <c:pt idx="10">
                  <c:v>0.93</c:v>
                </c:pt>
                <c:pt idx="11">
                  <c:v>0.84</c:v>
                </c:pt>
                <c:pt idx="12">
                  <c:v>0.87</c:v>
                </c:pt>
                <c:pt idx="13">
                  <c:v>0.86</c:v>
                </c:pt>
                <c:pt idx="14">
                  <c:v>0.93</c:v>
                </c:pt>
                <c:pt idx="15">
                  <c:v>0.82</c:v>
                </c:pt>
                <c:pt idx="16">
                  <c:v>0.88</c:v>
                </c:pt>
                <c:pt idx="17">
                  <c:v>0.77</c:v>
                </c:pt>
                <c:pt idx="18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A22-41DF-8B12-5A1E4550D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872319"/>
        <c:axId val="2038927311"/>
      </c:lineChart>
      <c:dateAx>
        <c:axId val="1924872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27311"/>
        <c:crosses val="autoZero"/>
        <c:auto val="1"/>
        <c:lblOffset val="100"/>
        <c:baseTimeUnit val="days"/>
      </c:dateAx>
      <c:valAx>
        <c:axId val="2038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2487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Pistol-Skins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Pistol!$A$5</c:f>
              <c:strCache>
                <c:ptCount val="1"/>
                <c:pt idx="0">
                  <c:v>USP-S Kill Confirmed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Pistol!$B$5:$Z$5</c:f>
              <c:numCache>
                <c:formatCode>General</c:formatCode>
                <c:ptCount val="25"/>
                <c:pt idx="0">
                  <c:v>46.88</c:v>
                </c:pt>
                <c:pt idx="1">
                  <c:v>48.26</c:v>
                </c:pt>
                <c:pt idx="2">
                  <c:v>46.04</c:v>
                </c:pt>
                <c:pt idx="3">
                  <c:v>44.75</c:v>
                </c:pt>
                <c:pt idx="4">
                  <c:v>44.89</c:v>
                </c:pt>
                <c:pt idx="5">
                  <c:v>46.63</c:v>
                </c:pt>
                <c:pt idx="6">
                  <c:v>46.07</c:v>
                </c:pt>
                <c:pt idx="7">
                  <c:v>41.4</c:v>
                </c:pt>
                <c:pt idx="8">
                  <c:v>44.41</c:v>
                </c:pt>
                <c:pt idx="9">
                  <c:v>43.55</c:v>
                </c:pt>
                <c:pt idx="10">
                  <c:v>43.89</c:v>
                </c:pt>
                <c:pt idx="11">
                  <c:v>43.72</c:v>
                </c:pt>
                <c:pt idx="12">
                  <c:v>42.45</c:v>
                </c:pt>
                <c:pt idx="13">
                  <c:v>41.71</c:v>
                </c:pt>
                <c:pt idx="14">
                  <c:v>40.94</c:v>
                </c:pt>
                <c:pt idx="15">
                  <c:v>42.79</c:v>
                </c:pt>
                <c:pt idx="16">
                  <c:v>43.88</c:v>
                </c:pt>
                <c:pt idx="17">
                  <c:v>44.86</c:v>
                </c:pt>
                <c:pt idx="18">
                  <c:v>44.24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F-4189-8A5C-DC7B68E23D02}"/>
            </c:ext>
          </c:extLst>
        </c:ser>
        <c:ser>
          <c:idx val="1"/>
          <c:order val="1"/>
          <c:tx>
            <c:strRef>
              <c:f>Pistol!$A$6</c:f>
              <c:strCache>
                <c:ptCount val="1"/>
                <c:pt idx="0">
                  <c:v>Stattrak Dual Berettas Dualing Dragons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Pistol!$B$6:$Z$6</c:f>
              <c:numCache>
                <c:formatCode>General</c:formatCode>
                <c:ptCount val="25"/>
                <c:pt idx="0">
                  <c:v>1.38</c:v>
                </c:pt>
                <c:pt idx="1">
                  <c:v>1.3</c:v>
                </c:pt>
                <c:pt idx="2">
                  <c:v>1.39</c:v>
                </c:pt>
                <c:pt idx="3">
                  <c:v>1.44</c:v>
                </c:pt>
                <c:pt idx="4">
                  <c:v>1.38</c:v>
                </c:pt>
                <c:pt idx="5">
                  <c:v>1.38</c:v>
                </c:pt>
                <c:pt idx="6">
                  <c:v>1.4</c:v>
                </c:pt>
                <c:pt idx="7">
                  <c:v>1.4</c:v>
                </c:pt>
                <c:pt idx="8">
                  <c:v>1.42</c:v>
                </c:pt>
                <c:pt idx="9">
                  <c:v>1.4</c:v>
                </c:pt>
                <c:pt idx="10">
                  <c:v>1.4</c:v>
                </c:pt>
                <c:pt idx="11">
                  <c:v>1.38</c:v>
                </c:pt>
                <c:pt idx="12">
                  <c:v>1.35</c:v>
                </c:pt>
                <c:pt idx="13">
                  <c:v>1.34</c:v>
                </c:pt>
                <c:pt idx="14">
                  <c:v>1.34</c:v>
                </c:pt>
                <c:pt idx="15">
                  <c:v>1.32</c:v>
                </c:pt>
                <c:pt idx="16">
                  <c:v>1.38</c:v>
                </c:pt>
                <c:pt idx="17">
                  <c:v>1.29</c:v>
                </c:pt>
                <c:pt idx="18">
                  <c:v>1.27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F-4189-8A5C-DC7B68E23D02}"/>
            </c:ext>
          </c:extLst>
        </c:ser>
        <c:ser>
          <c:idx val="2"/>
          <c:order val="2"/>
          <c:tx>
            <c:strRef>
              <c:f>Pistol!$A$7</c:f>
              <c:strCache>
                <c:ptCount val="1"/>
                <c:pt idx="0">
                  <c:v>Stattrak P250 Wingshot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Pistol!$B$7:$Z$7</c:f>
              <c:numCache>
                <c:formatCode>General</c:formatCode>
                <c:ptCount val="25"/>
                <c:pt idx="0">
                  <c:v>5.4</c:v>
                </c:pt>
                <c:pt idx="1">
                  <c:v>5.52</c:v>
                </c:pt>
                <c:pt idx="2">
                  <c:v>5.41</c:v>
                </c:pt>
                <c:pt idx="3">
                  <c:v>5.54</c:v>
                </c:pt>
                <c:pt idx="4">
                  <c:v>5.48</c:v>
                </c:pt>
                <c:pt idx="5">
                  <c:v>5.47</c:v>
                </c:pt>
                <c:pt idx="6">
                  <c:v>4.96</c:v>
                </c:pt>
                <c:pt idx="7">
                  <c:v>4.8</c:v>
                </c:pt>
                <c:pt idx="8">
                  <c:v>5.32</c:v>
                </c:pt>
                <c:pt idx="9">
                  <c:v>5.24</c:v>
                </c:pt>
                <c:pt idx="10">
                  <c:v>5.22</c:v>
                </c:pt>
                <c:pt idx="11">
                  <c:v>5.29</c:v>
                </c:pt>
                <c:pt idx="12">
                  <c:v>5.25</c:v>
                </c:pt>
                <c:pt idx="13">
                  <c:v>4.92</c:v>
                </c:pt>
                <c:pt idx="14">
                  <c:v>5.42</c:v>
                </c:pt>
                <c:pt idx="15">
                  <c:v>5.47</c:v>
                </c:pt>
                <c:pt idx="16">
                  <c:v>5.4</c:v>
                </c:pt>
                <c:pt idx="17">
                  <c:v>5.45</c:v>
                </c:pt>
                <c:pt idx="18">
                  <c:v>5.29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F-4189-8A5C-DC7B68E23D02}"/>
            </c:ext>
          </c:extLst>
        </c:ser>
        <c:ser>
          <c:idx val="3"/>
          <c:order val="3"/>
          <c:tx>
            <c:strRef>
              <c:f>Pistol!$A$8</c:f>
              <c:strCache>
                <c:ptCount val="1"/>
                <c:pt idx="0">
                  <c:v>Stattrak Tec-9 Avalanche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Pistol!$B$8:$Z$8</c:f>
              <c:numCache>
                <c:formatCode>General</c:formatCode>
                <c:ptCount val="25"/>
                <c:pt idx="0">
                  <c:v>2.67</c:v>
                </c:pt>
                <c:pt idx="1">
                  <c:v>2.73</c:v>
                </c:pt>
                <c:pt idx="2">
                  <c:v>2.62</c:v>
                </c:pt>
                <c:pt idx="3">
                  <c:v>2.64</c:v>
                </c:pt>
                <c:pt idx="4">
                  <c:v>2.54</c:v>
                </c:pt>
                <c:pt idx="5">
                  <c:v>2.58</c:v>
                </c:pt>
                <c:pt idx="6">
                  <c:v>2.7</c:v>
                </c:pt>
                <c:pt idx="7">
                  <c:v>2.69</c:v>
                </c:pt>
                <c:pt idx="8">
                  <c:v>2.58</c:v>
                </c:pt>
                <c:pt idx="9">
                  <c:v>2.4900000000000002</c:v>
                </c:pt>
                <c:pt idx="10">
                  <c:v>2.37</c:v>
                </c:pt>
                <c:pt idx="11">
                  <c:v>2.38</c:v>
                </c:pt>
                <c:pt idx="12">
                  <c:v>2.46</c:v>
                </c:pt>
                <c:pt idx="13">
                  <c:v>2.36</c:v>
                </c:pt>
                <c:pt idx="14">
                  <c:v>2.39</c:v>
                </c:pt>
                <c:pt idx="15">
                  <c:v>2.31</c:v>
                </c:pt>
                <c:pt idx="16">
                  <c:v>2.31</c:v>
                </c:pt>
                <c:pt idx="17">
                  <c:v>2.33</c:v>
                </c:pt>
                <c:pt idx="18">
                  <c:v>2.4300000000000002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8F-4189-8A5C-DC7B68E23D02}"/>
            </c:ext>
          </c:extLst>
        </c:ser>
        <c:ser>
          <c:idx val="4"/>
          <c:order val="4"/>
          <c:tx>
            <c:strRef>
              <c:f>Pistol!$A$9</c:f>
              <c:strCache>
                <c:ptCount val="1"/>
                <c:pt idx="0">
                  <c:v>Desert Eagle Kumicho Dragon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Pistol!$B$9:$Z$9</c:f>
              <c:numCache>
                <c:formatCode>General</c:formatCode>
                <c:ptCount val="25"/>
                <c:pt idx="0">
                  <c:v>16.010000000000002</c:v>
                </c:pt>
                <c:pt idx="1">
                  <c:v>16.03</c:v>
                </c:pt>
                <c:pt idx="2">
                  <c:v>16.510000000000002</c:v>
                </c:pt>
                <c:pt idx="3">
                  <c:v>16.36</c:v>
                </c:pt>
                <c:pt idx="4">
                  <c:v>15.72</c:v>
                </c:pt>
                <c:pt idx="5">
                  <c:v>15.47</c:v>
                </c:pt>
                <c:pt idx="6">
                  <c:v>15.88</c:v>
                </c:pt>
                <c:pt idx="7">
                  <c:v>16.75</c:v>
                </c:pt>
                <c:pt idx="8">
                  <c:v>16.04</c:v>
                </c:pt>
                <c:pt idx="9">
                  <c:v>16.07</c:v>
                </c:pt>
                <c:pt idx="10">
                  <c:v>14.58</c:v>
                </c:pt>
                <c:pt idx="11">
                  <c:v>15.18</c:v>
                </c:pt>
                <c:pt idx="12">
                  <c:v>15.49</c:v>
                </c:pt>
                <c:pt idx="13">
                  <c:v>14.85</c:v>
                </c:pt>
                <c:pt idx="14">
                  <c:v>15.68</c:v>
                </c:pt>
                <c:pt idx="15">
                  <c:v>15.71</c:v>
                </c:pt>
                <c:pt idx="16">
                  <c:v>15.94</c:v>
                </c:pt>
                <c:pt idx="17">
                  <c:v>15.37</c:v>
                </c:pt>
                <c:pt idx="18">
                  <c:v>15.2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78F-4189-8A5C-DC7B68E23D02}"/>
            </c:ext>
          </c:extLst>
        </c:ser>
        <c:ser>
          <c:idx val="5"/>
          <c:order val="5"/>
          <c:tx>
            <c:strRef>
              <c:f>Pistol!$A$10</c:f>
              <c:strCache>
                <c:ptCount val="1"/>
                <c:pt idx="0">
                  <c:v>Stattrak P2000 Imperial Dragon FT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Pistol!$B$10:$Z$10</c:f>
              <c:numCache>
                <c:formatCode>General</c:formatCode>
                <c:ptCount val="25"/>
                <c:pt idx="0">
                  <c:v>4.22</c:v>
                </c:pt>
                <c:pt idx="1">
                  <c:v>3.94</c:v>
                </c:pt>
                <c:pt idx="2">
                  <c:v>3.84</c:v>
                </c:pt>
                <c:pt idx="3">
                  <c:v>4.1500000000000004</c:v>
                </c:pt>
                <c:pt idx="4">
                  <c:v>4.0599999999999996</c:v>
                </c:pt>
                <c:pt idx="5">
                  <c:v>4.2</c:v>
                </c:pt>
                <c:pt idx="6">
                  <c:v>4.1399999999999997</c:v>
                </c:pt>
                <c:pt idx="7">
                  <c:v>4.1900000000000004</c:v>
                </c:pt>
                <c:pt idx="8">
                  <c:v>4.07</c:v>
                </c:pt>
                <c:pt idx="9">
                  <c:v>4.0599999999999996</c:v>
                </c:pt>
                <c:pt idx="10">
                  <c:v>3.93</c:v>
                </c:pt>
                <c:pt idx="11">
                  <c:v>3.99</c:v>
                </c:pt>
                <c:pt idx="12">
                  <c:v>4.16</c:v>
                </c:pt>
                <c:pt idx="13">
                  <c:v>3.68</c:v>
                </c:pt>
                <c:pt idx="14">
                  <c:v>4.07</c:v>
                </c:pt>
                <c:pt idx="15">
                  <c:v>4.1100000000000003</c:v>
                </c:pt>
                <c:pt idx="16">
                  <c:v>4.08</c:v>
                </c:pt>
                <c:pt idx="17">
                  <c:v>4.0599999999999996</c:v>
                </c:pt>
                <c:pt idx="18">
                  <c:v>3.81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78F-4189-8A5C-DC7B68E23D02}"/>
            </c:ext>
          </c:extLst>
        </c:ser>
        <c:ser>
          <c:idx val="6"/>
          <c:order val="6"/>
          <c:tx>
            <c:strRef>
              <c:f>Pistol!$A$11</c:f>
              <c:strCache>
                <c:ptCount val="1"/>
                <c:pt idx="0">
                  <c:v>Stattrak CZ75-Auto Red Astor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Pistol!$B$11:$Z$11</c:f>
              <c:numCache>
                <c:formatCode>General</c:formatCode>
                <c:ptCount val="25"/>
                <c:pt idx="0">
                  <c:v>1.89</c:v>
                </c:pt>
                <c:pt idx="1">
                  <c:v>1.96</c:v>
                </c:pt>
                <c:pt idx="2">
                  <c:v>2.02</c:v>
                </c:pt>
                <c:pt idx="3">
                  <c:v>1.95</c:v>
                </c:pt>
                <c:pt idx="4">
                  <c:v>1.84</c:v>
                </c:pt>
                <c:pt idx="5">
                  <c:v>1.97</c:v>
                </c:pt>
                <c:pt idx="6">
                  <c:v>1.89</c:v>
                </c:pt>
                <c:pt idx="7">
                  <c:v>1.87</c:v>
                </c:pt>
                <c:pt idx="8">
                  <c:v>1.74</c:v>
                </c:pt>
                <c:pt idx="9">
                  <c:v>1.88</c:v>
                </c:pt>
                <c:pt idx="10">
                  <c:v>1.87</c:v>
                </c:pt>
                <c:pt idx="11">
                  <c:v>1.79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1.72</c:v>
                </c:pt>
                <c:pt idx="16">
                  <c:v>1.74</c:v>
                </c:pt>
                <c:pt idx="17">
                  <c:v>1.58</c:v>
                </c:pt>
                <c:pt idx="18">
                  <c:v>1.73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8F-4189-8A5C-DC7B68E23D02}"/>
            </c:ext>
          </c:extLst>
        </c:ser>
        <c:ser>
          <c:idx val="7"/>
          <c:order val="7"/>
          <c:tx>
            <c:strRef>
              <c:f>Pistol!$A$12</c:f>
              <c:strCache>
                <c:ptCount val="1"/>
                <c:pt idx="0">
                  <c:v>R8 Revolver Reboot FT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Pistol!$B$12:$Z$12</c:f>
              <c:numCache>
                <c:formatCode>General</c:formatCode>
                <c:ptCount val="25"/>
                <c:pt idx="0">
                  <c:v>0.64</c:v>
                </c:pt>
                <c:pt idx="1">
                  <c:v>0.62</c:v>
                </c:pt>
                <c:pt idx="2">
                  <c:v>0.65</c:v>
                </c:pt>
                <c:pt idx="3">
                  <c:v>0.61</c:v>
                </c:pt>
                <c:pt idx="4">
                  <c:v>0.62</c:v>
                </c:pt>
                <c:pt idx="5">
                  <c:v>0.66</c:v>
                </c:pt>
                <c:pt idx="6">
                  <c:v>0.71</c:v>
                </c:pt>
                <c:pt idx="7">
                  <c:v>0.69</c:v>
                </c:pt>
                <c:pt idx="8">
                  <c:v>0.7</c:v>
                </c:pt>
                <c:pt idx="9">
                  <c:v>0.66</c:v>
                </c:pt>
                <c:pt idx="10">
                  <c:v>0.62</c:v>
                </c:pt>
                <c:pt idx="11">
                  <c:v>0.65</c:v>
                </c:pt>
                <c:pt idx="12">
                  <c:v>0.63</c:v>
                </c:pt>
                <c:pt idx="13">
                  <c:v>0.63</c:v>
                </c:pt>
                <c:pt idx="14">
                  <c:v>0.6</c:v>
                </c:pt>
                <c:pt idx="15">
                  <c:v>0.6</c:v>
                </c:pt>
                <c:pt idx="16">
                  <c:v>0.55000000000000004</c:v>
                </c:pt>
                <c:pt idx="17">
                  <c:v>0.6</c:v>
                </c:pt>
                <c:pt idx="18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8F-4189-8A5C-DC7B68E23D02}"/>
            </c:ext>
          </c:extLst>
        </c:ser>
        <c:ser>
          <c:idx val="8"/>
          <c:order val="8"/>
          <c:tx>
            <c:strRef>
              <c:f>Pistol!$A$13</c:f>
              <c:strCache>
                <c:ptCount val="1"/>
                <c:pt idx="0">
                  <c:v>Stattrak Glock-18 Water Elemental FT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Pistol!$B$13:$Z$13</c:f>
              <c:numCache>
                <c:formatCode>General</c:formatCode>
                <c:ptCount val="25"/>
                <c:pt idx="0">
                  <c:v>12.57</c:v>
                </c:pt>
                <c:pt idx="1">
                  <c:v>10.7</c:v>
                </c:pt>
                <c:pt idx="2">
                  <c:v>12.88</c:v>
                </c:pt>
                <c:pt idx="3">
                  <c:v>12.64</c:v>
                </c:pt>
                <c:pt idx="4">
                  <c:v>12.69</c:v>
                </c:pt>
                <c:pt idx="5">
                  <c:v>13.17</c:v>
                </c:pt>
                <c:pt idx="6">
                  <c:v>13.28</c:v>
                </c:pt>
                <c:pt idx="7">
                  <c:v>13.14</c:v>
                </c:pt>
                <c:pt idx="8">
                  <c:v>12.09</c:v>
                </c:pt>
                <c:pt idx="9">
                  <c:v>13.02</c:v>
                </c:pt>
                <c:pt idx="10">
                  <c:v>12.56</c:v>
                </c:pt>
                <c:pt idx="11">
                  <c:v>12.68</c:v>
                </c:pt>
                <c:pt idx="12">
                  <c:v>12.15</c:v>
                </c:pt>
                <c:pt idx="13">
                  <c:v>12.04</c:v>
                </c:pt>
                <c:pt idx="14">
                  <c:v>11.22</c:v>
                </c:pt>
                <c:pt idx="15">
                  <c:v>12.26</c:v>
                </c:pt>
                <c:pt idx="16">
                  <c:v>11.7</c:v>
                </c:pt>
                <c:pt idx="17">
                  <c:v>11.22</c:v>
                </c:pt>
                <c:pt idx="18">
                  <c:v>12.11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8F-4189-8A5C-DC7B68E23D02}"/>
            </c:ext>
          </c:extLst>
        </c:ser>
        <c:ser>
          <c:idx val="9"/>
          <c:order val="9"/>
          <c:tx>
            <c:strRef>
              <c:f>Pistol!$A$14</c:f>
              <c:strCache>
                <c:ptCount val="1"/>
                <c:pt idx="0">
                  <c:v>Dual Berettas Urban Shock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Pistol!$B$14:$Z$14</c:f>
              <c:numCache>
                <c:formatCode>General</c:formatCode>
                <c:ptCount val="25"/>
                <c:pt idx="0">
                  <c:v>1.39</c:v>
                </c:pt>
                <c:pt idx="1">
                  <c:v>1.46</c:v>
                </c:pt>
                <c:pt idx="2">
                  <c:v>1.35</c:v>
                </c:pt>
                <c:pt idx="3">
                  <c:v>1.38</c:v>
                </c:pt>
                <c:pt idx="4">
                  <c:v>1.39</c:v>
                </c:pt>
                <c:pt idx="5">
                  <c:v>1.35</c:v>
                </c:pt>
                <c:pt idx="6">
                  <c:v>1.43</c:v>
                </c:pt>
                <c:pt idx="7">
                  <c:v>1.42</c:v>
                </c:pt>
                <c:pt idx="8">
                  <c:v>1.35</c:v>
                </c:pt>
                <c:pt idx="9">
                  <c:v>1.45</c:v>
                </c:pt>
                <c:pt idx="10">
                  <c:v>1.43</c:v>
                </c:pt>
                <c:pt idx="11">
                  <c:v>1.32</c:v>
                </c:pt>
                <c:pt idx="12">
                  <c:v>1.38</c:v>
                </c:pt>
                <c:pt idx="13">
                  <c:v>1.44</c:v>
                </c:pt>
                <c:pt idx="14">
                  <c:v>1.33</c:v>
                </c:pt>
                <c:pt idx="15">
                  <c:v>1.46</c:v>
                </c:pt>
                <c:pt idx="16">
                  <c:v>1.42</c:v>
                </c:pt>
                <c:pt idx="17">
                  <c:v>1.44</c:v>
                </c:pt>
                <c:pt idx="18">
                  <c:v>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78F-4189-8A5C-DC7B68E23D02}"/>
            </c:ext>
          </c:extLst>
        </c:ser>
        <c:ser>
          <c:idx val="10"/>
          <c:order val="10"/>
          <c:tx>
            <c:strRef>
              <c:f>Pistol!$A$15</c:f>
              <c:strCache>
                <c:ptCount val="1"/>
                <c:pt idx="0">
                  <c:v>Stattrak USP-S Cyrex FN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Pistol!$B$15:$Z$15</c:f>
              <c:numCache>
                <c:formatCode>General</c:formatCode>
                <c:ptCount val="25"/>
                <c:pt idx="0">
                  <c:v>12.25</c:v>
                </c:pt>
                <c:pt idx="1">
                  <c:v>13.38</c:v>
                </c:pt>
                <c:pt idx="2">
                  <c:v>12.8</c:v>
                </c:pt>
                <c:pt idx="3">
                  <c:v>13.84</c:v>
                </c:pt>
                <c:pt idx="4">
                  <c:v>13.63</c:v>
                </c:pt>
                <c:pt idx="5">
                  <c:v>13.45</c:v>
                </c:pt>
                <c:pt idx="6">
                  <c:v>12.42</c:v>
                </c:pt>
                <c:pt idx="7">
                  <c:v>13.28</c:v>
                </c:pt>
                <c:pt idx="8">
                  <c:v>13.28</c:v>
                </c:pt>
                <c:pt idx="9">
                  <c:v>13.01</c:v>
                </c:pt>
                <c:pt idx="10">
                  <c:v>12.76</c:v>
                </c:pt>
                <c:pt idx="11">
                  <c:v>11.82</c:v>
                </c:pt>
                <c:pt idx="12">
                  <c:v>13.23</c:v>
                </c:pt>
                <c:pt idx="13">
                  <c:v>13.37</c:v>
                </c:pt>
                <c:pt idx="14">
                  <c:v>12.95</c:v>
                </c:pt>
                <c:pt idx="15">
                  <c:v>13.49</c:v>
                </c:pt>
                <c:pt idx="16">
                  <c:v>13.24</c:v>
                </c:pt>
                <c:pt idx="17">
                  <c:v>12.62</c:v>
                </c:pt>
                <c:pt idx="18">
                  <c:v>13.16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78F-4189-8A5C-DC7B68E23D02}"/>
            </c:ext>
          </c:extLst>
        </c:ser>
        <c:ser>
          <c:idx val="11"/>
          <c:order val="11"/>
          <c:tx>
            <c:strRef>
              <c:f>Pistol!$A$16</c:f>
              <c:strCache>
                <c:ptCount val="1"/>
                <c:pt idx="0">
                  <c:v>Stattrak CZ75-Auto Eco MW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Pistol!$B$16:$Z$16</c:f>
              <c:numCache>
                <c:formatCode>General</c:formatCode>
                <c:ptCount val="25"/>
                <c:pt idx="0">
                  <c:v>2.57</c:v>
                </c:pt>
                <c:pt idx="1">
                  <c:v>2.5</c:v>
                </c:pt>
                <c:pt idx="2">
                  <c:v>2.68</c:v>
                </c:pt>
                <c:pt idx="3">
                  <c:v>2.4300000000000002</c:v>
                </c:pt>
                <c:pt idx="4">
                  <c:v>2.61</c:v>
                </c:pt>
                <c:pt idx="5">
                  <c:v>2.62</c:v>
                </c:pt>
                <c:pt idx="6">
                  <c:v>2.66</c:v>
                </c:pt>
                <c:pt idx="7">
                  <c:v>2.67</c:v>
                </c:pt>
                <c:pt idx="8">
                  <c:v>2.58</c:v>
                </c:pt>
                <c:pt idx="9">
                  <c:v>2.81</c:v>
                </c:pt>
                <c:pt idx="10">
                  <c:v>2.78</c:v>
                </c:pt>
                <c:pt idx="11">
                  <c:v>2.82</c:v>
                </c:pt>
                <c:pt idx="12">
                  <c:v>2.93</c:v>
                </c:pt>
                <c:pt idx="13">
                  <c:v>2.42</c:v>
                </c:pt>
                <c:pt idx="14">
                  <c:v>2.65</c:v>
                </c:pt>
                <c:pt idx="15">
                  <c:v>2.7</c:v>
                </c:pt>
                <c:pt idx="16">
                  <c:v>2.5299999999999998</c:v>
                </c:pt>
                <c:pt idx="17">
                  <c:v>2.44</c:v>
                </c:pt>
                <c:pt idx="18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78F-4189-8A5C-DC7B68E23D02}"/>
            </c:ext>
          </c:extLst>
        </c:ser>
        <c:ser>
          <c:idx val="12"/>
          <c:order val="12"/>
          <c:tx>
            <c:strRef>
              <c:f>Pistol!$A$17</c:f>
              <c:strCache>
                <c:ptCount val="1"/>
                <c:pt idx="0">
                  <c:v>Stattrak Five-Seven Monkey Business FT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Pistol!$B$17:$Z$17</c:f>
              <c:numCache>
                <c:formatCode>General</c:formatCode>
                <c:ptCount val="25"/>
                <c:pt idx="0">
                  <c:v>4.9000000000000004</c:v>
                </c:pt>
                <c:pt idx="1">
                  <c:v>4.72</c:v>
                </c:pt>
                <c:pt idx="2">
                  <c:v>4.97</c:v>
                </c:pt>
                <c:pt idx="3">
                  <c:v>4.68</c:v>
                </c:pt>
                <c:pt idx="4">
                  <c:v>4.68</c:v>
                </c:pt>
                <c:pt idx="5">
                  <c:v>4.83</c:v>
                </c:pt>
                <c:pt idx="6">
                  <c:v>4.7699999999999996</c:v>
                </c:pt>
                <c:pt idx="7">
                  <c:v>4.92</c:v>
                </c:pt>
                <c:pt idx="8">
                  <c:v>4.55</c:v>
                </c:pt>
                <c:pt idx="9">
                  <c:v>4.4800000000000004</c:v>
                </c:pt>
                <c:pt idx="10">
                  <c:v>4.9000000000000004</c:v>
                </c:pt>
                <c:pt idx="11">
                  <c:v>4.76</c:v>
                </c:pt>
                <c:pt idx="12">
                  <c:v>4.92</c:v>
                </c:pt>
                <c:pt idx="13">
                  <c:v>4.67</c:v>
                </c:pt>
                <c:pt idx="14">
                  <c:v>4.7300000000000004</c:v>
                </c:pt>
                <c:pt idx="15">
                  <c:v>4.76</c:v>
                </c:pt>
                <c:pt idx="16">
                  <c:v>4.6900000000000004</c:v>
                </c:pt>
                <c:pt idx="17">
                  <c:v>4.21</c:v>
                </c:pt>
                <c:pt idx="18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78F-4189-8A5C-DC7B68E23D02}"/>
            </c:ext>
          </c:extLst>
        </c:ser>
        <c:ser>
          <c:idx val="13"/>
          <c:order val="13"/>
          <c:tx>
            <c:strRef>
              <c:f>Pistol!$A$18</c:f>
              <c:strCache>
                <c:ptCount val="1"/>
                <c:pt idx="0">
                  <c:v>USP-S Cyrex WW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Pistol!$B$18:$Z$18</c:f>
              <c:numCache>
                <c:formatCode>General</c:formatCode>
                <c:ptCount val="25"/>
                <c:pt idx="0">
                  <c:v>2.42</c:v>
                </c:pt>
                <c:pt idx="1">
                  <c:v>2.35</c:v>
                </c:pt>
                <c:pt idx="2">
                  <c:v>2.31</c:v>
                </c:pt>
                <c:pt idx="3">
                  <c:v>2.4300000000000002</c:v>
                </c:pt>
                <c:pt idx="4">
                  <c:v>2.42</c:v>
                </c:pt>
                <c:pt idx="5">
                  <c:v>2.33</c:v>
                </c:pt>
                <c:pt idx="6">
                  <c:v>2.37</c:v>
                </c:pt>
                <c:pt idx="7">
                  <c:v>2.39</c:v>
                </c:pt>
                <c:pt idx="8">
                  <c:v>2.2599999999999998</c:v>
                </c:pt>
                <c:pt idx="9">
                  <c:v>2.3199999999999998</c:v>
                </c:pt>
                <c:pt idx="10">
                  <c:v>2.35</c:v>
                </c:pt>
                <c:pt idx="11">
                  <c:v>2.38</c:v>
                </c:pt>
                <c:pt idx="12">
                  <c:v>2.36</c:v>
                </c:pt>
                <c:pt idx="13">
                  <c:v>2.41</c:v>
                </c:pt>
                <c:pt idx="14">
                  <c:v>2.37</c:v>
                </c:pt>
                <c:pt idx="15">
                  <c:v>2.4900000000000002</c:v>
                </c:pt>
                <c:pt idx="16">
                  <c:v>2.5</c:v>
                </c:pt>
                <c:pt idx="17">
                  <c:v>2.39</c:v>
                </c:pt>
                <c:pt idx="18">
                  <c:v>2.34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78F-4189-8A5C-DC7B68E23D02}"/>
            </c:ext>
          </c:extLst>
        </c:ser>
        <c:ser>
          <c:idx val="14"/>
          <c:order val="14"/>
          <c:tx>
            <c:strRef>
              <c:f>Pistol!$A$19</c:f>
              <c:strCache>
                <c:ptCount val="1"/>
                <c:pt idx="0">
                  <c:v>Glock-18 Candy Apple MW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Pistol!$B$19:$Z$19</c:f>
              <c:numCache>
                <c:formatCode>General</c:formatCode>
                <c:ptCount val="25"/>
                <c:pt idx="0">
                  <c:v>1.29</c:v>
                </c:pt>
                <c:pt idx="1">
                  <c:v>1.19</c:v>
                </c:pt>
                <c:pt idx="2">
                  <c:v>1.1000000000000001</c:v>
                </c:pt>
                <c:pt idx="3">
                  <c:v>1.1100000000000001</c:v>
                </c:pt>
                <c:pt idx="4">
                  <c:v>1.08</c:v>
                </c:pt>
                <c:pt idx="5">
                  <c:v>1.1000000000000001</c:v>
                </c:pt>
                <c:pt idx="6">
                  <c:v>1.08</c:v>
                </c:pt>
                <c:pt idx="7">
                  <c:v>1.05</c:v>
                </c:pt>
                <c:pt idx="8">
                  <c:v>1.1000000000000001</c:v>
                </c:pt>
                <c:pt idx="9">
                  <c:v>1.1200000000000001</c:v>
                </c:pt>
                <c:pt idx="10">
                  <c:v>1.19</c:v>
                </c:pt>
                <c:pt idx="11">
                  <c:v>1.28</c:v>
                </c:pt>
                <c:pt idx="12">
                  <c:v>1.26</c:v>
                </c:pt>
                <c:pt idx="13">
                  <c:v>1.23</c:v>
                </c:pt>
                <c:pt idx="14">
                  <c:v>1.1599999999999999</c:v>
                </c:pt>
                <c:pt idx="15">
                  <c:v>1.17</c:v>
                </c:pt>
                <c:pt idx="16">
                  <c:v>1.19</c:v>
                </c:pt>
                <c:pt idx="17">
                  <c:v>1.1100000000000001</c:v>
                </c:pt>
                <c:pt idx="18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78F-4189-8A5C-DC7B68E23D02}"/>
            </c:ext>
          </c:extLst>
        </c:ser>
        <c:ser>
          <c:idx val="15"/>
          <c:order val="15"/>
          <c:tx>
            <c:strRef>
              <c:f>Pistol!$A$20</c:f>
              <c:strCache>
                <c:ptCount val="1"/>
                <c:pt idx="0">
                  <c:v>Stattrak Desert Eagle Conspiracy MW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Pistol!$B$20:$Z$20</c:f>
              <c:numCache>
                <c:formatCode>General</c:formatCode>
                <c:ptCount val="25"/>
                <c:pt idx="0">
                  <c:v>17.53</c:v>
                </c:pt>
                <c:pt idx="1">
                  <c:v>16.38</c:v>
                </c:pt>
                <c:pt idx="2">
                  <c:v>17.649999999999999</c:v>
                </c:pt>
                <c:pt idx="3">
                  <c:v>17.399999999999999</c:v>
                </c:pt>
                <c:pt idx="4">
                  <c:v>17.13</c:v>
                </c:pt>
                <c:pt idx="5">
                  <c:v>16.739999999999998</c:v>
                </c:pt>
                <c:pt idx="6">
                  <c:v>15.07</c:v>
                </c:pt>
                <c:pt idx="7">
                  <c:v>14.85</c:v>
                </c:pt>
                <c:pt idx="8">
                  <c:v>16.37</c:v>
                </c:pt>
                <c:pt idx="9">
                  <c:v>17.66</c:v>
                </c:pt>
                <c:pt idx="10">
                  <c:v>16.45</c:v>
                </c:pt>
                <c:pt idx="11">
                  <c:v>17.079999999999998</c:v>
                </c:pt>
                <c:pt idx="12">
                  <c:v>16.27</c:v>
                </c:pt>
                <c:pt idx="13">
                  <c:v>16.46</c:v>
                </c:pt>
                <c:pt idx="14">
                  <c:v>16.46</c:v>
                </c:pt>
                <c:pt idx="15">
                  <c:v>17.079999999999998</c:v>
                </c:pt>
                <c:pt idx="16">
                  <c:v>16.57</c:v>
                </c:pt>
                <c:pt idx="17">
                  <c:v>15.41</c:v>
                </c:pt>
                <c:pt idx="18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78F-4189-8A5C-DC7B68E23D02}"/>
            </c:ext>
          </c:extLst>
        </c:ser>
        <c:ser>
          <c:idx val="16"/>
          <c:order val="16"/>
          <c:tx>
            <c:strRef>
              <c:f>Pistol!$A$21</c:f>
              <c:strCache>
                <c:ptCount val="1"/>
                <c:pt idx="0">
                  <c:v>Glock-18 Wasteland Rebel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Pistol!$B$21:$Z$21</c:f>
              <c:numCache>
                <c:formatCode>General</c:formatCode>
                <c:ptCount val="25"/>
                <c:pt idx="0">
                  <c:v>6.46</c:v>
                </c:pt>
                <c:pt idx="1">
                  <c:v>6.58</c:v>
                </c:pt>
                <c:pt idx="2">
                  <c:v>6.48</c:v>
                </c:pt>
                <c:pt idx="3">
                  <c:v>6.32</c:v>
                </c:pt>
                <c:pt idx="4">
                  <c:v>6.23</c:v>
                </c:pt>
                <c:pt idx="5">
                  <c:v>6.23</c:v>
                </c:pt>
                <c:pt idx="6">
                  <c:v>5.76</c:v>
                </c:pt>
                <c:pt idx="7">
                  <c:v>6.23</c:v>
                </c:pt>
                <c:pt idx="8">
                  <c:v>6.01</c:v>
                </c:pt>
                <c:pt idx="9">
                  <c:v>5.99</c:v>
                </c:pt>
                <c:pt idx="10">
                  <c:v>6.03</c:v>
                </c:pt>
                <c:pt idx="11">
                  <c:v>5.56</c:v>
                </c:pt>
                <c:pt idx="12">
                  <c:v>5.61</c:v>
                </c:pt>
                <c:pt idx="13">
                  <c:v>5.63</c:v>
                </c:pt>
                <c:pt idx="14">
                  <c:v>5.84</c:v>
                </c:pt>
                <c:pt idx="15">
                  <c:v>5.91</c:v>
                </c:pt>
                <c:pt idx="16">
                  <c:v>5.9</c:v>
                </c:pt>
                <c:pt idx="17">
                  <c:v>5.86</c:v>
                </c:pt>
                <c:pt idx="18">
                  <c:v>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78F-4189-8A5C-DC7B68E23D02}"/>
            </c:ext>
          </c:extLst>
        </c:ser>
        <c:ser>
          <c:idx val="17"/>
          <c:order val="17"/>
          <c:tx>
            <c:strRef>
              <c:f>Pistol!$A$22</c:f>
              <c:strCache>
                <c:ptCount val="1"/>
                <c:pt idx="0">
                  <c:v>P250 See Ya Later MW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Pistol!$B$22:$Z$22</c:f>
              <c:numCache>
                <c:formatCode>General</c:formatCode>
                <c:ptCount val="25"/>
                <c:pt idx="0">
                  <c:v>6.58</c:v>
                </c:pt>
                <c:pt idx="1">
                  <c:v>6.29</c:v>
                </c:pt>
                <c:pt idx="2">
                  <c:v>5.78</c:v>
                </c:pt>
                <c:pt idx="3">
                  <c:v>6.4</c:v>
                </c:pt>
                <c:pt idx="4">
                  <c:v>5.82</c:v>
                </c:pt>
                <c:pt idx="5">
                  <c:v>6.3</c:v>
                </c:pt>
                <c:pt idx="6">
                  <c:v>6.49</c:v>
                </c:pt>
                <c:pt idx="7">
                  <c:v>6.12</c:v>
                </c:pt>
                <c:pt idx="8">
                  <c:v>6.3</c:v>
                </c:pt>
                <c:pt idx="9">
                  <c:v>5.63</c:v>
                </c:pt>
                <c:pt idx="10">
                  <c:v>6.03</c:v>
                </c:pt>
                <c:pt idx="11">
                  <c:v>5.79</c:v>
                </c:pt>
                <c:pt idx="12">
                  <c:v>5.86</c:v>
                </c:pt>
                <c:pt idx="13">
                  <c:v>5.79</c:v>
                </c:pt>
                <c:pt idx="14">
                  <c:v>5.99</c:v>
                </c:pt>
                <c:pt idx="15">
                  <c:v>6.33</c:v>
                </c:pt>
                <c:pt idx="16">
                  <c:v>6.14</c:v>
                </c:pt>
                <c:pt idx="17">
                  <c:v>5.9</c:v>
                </c:pt>
                <c:pt idx="18">
                  <c:v>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78F-4189-8A5C-DC7B68E23D02}"/>
            </c:ext>
          </c:extLst>
        </c:ser>
        <c:ser>
          <c:idx val="18"/>
          <c:order val="18"/>
          <c:tx>
            <c:strRef>
              <c:f>Pistol!$A$23</c:f>
              <c:strCache>
                <c:ptCount val="1"/>
                <c:pt idx="0">
                  <c:v>Five-Seven Angry Mob MW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Pistol!$B$23:$Z$23</c:f>
              <c:numCache>
                <c:formatCode>General</c:formatCode>
                <c:ptCount val="25"/>
                <c:pt idx="0">
                  <c:v>5.71</c:v>
                </c:pt>
                <c:pt idx="1">
                  <c:v>5.43</c:v>
                </c:pt>
                <c:pt idx="2">
                  <c:v>5.45</c:v>
                </c:pt>
                <c:pt idx="3">
                  <c:v>5.13</c:v>
                </c:pt>
                <c:pt idx="4">
                  <c:v>5.22</c:v>
                </c:pt>
                <c:pt idx="5">
                  <c:v>5.48</c:v>
                </c:pt>
                <c:pt idx="6">
                  <c:v>5.37</c:v>
                </c:pt>
                <c:pt idx="7">
                  <c:v>5.14</c:v>
                </c:pt>
                <c:pt idx="8">
                  <c:v>5.09</c:v>
                </c:pt>
                <c:pt idx="9">
                  <c:v>5.0199999999999996</c:v>
                </c:pt>
                <c:pt idx="10">
                  <c:v>5.34</c:v>
                </c:pt>
                <c:pt idx="11">
                  <c:v>5.22</c:v>
                </c:pt>
                <c:pt idx="12">
                  <c:v>5.2</c:v>
                </c:pt>
                <c:pt idx="13">
                  <c:v>5.12</c:v>
                </c:pt>
                <c:pt idx="14">
                  <c:v>5.36</c:v>
                </c:pt>
                <c:pt idx="15">
                  <c:v>5.36</c:v>
                </c:pt>
                <c:pt idx="16">
                  <c:v>5.25</c:v>
                </c:pt>
                <c:pt idx="17">
                  <c:v>5.24</c:v>
                </c:pt>
                <c:pt idx="18">
                  <c:v>5.17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78F-4189-8A5C-DC7B68E23D02}"/>
            </c:ext>
          </c:extLst>
        </c:ser>
        <c:ser>
          <c:idx val="19"/>
          <c:order val="19"/>
          <c:tx>
            <c:strRef>
              <c:f>Pistol!$A$24</c:f>
              <c:strCache>
                <c:ptCount val="1"/>
                <c:pt idx="0">
                  <c:v>Five-Seven Hyper Beast MW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Pistol!$B$24:$Z$24</c:f>
              <c:numCache>
                <c:formatCode>General</c:formatCode>
                <c:ptCount val="25"/>
                <c:pt idx="0">
                  <c:v>28.06</c:v>
                </c:pt>
                <c:pt idx="1">
                  <c:v>29.75</c:v>
                </c:pt>
                <c:pt idx="2">
                  <c:v>27.86</c:v>
                </c:pt>
                <c:pt idx="3">
                  <c:v>30.97</c:v>
                </c:pt>
                <c:pt idx="4">
                  <c:v>30.52</c:v>
                </c:pt>
                <c:pt idx="5">
                  <c:v>30.5</c:v>
                </c:pt>
                <c:pt idx="6">
                  <c:v>30.94</c:v>
                </c:pt>
                <c:pt idx="7">
                  <c:v>27.91</c:v>
                </c:pt>
                <c:pt idx="8">
                  <c:v>30.48</c:v>
                </c:pt>
                <c:pt idx="9">
                  <c:v>29.22</c:v>
                </c:pt>
                <c:pt idx="10">
                  <c:v>29.8</c:v>
                </c:pt>
                <c:pt idx="11">
                  <c:v>30.17</c:v>
                </c:pt>
                <c:pt idx="12">
                  <c:v>30.2</c:v>
                </c:pt>
                <c:pt idx="13">
                  <c:v>29.95</c:v>
                </c:pt>
                <c:pt idx="14">
                  <c:v>26.76</c:v>
                </c:pt>
                <c:pt idx="15">
                  <c:v>30.71</c:v>
                </c:pt>
                <c:pt idx="16">
                  <c:v>29.38</c:v>
                </c:pt>
                <c:pt idx="17">
                  <c:v>29.53</c:v>
                </c:pt>
                <c:pt idx="18">
                  <c:v>29.01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78F-4189-8A5C-DC7B68E23D02}"/>
            </c:ext>
          </c:extLst>
        </c:ser>
        <c:ser>
          <c:idx val="20"/>
          <c:order val="20"/>
          <c:tx>
            <c:strRef>
              <c:f>Pistol!$A$25</c:f>
              <c:strCache>
                <c:ptCount val="1"/>
                <c:pt idx="0">
                  <c:v>Desert Eagle Light Rail FN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Pistol!$B$25:$Z$25</c:f>
              <c:numCache>
                <c:formatCode>General</c:formatCode>
                <c:ptCount val="25"/>
                <c:pt idx="0">
                  <c:v>3.87</c:v>
                </c:pt>
                <c:pt idx="1">
                  <c:v>3.61</c:v>
                </c:pt>
                <c:pt idx="2">
                  <c:v>3.62</c:v>
                </c:pt>
                <c:pt idx="3">
                  <c:v>3.61</c:v>
                </c:pt>
                <c:pt idx="4">
                  <c:v>3.63</c:v>
                </c:pt>
                <c:pt idx="5">
                  <c:v>3.45</c:v>
                </c:pt>
                <c:pt idx="6">
                  <c:v>3.74</c:v>
                </c:pt>
                <c:pt idx="7">
                  <c:v>3.52</c:v>
                </c:pt>
                <c:pt idx="8">
                  <c:v>3.49</c:v>
                </c:pt>
                <c:pt idx="9">
                  <c:v>3.53</c:v>
                </c:pt>
                <c:pt idx="10">
                  <c:v>3.64</c:v>
                </c:pt>
                <c:pt idx="11">
                  <c:v>3.59</c:v>
                </c:pt>
                <c:pt idx="12">
                  <c:v>3.47</c:v>
                </c:pt>
                <c:pt idx="13">
                  <c:v>3.56</c:v>
                </c:pt>
                <c:pt idx="14">
                  <c:v>3.65</c:v>
                </c:pt>
                <c:pt idx="15">
                  <c:v>3.82</c:v>
                </c:pt>
                <c:pt idx="16">
                  <c:v>3.62</c:v>
                </c:pt>
                <c:pt idx="17">
                  <c:v>3.6</c:v>
                </c:pt>
                <c:pt idx="18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78F-4189-8A5C-DC7B68E23D02}"/>
            </c:ext>
          </c:extLst>
        </c:ser>
        <c:ser>
          <c:idx val="21"/>
          <c:order val="21"/>
          <c:tx>
            <c:strRef>
              <c:f>Pistol!$A$26</c:f>
              <c:strCache>
                <c:ptCount val="1"/>
                <c:pt idx="0">
                  <c:v>Desert Eagle Hypnotic FN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Pistol!$B$26:$Z$26</c:f>
              <c:numCache>
                <c:formatCode>General</c:formatCode>
                <c:ptCount val="25"/>
                <c:pt idx="0">
                  <c:v>87.76</c:v>
                </c:pt>
                <c:pt idx="1">
                  <c:v>84.47</c:v>
                </c:pt>
                <c:pt idx="2">
                  <c:v>88.51</c:v>
                </c:pt>
                <c:pt idx="3">
                  <c:v>88.5</c:v>
                </c:pt>
                <c:pt idx="4">
                  <c:v>88.5</c:v>
                </c:pt>
                <c:pt idx="5">
                  <c:v>88.29</c:v>
                </c:pt>
                <c:pt idx="6">
                  <c:v>91.5</c:v>
                </c:pt>
                <c:pt idx="7">
                  <c:v>91.5</c:v>
                </c:pt>
                <c:pt idx="8">
                  <c:v>90.9</c:v>
                </c:pt>
                <c:pt idx="9">
                  <c:v>91.34</c:v>
                </c:pt>
                <c:pt idx="10">
                  <c:v>85.86</c:v>
                </c:pt>
                <c:pt idx="11">
                  <c:v>91.67</c:v>
                </c:pt>
                <c:pt idx="12">
                  <c:v>87.76</c:v>
                </c:pt>
                <c:pt idx="13">
                  <c:v>91.7</c:v>
                </c:pt>
                <c:pt idx="14">
                  <c:v>90.34</c:v>
                </c:pt>
                <c:pt idx="15">
                  <c:v>94.85</c:v>
                </c:pt>
                <c:pt idx="16">
                  <c:v>98.14</c:v>
                </c:pt>
                <c:pt idx="17">
                  <c:v>95.29</c:v>
                </c:pt>
                <c:pt idx="18">
                  <c:v>95.73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78F-4189-8A5C-DC7B68E23D02}"/>
            </c:ext>
          </c:extLst>
        </c:ser>
        <c:ser>
          <c:idx val="22"/>
          <c:order val="22"/>
          <c:tx>
            <c:strRef>
              <c:f>Pistol!$A$27</c:f>
              <c:strCache>
                <c:ptCount val="1"/>
                <c:pt idx="0">
                  <c:v>Desert Eagle Code Red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Pistol!$B$27:$Z$27</c:f>
              <c:numCache>
                <c:formatCode>General</c:formatCode>
                <c:ptCount val="25"/>
                <c:pt idx="0">
                  <c:v>42.81</c:v>
                </c:pt>
                <c:pt idx="1">
                  <c:v>40.6</c:v>
                </c:pt>
                <c:pt idx="2">
                  <c:v>40.6</c:v>
                </c:pt>
                <c:pt idx="3">
                  <c:v>43.52</c:v>
                </c:pt>
                <c:pt idx="4">
                  <c:v>41.78</c:v>
                </c:pt>
                <c:pt idx="5">
                  <c:v>40.51</c:v>
                </c:pt>
                <c:pt idx="6">
                  <c:v>42.18</c:v>
                </c:pt>
                <c:pt idx="7">
                  <c:v>43.36</c:v>
                </c:pt>
                <c:pt idx="8">
                  <c:v>43.28</c:v>
                </c:pt>
                <c:pt idx="9">
                  <c:v>42.82</c:v>
                </c:pt>
                <c:pt idx="10">
                  <c:v>40.64</c:v>
                </c:pt>
                <c:pt idx="11">
                  <c:v>41.72</c:v>
                </c:pt>
                <c:pt idx="12">
                  <c:v>39.479999999999997</c:v>
                </c:pt>
                <c:pt idx="13">
                  <c:v>40.479999999999997</c:v>
                </c:pt>
                <c:pt idx="14">
                  <c:v>40.97</c:v>
                </c:pt>
                <c:pt idx="15">
                  <c:v>39.799999999999997</c:v>
                </c:pt>
                <c:pt idx="16">
                  <c:v>43.95</c:v>
                </c:pt>
                <c:pt idx="17">
                  <c:v>44.02</c:v>
                </c:pt>
                <c:pt idx="18">
                  <c:v>40.28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778F-4189-8A5C-DC7B68E23D02}"/>
            </c:ext>
          </c:extLst>
        </c:ser>
        <c:ser>
          <c:idx val="23"/>
          <c:order val="23"/>
          <c:tx>
            <c:strRef>
              <c:f>Pistol!$A$28</c:f>
              <c:strCache>
                <c:ptCount val="1"/>
                <c:pt idx="0">
                  <c:v>Stattrak Glock-18 Weasel FT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Pistol!$B$28:$Z$28</c:f>
              <c:numCache>
                <c:formatCode>General</c:formatCode>
                <c:ptCount val="25"/>
                <c:pt idx="0">
                  <c:v>1.86</c:v>
                </c:pt>
                <c:pt idx="1">
                  <c:v>1.84</c:v>
                </c:pt>
                <c:pt idx="2">
                  <c:v>1.65</c:v>
                </c:pt>
                <c:pt idx="3">
                  <c:v>1.79</c:v>
                </c:pt>
                <c:pt idx="4">
                  <c:v>1.79</c:v>
                </c:pt>
                <c:pt idx="5">
                  <c:v>1.8</c:v>
                </c:pt>
                <c:pt idx="6">
                  <c:v>1.72</c:v>
                </c:pt>
                <c:pt idx="7">
                  <c:v>1.75</c:v>
                </c:pt>
                <c:pt idx="8">
                  <c:v>1.64</c:v>
                </c:pt>
                <c:pt idx="9">
                  <c:v>1.75</c:v>
                </c:pt>
                <c:pt idx="10">
                  <c:v>1.67</c:v>
                </c:pt>
                <c:pt idx="11">
                  <c:v>1.65</c:v>
                </c:pt>
                <c:pt idx="12">
                  <c:v>1.64</c:v>
                </c:pt>
                <c:pt idx="13">
                  <c:v>1.55</c:v>
                </c:pt>
                <c:pt idx="14">
                  <c:v>1.63</c:v>
                </c:pt>
                <c:pt idx="15">
                  <c:v>1.64</c:v>
                </c:pt>
                <c:pt idx="16">
                  <c:v>1.54</c:v>
                </c:pt>
                <c:pt idx="17">
                  <c:v>1.62</c:v>
                </c:pt>
                <c:pt idx="18">
                  <c:v>1.63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778F-4189-8A5C-DC7B68E23D02}"/>
            </c:ext>
          </c:extLst>
        </c:ser>
        <c:ser>
          <c:idx val="24"/>
          <c:order val="24"/>
          <c:tx>
            <c:strRef>
              <c:f>Pistol!$A$29</c:f>
              <c:strCache>
                <c:ptCount val="1"/>
                <c:pt idx="0">
                  <c:v>Stattrak Five-Seven Buddy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Pistol!$B$29:$Z$29</c:f>
              <c:numCache>
                <c:formatCode>General</c:formatCode>
                <c:ptCount val="25"/>
                <c:pt idx="0">
                  <c:v>2.2599999999999998</c:v>
                </c:pt>
                <c:pt idx="1">
                  <c:v>2.1</c:v>
                </c:pt>
                <c:pt idx="2">
                  <c:v>2.2000000000000002</c:v>
                </c:pt>
                <c:pt idx="3">
                  <c:v>2.25</c:v>
                </c:pt>
                <c:pt idx="4">
                  <c:v>2.11</c:v>
                </c:pt>
                <c:pt idx="5">
                  <c:v>2.21</c:v>
                </c:pt>
                <c:pt idx="6">
                  <c:v>2.16</c:v>
                </c:pt>
                <c:pt idx="7">
                  <c:v>2.2200000000000002</c:v>
                </c:pt>
                <c:pt idx="8">
                  <c:v>2.27</c:v>
                </c:pt>
                <c:pt idx="9">
                  <c:v>2.31</c:v>
                </c:pt>
                <c:pt idx="10">
                  <c:v>2.2200000000000002</c:v>
                </c:pt>
                <c:pt idx="11">
                  <c:v>2.2400000000000002</c:v>
                </c:pt>
                <c:pt idx="12">
                  <c:v>2.14</c:v>
                </c:pt>
                <c:pt idx="13">
                  <c:v>2.1</c:v>
                </c:pt>
                <c:pt idx="14">
                  <c:v>1.97</c:v>
                </c:pt>
                <c:pt idx="15">
                  <c:v>2.09</c:v>
                </c:pt>
                <c:pt idx="16">
                  <c:v>2.09</c:v>
                </c:pt>
                <c:pt idx="17">
                  <c:v>2.23</c:v>
                </c:pt>
                <c:pt idx="18">
                  <c:v>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78F-4189-8A5C-DC7B68E23D02}"/>
            </c:ext>
          </c:extLst>
        </c:ser>
        <c:ser>
          <c:idx val="25"/>
          <c:order val="25"/>
          <c:tx>
            <c:strRef>
              <c:f>Pistol!$A$30</c:f>
              <c:strCache>
                <c:ptCount val="1"/>
                <c:pt idx="0">
                  <c:v>R8 Revolver Canal Spray FT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Pistol!$B$30:$Z$30</c:f>
              <c:numCache>
                <c:formatCode>General</c:formatCode>
                <c:ptCount val="25"/>
                <c:pt idx="0">
                  <c:v>0.41</c:v>
                </c:pt>
                <c:pt idx="1">
                  <c:v>0.43</c:v>
                </c:pt>
                <c:pt idx="2">
                  <c:v>0.41</c:v>
                </c:pt>
                <c:pt idx="3">
                  <c:v>0.41</c:v>
                </c:pt>
                <c:pt idx="4">
                  <c:v>0.46</c:v>
                </c:pt>
                <c:pt idx="5">
                  <c:v>0.49</c:v>
                </c:pt>
                <c:pt idx="6">
                  <c:v>0.53</c:v>
                </c:pt>
                <c:pt idx="7">
                  <c:v>0.54</c:v>
                </c:pt>
                <c:pt idx="8">
                  <c:v>0.6</c:v>
                </c:pt>
                <c:pt idx="9">
                  <c:v>0.6</c:v>
                </c:pt>
                <c:pt idx="10">
                  <c:v>0.81</c:v>
                </c:pt>
                <c:pt idx="11">
                  <c:v>0.78</c:v>
                </c:pt>
                <c:pt idx="12">
                  <c:v>0.71</c:v>
                </c:pt>
                <c:pt idx="13">
                  <c:v>0.65</c:v>
                </c:pt>
                <c:pt idx="14">
                  <c:v>0.61</c:v>
                </c:pt>
                <c:pt idx="15">
                  <c:v>0.56999999999999995</c:v>
                </c:pt>
                <c:pt idx="16">
                  <c:v>0.55000000000000004</c:v>
                </c:pt>
                <c:pt idx="17">
                  <c:v>0.62</c:v>
                </c:pt>
                <c:pt idx="18">
                  <c:v>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78F-4189-8A5C-DC7B68E23D02}"/>
            </c:ext>
          </c:extLst>
        </c:ser>
        <c:ser>
          <c:idx val="26"/>
          <c:order val="26"/>
          <c:tx>
            <c:strRef>
              <c:f>Pistol!$A$31</c:f>
              <c:strCache>
                <c:ptCount val="1"/>
                <c:pt idx="0">
                  <c:v>Desert Eagle Midnight Storm MW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Pistol!$B$31:$Z$31</c:f>
              <c:numCache>
                <c:formatCode>General</c:formatCode>
                <c:ptCount val="25"/>
                <c:pt idx="0">
                  <c:v>9.14</c:v>
                </c:pt>
                <c:pt idx="1">
                  <c:v>9.0399999999999991</c:v>
                </c:pt>
                <c:pt idx="2">
                  <c:v>8.65</c:v>
                </c:pt>
                <c:pt idx="3">
                  <c:v>9.56</c:v>
                </c:pt>
                <c:pt idx="4">
                  <c:v>9.01</c:v>
                </c:pt>
                <c:pt idx="5">
                  <c:v>10.08</c:v>
                </c:pt>
                <c:pt idx="6">
                  <c:v>9.1</c:v>
                </c:pt>
                <c:pt idx="7">
                  <c:v>9.6</c:v>
                </c:pt>
                <c:pt idx="8">
                  <c:v>9.58</c:v>
                </c:pt>
                <c:pt idx="9">
                  <c:v>9.48</c:v>
                </c:pt>
                <c:pt idx="10">
                  <c:v>11.35</c:v>
                </c:pt>
                <c:pt idx="11">
                  <c:v>12.34</c:v>
                </c:pt>
                <c:pt idx="12">
                  <c:v>12.21</c:v>
                </c:pt>
                <c:pt idx="13">
                  <c:v>11.98</c:v>
                </c:pt>
                <c:pt idx="14">
                  <c:v>12.07</c:v>
                </c:pt>
                <c:pt idx="15">
                  <c:v>11.78</c:v>
                </c:pt>
                <c:pt idx="16">
                  <c:v>12.2</c:v>
                </c:pt>
                <c:pt idx="17">
                  <c:v>12.1</c:v>
                </c:pt>
                <c:pt idx="18">
                  <c:v>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78F-4189-8A5C-DC7B68E23D02}"/>
            </c:ext>
          </c:extLst>
        </c:ser>
        <c:ser>
          <c:idx val="27"/>
          <c:order val="27"/>
          <c:tx>
            <c:strRef>
              <c:f>Pistol!$A$32</c:f>
              <c:strCache>
                <c:ptCount val="1"/>
                <c:pt idx="0">
                  <c:v>Dual Berettas Emerald FN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Pistol!$B$32:$Z$32</c:f>
              <c:numCache>
                <c:formatCode>General</c:formatCode>
                <c:ptCount val="25"/>
                <c:pt idx="0">
                  <c:v>11.4</c:v>
                </c:pt>
                <c:pt idx="1">
                  <c:v>11.35</c:v>
                </c:pt>
                <c:pt idx="2">
                  <c:v>11.04</c:v>
                </c:pt>
                <c:pt idx="3">
                  <c:v>12.32</c:v>
                </c:pt>
                <c:pt idx="4">
                  <c:v>12.32</c:v>
                </c:pt>
                <c:pt idx="5">
                  <c:v>12.34</c:v>
                </c:pt>
                <c:pt idx="6">
                  <c:v>14.23</c:v>
                </c:pt>
                <c:pt idx="7">
                  <c:v>18.350000000000001</c:v>
                </c:pt>
                <c:pt idx="8">
                  <c:v>19.45</c:v>
                </c:pt>
                <c:pt idx="9">
                  <c:v>25.73</c:v>
                </c:pt>
                <c:pt idx="10">
                  <c:v>30.27</c:v>
                </c:pt>
                <c:pt idx="11">
                  <c:v>24.72</c:v>
                </c:pt>
                <c:pt idx="12">
                  <c:v>29.14</c:v>
                </c:pt>
                <c:pt idx="13">
                  <c:v>26.94</c:v>
                </c:pt>
                <c:pt idx="14">
                  <c:v>26.19</c:v>
                </c:pt>
                <c:pt idx="15">
                  <c:v>26.24</c:v>
                </c:pt>
                <c:pt idx="16">
                  <c:v>26.29</c:v>
                </c:pt>
                <c:pt idx="17">
                  <c:v>36.42</c:v>
                </c:pt>
                <c:pt idx="18">
                  <c:v>38.909999999999997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778F-4189-8A5C-DC7B68E23D02}"/>
            </c:ext>
          </c:extLst>
        </c:ser>
        <c:ser>
          <c:idx val="28"/>
          <c:order val="28"/>
          <c:tx>
            <c:strRef>
              <c:f>Pistol!$A$33</c:f>
              <c:strCache>
                <c:ptCount val="1"/>
                <c:pt idx="0">
                  <c:v>Five-Seven Hot Shot MW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Pistol!$B$33:$Z$33</c:f>
              <c:numCache>
                <c:formatCode>General</c:formatCode>
                <c:ptCount val="25"/>
                <c:pt idx="0">
                  <c:v>0.73</c:v>
                </c:pt>
                <c:pt idx="1">
                  <c:v>0.73</c:v>
                </c:pt>
                <c:pt idx="2">
                  <c:v>0.74</c:v>
                </c:pt>
                <c:pt idx="3">
                  <c:v>0.82</c:v>
                </c:pt>
                <c:pt idx="4">
                  <c:v>0.82</c:v>
                </c:pt>
                <c:pt idx="5">
                  <c:v>0.82</c:v>
                </c:pt>
                <c:pt idx="6">
                  <c:v>0.81</c:v>
                </c:pt>
                <c:pt idx="7">
                  <c:v>0.8</c:v>
                </c:pt>
                <c:pt idx="8">
                  <c:v>0.82</c:v>
                </c:pt>
                <c:pt idx="9">
                  <c:v>0.81</c:v>
                </c:pt>
                <c:pt idx="10">
                  <c:v>0.82</c:v>
                </c:pt>
                <c:pt idx="11">
                  <c:v>0.82</c:v>
                </c:pt>
                <c:pt idx="12">
                  <c:v>0.82</c:v>
                </c:pt>
                <c:pt idx="13">
                  <c:v>0.81</c:v>
                </c:pt>
                <c:pt idx="14">
                  <c:v>0.84</c:v>
                </c:pt>
                <c:pt idx="15">
                  <c:v>0.78</c:v>
                </c:pt>
                <c:pt idx="16">
                  <c:v>0.85</c:v>
                </c:pt>
                <c:pt idx="17">
                  <c:v>0.81</c:v>
                </c:pt>
                <c:pt idx="18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778F-4189-8A5C-DC7B68E23D02}"/>
            </c:ext>
          </c:extLst>
        </c:ser>
        <c:ser>
          <c:idx val="29"/>
          <c:order val="29"/>
          <c:tx>
            <c:strRef>
              <c:f>Pistol!$A$34</c:f>
              <c:strCache>
                <c:ptCount val="1"/>
                <c:pt idx="0">
                  <c:v>Glock-18 Nuclear Garden FT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Pistol!$B$34:$Z$34</c:f>
              <c:numCache>
                <c:formatCode>General</c:formatCode>
                <c:ptCount val="25"/>
                <c:pt idx="0">
                  <c:v>4.6399999999999997</c:v>
                </c:pt>
                <c:pt idx="1">
                  <c:v>4.57</c:v>
                </c:pt>
                <c:pt idx="2">
                  <c:v>4.4400000000000004</c:v>
                </c:pt>
                <c:pt idx="3">
                  <c:v>4.05</c:v>
                </c:pt>
                <c:pt idx="4">
                  <c:v>4.3</c:v>
                </c:pt>
                <c:pt idx="5">
                  <c:v>4.1900000000000004</c:v>
                </c:pt>
                <c:pt idx="6">
                  <c:v>4.6500000000000004</c:v>
                </c:pt>
                <c:pt idx="7">
                  <c:v>4.22</c:v>
                </c:pt>
                <c:pt idx="8">
                  <c:v>4.38</c:v>
                </c:pt>
                <c:pt idx="9">
                  <c:v>4.42</c:v>
                </c:pt>
                <c:pt idx="10">
                  <c:v>4.26</c:v>
                </c:pt>
                <c:pt idx="11">
                  <c:v>4.3099999999999996</c:v>
                </c:pt>
                <c:pt idx="12">
                  <c:v>4.22</c:v>
                </c:pt>
                <c:pt idx="13">
                  <c:v>4.29</c:v>
                </c:pt>
                <c:pt idx="14">
                  <c:v>4.33</c:v>
                </c:pt>
                <c:pt idx="15">
                  <c:v>4.34</c:v>
                </c:pt>
                <c:pt idx="16">
                  <c:v>4.29</c:v>
                </c:pt>
                <c:pt idx="17">
                  <c:v>4.34</c:v>
                </c:pt>
                <c:pt idx="18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778F-4189-8A5C-DC7B68E23D02}"/>
            </c:ext>
          </c:extLst>
        </c:ser>
        <c:ser>
          <c:idx val="30"/>
          <c:order val="30"/>
          <c:tx>
            <c:strRef>
              <c:f>Pistol!$A$35</c:f>
              <c:strCache>
                <c:ptCount val="1"/>
                <c:pt idx="0">
                  <c:v>USP-S Flashback MW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Pistol!$B$4:$Z$4</c:f>
              <c:numCache>
                <c:formatCode>m/d/yyyy</c:formatCode>
                <c:ptCount val="25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</c:numCache>
            </c:numRef>
          </c:cat>
          <c:val>
            <c:numRef>
              <c:f>Pistol!$B$35:$Z$35</c:f>
              <c:numCache>
                <c:formatCode>General</c:formatCode>
                <c:ptCount val="25"/>
                <c:pt idx="0">
                  <c:v>0.92</c:v>
                </c:pt>
                <c:pt idx="1">
                  <c:v>0.85</c:v>
                </c:pt>
                <c:pt idx="2">
                  <c:v>0.87</c:v>
                </c:pt>
                <c:pt idx="3">
                  <c:v>0.93</c:v>
                </c:pt>
                <c:pt idx="4">
                  <c:v>0.92</c:v>
                </c:pt>
                <c:pt idx="5">
                  <c:v>0.93</c:v>
                </c:pt>
                <c:pt idx="6">
                  <c:v>0.86</c:v>
                </c:pt>
                <c:pt idx="7">
                  <c:v>0.97</c:v>
                </c:pt>
                <c:pt idx="8">
                  <c:v>0.85</c:v>
                </c:pt>
                <c:pt idx="9">
                  <c:v>0.94</c:v>
                </c:pt>
                <c:pt idx="10">
                  <c:v>0.93</c:v>
                </c:pt>
                <c:pt idx="11">
                  <c:v>0.84</c:v>
                </c:pt>
                <c:pt idx="12">
                  <c:v>0.86</c:v>
                </c:pt>
                <c:pt idx="13">
                  <c:v>0.86</c:v>
                </c:pt>
                <c:pt idx="14">
                  <c:v>0.88</c:v>
                </c:pt>
                <c:pt idx="15">
                  <c:v>0.88</c:v>
                </c:pt>
                <c:pt idx="16">
                  <c:v>0.87</c:v>
                </c:pt>
                <c:pt idx="17">
                  <c:v>0.88</c:v>
                </c:pt>
                <c:pt idx="18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778F-4189-8A5C-DC7B68E23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871119"/>
        <c:axId val="2038933551"/>
      </c:lineChart>
      <c:dateAx>
        <c:axId val="19248711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33551"/>
        <c:crosses val="autoZero"/>
        <c:auto val="1"/>
        <c:lblOffset val="100"/>
        <c:baseTimeUnit val="days"/>
      </c:dateAx>
      <c:valAx>
        <c:axId val="203893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2487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Other Rifle-Skins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'Other Rifles'!$A$5</c:f>
              <c:strCache>
                <c:ptCount val="1"/>
                <c:pt idx="0">
                  <c:v>SCAR-20 Cardiac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Rifles'!$B$5:$L$5</c:f>
              <c:numCache>
                <c:formatCode>General</c:formatCode>
                <c:ptCount val="11"/>
                <c:pt idx="6">
                  <c:v>3.05</c:v>
                </c:pt>
                <c:pt idx="7">
                  <c:v>3.02</c:v>
                </c:pt>
                <c:pt idx="8">
                  <c:v>3.19</c:v>
                </c:pt>
                <c:pt idx="9">
                  <c:v>2.91</c:v>
                </c:pt>
                <c:pt idx="10">
                  <c:v>3.04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B5-4771-8874-3745AAD5DC0B}"/>
            </c:ext>
          </c:extLst>
        </c:ser>
        <c:ser>
          <c:idx val="1"/>
          <c:order val="1"/>
          <c:tx>
            <c:strRef>
              <c:f>'Other Rifles'!$A$6</c:f>
              <c:strCache>
                <c:ptCount val="1"/>
                <c:pt idx="0">
                  <c:v>AUG Chameleon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Rifles'!$B$6:$L$6</c:f>
              <c:numCache>
                <c:formatCode>General</c:formatCode>
                <c:ptCount val="11"/>
                <c:pt idx="6">
                  <c:v>4.5599999999999996</c:v>
                </c:pt>
                <c:pt idx="7">
                  <c:v>4.63</c:v>
                </c:pt>
                <c:pt idx="8">
                  <c:v>4.3899999999999997</c:v>
                </c:pt>
                <c:pt idx="9">
                  <c:v>4.79</c:v>
                </c:pt>
                <c:pt idx="10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B5-4771-8874-3745AAD5DC0B}"/>
            </c:ext>
          </c:extLst>
        </c:ser>
        <c:ser>
          <c:idx val="2"/>
          <c:order val="2"/>
          <c:tx>
            <c:strRef>
              <c:f>'Other Rifles'!$A$7</c:f>
              <c:strCache>
                <c:ptCount val="1"/>
                <c:pt idx="0">
                  <c:v>Stattrak SG 553 Tiger Moth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Rifles'!$B$7:$L$7</c:f>
              <c:numCache>
                <c:formatCode>General</c:formatCode>
                <c:ptCount val="11"/>
                <c:pt idx="6">
                  <c:v>3.35</c:v>
                </c:pt>
                <c:pt idx="7">
                  <c:v>3.64</c:v>
                </c:pt>
                <c:pt idx="8">
                  <c:v>3.58</c:v>
                </c:pt>
                <c:pt idx="9">
                  <c:v>3.53</c:v>
                </c:pt>
                <c:pt idx="10">
                  <c:v>3.59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B5-4771-8874-3745AAD5DC0B}"/>
            </c:ext>
          </c:extLst>
        </c:ser>
        <c:ser>
          <c:idx val="3"/>
          <c:order val="3"/>
          <c:tx>
            <c:strRef>
              <c:f>'Other Rifles'!$A$8</c:f>
              <c:strCache>
                <c:ptCount val="1"/>
                <c:pt idx="0">
                  <c:v>SSG 08 Blood in the Water MW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Rifles'!$B$8:$L$8</c:f>
              <c:numCache>
                <c:formatCode>General</c:formatCode>
                <c:ptCount val="11"/>
                <c:pt idx="6">
                  <c:v>38.950000000000003</c:v>
                </c:pt>
                <c:pt idx="7">
                  <c:v>36.61</c:v>
                </c:pt>
                <c:pt idx="8">
                  <c:v>36.29</c:v>
                </c:pt>
                <c:pt idx="9">
                  <c:v>39.28</c:v>
                </c:pt>
                <c:pt idx="10">
                  <c:v>40.54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B5-4771-8874-3745AAD5DC0B}"/>
            </c:ext>
          </c:extLst>
        </c:ser>
        <c:ser>
          <c:idx val="4"/>
          <c:order val="4"/>
          <c:tx>
            <c:strRef>
              <c:f>'Other Rifles'!$A$9</c:f>
              <c:strCache>
                <c:ptCount val="1"/>
                <c:pt idx="0">
                  <c:v>Stattrak FAMAS Valence FT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Rifles'!$B$9:$L$9</c:f>
              <c:numCache>
                <c:formatCode>General</c:formatCode>
                <c:ptCount val="11"/>
                <c:pt idx="6">
                  <c:v>3.71</c:v>
                </c:pt>
                <c:pt idx="7">
                  <c:v>3.54</c:v>
                </c:pt>
                <c:pt idx="8">
                  <c:v>3.52</c:v>
                </c:pt>
                <c:pt idx="9">
                  <c:v>3.61</c:v>
                </c:pt>
                <c:pt idx="10">
                  <c:v>3.58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B5-4771-8874-3745AAD5DC0B}"/>
            </c:ext>
          </c:extLst>
        </c:ser>
        <c:ser>
          <c:idx val="5"/>
          <c:order val="5"/>
          <c:tx>
            <c:strRef>
              <c:f>'Other Rifles'!$A$10</c:f>
              <c:strCache>
                <c:ptCount val="1"/>
                <c:pt idx="0">
                  <c:v>G3SG1 Stinger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Rifles'!$B$10:$L$10</c:f>
              <c:numCache>
                <c:formatCode>General</c:formatCode>
                <c:ptCount val="11"/>
                <c:pt idx="6">
                  <c:v>1.07</c:v>
                </c:pt>
                <c:pt idx="7">
                  <c:v>1.17</c:v>
                </c:pt>
                <c:pt idx="8">
                  <c:v>1.1000000000000001</c:v>
                </c:pt>
                <c:pt idx="9">
                  <c:v>1.18</c:v>
                </c:pt>
                <c:pt idx="10">
                  <c:v>1.1100000000000001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B5-4771-8874-3745AAD5DC0B}"/>
            </c:ext>
          </c:extLst>
        </c:ser>
        <c:ser>
          <c:idx val="6"/>
          <c:order val="6"/>
          <c:tx>
            <c:strRef>
              <c:f>'Other Rifles'!$A$11</c:f>
              <c:strCache>
                <c:ptCount val="1"/>
                <c:pt idx="0">
                  <c:v>FAMAS Roll Cage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Rifles'!$B$11:$L$11</c:f>
              <c:numCache>
                <c:formatCode>General</c:formatCode>
                <c:ptCount val="11"/>
                <c:pt idx="6">
                  <c:v>6.22</c:v>
                </c:pt>
                <c:pt idx="7">
                  <c:v>6.24</c:v>
                </c:pt>
                <c:pt idx="8">
                  <c:v>6.41</c:v>
                </c:pt>
                <c:pt idx="9">
                  <c:v>6.04</c:v>
                </c:pt>
                <c:pt idx="10">
                  <c:v>6.51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CB5-4771-8874-3745AAD5DC0B}"/>
            </c:ext>
          </c:extLst>
        </c:ser>
        <c:ser>
          <c:idx val="7"/>
          <c:order val="7"/>
          <c:tx>
            <c:strRef>
              <c:f>'Other Rifles'!$A$12</c:f>
              <c:strCache>
                <c:ptCount val="1"/>
                <c:pt idx="0">
                  <c:v>Stattrak SSG 08 Death's Head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Rifles'!$B$12:$L$12</c:f>
              <c:numCache>
                <c:formatCode>General</c:formatCode>
                <c:ptCount val="11"/>
                <c:pt idx="6">
                  <c:v>10.85</c:v>
                </c:pt>
                <c:pt idx="7">
                  <c:v>9.94</c:v>
                </c:pt>
                <c:pt idx="8">
                  <c:v>10.85</c:v>
                </c:pt>
                <c:pt idx="9">
                  <c:v>10.87</c:v>
                </c:pt>
                <c:pt idx="10">
                  <c:v>10.86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CB5-4771-8874-3745AAD5DC0B}"/>
            </c:ext>
          </c:extLst>
        </c:ser>
        <c:ser>
          <c:idx val="8"/>
          <c:order val="8"/>
          <c:tx>
            <c:strRef>
              <c:f>'Other Rifles'!$A$13</c:f>
              <c:strCache>
                <c:ptCount val="1"/>
                <c:pt idx="0">
                  <c:v>Stattrak Galil AR Stone Cold FT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Rifles'!$B$13:$L$13</c:f>
              <c:numCache>
                <c:formatCode>General</c:formatCode>
                <c:ptCount val="11"/>
                <c:pt idx="6">
                  <c:v>3.38</c:v>
                </c:pt>
                <c:pt idx="7">
                  <c:v>3.1</c:v>
                </c:pt>
                <c:pt idx="8">
                  <c:v>3.23</c:v>
                </c:pt>
                <c:pt idx="9">
                  <c:v>3.13</c:v>
                </c:pt>
                <c:pt idx="10">
                  <c:v>3.24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CB5-4771-8874-3745AAD5DC0B}"/>
            </c:ext>
          </c:extLst>
        </c:ser>
        <c:ser>
          <c:idx val="9"/>
          <c:order val="9"/>
          <c:tx>
            <c:strRef>
              <c:f>'Other Rifles'!$A$14</c:f>
              <c:strCache>
                <c:ptCount val="1"/>
                <c:pt idx="0">
                  <c:v>Stattrak AUG Momentum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Rifles'!$B$14:$L$14</c:f>
              <c:numCache>
                <c:formatCode>General</c:formatCode>
                <c:ptCount val="11"/>
                <c:pt idx="6">
                  <c:v>18.91</c:v>
                </c:pt>
                <c:pt idx="7">
                  <c:v>17.989999999999998</c:v>
                </c:pt>
                <c:pt idx="8">
                  <c:v>20.02</c:v>
                </c:pt>
                <c:pt idx="9">
                  <c:v>19.47</c:v>
                </c:pt>
                <c:pt idx="10">
                  <c:v>19.440000000000001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CB5-4771-8874-3745AAD5DC0B}"/>
            </c:ext>
          </c:extLst>
        </c:ser>
        <c:ser>
          <c:idx val="10"/>
          <c:order val="10"/>
          <c:tx>
            <c:strRef>
              <c:f>'Other Rifles'!$A$15</c:f>
              <c:strCache>
                <c:ptCount val="1"/>
                <c:pt idx="0">
                  <c:v>Galil AR Tornado BS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Rifles'!$B$15:$L$15</c:f>
              <c:numCache>
                <c:formatCode>General</c:formatCode>
                <c:ptCount val="11"/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1.52</c:v>
                </c:pt>
                <c:pt idx="10">
                  <c:v>1.61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CB5-4771-8874-3745AAD5DC0B}"/>
            </c:ext>
          </c:extLst>
        </c:ser>
        <c:ser>
          <c:idx val="11"/>
          <c:order val="11"/>
          <c:tx>
            <c:strRef>
              <c:f>'Other Rifles'!$A$16</c:f>
              <c:strCache>
                <c:ptCount val="1"/>
                <c:pt idx="0">
                  <c:v>FAMAS Night Borre FT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Rifles'!$B$16:$L$16</c:f>
              <c:numCache>
                <c:formatCode>General</c:formatCode>
                <c:ptCount val="11"/>
                <c:pt idx="6">
                  <c:v>1.0900000000000001</c:v>
                </c:pt>
                <c:pt idx="7">
                  <c:v>1.35</c:v>
                </c:pt>
                <c:pt idx="8">
                  <c:v>1.28</c:v>
                </c:pt>
                <c:pt idx="9">
                  <c:v>1.58</c:v>
                </c:pt>
                <c:pt idx="10">
                  <c:v>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CB5-4771-8874-3745AAD5DC0B}"/>
            </c:ext>
          </c:extLst>
        </c:ser>
        <c:ser>
          <c:idx val="12"/>
          <c:order val="12"/>
          <c:tx>
            <c:strRef>
              <c:f>'Other Rifles'!$A$17</c:f>
              <c:strCache>
                <c:ptCount val="1"/>
                <c:pt idx="0">
                  <c:v>FAMAS Macabre MW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Rifles'!$B$17:$L$17</c:f>
              <c:numCache>
                <c:formatCode>General</c:formatCode>
                <c:ptCount val="11"/>
                <c:pt idx="6">
                  <c:v>1.26</c:v>
                </c:pt>
                <c:pt idx="7">
                  <c:v>1.27</c:v>
                </c:pt>
                <c:pt idx="8">
                  <c:v>1.26</c:v>
                </c:pt>
                <c:pt idx="9">
                  <c:v>1.24</c:v>
                </c:pt>
                <c:pt idx="10">
                  <c:v>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CB5-4771-8874-3745AAD5DC0B}"/>
            </c:ext>
          </c:extLst>
        </c:ser>
        <c:ser>
          <c:idx val="13"/>
          <c:order val="13"/>
          <c:tx>
            <c:strRef>
              <c:f>'Other Rifles'!$A$18</c:f>
              <c:strCache>
                <c:ptCount val="1"/>
                <c:pt idx="0">
                  <c:v>Galil AR Eco FT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Rifles'!$B$18:$L$18</c:f>
              <c:numCache>
                <c:formatCode>General</c:formatCode>
                <c:ptCount val="11"/>
                <c:pt idx="6">
                  <c:v>3.82</c:v>
                </c:pt>
                <c:pt idx="7">
                  <c:v>3.83</c:v>
                </c:pt>
                <c:pt idx="8">
                  <c:v>3.77</c:v>
                </c:pt>
                <c:pt idx="9">
                  <c:v>3.72</c:v>
                </c:pt>
                <c:pt idx="10">
                  <c:v>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CB5-4771-8874-3745AAD5DC0B}"/>
            </c:ext>
          </c:extLst>
        </c:ser>
        <c:ser>
          <c:idx val="14"/>
          <c:order val="14"/>
          <c:tx>
            <c:strRef>
              <c:f>'Other Rifles'!$A$19</c:f>
              <c:strCache>
                <c:ptCount val="1"/>
                <c:pt idx="0">
                  <c:v>SCAR-20 Powercore MW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Rifles'!$B$19:$L$19</c:f>
              <c:numCache>
                <c:formatCode>General</c:formatCode>
                <c:ptCount val="11"/>
                <c:pt idx="6">
                  <c:v>0.5</c:v>
                </c:pt>
                <c:pt idx="7">
                  <c:v>0.49</c:v>
                </c:pt>
                <c:pt idx="8">
                  <c:v>0.5</c:v>
                </c:pt>
                <c:pt idx="9">
                  <c:v>0.46</c:v>
                </c:pt>
                <c:pt idx="10">
                  <c:v>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CB5-4771-8874-3745AAD5DC0B}"/>
            </c:ext>
          </c:extLst>
        </c:ser>
        <c:ser>
          <c:idx val="15"/>
          <c:order val="15"/>
          <c:tx>
            <c:strRef>
              <c:f>'Other Rifles'!$A$20</c:f>
              <c:strCache>
                <c:ptCount val="1"/>
                <c:pt idx="0">
                  <c:v>SG 553 Atlas FN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Rifles'!$B$20:$L$20</c:f>
              <c:numCache>
                <c:formatCode>General</c:formatCode>
                <c:ptCount val="11"/>
                <c:pt idx="6">
                  <c:v>0.32</c:v>
                </c:pt>
                <c:pt idx="7">
                  <c:v>0.34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CB5-4771-8874-3745AAD5DC0B}"/>
            </c:ext>
          </c:extLst>
        </c:ser>
        <c:ser>
          <c:idx val="16"/>
          <c:order val="16"/>
          <c:tx>
            <c:strRef>
              <c:f>'Other Rifles'!$A$21</c:f>
              <c:strCache>
                <c:ptCount val="1"/>
                <c:pt idx="0">
                  <c:v>SSG 08 Necropos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Rifles'!$B$4:$L$4</c:f>
              <c:numCache>
                <c:formatCode>m/d/yyyy</c:formatCode>
                <c:ptCount val="11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</c:numCache>
            </c:numRef>
          </c:cat>
          <c:val>
            <c:numRef>
              <c:f>'Other Rifles'!$B$21:$L$21</c:f>
              <c:numCache>
                <c:formatCode>General</c:formatCode>
                <c:ptCount val="11"/>
                <c:pt idx="6">
                  <c:v>0.34</c:v>
                </c:pt>
                <c:pt idx="7">
                  <c:v>0.3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CB5-4771-8874-3745AAD5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56959"/>
        <c:axId val="206211039"/>
      </c:lineChart>
      <c:dateAx>
        <c:axId val="580569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6211039"/>
        <c:crosses val="autoZero"/>
        <c:auto val="1"/>
        <c:lblOffset val="100"/>
        <c:baseTimeUnit val="days"/>
      </c:dateAx>
      <c:valAx>
        <c:axId val="20621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8056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0</xdr:row>
      <xdr:rowOff>57149</xdr:rowOff>
    </xdr:from>
    <xdr:to>
      <xdr:col>9</xdr:col>
      <xdr:colOff>257174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34C2A-022D-41C3-840C-E882AC5F97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295274</xdr:colOff>
      <xdr:row>0</xdr:row>
      <xdr:rowOff>57150</xdr:rowOff>
    </xdr:from>
    <xdr:to>
      <xdr:col>18</xdr:col>
      <xdr:colOff>323849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9A02C-0CA3-4EC6-A98B-D65C349C25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361950</xdr:colOff>
      <xdr:row>0</xdr:row>
      <xdr:rowOff>47625</xdr:rowOff>
    </xdr:from>
    <xdr:to>
      <xdr:col>27</xdr:col>
      <xdr:colOff>314325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063B04-A147-477E-8940-42CE53560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57150</xdr:colOff>
      <xdr:row>17</xdr:row>
      <xdr:rowOff>161924</xdr:rowOff>
    </xdr:from>
    <xdr:to>
      <xdr:col>9</xdr:col>
      <xdr:colOff>238125</xdr:colOff>
      <xdr:row>37</xdr:row>
      <xdr:rowOff>19049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C11045-2E12-494E-8CB3-6FC17FC28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285750</xdr:colOff>
      <xdr:row>17</xdr:row>
      <xdr:rowOff>161925</xdr:rowOff>
    </xdr:from>
    <xdr:to>
      <xdr:col>18</xdr:col>
      <xdr:colOff>342900</xdr:colOff>
      <xdr:row>37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B99ED0-17EE-4682-B236-29DCE7E0D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371475</xdr:colOff>
      <xdr:row>17</xdr:row>
      <xdr:rowOff>152399</xdr:rowOff>
    </xdr:from>
    <xdr:to>
      <xdr:col>27</xdr:col>
      <xdr:colOff>295275</xdr:colOff>
      <xdr:row>37</xdr:row>
      <xdr:rowOff>66674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CA5FE0E-DC59-4297-8F99-7196D13B8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457200</xdr:colOff>
      <xdr:row>18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E18706-8098-4F4F-A712-DC2593637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466725</xdr:colOff>
      <xdr:row>0</xdr:row>
      <xdr:rowOff>0</xdr:rowOff>
    </xdr:from>
    <xdr:to>
      <xdr:col>17</xdr:col>
      <xdr:colOff>390525</xdr:colOff>
      <xdr:row>18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A8303-7F52-48CE-AF93-6B556189B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400050</xdr:colOff>
      <xdr:row>0</xdr:row>
      <xdr:rowOff>0</xdr:rowOff>
    </xdr:from>
    <xdr:to>
      <xdr:col>27</xdr:col>
      <xdr:colOff>114300</xdr:colOff>
      <xdr:row>18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094936-8DF1-4F28-93DE-B7C68F4FF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247650</xdr:colOff>
      <xdr:row>18</xdr:row>
      <xdr:rowOff>19049</xdr:rowOff>
    </xdr:from>
    <xdr:to>
      <xdr:col>27</xdr:col>
      <xdr:colOff>95250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BF8FBF-FE59-4F99-B6C8-919A322D33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314325</xdr:colOff>
      <xdr:row>18</xdr:row>
      <xdr:rowOff>19050</xdr:rowOff>
    </xdr:from>
    <xdr:to>
      <xdr:col>19</xdr:col>
      <xdr:colOff>238125</xdr:colOff>
      <xdr:row>34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EB8ED1-7A87-4E62-892C-E26A487E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28575</xdr:colOff>
      <xdr:row>18</xdr:row>
      <xdr:rowOff>19050</xdr:rowOff>
    </xdr:from>
    <xdr:to>
      <xdr:col>10</xdr:col>
      <xdr:colOff>295275</xdr:colOff>
      <xdr:row>39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F80570-BC83-4629-9555-562100366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</xdr:colOff>
      <xdr:row>39</xdr:row>
      <xdr:rowOff>76200</xdr:rowOff>
    </xdr:from>
    <xdr:to>
      <xdr:col>13</xdr:col>
      <xdr:colOff>552450</xdr:colOff>
      <xdr:row>64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A9410CB-57A4-40FA-9230-076B30635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561974</xdr:colOff>
      <xdr:row>39</xdr:row>
      <xdr:rowOff>76199</xdr:rowOff>
    </xdr:from>
    <xdr:to>
      <xdr:col>32</xdr:col>
      <xdr:colOff>228600</xdr:colOff>
      <xdr:row>69</xdr:row>
      <xdr:rowOff>142875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9322A0-E675-4F20-AF94-8A4E28E21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28575</xdr:colOff>
      <xdr:row>64</xdr:row>
      <xdr:rowOff>133349</xdr:rowOff>
    </xdr:from>
    <xdr:to>
      <xdr:col>13</xdr:col>
      <xdr:colOff>523875</xdr:colOff>
      <xdr:row>93</xdr:row>
      <xdr:rowOff>123824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35DDC81-3CAC-4EC3-821E-67E2C9058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D87D-08D1-4E06-B3B9-24BC16B794AB}">
  <dimension ref="A1"/>
  <sheetViews>
    <sheetView workbookViewId="0">
      <selection activeCell="AB20" sqref="AB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2D5C-875A-48FD-B62C-92C0429AB5D3}">
  <dimension ref="A1"/>
  <sheetViews>
    <sheetView workbookViewId="0">
      <selection activeCell="P73" sqref="P7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5F03C-7B07-44A2-9AC3-2D6EC7C1F2EA}">
  <dimension ref="A3:Z35"/>
  <sheetViews>
    <sheetView tabSelected="1" zoomScaleNormal="100" workbookViewId="0">
      <pane xSplit="1" topLeftCell="B1" activePane="topRight" state="frozen"/>
      <selection pane="topRight" activeCell="D16" sqref="D16"/>
    </sheetView>
  </sheetViews>
  <sheetFormatPr defaultRowHeight="15" x14ac:dyDescent="0.25"/>
  <cols>
    <col min="1" max="1" width="14.5703125" customWidth="1"/>
    <col min="2" max="68" width="11.28515625" customWidth="1"/>
  </cols>
  <sheetData>
    <row r="3" spans="1:26" ht="23.25" x14ac:dyDescent="0.35">
      <c r="A3" s="3" t="s">
        <v>3</v>
      </c>
      <c r="D3" s="2" t="s">
        <v>32</v>
      </c>
    </row>
    <row r="4" spans="1:26" x14ac:dyDescent="0.25">
      <c r="B4" s="1">
        <v>44331</v>
      </c>
      <c r="C4" s="1">
        <v>44332</v>
      </c>
      <c r="D4" s="1">
        <v>44334</v>
      </c>
      <c r="E4" s="1">
        <v>44336</v>
      </c>
      <c r="F4" s="1">
        <v>44337</v>
      </c>
      <c r="G4" s="1">
        <v>44338</v>
      </c>
      <c r="H4" s="1">
        <v>44339</v>
      </c>
      <c r="I4" s="1">
        <v>44340</v>
      </c>
      <c r="J4" s="1">
        <v>44341</v>
      </c>
      <c r="K4" s="1">
        <v>44342</v>
      </c>
      <c r="L4" s="1">
        <v>44343</v>
      </c>
      <c r="M4" s="1">
        <v>44344</v>
      </c>
      <c r="N4" s="1">
        <v>44345</v>
      </c>
      <c r="O4" s="1">
        <v>44346</v>
      </c>
      <c r="P4" s="1">
        <v>44347</v>
      </c>
      <c r="Q4" s="1">
        <v>44348</v>
      </c>
      <c r="R4" s="1">
        <v>44349</v>
      </c>
      <c r="S4" s="1">
        <v>44350</v>
      </c>
      <c r="T4" s="1">
        <v>44351</v>
      </c>
      <c r="U4" s="1">
        <v>44352</v>
      </c>
      <c r="V4" s="1">
        <v>44353</v>
      </c>
      <c r="W4" s="1">
        <v>44354</v>
      </c>
      <c r="X4" s="1">
        <v>44355</v>
      </c>
      <c r="Y4" s="1">
        <v>44356</v>
      </c>
      <c r="Z4" s="1">
        <v>44357</v>
      </c>
    </row>
    <row r="5" spans="1:26" x14ac:dyDescent="0.25">
      <c r="A5" t="s">
        <v>1</v>
      </c>
      <c r="B5">
        <f>Investments!C135</f>
        <v>758.47</v>
      </c>
      <c r="C5">
        <f>Investments!D135</f>
        <v>748.99</v>
      </c>
      <c r="D5">
        <f>Investments!E135</f>
        <v>775.47</v>
      </c>
      <c r="E5">
        <f>Investments!F135</f>
        <v>836.83999999999992</v>
      </c>
      <c r="F5">
        <f>Investments!G135</f>
        <v>844.7</v>
      </c>
      <c r="G5">
        <f>Investments!H135</f>
        <v>993.96999999999991</v>
      </c>
      <c r="H5">
        <f>Investments!I135</f>
        <v>976</v>
      </c>
      <c r="I5">
        <f>Investments!J135</f>
        <v>1035.1599999999999</v>
      </c>
      <c r="J5">
        <f>Investments!K135</f>
        <v>1042.3999999999999</v>
      </c>
      <c r="K5">
        <f>Investments!L135</f>
        <v>1150.24</v>
      </c>
      <c r="L5">
        <f>Investments!M135</f>
        <v>1231.1599999999999</v>
      </c>
      <c r="M5">
        <f>Investments!N135</f>
        <v>1219.44</v>
      </c>
      <c r="N5">
        <f>Investments!O135</f>
        <v>1169.1000000000001</v>
      </c>
      <c r="O5">
        <f>Investments!P135</f>
        <v>1112.32</v>
      </c>
      <c r="P5">
        <f>Investments!Q135</f>
        <v>1092.4099999999999</v>
      </c>
      <c r="Q5">
        <f>Investments!R135</f>
        <v>1135.18</v>
      </c>
      <c r="R5">
        <f>Investments!S135</f>
        <v>1223.8499999999999</v>
      </c>
      <c r="S5">
        <f>Investments!T135</f>
        <v>1284.6300000000001</v>
      </c>
      <c r="T5">
        <f>Investments!U135</f>
        <v>1491.52</v>
      </c>
    </row>
    <row r="6" spans="1:26" x14ac:dyDescent="0.25">
      <c r="A6" t="s">
        <v>0</v>
      </c>
      <c r="B6">
        <f>Knives!B10</f>
        <v>1973.0399999999997</v>
      </c>
      <c r="C6">
        <f>Knives!C10</f>
        <v>1981.8999999999999</v>
      </c>
      <c r="D6">
        <f>Knives!D10</f>
        <v>2000.1100000000001</v>
      </c>
      <c r="E6">
        <f>Knives!E10</f>
        <v>2012.3300000000002</v>
      </c>
      <c r="F6">
        <f>Knives!F10</f>
        <v>2033.0700000000002</v>
      </c>
      <c r="G6">
        <f>Knives!G10</f>
        <v>1997.2199999999998</v>
      </c>
      <c r="H6">
        <f>Knives!H10</f>
        <v>2013.88</v>
      </c>
      <c r="I6">
        <f>Knives!I10</f>
        <v>2043.2699999999998</v>
      </c>
      <c r="J6">
        <f>Knives!J10</f>
        <v>2020.53</v>
      </c>
      <c r="K6">
        <f>Knives!K10</f>
        <v>2205.54</v>
      </c>
      <c r="L6">
        <f>Knives!L10</f>
        <v>2177.7400000000002</v>
      </c>
      <c r="M6">
        <f>Knives!M10</f>
        <v>2165.3000000000002</v>
      </c>
      <c r="N6">
        <f>Knives!N10</f>
        <v>2132.02</v>
      </c>
      <c r="O6">
        <f>Knives!O10</f>
        <v>2137.7199999999998</v>
      </c>
      <c r="P6">
        <f>Knives!P10</f>
        <v>2110.66</v>
      </c>
      <c r="Q6">
        <f>Knives!Q10</f>
        <v>2114.9700000000003</v>
      </c>
      <c r="R6">
        <f>Knives!R10</f>
        <v>2140.1000000000004</v>
      </c>
      <c r="S6">
        <f>Knives!S10</f>
        <v>2154.6799999999998</v>
      </c>
      <c r="T6">
        <f>Knives!T10</f>
        <v>2100.75</v>
      </c>
    </row>
    <row r="7" spans="1:26" x14ac:dyDescent="0.25">
      <c r="A7" t="s">
        <v>2</v>
      </c>
      <c r="B7">
        <f>AWP!B13</f>
        <v>195.47</v>
      </c>
      <c r="C7">
        <f>AWP!C13</f>
        <v>190.54</v>
      </c>
      <c r="D7">
        <f>AWP!D13</f>
        <v>199.98999999999998</v>
      </c>
      <c r="E7">
        <f>AWP!E13</f>
        <v>193.30999999999997</v>
      </c>
      <c r="F7">
        <f>AWP!F13</f>
        <v>193.18999999999997</v>
      </c>
      <c r="G7">
        <f>AWP!G13</f>
        <v>185.43999999999997</v>
      </c>
      <c r="H7">
        <f>AWP!H13</f>
        <v>198.10999999999999</v>
      </c>
      <c r="I7">
        <f>AWP!I13</f>
        <v>199.2</v>
      </c>
      <c r="J7">
        <f>AWP!J13</f>
        <v>194.04999999999998</v>
      </c>
      <c r="K7">
        <f>AWP!K13</f>
        <v>205.29999999999998</v>
      </c>
      <c r="L7">
        <f>AWP!L13</f>
        <v>205.65</v>
      </c>
      <c r="M7">
        <f>AWP!M13</f>
        <v>195.62999999999997</v>
      </c>
      <c r="N7">
        <f>AWP!N13</f>
        <v>199.72999999999996</v>
      </c>
      <c r="O7">
        <f>AWP!O13</f>
        <v>190.32</v>
      </c>
      <c r="P7">
        <f>AWP!P13</f>
        <v>196.61</v>
      </c>
      <c r="Q7">
        <f>AWP!Q13</f>
        <v>200.15</v>
      </c>
      <c r="R7">
        <f>AWP!R13</f>
        <v>209.24</v>
      </c>
      <c r="S7">
        <f>AWP!S13</f>
        <v>202.45</v>
      </c>
      <c r="T7">
        <f>AWP!T13</f>
        <v>203.49</v>
      </c>
    </row>
    <row r="8" spans="1:26" x14ac:dyDescent="0.25">
      <c r="A8" t="s">
        <v>4</v>
      </c>
      <c r="B8">
        <f>M4A4!B14</f>
        <v>178.95000000000002</v>
      </c>
      <c r="C8">
        <f>M4A4!C14</f>
        <v>175.29000000000002</v>
      </c>
      <c r="D8">
        <f>M4A4!D14</f>
        <v>172.94</v>
      </c>
      <c r="E8">
        <f>M4A4!E14</f>
        <v>175.82</v>
      </c>
      <c r="F8">
        <f>M4A4!F14</f>
        <v>175.51</v>
      </c>
      <c r="G8">
        <f>M4A4!G14</f>
        <v>177.33</v>
      </c>
      <c r="H8">
        <f>M4A4!H14</f>
        <v>173.10999999999999</v>
      </c>
      <c r="I8">
        <f>M4A4!I14</f>
        <v>171.3</v>
      </c>
      <c r="J8">
        <f>M4A4!J14</f>
        <v>167.67</v>
      </c>
      <c r="K8">
        <f>M4A4!K14</f>
        <v>171.02</v>
      </c>
      <c r="L8">
        <f>M4A4!L14</f>
        <v>169.12</v>
      </c>
      <c r="M8">
        <f>M4A4!M14</f>
        <v>169.39999999999998</v>
      </c>
      <c r="N8">
        <f>M4A4!N14</f>
        <v>170.18</v>
      </c>
      <c r="O8">
        <f>M4A4!O14</f>
        <v>172.92</v>
      </c>
      <c r="P8">
        <f>M4A4!P14</f>
        <v>173.81</v>
      </c>
      <c r="Q8">
        <f>M4A4!Q14</f>
        <v>175.42999999999998</v>
      </c>
      <c r="R8">
        <f>M4A4!R14</f>
        <v>176.54</v>
      </c>
      <c r="S8">
        <f>M4A4!S14</f>
        <v>171.85000000000002</v>
      </c>
      <c r="T8">
        <f>M4A4!T14</f>
        <v>179.60999999999999</v>
      </c>
    </row>
    <row r="9" spans="1:26" x14ac:dyDescent="0.25">
      <c r="A9" t="s">
        <v>5</v>
      </c>
      <c r="B9">
        <f>'M4A1-S'!B10</f>
        <v>76.64</v>
      </c>
      <c r="C9">
        <f>'M4A1-S'!C10</f>
        <v>74.11</v>
      </c>
      <c r="D9">
        <f>'M4A1-S'!D10</f>
        <v>72.600000000000009</v>
      </c>
      <c r="E9">
        <f>'M4A1-S'!E10</f>
        <v>70.94</v>
      </c>
      <c r="F9">
        <f>'M4A1-S'!F10</f>
        <v>74.349999999999994</v>
      </c>
      <c r="G9">
        <f>'M4A1-S'!G10</f>
        <v>72.739999999999995</v>
      </c>
      <c r="H9">
        <f>'M4A1-S'!H10</f>
        <v>70.75</v>
      </c>
      <c r="I9">
        <f>'M4A1-S'!I10</f>
        <v>72.7</v>
      </c>
      <c r="J9">
        <f>'M4A1-S'!J10</f>
        <v>71.73</v>
      </c>
      <c r="K9">
        <f>'M4A1-S'!K10</f>
        <v>70.23</v>
      </c>
      <c r="L9">
        <f>'M4A1-S'!L10</f>
        <v>69.36</v>
      </c>
      <c r="M9">
        <f>'M4A1-S'!M10</f>
        <v>71.36</v>
      </c>
      <c r="N9">
        <f>'M4A1-S'!N10</f>
        <v>71.34</v>
      </c>
      <c r="O9">
        <f>'M4A1-S'!O10</f>
        <v>79.61999999999999</v>
      </c>
      <c r="P9">
        <f>'M4A1-S'!P10</f>
        <v>74.830000000000013</v>
      </c>
      <c r="Q9">
        <f>'M4A1-S'!Q10</f>
        <v>73.97</v>
      </c>
      <c r="R9">
        <f>'M4A1-S'!R10</f>
        <v>73.09</v>
      </c>
      <c r="S9">
        <f>'M4A1-S'!S10</f>
        <v>71.33</v>
      </c>
      <c r="T9">
        <f>'M4A1-S'!T10</f>
        <v>73.13000000000001</v>
      </c>
    </row>
    <row r="10" spans="1:26" x14ac:dyDescent="0.25">
      <c r="A10" t="s">
        <v>6</v>
      </c>
      <c r="B10">
        <f>'AK47'!B12</f>
        <v>385.2</v>
      </c>
      <c r="C10">
        <f>'AK47'!C12</f>
        <v>398.33000000000004</v>
      </c>
      <c r="D10">
        <f>'AK47'!D12</f>
        <v>408.55</v>
      </c>
      <c r="E10">
        <f>'AK47'!E12</f>
        <v>396.45</v>
      </c>
      <c r="F10">
        <f>'AK47'!F12</f>
        <v>401.81</v>
      </c>
      <c r="G10">
        <f>'AK47'!G12</f>
        <v>389.48</v>
      </c>
      <c r="H10">
        <f>'AK47'!H12</f>
        <v>389.59</v>
      </c>
      <c r="I10">
        <f>'AK47'!I12</f>
        <v>395.04999999999995</v>
      </c>
      <c r="J10">
        <f>'AK47'!J12</f>
        <v>382.46</v>
      </c>
      <c r="K10">
        <f>'AK47'!K12</f>
        <v>403.94</v>
      </c>
      <c r="L10">
        <f>'AK47'!L12</f>
        <v>404.38</v>
      </c>
      <c r="M10">
        <f>'AK47'!M12</f>
        <v>401.66</v>
      </c>
      <c r="N10">
        <f>'AK47'!N12</f>
        <v>383.82000000000005</v>
      </c>
      <c r="O10">
        <f>'AK47'!O12</f>
        <v>392.5</v>
      </c>
      <c r="P10">
        <f>'AK47'!P12</f>
        <v>396.03</v>
      </c>
      <c r="Q10">
        <f>'AK47'!Q12</f>
        <v>405.53000000000003</v>
      </c>
      <c r="R10">
        <f>'AK47'!R12</f>
        <v>403.7</v>
      </c>
      <c r="S10">
        <f>'AK47'!S12</f>
        <v>409.21</v>
      </c>
      <c r="T10">
        <f>'AK47'!T12</f>
        <v>411.23999999999995</v>
      </c>
    </row>
    <row r="11" spans="1:26" x14ac:dyDescent="0.25">
      <c r="A11" t="s">
        <v>7</v>
      </c>
      <c r="B11">
        <f>SMG!B20</f>
        <v>66.949999999999989</v>
      </c>
      <c r="C11">
        <f>SMG!C20</f>
        <v>67.2</v>
      </c>
      <c r="D11">
        <f>SMG!D20</f>
        <v>63.86</v>
      </c>
      <c r="E11">
        <f>SMG!E20</f>
        <v>63.059999999999995</v>
      </c>
      <c r="F11">
        <f>SMG!F20</f>
        <v>66.269999999999982</v>
      </c>
      <c r="G11">
        <f>SMG!G20</f>
        <v>67.61999999999999</v>
      </c>
      <c r="H11">
        <f>SMG!H20</f>
        <v>66.72</v>
      </c>
      <c r="I11">
        <f>SMG!I20</f>
        <v>66.37</v>
      </c>
      <c r="J11">
        <f>SMG!J20</f>
        <v>66.61999999999999</v>
      </c>
      <c r="K11">
        <f>SMG!K20</f>
        <v>67.290000000000006</v>
      </c>
      <c r="L11">
        <f>SMG!L20</f>
        <v>67.490000000000009</v>
      </c>
      <c r="M11">
        <f>SMG!M20</f>
        <v>65.86</v>
      </c>
      <c r="N11">
        <f>SMG!N20</f>
        <v>66.28</v>
      </c>
      <c r="O11">
        <f>SMG!O20</f>
        <v>64.61</v>
      </c>
      <c r="P11">
        <f>SMG!P20</f>
        <v>67.579999999999984</v>
      </c>
      <c r="Q11">
        <f>SMG!Q20</f>
        <v>66.710000000000008</v>
      </c>
      <c r="R11">
        <f>SMG!R20</f>
        <v>66.59</v>
      </c>
      <c r="S11">
        <f>SMG!S20</f>
        <v>65.92</v>
      </c>
      <c r="T11">
        <f>SMG!T20</f>
        <v>66.84</v>
      </c>
    </row>
    <row r="12" spans="1:26" x14ac:dyDescent="0.25">
      <c r="A12" t="s">
        <v>8</v>
      </c>
      <c r="B12">
        <f>Heavy!B16</f>
        <v>23.470000000000002</v>
      </c>
      <c r="C12">
        <f>Heavy!C16</f>
        <v>23.17</v>
      </c>
      <c r="D12">
        <f>Heavy!D16</f>
        <v>22.01</v>
      </c>
      <c r="E12">
        <f>Heavy!E16</f>
        <v>22.600000000000005</v>
      </c>
      <c r="F12">
        <f>Heavy!F16</f>
        <v>22.220000000000002</v>
      </c>
      <c r="G12">
        <f>Heavy!G16</f>
        <v>22.89</v>
      </c>
      <c r="H12">
        <f>Heavy!H16</f>
        <v>21.77</v>
      </c>
      <c r="I12">
        <f>Heavy!I16</f>
        <v>22.729999999999997</v>
      </c>
      <c r="J12">
        <f>Heavy!J16</f>
        <v>22.259999999999998</v>
      </c>
      <c r="K12">
        <f>Heavy!K16</f>
        <v>22.8</v>
      </c>
      <c r="L12">
        <f>Heavy!L16</f>
        <v>22.68</v>
      </c>
      <c r="M12">
        <f>Heavy!M16</f>
        <v>23.410000000000004</v>
      </c>
      <c r="N12">
        <f>Heavy!N16</f>
        <v>23.259999999999998</v>
      </c>
      <c r="O12">
        <f>Heavy!O16</f>
        <v>22.509999999999998</v>
      </c>
      <c r="P12">
        <f>Heavy!P16</f>
        <v>22.850000000000005</v>
      </c>
      <c r="Q12">
        <f>Heavy!Q16</f>
        <v>23.580000000000002</v>
      </c>
      <c r="R12">
        <f>Heavy!R16</f>
        <v>24.09</v>
      </c>
      <c r="S12">
        <f>Heavy!S16</f>
        <v>23.599999999999998</v>
      </c>
      <c r="T12">
        <f>Heavy!T16</f>
        <v>23.330000000000002</v>
      </c>
    </row>
    <row r="13" spans="1:26" x14ac:dyDescent="0.25">
      <c r="A13" t="s">
        <v>9</v>
      </c>
      <c r="B13">
        <f>Pistol!B37</f>
        <v>346.62000000000006</v>
      </c>
      <c r="C13">
        <f>Pistol!C37</f>
        <v>340.68000000000012</v>
      </c>
      <c r="D13">
        <f>Pistol!D37</f>
        <v>342.52</v>
      </c>
      <c r="E13">
        <f>Pistol!E37</f>
        <v>349.93</v>
      </c>
      <c r="F13">
        <f>Pistol!F37</f>
        <v>345.59000000000003</v>
      </c>
      <c r="G13">
        <f>Pistol!G37</f>
        <v>347.56999999999994</v>
      </c>
      <c r="H13">
        <f>Pistol!H37</f>
        <v>350.87000000000006</v>
      </c>
      <c r="I13">
        <f>Pistol!I37</f>
        <v>349.74000000000012</v>
      </c>
      <c r="J13">
        <f>Pistol!J37</f>
        <v>354.99999999999994</v>
      </c>
      <c r="K13">
        <f>Pistol!K37</f>
        <v>360.81000000000012</v>
      </c>
      <c r="L13">
        <f>Pistol!L37</f>
        <v>357.97</v>
      </c>
      <c r="M13">
        <f>Pistol!M37</f>
        <v>359.93999999999988</v>
      </c>
      <c r="N13">
        <f>Pistol!N37</f>
        <v>357.37</v>
      </c>
      <c r="O13">
        <f>Pistol!O37</f>
        <v>356.7000000000001</v>
      </c>
      <c r="P13">
        <f>Pistol!P37</f>
        <v>352.5</v>
      </c>
      <c r="Q13">
        <f>Pistol!Q37</f>
        <v>364.53999999999991</v>
      </c>
      <c r="R13">
        <f>Pistol!R37</f>
        <v>370.18000000000006</v>
      </c>
      <c r="S13">
        <f>Pistol!S37</f>
        <v>374.84000000000003</v>
      </c>
      <c r="T13">
        <f>Pistol!T37</f>
        <v>375.61999999999995</v>
      </c>
    </row>
    <row r="14" spans="1:26" x14ac:dyDescent="0.25">
      <c r="A14" t="s">
        <v>129</v>
      </c>
      <c r="H14">
        <f>'Other Rifles'!H23</f>
        <v>102.47999999999999</v>
      </c>
      <c r="I14">
        <f>'Other Rifles'!I23</f>
        <v>98.559999999999974</v>
      </c>
      <c r="J14">
        <f>'Other Rifles'!J23</f>
        <v>101.12999999999998</v>
      </c>
      <c r="K14">
        <f>'Other Rifles'!K23</f>
        <v>103.96999999999997</v>
      </c>
      <c r="L14">
        <f>'Other Rifles'!L23</f>
        <v>106.04999999999998</v>
      </c>
      <c r="M14">
        <f>'Other Rifles'!M23</f>
        <v>105.24</v>
      </c>
      <c r="N14">
        <f>'Other Rifles'!N23</f>
        <v>103.05000000000001</v>
      </c>
      <c r="O14">
        <f>'Other Rifles'!O23</f>
        <v>105.63999999999999</v>
      </c>
      <c r="P14">
        <f>'Other Rifles'!P23</f>
        <v>105.4</v>
      </c>
      <c r="Q14">
        <f>'Other Rifles'!Q23</f>
        <v>107.26000000000002</v>
      </c>
      <c r="R14">
        <f>'Other Rifles'!R23</f>
        <v>105.52</v>
      </c>
      <c r="S14">
        <f>'Other Rifles'!S23</f>
        <v>104.86999999999999</v>
      </c>
      <c r="T14">
        <f>'Other Rifles'!T23</f>
        <v>103.73</v>
      </c>
    </row>
    <row r="15" spans="1:26" x14ac:dyDescent="0.25">
      <c r="B15">
        <f>SUM(B5:B14)</f>
        <v>4004.8099999999986</v>
      </c>
      <c r="C15">
        <f t="shared" ref="C15:H15" si="0">SUM(C5:C14)</f>
        <v>4000.21</v>
      </c>
      <c r="D15">
        <f t="shared" si="0"/>
        <v>4058.05</v>
      </c>
      <c r="E15">
        <f t="shared" si="0"/>
        <v>4121.28</v>
      </c>
      <c r="F15">
        <f t="shared" si="0"/>
        <v>4156.71</v>
      </c>
      <c r="G15">
        <f t="shared" si="0"/>
        <v>4254.2599999999993</v>
      </c>
      <c r="H15">
        <f t="shared" si="0"/>
        <v>4363.28</v>
      </c>
      <c r="I15">
        <f t="shared" ref="I15:J15" si="1">SUM(I5:I14)</f>
        <v>4454.08</v>
      </c>
      <c r="J15">
        <f t="shared" si="1"/>
        <v>4423.8500000000004</v>
      </c>
      <c r="K15">
        <f t="shared" ref="K15:L15" si="2">SUM(K5:K14)</f>
        <v>4761.1400000000003</v>
      </c>
      <c r="L15">
        <f t="shared" si="2"/>
        <v>4811.6000000000004</v>
      </c>
      <c r="M15">
        <f t="shared" ref="M15:N15" si="3">SUM(M5:M14)</f>
        <v>4777.24</v>
      </c>
      <c r="N15">
        <f t="shared" si="3"/>
        <v>4676.1499999999996</v>
      </c>
      <c r="O15">
        <f t="shared" ref="O15:P15" si="4">SUM(O5:O14)</f>
        <v>4634.8600000000006</v>
      </c>
      <c r="P15">
        <f t="shared" si="4"/>
        <v>4592.6799999999994</v>
      </c>
      <c r="Q15">
        <f t="shared" ref="Q15:R15" si="5">SUM(Q5:Q14)</f>
        <v>4667.3200000000006</v>
      </c>
      <c r="R15">
        <f t="shared" si="5"/>
        <v>4792.9000000000015</v>
      </c>
      <c r="S15">
        <f t="shared" ref="S15:T15" si="6">SUM(S5:S14)</f>
        <v>4863.38</v>
      </c>
      <c r="T15">
        <f t="shared" si="6"/>
        <v>5029.26</v>
      </c>
    </row>
    <row r="17" spans="1:26" ht="23.25" x14ac:dyDescent="0.35">
      <c r="A17" s="3" t="s">
        <v>10</v>
      </c>
    </row>
    <row r="18" spans="1:26" x14ac:dyDescent="0.25">
      <c r="B18" s="1">
        <f>B4</f>
        <v>44331</v>
      </c>
      <c r="C18" s="1">
        <f t="shared" ref="C18:L18" si="7">C4</f>
        <v>44332</v>
      </c>
      <c r="D18" s="1">
        <f t="shared" si="7"/>
        <v>44334</v>
      </c>
      <c r="E18" s="1">
        <f t="shared" si="7"/>
        <v>44336</v>
      </c>
      <c r="F18" s="1">
        <f t="shared" si="7"/>
        <v>44337</v>
      </c>
      <c r="G18" s="1">
        <f t="shared" si="7"/>
        <v>44338</v>
      </c>
      <c r="H18" s="1">
        <f t="shared" si="7"/>
        <v>44339</v>
      </c>
      <c r="I18" s="1">
        <f t="shared" si="7"/>
        <v>44340</v>
      </c>
      <c r="J18" s="1">
        <f t="shared" si="7"/>
        <v>44341</v>
      </c>
      <c r="K18" s="1">
        <f t="shared" si="7"/>
        <v>44342</v>
      </c>
      <c r="L18" s="1">
        <f t="shared" si="7"/>
        <v>44343</v>
      </c>
      <c r="M18" s="1">
        <f t="shared" ref="M18:Z18" si="8">M4</f>
        <v>44344</v>
      </c>
      <c r="N18" s="1">
        <f t="shared" si="8"/>
        <v>44345</v>
      </c>
      <c r="O18" s="1">
        <f t="shared" si="8"/>
        <v>44346</v>
      </c>
      <c r="P18" s="1">
        <f t="shared" si="8"/>
        <v>44347</v>
      </c>
      <c r="Q18" s="1">
        <f t="shared" si="8"/>
        <v>44348</v>
      </c>
      <c r="R18" s="1">
        <f t="shared" si="8"/>
        <v>44349</v>
      </c>
      <c r="S18" s="1">
        <f t="shared" si="8"/>
        <v>44350</v>
      </c>
      <c r="T18" s="1">
        <f t="shared" si="8"/>
        <v>44351</v>
      </c>
      <c r="U18" s="1">
        <f t="shared" si="8"/>
        <v>44352</v>
      </c>
      <c r="V18" s="1">
        <f t="shared" si="8"/>
        <v>44353</v>
      </c>
      <c r="W18" s="1">
        <f t="shared" si="8"/>
        <v>44354</v>
      </c>
      <c r="X18" s="1">
        <f t="shared" si="8"/>
        <v>44355</v>
      </c>
      <c r="Y18" s="1">
        <f t="shared" si="8"/>
        <v>44356</v>
      </c>
      <c r="Z18" s="1">
        <f t="shared" si="8"/>
        <v>44357</v>
      </c>
    </row>
    <row r="19" spans="1:26" x14ac:dyDescent="0.25">
      <c r="A19" t="s">
        <v>1</v>
      </c>
      <c r="B19">
        <f>Investments!C181</f>
        <v>525.4</v>
      </c>
      <c r="C19">
        <f>Investments!D181</f>
        <v>518.91</v>
      </c>
      <c r="D19">
        <f>Investments!E181</f>
        <v>537.06999999999994</v>
      </c>
      <c r="E19">
        <f>Investments!F181</f>
        <v>582.99</v>
      </c>
      <c r="F19">
        <f>Investments!G181</f>
        <v>589.27</v>
      </c>
      <c r="G19">
        <f>Investments!H181</f>
        <v>691.93000000000006</v>
      </c>
      <c r="H19">
        <f>Investments!I181</f>
        <v>672.6099999999999</v>
      </c>
      <c r="I19">
        <f>Investments!J181</f>
        <v>719.01</v>
      </c>
      <c r="J19">
        <f>Investments!K181</f>
        <v>723.31</v>
      </c>
      <c r="K19">
        <f>Investments!L181</f>
        <v>797.8599999999999</v>
      </c>
      <c r="L19">
        <f>Investments!M181</f>
        <v>852.05</v>
      </c>
      <c r="M19">
        <f>Investments!N181</f>
        <v>841.56999999999994</v>
      </c>
      <c r="N19">
        <f>Investments!O181</f>
        <v>806.5</v>
      </c>
      <c r="O19">
        <f>Investments!P181</f>
        <v>765.02</v>
      </c>
      <c r="P19">
        <f>Investments!Q181</f>
        <v>758.63</v>
      </c>
      <c r="Q19">
        <f>Investments!R181</f>
        <v>787.32999999999993</v>
      </c>
      <c r="R19">
        <f>Investments!S181</f>
        <v>847.58999999999992</v>
      </c>
      <c r="S19">
        <f>Investments!T181</f>
        <v>889.18000000000006</v>
      </c>
      <c r="T19">
        <f>Investments!U181</f>
        <v>1056.3400000000001</v>
      </c>
    </row>
    <row r="20" spans="1:26" x14ac:dyDescent="0.25">
      <c r="A20" t="s">
        <v>0</v>
      </c>
      <c r="B20">
        <f>Knives!B25</f>
        <v>1341.61</v>
      </c>
      <c r="C20">
        <f>Knives!C25</f>
        <v>1347.64</v>
      </c>
      <c r="D20">
        <f>Knives!D25</f>
        <v>1360.04</v>
      </c>
      <c r="E20">
        <f>Knives!E25</f>
        <v>1368.3400000000001</v>
      </c>
      <c r="F20">
        <f>Knives!F25</f>
        <v>1382.44</v>
      </c>
      <c r="G20">
        <f>Knives!G25</f>
        <v>1358.07</v>
      </c>
      <c r="H20">
        <f>Knives!H25</f>
        <v>1369.3999999999999</v>
      </c>
      <c r="I20">
        <f>Knives!I25</f>
        <v>1389.3999999999999</v>
      </c>
      <c r="J20">
        <f>Knives!J25</f>
        <v>1373.9199999999998</v>
      </c>
      <c r="K20">
        <f>Knives!K25</f>
        <v>1499.72</v>
      </c>
      <c r="L20">
        <f>Knives!L25</f>
        <v>1480.83</v>
      </c>
      <c r="M20">
        <f>Knives!M25</f>
        <v>1472.35</v>
      </c>
      <c r="N20">
        <f>Knives!N25</f>
        <v>1449.75</v>
      </c>
      <c r="O20">
        <f>Knives!O25</f>
        <v>1453.6</v>
      </c>
      <c r="P20">
        <f>Knives!P25</f>
        <v>1435.21</v>
      </c>
      <c r="Q20">
        <f>Knives!Q25</f>
        <v>1438.15</v>
      </c>
      <c r="R20">
        <f>Knives!R25</f>
        <v>1455.23</v>
      </c>
      <c r="S20">
        <f>Knives!S25</f>
        <v>1465.1399999999999</v>
      </c>
      <c r="T20">
        <f>Knives!T25</f>
        <v>1428.49</v>
      </c>
    </row>
    <row r="21" spans="1:26" x14ac:dyDescent="0.25">
      <c r="A21" t="s">
        <v>2</v>
      </c>
      <c r="B21">
        <f>AWP!B30</f>
        <v>132.84</v>
      </c>
      <c r="C21">
        <f>AWP!C30</f>
        <v>129.48000000000002</v>
      </c>
      <c r="D21">
        <f>AWP!D30</f>
        <v>135.91999999999999</v>
      </c>
      <c r="E21">
        <f>AWP!E30</f>
        <v>131.34</v>
      </c>
      <c r="F21">
        <f>AWP!F30</f>
        <v>131.30000000000001</v>
      </c>
      <c r="G21">
        <f>AWP!G30</f>
        <v>126.00999999999998</v>
      </c>
      <c r="H21">
        <f>AWP!H30</f>
        <v>134.62</v>
      </c>
      <c r="I21">
        <f>AWP!I30</f>
        <v>135.38</v>
      </c>
      <c r="J21">
        <f>AWP!J30</f>
        <v>131.88</v>
      </c>
      <c r="K21">
        <f>AWP!K30</f>
        <v>139.54</v>
      </c>
      <c r="L21">
        <f>AWP!L30</f>
        <v>139.76000000000002</v>
      </c>
      <c r="M21">
        <f>AWP!M30</f>
        <v>132.94</v>
      </c>
      <c r="N21">
        <f>AWP!N30</f>
        <v>135.73999999999998</v>
      </c>
      <c r="O21">
        <f>AWP!O30</f>
        <v>129.32000000000002</v>
      </c>
      <c r="P21">
        <f>AWP!P30</f>
        <v>133.63</v>
      </c>
      <c r="Q21">
        <f>AWP!Q30</f>
        <v>136.01000000000002</v>
      </c>
      <c r="R21">
        <f>AWP!R30</f>
        <v>142.19000000000003</v>
      </c>
      <c r="S21">
        <f>AWP!S30</f>
        <v>137.6</v>
      </c>
      <c r="T21">
        <f>AWP!T30</f>
        <v>138.29999999999998</v>
      </c>
    </row>
    <row r="22" spans="1:26" x14ac:dyDescent="0.25">
      <c r="A22" t="s">
        <v>4</v>
      </c>
      <c r="B22">
        <f>M4A4!B31</f>
        <v>121.59</v>
      </c>
      <c r="C22">
        <f>M4A4!C31</f>
        <v>119.11000000000001</v>
      </c>
      <c r="D22">
        <f>M4A4!D31</f>
        <v>117.53999999999999</v>
      </c>
      <c r="E22">
        <f>M4A4!E31</f>
        <v>119.46000000000001</v>
      </c>
      <c r="F22">
        <f>M4A4!F31</f>
        <v>119.24</v>
      </c>
      <c r="G22">
        <f>M4A4!G31</f>
        <v>120.49000000000001</v>
      </c>
      <c r="H22">
        <f>M4A4!H31</f>
        <v>117.63999999999999</v>
      </c>
      <c r="I22">
        <f>M4A4!I31</f>
        <v>116.38999999999999</v>
      </c>
      <c r="J22">
        <f>M4A4!J31</f>
        <v>113.93000000000002</v>
      </c>
      <c r="K22">
        <f>M4A4!K31</f>
        <v>116.18</v>
      </c>
      <c r="L22">
        <f>M4A4!L31</f>
        <v>114.9</v>
      </c>
      <c r="M22">
        <f>M4A4!M31</f>
        <v>115.07</v>
      </c>
      <c r="N22">
        <f>M4A4!N31</f>
        <v>115.64</v>
      </c>
      <c r="O22">
        <f>M4A4!O31</f>
        <v>117.48</v>
      </c>
      <c r="P22">
        <f>M4A4!P31</f>
        <v>118.10000000000001</v>
      </c>
      <c r="Q22">
        <f>M4A4!Q31</f>
        <v>119.21000000000001</v>
      </c>
      <c r="R22">
        <f>M4A4!R31</f>
        <v>119.92000000000002</v>
      </c>
      <c r="S22">
        <f>M4A4!S31</f>
        <v>116.75999999999999</v>
      </c>
      <c r="T22">
        <f>M4A4!T31</f>
        <v>122.03999999999999</v>
      </c>
    </row>
    <row r="23" spans="1:26" x14ac:dyDescent="0.25">
      <c r="A23" t="s">
        <v>5</v>
      </c>
      <c r="B23">
        <f>'M4A1-S'!B25</f>
        <v>52.08</v>
      </c>
      <c r="C23">
        <f>'M4A1-S'!C25</f>
        <v>50.35</v>
      </c>
      <c r="D23">
        <f>'M4A1-S'!D25</f>
        <v>49.309999999999995</v>
      </c>
      <c r="E23">
        <f>'M4A1-S'!E25</f>
        <v>48.19</v>
      </c>
      <c r="F23">
        <f>'M4A1-S'!F25</f>
        <v>50.499999999999993</v>
      </c>
      <c r="G23">
        <f>'M4A1-S'!G25</f>
        <v>49.410000000000004</v>
      </c>
      <c r="H23">
        <f>'M4A1-S'!H25</f>
        <v>48.07</v>
      </c>
      <c r="I23">
        <f>'M4A1-S'!I25</f>
        <v>49.4</v>
      </c>
      <c r="J23">
        <f>'M4A1-S'!J25</f>
        <v>48.72</v>
      </c>
      <c r="K23">
        <f>'M4A1-S'!K25</f>
        <v>47.69</v>
      </c>
      <c r="L23">
        <f>'M4A1-S'!L25</f>
        <v>47.120000000000005</v>
      </c>
      <c r="M23">
        <f>'M4A1-S'!M25</f>
        <v>48.47</v>
      </c>
      <c r="N23">
        <f>'M4A1-S'!N25</f>
        <v>48.46</v>
      </c>
      <c r="O23">
        <f>'M4A1-S'!O25</f>
        <v>54.1</v>
      </c>
      <c r="P23">
        <f>'M4A1-S'!P25</f>
        <v>50.849999999999994</v>
      </c>
      <c r="Q23">
        <f>'M4A1-S'!Q25</f>
        <v>50.24</v>
      </c>
      <c r="R23">
        <f>'M4A1-S'!R25</f>
        <v>49.65</v>
      </c>
      <c r="S23">
        <f>'M4A1-S'!S25</f>
        <v>48.45</v>
      </c>
      <c r="T23">
        <f>'M4A1-S'!T25</f>
        <v>49.669999999999995</v>
      </c>
    </row>
    <row r="24" spans="1:26" x14ac:dyDescent="0.25">
      <c r="A24" t="s">
        <v>6</v>
      </c>
      <c r="B24">
        <f>'AK47'!B27</f>
        <v>261.87</v>
      </c>
      <c r="C24">
        <f>'AK47'!C27</f>
        <v>270.81</v>
      </c>
      <c r="D24">
        <f>'AK47'!D27</f>
        <v>277.74</v>
      </c>
      <c r="E24">
        <f>'AK47'!E27</f>
        <v>269.50000000000006</v>
      </c>
      <c r="F24">
        <f>'AK47'!F27</f>
        <v>273.16000000000003</v>
      </c>
      <c r="G24">
        <f>'AK47'!G27</f>
        <v>264.77</v>
      </c>
      <c r="H24">
        <f>'AK47'!H27</f>
        <v>264.83</v>
      </c>
      <c r="I24">
        <f>'AK47'!I27</f>
        <v>268.57</v>
      </c>
      <c r="J24">
        <f>'AK47'!J27</f>
        <v>259.99999999999994</v>
      </c>
      <c r="K24">
        <f>'AK47'!K27</f>
        <v>274.61</v>
      </c>
      <c r="L24">
        <f>'AK47'!L27</f>
        <v>274.90000000000003</v>
      </c>
      <c r="M24">
        <f>'AK47'!M27</f>
        <v>273.05</v>
      </c>
      <c r="N24">
        <f>'AK47'!N27</f>
        <v>260.90999999999997</v>
      </c>
      <c r="O24">
        <f>'AK47'!O27</f>
        <v>266.83</v>
      </c>
      <c r="P24">
        <f>'AK47'!P27</f>
        <v>269.22000000000003</v>
      </c>
      <c r="Q24">
        <f>'AK47'!Q27</f>
        <v>275.69</v>
      </c>
      <c r="R24">
        <f>'AK47'!R27</f>
        <v>274.44</v>
      </c>
      <c r="S24">
        <f>'AK47'!S27</f>
        <v>278.2</v>
      </c>
      <c r="T24">
        <f>'AK47'!T27</f>
        <v>279.58999999999997</v>
      </c>
    </row>
    <row r="25" spans="1:26" x14ac:dyDescent="0.25">
      <c r="A25" t="s">
        <v>7</v>
      </c>
      <c r="B25">
        <f>SMG!B43</f>
        <v>45.37</v>
      </c>
      <c r="C25">
        <f>SMG!C43</f>
        <v>45.5</v>
      </c>
      <c r="D25">
        <f>SMG!D43</f>
        <v>43.26</v>
      </c>
      <c r="E25">
        <f>SMG!E43</f>
        <v>42.749999999999993</v>
      </c>
      <c r="F25">
        <f>SMG!F43</f>
        <v>44.910000000000004</v>
      </c>
      <c r="G25">
        <f>SMG!G43</f>
        <v>45.809999999999995</v>
      </c>
      <c r="H25">
        <f>SMG!H43</f>
        <v>45.22</v>
      </c>
      <c r="I25">
        <f>SMG!I43</f>
        <v>45.000000000000007</v>
      </c>
      <c r="J25">
        <f>SMG!J43</f>
        <v>45.12</v>
      </c>
      <c r="K25">
        <f>SMG!K43</f>
        <v>45.61999999999999</v>
      </c>
      <c r="L25">
        <f>SMG!L43</f>
        <v>45.749999999999993</v>
      </c>
      <c r="M25">
        <f>SMG!M43</f>
        <v>44.61999999999999</v>
      </c>
      <c r="N25">
        <f>SMG!N43</f>
        <v>44.91</v>
      </c>
      <c r="O25">
        <f>SMG!O43</f>
        <v>43.769999999999996</v>
      </c>
      <c r="P25">
        <f>SMG!P43</f>
        <v>45.79999999999999</v>
      </c>
      <c r="Q25">
        <f>SMG!Q43</f>
        <v>45.2</v>
      </c>
      <c r="R25">
        <f>SMG!R43</f>
        <v>45.099999999999994</v>
      </c>
      <c r="S25">
        <f>SMG!S43</f>
        <v>44.64</v>
      </c>
      <c r="T25">
        <f>SMG!T43</f>
        <v>45.249999999999993</v>
      </c>
    </row>
    <row r="26" spans="1:26" x14ac:dyDescent="0.25">
      <c r="A26" t="s">
        <v>8</v>
      </c>
      <c r="B26">
        <f>Heavy!B35</f>
        <v>15.849999999999998</v>
      </c>
      <c r="C26">
        <f>Heavy!C35</f>
        <v>15.66</v>
      </c>
      <c r="D26">
        <f>Heavy!D35</f>
        <v>14.860000000000001</v>
      </c>
      <c r="E26">
        <f>Heavy!E35</f>
        <v>15.25</v>
      </c>
      <c r="F26">
        <f>Heavy!F35</f>
        <v>15.02</v>
      </c>
      <c r="G26">
        <f>Heavy!G35</f>
        <v>15.449999999999998</v>
      </c>
      <c r="H26">
        <f>Heavy!H35</f>
        <v>14.7</v>
      </c>
      <c r="I26">
        <f>Heavy!I35</f>
        <v>15.329999999999998</v>
      </c>
      <c r="J26">
        <f>Heavy!J35</f>
        <v>15.050000000000002</v>
      </c>
      <c r="K26">
        <f>Heavy!K35</f>
        <v>15.38</v>
      </c>
      <c r="L26">
        <f>Heavy!L35</f>
        <v>15.29</v>
      </c>
      <c r="M26">
        <f>Heavy!M35</f>
        <v>15.79</v>
      </c>
      <c r="N26">
        <f>Heavy!N35</f>
        <v>15.69</v>
      </c>
      <c r="O26">
        <f>Heavy!O35</f>
        <v>15.179999999999998</v>
      </c>
      <c r="P26">
        <f>Heavy!P35</f>
        <v>15.419999999999996</v>
      </c>
      <c r="Q26">
        <f>Heavy!Q35</f>
        <v>15.91</v>
      </c>
      <c r="R26">
        <f>Heavy!R35</f>
        <v>16.29</v>
      </c>
      <c r="S26">
        <f>Heavy!S35</f>
        <v>15.949999999999998</v>
      </c>
      <c r="T26">
        <f>Heavy!T35</f>
        <v>15.799999999999995</v>
      </c>
    </row>
    <row r="27" spans="1:26" x14ac:dyDescent="0.25">
      <c r="A27" t="s">
        <v>9</v>
      </c>
      <c r="B27">
        <f>Pistol!B77</f>
        <v>235.34</v>
      </c>
      <c r="C27">
        <f>Pistol!C77</f>
        <v>231.30999999999997</v>
      </c>
      <c r="D27">
        <f>Pistol!D77</f>
        <v>232.52000000000004</v>
      </c>
      <c r="E27">
        <f>Pistol!E77</f>
        <v>237.59</v>
      </c>
      <c r="F27">
        <f>Pistol!F77</f>
        <v>234.61</v>
      </c>
      <c r="G27">
        <f>Pistol!G77</f>
        <v>235.98999999999995</v>
      </c>
      <c r="H27">
        <f>Pistol!H77</f>
        <v>238.26999999999998</v>
      </c>
      <c r="I27">
        <f>Pistol!I77</f>
        <v>237.48000000000005</v>
      </c>
      <c r="J27">
        <f>Pistol!J77</f>
        <v>241.04000000000002</v>
      </c>
      <c r="K27">
        <f>Pistol!K77</f>
        <v>244.97000000000003</v>
      </c>
      <c r="L27">
        <f>Pistol!L77</f>
        <v>243.01999999999998</v>
      </c>
      <c r="M27">
        <f>Pistol!M77</f>
        <v>244.43000000000004</v>
      </c>
      <c r="N27">
        <f>Pistol!N77</f>
        <v>242.61999999999998</v>
      </c>
      <c r="O27">
        <f>Pistol!O77</f>
        <v>242.17000000000002</v>
      </c>
      <c r="P27">
        <f>Pistol!P77</f>
        <v>239.37000000000003</v>
      </c>
      <c r="Q27">
        <f>Pistol!Q77</f>
        <v>247.53000000000003</v>
      </c>
      <c r="R27">
        <f>Pistol!R77</f>
        <v>251.39000000000001</v>
      </c>
      <c r="S27">
        <f>Pistol!S77</f>
        <v>254.46000000000006</v>
      </c>
      <c r="T27">
        <f>Pistol!T77</f>
        <v>255.03999999999996</v>
      </c>
    </row>
    <row r="28" spans="1:26" x14ac:dyDescent="0.25">
      <c r="A28" t="s">
        <v>129</v>
      </c>
      <c r="H28">
        <f>'Other Rifles'!H48</f>
        <v>69.47</v>
      </c>
      <c r="I28">
        <f>'Other Rifles'!I48</f>
        <v>66.839999999999989</v>
      </c>
      <c r="J28">
        <f>'Other Rifles'!J48</f>
        <v>68.570000000000022</v>
      </c>
      <c r="K28">
        <f>'Other Rifles'!K48</f>
        <v>70.499999999999986</v>
      </c>
      <c r="L28">
        <f>'Other Rifles'!L48</f>
        <v>71.900000000000006</v>
      </c>
      <c r="M28">
        <f>'Other Rifles'!M48</f>
        <v>71.349999999999994</v>
      </c>
      <c r="N28">
        <f>'Other Rifles'!N48</f>
        <v>69.900000000000006</v>
      </c>
      <c r="O28">
        <f>'Other Rifles'!O48</f>
        <v>71.650000000000006</v>
      </c>
      <c r="P28">
        <f>'Other Rifles'!P48</f>
        <v>71.500000000000014</v>
      </c>
      <c r="Q28">
        <f>'Other Rifles'!Q48</f>
        <v>72.75</v>
      </c>
      <c r="R28">
        <f>'Other Rifles'!R48</f>
        <v>71.559999999999988</v>
      </c>
      <c r="S28">
        <f>'Other Rifles'!S48</f>
        <v>71.099999999999994</v>
      </c>
      <c r="T28">
        <f>'Other Rifles'!T48</f>
        <v>70.349999999999994</v>
      </c>
    </row>
    <row r="29" spans="1:26" x14ac:dyDescent="0.25">
      <c r="B29">
        <f>SUM(B19:B28)</f>
        <v>2731.9499999999994</v>
      </c>
      <c r="C29">
        <f t="shared" ref="C29:H29" si="9">SUM(C19:C28)</f>
        <v>2728.77</v>
      </c>
      <c r="D29">
        <f t="shared" si="9"/>
        <v>2768.26</v>
      </c>
      <c r="E29">
        <f t="shared" si="9"/>
        <v>2815.4100000000003</v>
      </c>
      <c r="F29">
        <f t="shared" si="9"/>
        <v>2840.45</v>
      </c>
      <c r="G29">
        <f t="shared" si="9"/>
        <v>2907.9299999999994</v>
      </c>
      <c r="H29">
        <f t="shared" si="9"/>
        <v>2974.829999999999</v>
      </c>
      <c r="I29">
        <f t="shared" ref="I29:J29" si="10">SUM(I19:I28)</f>
        <v>3042.8</v>
      </c>
      <c r="J29">
        <f t="shared" si="10"/>
        <v>3021.5399999999995</v>
      </c>
      <c r="K29">
        <f t="shared" ref="K29:L29" si="11">SUM(K19:K28)</f>
        <v>3252.0699999999997</v>
      </c>
      <c r="L29">
        <f t="shared" si="11"/>
        <v>3285.5200000000004</v>
      </c>
      <c r="M29">
        <f t="shared" ref="M29:N29" si="12">SUM(M19:M28)</f>
        <v>3259.64</v>
      </c>
      <c r="N29">
        <f t="shared" si="12"/>
        <v>3190.1199999999994</v>
      </c>
      <c r="O29">
        <f t="shared" ref="O29:P29" si="13">SUM(O19:O28)</f>
        <v>3159.12</v>
      </c>
      <c r="P29">
        <f t="shared" si="13"/>
        <v>3137.7300000000005</v>
      </c>
      <c r="Q29">
        <f t="shared" ref="Q29:R29" si="14">SUM(Q19:Q28)</f>
        <v>3188.02</v>
      </c>
      <c r="R29">
        <f t="shared" si="14"/>
        <v>3273.3599999999997</v>
      </c>
      <c r="S29">
        <f t="shared" ref="S29:T29" si="15">SUM(S19:S28)</f>
        <v>3321.4799999999987</v>
      </c>
      <c r="T29">
        <f t="shared" si="15"/>
        <v>3460.8700000000003</v>
      </c>
    </row>
    <row r="33" spans="1:26" x14ac:dyDescent="0.25">
      <c r="B33" s="1">
        <f>B4</f>
        <v>44331</v>
      </c>
      <c r="C33" s="1">
        <f t="shared" ref="C33:L33" si="16">C4</f>
        <v>44332</v>
      </c>
      <c r="D33" s="1">
        <f t="shared" si="16"/>
        <v>44334</v>
      </c>
      <c r="E33" s="1">
        <f t="shared" si="16"/>
        <v>44336</v>
      </c>
      <c r="F33" s="1">
        <f t="shared" si="16"/>
        <v>44337</v>
      </c>
      <c r="G33" s="1">
        <f t="shared" si="16"/>
        <v>44338</v>
      </c>
      <c r="H33" s="1">
        <f t="shared" si="16"/>
        <v>44339</v>
      </c>
      <c r="I33" s="1">
        <f t="shared" si="16"/>
        <v>44340</v>
      </c>
      <c r="J33" s="1">
        <f t="shared" si="16"/>
        <v>44341</v>
      </c>
      <c r="K33" s="1">
        <f t="shared" si="16"/>
        <v>44342</v>
      </c>
      <c r="L33" s="1">
        <f t="shared" si="16"/>
        <v>44343</v>
      </c>
      <c r="M33" s="1">
        <f t="shared" ref="M33:Z33" si="17">M4</f>
        <v>44344</v>
      </c>
      <c r="N33" s="1">
        <f t="shared" si="17"/>
        <v>44345</v>
      </c>
      <c r="O33" s="1">
        <f t="shared" si="17"/>
        <v>44346</v>
      </c>
      <c r="P33" s="1">
        <f t="shared" si="17"/>
        <v>44347</v>
      </c>
      <c r="Q33" s="1">
        <f t="shared" si="17"/>
        <v>44348</v>
      </c>
      <c r="R33" s="1">
        <f t="shared" si="17"/>
        <v>44349</v>
      </c>
      <c r="S33" s="1">
        <f t="shared" si="17"/>
        <v>44350</v>
      </c>
      <c r="T33" s="1">
        <f t="shared" si="17"/>
        <v>44351</v>
      </c>
      <c r="U33" s="1">
        <f t="shared" si="17"/>
        <v>44352</v>
      </c>
      <c r="V33" s="1">
        <f t="shared" si="17"/>
        <v>44353</v>
      </c>
      <c r="W33" s="1">
        <f t="shared" si="17"/>
        <v>44354</v>
      </c>
      <c r="X33" s="1">
        <f t="shared" si="17"/>
        <v>44355</v>
      </c>
      <c r="Y33" s="1">
        <f t="shared" si="17"/>
        <v>44356</v>
      </c>
      <c r="Z33" s="1">
        <f t="shared" si="17"/>
        <v>44357</v>
      </c>
    </row>
    <row r="34" spans="1:26" x14ac:dyDescent="0.25">
      <c r="A34" s="2" t="s">
        <v>121</v>
      </c>
      <c r="B34">
        <f>B15</f>
        <v>4004.8099999999986</v>
      </c>
      <c r="C34">
        <f t="shared" ref="C34:E34" si="18">C15</f>
        <v>4000.21</v>
      </c>
      <c r="D34">
        <f t="shared" si="18"/>
        <v>4058.05</v>
      </c>
      <c r="E34">
        <f t="shared" si="18"/>
        <v>4121.28</v>
      </c>
      <c r="F34">
        <f t="shared" ref="F34:G34" si="19">F15</f>
        <v>4156.71</v>
      </c>
      <c r="G34">
        <f t="shared" si="19"/>
        <v>4254.2599999999993</v>
      </c>
      <c r="H34">
        <f t="shared" ref="H34:I34" si="20">H15</f>
        <v>4363.28</v>
      </c>
      <c r="I34">
        <f t="shared" si="20"/>
        <v>4454.08</v>
      </c>
      <c r="J34">
        <f t="shared" ref="J34:K34" si="21">J15</f>
        <v>4423.8500000000004</v>
      </c>
      <c r="K34">
        <f t="shared" si="21"/>
        <v>4761.1400000000003</v>
      </c>
      <c r="L34">
        <f t="shared" ref="L34:N34" si="22">L15</f>
        <v>4811.6000000000004</v>
      </c>
      <c r="M34">
        <f t="shared" si="22"/>
        <v>4777.24</v>
      </c>
      <c r="N34">
        <f t="shared" si="22"/>
        <v>4676.1499999999996</v>
      </c>
      <c r="O34">
        <f t="shared" ref="O34:P34" si="23">O15</f>
        <v>4634.8600000000006</v>
      </c>
      <c r="P34">
        <f t="shared" si="23"/>
        <v>4592.6799999999994</v>
      </c>
      <c r="Q34">
        <f t="shared" ref="Q34:R34" si="24">Q15</f>
        <v>4667.3200000000006</v>
      </c>
      <c r="R34">
        <f t="shared" si="24"/>
        <v>4792.9000000000015</v>
      </c>
      <c r="S34">
        <f t="shared" ref="S34:T34" si="25">S15</f>
        <v>4863.38</v>
      </c>
      <c r="T34">
        <f t="shared" si="25"/>
        <v>5029.26</v>
      </c>
    </row>
    <row r="35" spans="1:26" x14ac:dyDescent="0.25">
      <c r="A35" s="2" t="s">
        <v>122</v>
      </c>
      <c r="B35">
        <f>B29</f>
        <v>2731.9499999999994</v>
      </c>
      <c r="C35">
        <f t="shared" ref="C35:E35" si="26">C29</f>
        <v>2728.77</v>
      </c>
      <c r="D35">
        <f t="shared" si="26"/>
        <v>2768.26</v>
      </c>
      <c r="E35">
        <f t="shared" si="26"/>
        <v>2815.4100000000003</v>
      </c>
      <c r="F35">
        <f t="shared" ref="F35" si="27">F29</f>
        <v>2840.45</v>
      </c>
      <c r="G35">
        <f t="shared" ref="G35:L35" si="28">G29</f>
        <v>2907.9299999999994</v>
      </c>
      <c r="H35">
        <f t="shared" si="28"/>
        <v>2974.829999999999</v>
      </c>
      <c r="I35">
        <f t="shared" si="28"/>
        <v>3042.8</v>
      </c>
      <c r="J35">
        <f t="shared" si="28"/>
        <v>3021.5399999999995</v>
      </c>
      <c r="K35">
        <f t="shared" si="28"/>
        <v>3252.0699999999997</v>
      </c>
      <c r="L35">
        <f t="shared" si="28"/>
        <v>3285.5200000000004</v>
      </c>
      <c r="M35">
        <f t="shared" ref="M35:N35" si="29">M29</f>
        <v>3259.64</v>
      </c>
      <c r="N35">
        <f t="shared" si="29"/>
        <v>3190.1199999999994</v>
      </c>
      <c r="O35">
        <f t="shared" ref="O35:P35" si="30">O29</f>
        <v>3159.12</v>
      </c>
      <c r="P35">
        <f t="shared" si="30"/>
        <v>3137.7300000000005</v>
      </c>
      <c r="Q35">
        <f t="shared" ref="Q35:R35" si="31">Q29</f>
        <v>3188.02</v>
      </c>
      <c r="R35">
        <f t="shared" si="31"/>
        <v>3273.3599999999997</v>
      </c>
      <c r="S35">
        <f t="shared" ref="S35:T35" si="32">S29</f>
        <v>3321.4799999999987</v>
      </c>
      <c r="T35">
        <f t="shared" si="32"/>
        <v>3460.8700000000003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BEBD2-5FE1-47BB-B12B-DDD8F69B6CFF}">
  <dimension ref="A1:AA181"/>
  <sheetViews>
    <sheetView zoomScale="86" zoomScaleNormal="86" workbookViewId="0">
      <pane xSplit="2" topLeftCell="O1" activePane="topRight" state="frozen"/>
      <selection pane="topRight" activeCell="U34" sqref="U34"/>
    </sheetView>
  </sheetViews>
  <sheetFormatPr defaultRowHeight="15" x14ac:dyDescent="0.25"/>
  <cols>
    <col min="1" max="1" width="11.140625" customWidth="1"/>
    <col min="2" max="2" width="23.42578125" customWidth="1"/>
    <col min="3" max="13" width="12.85546875" customWidth="1"/>
    <col min="14" max="14" width="14.140625" customWidth="1"/>
    <col min="15" max="15" width="12.85546875" customWidth="1"/>
    <col min="16" max="16" width="12.28515625" customWidth="1"/>
    <col min="17" max="26" width="12.42578125" customWidth="1"/>
    <col min="27" max="27" width="12.7109375" customWidth="1"/>
    <col min="28" max="55" width="11.140625" customWidth="1"/>
  </cols>
  <sheetData>
    <row r="1" spans="1:27" ht="23.25" x14ac:dyDescent="0.35">
      <c r="A1" s="3" t="s">
        <v>1</v>
      </c>
    </row>
    <row r="2" spans="1:27" x14ac:dyDescent="0.25">
      <c r="A2" s="2" t="s">
        <v>11</v>
      </c>
      <c r="B2" s="2" t="s">
        <v>12</v>
      </c>
    </row>
    <row r="3" spans="1:27" x14ac:dyDescent="0.25">
      <c r="C3" s="1">
        <f>Totals!B4</f>
        <v>44331</v>
      </c>
      <c r="D3" s="1">
        <f>Totals!C4</f>
        <v>44332</v>
      </c>
      <c r="E3" s="1">
        <f>Totals!D4</f>
        <v>44334</v>
      </c>
      <c r="F3" s="1">
        <f>Totals!E4</f>
        <v>44336</v>
      </c>
      <c r="G3" s="1">
        <f>Totals!F4</f>
        <v>44337</v>
      </c>
      <c r="H3" s="1">
        <f>Totals!G4</f>
        <v>44338</v>
      </c>
      <c r="I3" s="1">
        <f>Totals!H4</f>
        <v>44339</v>
      </c>
      <c r="J3" s="1">
        <f>Totals!I4</f>
        <v>44340</v>
      </c>
      <c r="K3" s="1">
        <f>Totals!J4</f>
        <v>44341</v>
      </c>
      <c r="L3" s="1">
        <f>Totals!K4</f>
        <v>44342</v>
      </c>
      <c r="M3" s="1">
        <f>Totals!L4</f>
        <v>44343</v>
      </c>
      <c r="N3" s="1">
        <f>Totals!M4</f>
        <v>44344</v>
      </c>
      <c r="O3" s="1">
        <f>Totals!N4</f>
        <v>44345</v>
      </c>
      <c r="P3" s="1">
        <f>Totals!O4</f>
        <v>44346</v>
      </c>
      <c r="Q3" s="1">
        <f>Totals!P4</f>
        <v>44347</v>
      </c>
      <c r="R3" s="1">
        <f>Totals!Q4</f>
        <v>44348</v>
      </c>
      <c r="S3" s="1">
        <f>Totals!R4</f>
        <v>44349</v>
      </c>
      <c r="T3" s="1">
        <f>Totals!S4</f>
        <v>44350</v>
      </c>
      <c r="U3" s="1">
        <f>Totals!T4</f>
        <v>44351</v>
      </c>
      <c r="V3" s="1">
        <f>Totals!U4</f>
        <v>44352</v>
      </c>
      <c r="W3" s="1">
        <f>Totals!V4</f>
        <v>44353</v>
      </c>
      <c r="X3" s="1">
        <f>Totals!W4</f>
        <v>44354</v>
      </c>
      <c r="Y3" s="1">
        <f>Totals!X4</f>
        <v>44355</v>
      </c>
      <c r="Z3" s="1">
        <f>Totals!Y4</f>
        <v>44356</v>
      </c>
      <c r="AA3" s="1">
        <f>Totals!Z4</f>
        <v>44357</v>
      </c>
    </row>
    <row r="4" spans="1:27" x14ac:dyDescent="0.25">
      <c r="A4">
        <v>1000</v>
      </c>
      <c r="B4" t="s">
        <v>13</v>
      </c>
      <c r="C4">
        <v>7.0000000000000007E-2</v>
      </c>
      <c r="D4">
        <v>7.0000000000000007E-2</v>
      </c>
      <c r="E4">
        <v>7.0000000000000007E-2</v>
      </c>
      <c r="F4">
        <v>7.0000000000000007E-2</v>
      </c>
      <c r="G4">
        <v>7.0000000000000007E-2</v>
      </c>
      <c r="H4">
        <v>7.0000000000000007E-2</v>
      </c>
      <c r="I4">
        <v>7.0000000000000007E-2</v>
      </c>
      <c r="J4">
        <v>7.0000000000000007E-2</v>
      </c>
      <c r="K4">
        <v>7.0000000000000007E-2</v>
      </c>
      <c r="L4">
        <v>7.0000000000000007E-2</v>
      </c>
      <c r="M4">
        <v>7.0000000000000007E-2</v>
      </c>
      <c r="N4">
        <v>0.06</v>
      </c>
      <c r="O4">
        <v>0.06</v>
      </c>
      <c r="P4">
        <v>7.0000000000000007E-2</v>
      </c>
      <c r="Q4">
        <v>7.0000000000000007E-2</v>
      </c>
      <c r="R4">
        <v>7.0000000000000007E-2</v>
      </c>
      <c r="S4">
        <v>7.0000000000000007E-2</v>
      </c>
      <c r="T4">
        <v>7.0000000000000007E-2</v>
      </c>
      <c r="U4">
        <v>0.08</v>
      </c>
    </row>
    <row r="5" spans="1:27" x14ac:dyDescent="0.25">
      <c r="A5">
        <v>2000</v>
      </c>
      <c r="B5" t="s">
        <v>14</v>
      </c>
      <c r="C5">
        <v>7.0000000000000007E-2</v>
      </c>
      <c r="D5">
        <v>7.0000000000000007E-2</v>
      </c>
      <c r="E5">
        <v>7.0000000000000007E-2</v>
      </c>
      <c r="F5">
        <v>7.0000000000000007E-2</v>
      </c>
      <c r="G5">
        <v>7.0000000000000007E-2</v>
      </c>
      <c r="H5">
        <v>7.0000000000000007E-2</v>
      </c>
      <c r="I5">
        <v>7.0000000000000007E-2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0.12</v>
      </c>
    </row>
    <row r="6" spans="1:27" x14ac:dyDescent="0.25">
      <c r="A6">
        <v>2000</v>
      </c>
      <c r="B6" t="s">
        <v>15</v>
      </c>
      <c r="C6">
        <v>0.05</v>
      </c>
      <c r="D6">
        <v>0.05</v>
      </c>
      <c r="E6">
        <v>0.05</v>
      </c>
      <c r="F6">
        <v>0.06</v>
      </c>
      <c r="G6">
        <v>0.06</v>
      </c>
      <c r="H6">
        <v>0.06</v>
      </c>
      <c r="I6">
        <v>0.05</v>
      </c>
      <c r="J6">
        <v>0.06</v>
      </c>
      <c r="K6">
        <v>0.06</v>
      </c>
      <c r="L6">
        <v>0.06</v>
      </c>
      <c r="M6">
        <v>0.06</v>
      </c>
      <c r="N6">
        <v>0.06</v>
      </c>
      <c r="O6">
        <v>0.06</v>
      </c>
      <c r="P6">
        <v>0.05</v>
      </c>
      <c r="Q6">
        <v>0.06</v>
      </c>
      <c r="R6">
        <v>0.06</v>
      </c>
      <c r="S6">
        <v>0.06</v>
      </c>
      <c r="T6">
        <v>0.06</v>
      </c>
      <c r="U6">
        <v>7.0000000000000007E-2</v>
      </c>
    </row>
    <row r="7" spans="1:27" x14ac:dyDescent="0.25">
      <c r="A7">
        <v>215</v>
      </c>
      <c r="B7" t="s">
        <v>16</v>
      </c>
      <c r="C7">
        <v>0.08</v>
      </c>
      <c r="D7">
        <v>0.08</v>
      </c>
      <c r="E7">
        <v>0.08</v>
      </c>
      <c r="F7">
        <v>0.08</v>
      </c>
      <c r="G7">
        <v>0.08</v>
      </c>
      <c r="H7">
        <v>0.08</v>
      </c>
      <c r="I7">
        <v>0.08</v>
      </c>
      <c r="J7">
        <v>0.08</v>
      </c>
      <c r="K7">
        <v>0.08</v>
      </c>
      <c r="L7">
        <v>0.08</v>
      </c>
      <c r="M7">
        <v>0.08</v>
      </c>
      <c r="N7">
        <v>0.08</v>
      </c>
      <c r="O7">
        <v>0.08</v>
      </c>
      <c r="P7">
        <v>0.08</v>
      </c>
      <c r="Q7">
        <v>0.08</v>
      </c>
      <c r="R7">
        <v>0.08</v>
      </c>
      <c r="S7">
        <v>0.08</v>
      </c>
      <c r="T7">
        <v>0.08</v>
      </c>
      <c r="U7">
        <v>0.16</v>
      </c>
    </row>
    <row r="8" spans="1:27" x14ac:dyDescent="0.25">
      <c r="A8">
        <v>150</v>
      </c>
      <c r="B8" t="s">
        <v>17</v>
      </c>
      <c r="C8">
        <v>0.35</v>
      </c>
      <c r="D8">
        <v>0.35</v>
      </c>
      <c r="E8">
        <v>0.35</v>
      </c>
      <c r="F8">
        <v>0.31</v>
      </c>
      <c r="G8">
        <v>0.3</v>
      </c>
      <c r="H8">
        <v>0.34</v>
      </c>
      <c r="I8">
        <v>0.3</v>
      </c>
      <c r="J8">
        <v>0.3</v>
      </c>
      <c r="K8">
        <v>0.31</v>
      </c>
      <c r="L8">
        <v>0.3</v>
      </c>
      <c r="M8">
        <v>0.31</v>
      </c>
      <c r="N8">
        <v>0.3</v>
      </c>
      <c r="O8">
        <v>0.32</v>
      </c>
      <c r="P8">
        <v>0.32</v>
      </c>
      <c r="Q8">
        <v>0.34</v>
      </c>
      <c r="R8">
        <v>0.3</v>
      </c>
      <c r="S8">
        <v>0.32</v>
      </c>
      <c r="T8">
        <v>0.3</v>
      </c>
      <c r="U8">
        <v>0.35</v>
      </c>
    </row>
    <row r="12" spans="1:27" ht="23.25" x14ac:dyDescent="0.35">
      <c r="A12" s="3" t="s">
        <v>18</v>
      </c>
    </row>
    <row r="13" spans="1:27" x14ac:dyDescent="0.25">
      <c r="A13" s="2" t="s">
        <v>11</v>
      </c>
      <c r="B13" s="2" t="s">
        <v>12</v>
      </c>
    </row>
    <row r="14" spans="1:27" x14ac:dyDescent="0.25">
      <c r="C14" s="1">
        <f>C3</f>
        <v>44331</v>
      </c>
      <c r="D14" s="1">
        <f t="shared" ref="D14:AA14" si="0">D3</f>
        <v>44332</v>
      </c>
      <c r="E14" s="1">
        <f t="shared" si="0"/>
        <v>44334</v>
      </c>
      <c r="F14" s="1">
        <f t="shared" si="0"/>
        <v>44336</v>
      </c>
      <c r="G14" s="1">
        <f t="shared" si="0"/>
        <v>44337</v>
      </c>
      <c r="H14" s="1">
        <f t="shared" si="0"/>
        <v>44338</v>
      </c>
      <c r="I14" s="1">
        <f t="shared" si="0"/>
        <v>44339</v>
      </c>
      <c r="J14" s="1">
        <f t="shared" si="0"/>
        <v>44340</v>
      </c>
      <c r="K14" s="1">
        <f t="shared" si="0"/>
        <v>44341</v>
      </c>
      <c r="L14" s="1">
        <f t="shared" si="0"/>
        <v>44342</v>
      </c>
      <c r="M14" s="1">
        <f t="shared" si="0"/>
        <v>44343</v>
      </c>
      <c r="N14" s="1">
        <f t="shared" si="0"/>
        <v>44344</v>
      </c>
      <c r="O14" s="1">
        <f t="shared" si="0"/>
        <v>44345</v>
      </c>
      <c r="P14" s="1">
        <f t="shared" si="0"/>
        <v>44346</v>
      </c>
      <c r="Q14" s="1">
        <f t="shared" si="0"/>
        <v>44347</v>
      </c>
      <c r="R14" s="1">
        <f t="shared" si="0"/>
        <v>44348</v>
      </c>
      <c r="S14" s="1">
        <f t="shared" si="0"/>
        <v>44349</v>
      </c>
      <c r="T14" s="1">
        <f t="shared" si="0"/>
        <v>44350</v>
      </c>
      <c r="U14" s="1">
        <f t="shared" si="0"/>
        <v>44351</v>
      </c>
      <c r="V14" s="1">
        <f t="shared" si="0"/>
        <v>44352</v>
      </c>
      <c r="W14" s="1">
        <f t="shared" si="0"/>
        <v>44353</v>
      </c>
      <c r="X14" s="1">
        <f t="shared" si="0"/>
        <v>44354</v>
      </c>
      <c r="Y14" s="1">
        <f t="shared" si="0"/>
        <v>44355</v>
      </c>
      <c r="Z14" s="1">
        <f t="shared" si="0"/>
        <v>44356</v>
      </c>
      <c r="AA14" s="1">
        <f t="shared" si="0"/>
        <v>44357</v>
      </c>
    </row>
    <row r="15" spans="1:27" x14ac:dyDescent="0.25">
      <c r="A15">
        <v>5</v>
      </c>
      <c r="B15" t="s">
        <v>19</v>
      </c>
      <c r="C15">
        <v>0.05</v>
      </c>
      <c r="D15">
        <v>0.05</v>
      </c>
      <c r="E15">
        <v>0.05</v>
      </c>
      <c r="F15">
        <v>0.06</v>
      </c>
      <c r="G15">
        <v>0.06</v>
      </c>
      <c r="H15">
        <v>0.06</v>
      </c>
      <c r="I15">
        <v>0.05</v>
      </c>
      <c r="J15">
        <v>0.06</v>
      </c>
      <c r="K15">
        <v>0.06</v>
      </c>
      <c r="L15">
        <v>0.06</v>
      </c>
      <c r="M15">
        <v>0.06</v>
      </c>
      <c r="N15">
        <v>0.06</v>
      </c>
      <c r="O15">
        <v>0.06</v>
      </c>
      <c r="P15">
        <v>0.05</v>
      </c>
      <c r="Q15">
        <v>0.06</v>
      </c>
      <c r="R15">
        <v>0.06</v>
      </c>
      <c r="S15">
        <v>0.06</v>
      </c>
      <c r="T15">
        <v>0.06</v>
      </c>
      <c r="U15">
        <v>7.0000000000000007E-2</v>
      </c>
    </row>
    <row r="16" spans="1:27" x14ac:dyDescent="0.25">
      <c r="A16">
        <v>16</v>
      </c>
      <c r="B16" t="s">
        <v>20</v>
      </c>
      <c r="C16">
        <v>7.0000000000000007E-2</v>
      </c>
      <c r="D16">
        <v>7.0000000000000007E-2</v>
      </c>
      <c r="E16">
        <v>7.0000000000000007E-2</v>
      </c>
      <c r="F16">
        <v>7.0000000000000007E-2</v>
      </c>
      <c r="G16">
        <v>7.0000000000000007E-2</v>
      </c>
      <c r="H16">
        <v>7.0000000000000007E-2</v>
      </c>
      <c r="I16">
        <v>7.0000000000000007E-2</v>
      </c>
      <c r="J16">
        <v>7.0000000000000007E-2</v>
      </c>
      <c r="K16">
        <v>7.0000000000000007E-2</v>
      </c>
      <c r="L16">
        <v>7.0000000000000007E-2</v>
      </c>
      <c r="M16">
        <v>7.0000000000000007E-2</v>
      </c>
      <c r="N16">
        <v>7.0000000000000007E-2</v>
      </c>
      <c r="O16">
        <v>7.0000000000000007E-2</v>
      </c>
      <c r="P16">
        <v>7.0000000000000007E-2</v>
      </c>
      <c r="Q16">
        <v>7.0000000000000007E-2</v>
      </c>
      <c r="R16">
        <v>0.08</v>
      </c>
      <c r="S16">
        <v>0.08</v>
      </c>
      <c r="T16">
        <v>0.08</v>
      </c>
      <c r="U16">
        <v>0.09</v>
      </c>
    </row>
    <row r="17" spans="1:27" x14ac:dyDescent="0.25">
      <c r="A17">
        <v>4</v>
      </c>
      <c r="B17" t="s">
        <v>21</v>
      </c>
      <c r="C17">
        <v>0.35</v>
      </c>
      <c r="D17">
        <v>0.35</v>
      </c>
      <c r="E17">
        <v>0.35</v>
      </c>
      <c r="F17">
        <v>0.31</v>
      </c>
      <c r="G17">
        <v>0.3</v>
      </c>
      <c r="H17">
        <v>0.34</v>
      </c>
      <c r="I17">
        <v>0.3</v>
      </c>
      <c r="J17">
        <v>0.3</v>
      </c>
      <c r="K17">
        <v>0.31</v>
      </c>
      <c r="L17">
        <v>0.3</v>
      </c>
      <c r="M17">
        <v>0.31</v>
      </c>
      <c r="N17">
        <v>0.3</v>
      </c>
      <c r="O17">
        <v>0.32</v>
      </c>
      <c r="P17">
        <v>0.32</v>
      </c>
      <c r="Q17">
        <v>0.34</v>
      </c>
      <c r="R17">
        <v>0.3</v>
      </c>
      <c r="S17">
        <v>0.32</v>
      </c>
      <c r="T17">
        <v>0.3</v>
      </c>
      <c r="U17">
        <v>0.35</v>
      </c>
    </row>
    <row r="18" spans="1:27" x14ac:dyDescent="0.25">
      <c r="A18">
        <v>16</v>
      </c>
      <c r="B18" t="s">
        <v>22</v>
      </c>
      <c r="C18">
        <v>7.0000000000000007E-2</v>
      </c>
      <c r="D18">
        <v>7.0000000000000007E-2</v>
      </c>
      <c r="E18">
        <v>7.0000000000000007E-2</v>
      </c>
      <c r="F18">
        <v>7.0000000000000007E-2</v>
      </c>
      <c r="G18">
        <v>7.0000000000000007E-2</v>
      </c>
      <c r="H18">
        <v>7.0000000000000007E-2</v>
      </c>
      <c r="I18">
        <v>7.0000000000000007E-2</v>
      </c>
      <c r="J18">
        <v>7.0000000000000007E-2</v>
      </c>
      <c r="K18">
        <v>7.0000000000000007E-2</v>
      </c>
      <c r="L18">
        <v>7.0000000000000007E-2</v>
      </c>
      <c r="M18">
        <v>7.0000000000000007E-2</v>
      </c>
      <c r="N18">
        <v>0.06</v>
      </c>
      <c r="O18">
        <v>0.06</v>
      </c>
      <c r="P18">
        <v>7.0000000000000007E-2</v>
      </c>
      <c r="Q18">
        <v>7.0000000000000007E-2</v>
      </c>
      <c r="R18">
        <v>7.0000000000000007E-2</v>
      </c>
      <c r="S18">
        <v>7.0000000000000007E-2</v>
      </c>
      <c r="T18">
        <v>7.0000000000000007E-2</v>
      </c>
      <c r="U18">
        <v>0.08</v>
      </c>
    </row>
    <row r="19" spans="1:27" x14ac:dyDescent="0.25">
      <c r="A19">
        <v>19</v>
      </c>
      <c r="B19" t="s">
        <v>23</v>
      </c>
      <c r="C19">
        <v>0.21</v>
      </c>
      <c r="D19">
        <v>0.21</v>
      </c>
      <c r="E19">
        <v>0.21</v>
      </c>
      <c r="F19">
        <v>0.21</v>
      </c>
      <c r="G19">
        <v>0.21</v>
      </c>
      <c r="H19">
        <v>0.21</v>
      </c>
      <c r="I19">
        <v>0.21</v>
      </c>
      <c r="J19">
        <v>0.21</v>
      </c>
      <c r="K19">
        <v>0.21</v>
      </c>
      <c r="L19">
        <v>0.2</v>
      </c>
      <c r="M19">
        <v>0.2</v>
      </c>
      <c r="N19">
        <v>0.21</v>
      </c>
      <c r="O19">
        <v>0.21</v>
      </c>
      <c r="P19">
        <v>0.24</v>
      </c>
      <c r="Q19">
        <v>0.24</v>
      </c>
      <c r="R19">
        <v>0.24</v>
      </c>
      <c r="S19">
        <v>0.26</v>
      </c>
      <c r="T19">
        <v>0.27</v>
      </c>
      <c r="U19">
        <v>0.34</v>
      </c>
    </row>
    <row r="20" spans="1:27" x14ac:dyDescent="0.25">
      <c r="A20">
        <v>6</v>
      </c>
      <c r="B20" t="s">
        <v>24</v>
      </c>
      <c r="C20">
        <v>0.08</v>
      </c>
      <c r="D20">
        <v>0.08</v>
      </c>
      <c r="E20">
        <v>0.08</v>
      </c>
      <c r="F20">
        <v>0.08</v>
      </c>
      <c r="G20">
        <v>0.08</v>
      </c>
      <c r="H20">
        <v>0.08</v>
      </c>
      <c r="I20">
        <v>0.08</v>
      </c>
      <c r="J20">
        <v>0.08</v>
      </c>
      <c r="K20">
        <v>0.08</v>
      </c>
      <c r="L20">
        <v>0.08</v>
      </c>
      <c r="M20">
        <v>0.08</v>
      </c>
      <c r="N20">
        <v>0.08</v>
      </c>
      <c r="O20">
        <v>0.08</v>
      </c>
      <c r="P20">
        <v>0.08</v>
      </c>
      <c r="Q20">
        <v>0.08</v>
      </c>
      <c r="R20">
        <v>0.08</v>
      </c>
      <c r="S20">
        <v>0.08</v>
      </c>
      <c r="T20">
        <v>0.08</v>
      </c>
      <c r="U20">
        <v>0.16</v>
      </c>
    </row>
    <row r="21" spans="1:27" x14ac:dyDescent="0.25">
      <c r="A21">
        <v>7</v>
      </c>
      <c r="B21" t="s">
        <v>25</v>
      </c>
      <c r="C21">
        <v>1.1200000000000001</v>
      </c>
      <c r="D21">
        <v>1.1200000000000001</v>
      </c>
      <c r="E21">
        <v>1.2</v>
      </c>
      <c r="F21">
        <v>1.24</v>
      </c>
      <c r="G21">
        <v>1.21</v>
      </c>
      <c r="H21">
        <v>1.26</v>
      </c>
      <c r="I21">
        <v>1.27</v>
      </c>
      <c r="J21">
        <v>1.31</v>
      </c>
      <c r="K21">
        <v>1.53</v>
      </c>
      <c r="L21">
        <v>1.45</v>
      </c>
      <c r="M21">
        <v>1.51</v>
      </c>
      <c r="N21">
        <v>1.49</v>
      </c>
      <c r="O21">
        <v>1.41</v>
      </c>
      <c r="P21">
        <v>1.39</v>
      </c>
      <c r="Q21">
        <v>1.31</v>
      </c>
      <c r="R21">
        <v>1.34</v>
      </c>
      <c r="S21">
        <v>1.31</v>
      </c>
      <c r="T21">
        <v>1.35</v>
      </c>
      <c r="U21">
        <v>1.35</v>
      </c>
    </row>
    <row r="22" spans="1:27" x14ac:dyDescent="0.25">
      <c r="A22">
        <v>4</v>
      </c>
      <c r="B22" t="s">
        <v>26</v>
      </c>
      <c r="C22">
        <v>0.17</v>
      </c>
      <c r="D22">
        <v>0.17</v>
      </c>
      <c r="E22">
        <v>0.19</v>
      </c>
      <c r="F22">
        <v>0.19</v>
      </c>
      <c r="G22">
        <v>0.17</v>
      </c>
      <c r="H22">
        <v>0.18</v>
      </c>
      <c r="I22">
        <v>0.18</v>
      </c>
      <c r="J22">
        <v>0.17</v>
      </c>
      <c r="K22">
        <v>0.17</v>
      </c>
      <c r="L22">
        <v>0.18</v>
      </c>
      <c r="M22">
        <v>0.18</v>
      </c>
      <c r="N22">
        <v>0.19</v>
      </c>
      <c r="O22">
        <v>0.2</v>
      </c>
      <c r="P22">
        <v>0.21</v>
      </c>
      <c r="Q22">
        <v>0.21</v>
      </c>
      <c r="R22">
        <v>0.24</v>
      </c>
      <c r="S22">
        <v>0.24</v>
      </c>
      <c r="T22">
        <v>0.23</v>
      </c>
      <c r="U22">
        <v>0.34</v>
      </c>
    </row>
    <row r="23" spans="1:27" x14ac:dyDescent="0.25">
      <c r="A23">
        <v>4</v>
      </c>
      <c r="B23" t="s">
        <v>27</v>
      </c>
      <c r="C23">
        <v>7.0000000000000007E-2</v>
      </c>
      <c r="D23">
        <v>7.0000000000000007E-2</v>
      </c>
      <c r="E23">
        <v>7.0000000000000007E-2</v>
      </c>
      <c r="F23">
        <v>7.0000000000000007E-2</v>
      </c>
      <c r="G23">
        <v>7.0000000000000007E-2</v>
      </c>
      <c r="H23">
        <v>7.0000000000000007E-2</v>
      </c>
      <c r="I23">
        <v>7.0000000000000007E-2</v>
      </c>
      <c r="J23">
        <v>7.0000000000000007E-2</v>
      </c>
      <c r="K23">
        <v>7.0000000000000007E-2</v>
      </c>
      <c r="L23">
        <v>7.0000000000000007E-2</v>
      </c>
      <c r="M23">
        <v>7.0000000000000007E-2</v>
      </c>
      <c r="N23">
        <v>7.0000000000000007E-2</v>
      </c>
      <c r="O23">
        <v>7.0000000000000007E-2</v>
      </c>
      <c r="P23">
        <v>7.0000000000000007E-2</v>
      </c>
      <c r="Q23">
        <v>7.0000000000000007E-2</v>
      </c>
      <c r="R23">
        <v>7.0000000000000007E-2</v>
      </c>
      <c r="S23">
        <v>7.0000000000000007E-2</v>
      </c>
      <c r="T23">
        <v>7.0000000000000007E-2</v>
      </c>
      <c r="U23">
        <v>0.12</v>
      </c>
    </row>
    <row r="24" spans="1:27" x14ac:dyDescent="0.25">
      <c r="A24">
        <v>1</v>
      </c>
      <c r="B24" t="s">
        <v>28</v>
      </c>
      <c r="C24">
        <v>0.59</v>
      </c>
      <c r="D24">
        <v>0.57999999999999996</v>
      </c>
      <c r="E24">
        <v>0.55000000000000004</v>
      </c>
      <c r="F24">
        <v>0.53</v>
      </c>
      <c r="G24">
        <v>0.6</v>
      </c>
      <c r="H24">
        <v>0.6</v>
      </c>
      <c r="I24">
        <v>0.6</v>
      </c>
      <c r="J24">
        <v>0.61</v>
      </c>
      <c r="K24">
        <v>0.57999999999999996</v>
      </c>
      <c r="L24">
        <v>0.61</v>
      </c>
      <c r="M24">
        <v>0.57999999999999996</v>
      </c>
      <c r="N24">
        <v>0.62</v>
      </c>
      <c r="O24">
        <v>0.65</v>
      </c>
      <c r="P24">
        <v>0.66</v>
      </c>
      <c r="Q24">
        <v>0.65</v>
      </c>
      <c r="R24">
        <v>0.66</v>
      </c>
      <c r="S24">
        <v>0.64</v>
      </c>
      <c r="T24">
        <v>0.64</v>
      </c>
      <c r="U24">
        <v>0.72</v>
      </c>
    </row>
    <row r="28" spans="1:27" ht="23.25" x14ac:dyDescent="0.35">
      <c r="A28" s="3" t="s">
        <v>29</v>
      </c>
    </row>
    <row r="29" spans="1:27" x14ac:dyDescent="0.25">
      <c r="A29" s="2" t="s">
        <v>11</v>
      </c>
      <c r="B29" s="2" t="s">
        <v>12</v>
      </c>
    </row>
    <row r="30" spans="1:27" x14ac:dyDescent="0.25">
      <c r="C30" s="1">
        <f>C14</f>
        <v>44331</v>
      </c>
      <c r="D30" s="1">
        <f t="shared" ref="D30:AA30" si="1">D14</f>
        <v>44332</v>
      </c>
      <c r="E30" s="1">
        <f t="shared" si="1"/>
        <v>44334</v>
      </c>
      <c r="F30" s="1">
        <f t="shared" si="1"/>
        <v>44336</v>
      </c>
      <c r="G30" s="1">
        <f t="shared" si="1"/>
        <v>44337</v>
      </c>
      <c r="H30" s="1">
        <f t="shared" si="1"/>
        <v>44338</v>
      </c>
      <c r="I30" s="1">
        <f t="shared" si="1"/>
        <v>44339</v>
      </c>
      <c r="J30" s="1">
        <f t="shared" si="1"/>
        <v>44340</v>
      </c>
      <c r="K30" s="1">
        <f t="shared" si="1"/>
        <v>44341</v>
      </c>
      <c r="L30" s="1">
        <f t="shared" si="1"/>
        <v>44342</v>
      </c>
      <c r="M30" s="1">
        <f t="shared" si="1"/>
        <v>44343</v>
      </c>
      <c r="N30" s="1">
        <f t="shared" si="1"/>
        <v>44344</v>
      </c>
      <c r="O30" s="1">
        <f t="shared" si="1"/>
        <v>44345</v>
      </c>
      <c r="P30" s="1">
        <f t="shared" si="1"/>
        <v>44346</v>
      </c>
      <c r="Q30" s="1">
        <f t="shared" si="1"/>
        <v>44347</v>
      </c>
      <c r="R30" s="1">
        <f t="shared" si="1"/>
        <v>44348</v>
      </c>
      <c r="S30" s="1">
        <f t="shared" si="1"/>
        <v>44349</v>
      </c>
      <c r="T30" s="1">
        <f t="shared" si="1"/>
        <v>44350</v>
      </c>
      <c r="U30" s="1">
        <f t="shared" si="1"/>
        <v>44351</v>
      </c>
      <c r="V30" s="1">
        <f t="shared" si="1"/>
        <v>44352</v>
      </c>
      <c r="W30" s="1">
        <f t="shared" si="1"/>
        <v>44353</v>
      </c>
      <c r="X30" s="1">
        <f t="shared" si="1"/>
        <v>44354</v>
      </c>
      <c r="Y30" s="1">
        <f t="shared" si="1"/>
        <v>44355</v>
      </c>
      <c r="Z30" s="1">
        <f t="shared" si="1"/>
        <v>44356</v>
      </c>
      <c r="AA30" s="1">
        <f t="shared" si="1"/>
        <v>44357</v>
      </c>
    </row>
    <row r="31" spans="1:27" x14ac:dyDescent="0.25">
      <c r="A31">
        <v>48</v>
      </c>
      <c r="B31" t="s">
        <v>30</v>
      </c>
      <c r="C31">
        <v>3.88</v>
      </c>
      <c r="D31">
        <v>3.68</v>
      </c>
      <c r="E31">
        <v>3.95</v>
      </c>
      <c r="F31">
        <v>4.45</v>
      </c>
      <c r="G31">
        <v>4.41</v>
      </c>
      <c r="H31">
        <v>5.99</v>
      </c>
      <c r="I31">
        <v>5.89</v>
      </c>
      <c r="J31">
        <v>6.51</v>
      </c>
      <c r="K31">
        <v>6.53</v>
      </c>
      <c r="L31">
        <v>7.68</v>
      </c>
      <c r="M31">
        <v>8.69</v>
      </c>
      <c r="N31">
        <v>8.59</v>
      </c>
      <c r="O31">
        <v>7.72</v>
      </c>
      <c r="P31">
        <v>7.24</v>
      </c>
      <c r="Q31">
        <v>6.86</v>
      </c>
      <c r="R31">
        <v>7.73</v>
      </c>
      <c r="S31">
        <v>8.58</v>
      </c>
      <c r="T31">
        <v>9.0500000000000007</v>
      </c>
      <c r="U31">
        <v>9.33</v>
      </c>
    </row>
    <row r="32" spans="1:27" x14ac:dyDescent="0.25">
      <c r="A32">
        <v>10</v>
      </c>
      <c r="B32" t="s">
        <v>123</v>
      </c>
      <c r="C32">
        <v>3.48</v>
      </c>
      <c r="D32">
        <v>3.52</v>
      </c>
      <c r="E32">
        <v>3.93</v>
      </c>
      <c r="F32">
        <v>4.28</v>
      </c>
      <c r="G32">
        <v>4.5</v>
      </c>
      <c r="H32">
        <v>5.8</v>
      </c>
      <c r="I32">
        <v>5.7</v>
      </c>
      <c r="J32">
        <v>6.3</v>
      </c>
      <c r="K32">
        <v>6.26</v>
      </c>
      <c r="L32">
        <v>7.32</v>
      </c>
      <c r="M32">
        <v>7.99</v>
      </c>
      <c r="N32">
        <v>8.44</v>
      </c>
      <c r="O32">
        <v>8.14</v>
      </c>
      <c r="P32">
        <v>7.19</v>
      </c>
      <c r="Q32">
        <v>6.37</v>
      </c>
      <c r="R32">
        <v>6.86</v>
      </c>
      <c r="S32">
        <v>8.0500000000000007</v>
      </c>
      <c r="T32">
        <v>8.85</v>
      </c>
      <c r="U32">
        <v>9.02</v>
      </c>
    </row>
    <row r="33" spans="1:21" x14ac:dyDescent="0.25">
      <c r="A33">
        <v>6</v>
      </c>
      <c r="B33" t="s">
        <v>124</v>
      </c>
      <c r="C33">
        <v>3.55</v>
      </c>
      <c r="D33">
        <v>3.44</v>
      </c>
      <c r="E33">
        <v>3.96</v>
      </c>
      <c r="F33">
        <v>4.43</v>
      </c>
      <c r="G33">
        <v>4.51</v>
      </c>
      <c r="H33">
        <v>6.71</v>
      </c>
      <c r="I33">
        <v>7.22</v>
      </c>
      <c r="J33">
        <v>6.07</v>
      </c>
      <c r="K33">
        <v>6.58</v>
      </c>
      <c r="L33">
        <v>7.49</v>
      </c>
      <c r="M33">
        <v>8.1300000000000008</v>
      </c>
      <c r="N33">
        <v>8.51</v>
      </c>
      <c r="O33">
        <v>7.87</v>
      </c>
      <c r="P33">
        <v>7.56</v>
      </c>
      <c r="Q33">
        <v>6.94</v>
      </c>
      <c r="R33">
        <v>7.04</v>
      </c>
      <c r="S33">
        <v>7.9</v>
      </c>
      <c r="T33">
        <v>9.69</v>
      </c>
      <c r="U33">
        <v>9.7200000000000006</v>
      </c>
    </row>
    <row r="34" spans="1:21" x14ac:dyDescent="0.25">
      <c r="A34">
        <v>10</v>
      </c>
      <c r="B34" t="s">
        <v>125</v>
      </c>
      <c r="C34">
        <v>4.1399999999999997</v>
      </c>
      <c r="D34">
        <v>3.9</v>
      </c>
      <c r="E34">
        <v>3.9</v>
      </c>
      <c r="F34">
        <v>4.72</v>
      </c>
      <c r="G34">
        <v>5.0999999999999996</v>
      </c>
      <c r="H34">
        <v>5.9</v>
      </c>
      <c r="I34">
        <v>6.56</v>
      </c>
      <c r="J34">
        <v>7.13</v>
      </c>
      <c r="K34">
        <v>7.19</v>
      </c>
      <c r="L34">
        <v>7.96</v>
      </c>
      <c r="M34">
        <v>8.5399999999999991</v>
      </c>
      <c r="N34">
        <v>8.32</v>
      </c>
      <c r="O34">
        <v>8.1999999999999993</v>
      </c>
      <c r="P34">
        <v>7.6</v>
      </c>
      <c r="Q34">
        <v>7.55</v>
      </c>
      <c r="R34">
        <v>7.85</v>
      </c>
      <c r="S34">
        <v>8.7799999999999994</v>
      </c>
      <c r="T34">
        <v>9.06</v>
      </c>
      <c r="U34">
        <v>10.08</v>
      </c>
    </row>
    <row r="35" spans="1:21" x14ac:dyDescent="0.25">
      <c r="A35">
        <v>10</v>
      </c>
      <c r="B35" t="s">
        <v>126</v>
      </c>
      <c r="C35">
        <v>3.57</v>
      </c>
      <c r="D35">
        <v>3.56</v>
      </c>
      <c r="E35">
        <v>3.84</v>
      </c>
      <c r="F35">
        <v>4.29</v>
      </c>
      <c r="G35">
        <v>4.4000000000000004</v>
      </c>
      <c r="H35">
        <v>5.67</v>
      </c>
      <c r="I35">
        <v>5.87</v>
      </c>
      <c r="J35">
        <v>6.3</v>
      </c>
      <c r="K35">
        <v>6.23</v>
      </c>
      <c r="L35">
        <v>7.42</v>
      </c>
      <c r="M35">
        <v>7.86</v>
      </c>
      <c r="N35">
        <v>8.2100000000000009</v>
      </c>
      <c r="O35">
        <v>8.0500000000000007</v>
      </c>
      <c r="P35">
        <v>7.96</v>
      </c>
      <c r="Q35">
        <v>7.24</v>
      </c>
      <c r="R35">
        <v>6.93</v>
      </c>
      <c r="S35">
        <v>7.97</v>
      </c>
      <c r="T35">
        <v>8.89</v>
      </c>
      <c r="U35">
        <v>9.69</v>
      </c>
    </row>
    <row r="36" spans="1:21" x14ac:dyDescent="0.25">
      <c r="A36">
        <v>7</v>
      </c>
      <c r="B36" t="s">
        <v>127</v>
      </c>
      <c r="C36">
        <v>3.49</v>
      </c>
      <c r="D36">
        <v>3.76</v>
      </c>
      <c r="E36">
        <v>4.03</v>
      </c>
      <c r="F36">
        <v>4.41</v>
      </c>
      <c r="G36">
        <v>4.76</v>
      </c>
      <c r="H36">
        <v>6.12</v>
      </c>
      <c r="I36">
        <v>6.58</v>
      </c>
      <c r="J36">
        <v>6.58</v>
      </c>
      <c r="K36">
        <v>6.57</v>
      </c>
      <c r="L36">
        <v>7.69</v>
      </c>
      <c r="M36">
        <v>8.5299999999999994</v>
      </c>
      <c r="N36">
        <v>8.4600000000000009</v>
      </c>
      <c r="O36">
        <v>8.48</v>
      </c>
      <c r="P36">
        <v>7.97</v>
      </c>
      <c r="Q36">
        <v>7.9</v>
      </c>
      <c r="R36">
        <v>7.89</v>
      </c>
      <c r="S36">
        <v>8.59</v>
      </c>
      <c r="T36">
        <v>9.3699999999999992</v>
      </c>
      <c r="U36">
        <v>11.08</v>
      </c>
    </row>
    <row r="37" spans="1:21" x14ac:dyDescent="0.25">
      <c r="A37">
        <v>5</v>
      </c>
      <c r="B37" t="s">
        <v>128</v>
      </c>
      <c r="C37">
        <v>3.5</v>
      </c>
      <c r="D37">
        <v>3.7</v>
      </c>
      <c r="E37">
        <v>3.9</v>
      </c>
      <c r="F37">
        <v>4.2</v>
      </c>
      <c r="G37">
        <v>4.5</v>
      </c>
      <c r="H37">
        <v>6.6</v>
      </c>
      <c r="I37">
        <v>6.41</v>
      </c>
      <c r="J37">
        <v>6.41</v>
      </c>
      <c r="K37">
        <v>6.56</v>
      </c>
      <c r="L37">
        <v>8.83</v>
      </c>
      <c r="M37">
        <v>9.61</v>
      </c>
      <c r="N37">
        <v>9.02</v>
      </c>
      <c r="O37">
        <v>8.69</v>
      </c>
      <c r="P37">
        <v>8.19</v>
      </c>
      <c r="Q37">
        <v>7.37</v>
      </c>
      <c r="R37">
        <v>7.63</v>
      </c>
      <c r="S37">
        <v>8.23</v>
      </c>
      <c r="T37">
        <v>9.16</v>
      </c>
      <c r="U37">
        <v>9.89</v>
      </c>
    </row>
    <row r="48" spans="1:21" ht="31.5" x14ac:dyDescent="0.5">
      <c r="A48" s="4" t="s">
        <v>33</v>
      </c>
    </row>
    <row r="51" spans="1:27" ht="23.25" x14ac:dyDescent="0.35">
      <c r="A51" s="3" t="s">
        <v>1</v>
      </c>
    </row>
    <row r="52" spans="1:27" x14ac:dyDescent="0.25">
      <c r="A52" s="2" t="s">
        <v>11</v>
      </c>
      <c r="B52" s="2" t="s">
        <v>12</v>
      </c>
    </row>
    <row r="53" spans="1:27" x14ac:dyDescent="0.25">
      <c r="C53" s="1">
        <f t="shared" ref="C53:M53" si="2">C30</f>
        <v>44331</v>
      </c>
      <c r="D53" s="1">
        <f t="shared" si="2"/>
        <v>44332</v>
      </c>
      <c r="E53" s="1">
        <f t="shared" si="2"/>
        <v>44334</v>
      </c>
      <c r="F53" s="1">
        <f t="shared" si="2"/>
        <v>44336</v>
      </c>
      <c r="G53" s="1">
        <f t="shared" si="2"/>
        <v>44337</v>
      </c>
      <c r="H53" s="1">
        <f t="shared" si="2"/>
        <v>44338</v>
      </c>
      <c r="I53" s="1">
        <f t="shared" si="2"/>
        <v>44339</v>
      </c>
      <c r="J53" s="1">
        <f t="shared" si="2"/>
        <v>44340</v>
      </c>
      <c r="K53" s="1">
        <f t="shared" si="2"/>
        <v>44341</v>
      </c>
      <c r="L53" s="1">
        <f t="shared" si="2"/>
        <v>44342</v>
      </c>
      <c r="M53" s="1">
        <f t="shared" si="2"/>
        <v>44343</v>
      </c>
      <c r="N53" s="1">
        <f t="shared" ref="N53" si="3">N30</f>
        <v>44344</v>
      </c>
      <c r="O53" s="1">
        <f t="shared" ref="O53:AA53" si="4">O30</f>
        <v>44345</v>
      </c>
      <c r="P53" s="1">
        <f t="shared" si="4"/>
        <v>44346</v>
      </c>
      <c r="Q53" s="1">
        <f t="shared" si="4"/>
        <v>44347</v>
      </c>
      <c r="R53" s="1">
        <f t="shared" si="4"/>
        <v>44348</v>
      </c>
      <c r="S53" s="1">
        <f t="shared" si="4"/>
        <v>44349</v>
      </c>
      <c r="T53" s="1">
        <f t="shared" si="4"/>
        <v>44350</v>
      </c>
      <c r="U53" s="1">
        <f t="shared" si="4"/>
        <v>44351</v>
      </c>
      <c r="V53" s="1">
        <f t="shared" si="4"/>
        <v>44352</v>
      </c>
      <c r="W53" s="1">
        <f t="shared" si="4"/>
        <v>44353</v>
      </c>
      <c r="X53" s="1">
        <f t="shared" si="4"/>
        <v>44354</v>
      </c>
      <c r="Y53" s="1">
        <f t="shared" si="4"/>
        <v>44355</v>
      </c>
      <c r="Z53" s="1">
        <f t="shared" si="4"/>
        <v>44356</v>
      </c>
      <c r="AA53" s="1">
        <f t="shared" si="4"/>
        <v>44357</v>
      </c>
    </row>
    <row r="54" spans="1:27" x14ac:dyDescent="0.25">
      <c r="A54">
        <v>1000</v>
      </c>
      <c r="B54" t="s">
        <v>13</v>
      </c>
      <c r="C54">
        <f t="shared" ref="C54:M54" si="5">C4-ROUNDUP(C4*0.1,2)-ROUNDUP(C4*0.05,2)</f>
        <v>0.05</v>
      </c>
      <c r="D54">
        <f t="shared" si="5"/>
        <v>0.05</v>
      </c>
      <c r="E54">
        <f t="shared" si="5"/>
        <v>0.05</v>
      </c>
      <c r="F54">
        <f t="shared" si="5"/>
        <v>0.05</v>
      </c>
      <c r="G54">
        <f t="shared" si="5"/>
        <v>0.05</v>
      </c>
      <c r="H54">
        <f t="shared" si="5"/>
        <v>0.05</v>
      </c>
      <c r="I54">
        <f t="shared" si="5"/>
        <v>0.05</v>
      </c>
      <c r="J54">
        <f t="shared" si="5"/>
        <v>0.05</v>
      </c>
      <c r="K54">
        <f t="shared" si="5"/>
        <v>0.05</v>
      </c>
      <c r="L54">
        <f t="shared" si="5"/>
        <v>0.05</v>
      </c>
      <c r="M54">
        <f t="shared" si="5"/>
        <v>0.05</v>
      </c>
      <c r="N54">
        <f t="shared" ref="N54" si="6">N4-ROUNDUP(N4*0.1,2)-ROUNDUP(N4*0.05,2)</f>
        <v>3.9999999999999994E-2</v>
      </c>
      <c r="O54">
        <f t="shared" ref="O54:AA54" si="7">O4-ROUNDUP(O4*0.1,2)-ROUNDUP(O4*0.05,2)</f>
        <v>3.9999999999999994E-2</v>
      </c>
      <c r="P54">
        <f t="shared" si="7"/>
        <v>0.05</v>
      </c>
      <c r="Q54">
        <f t="shared" si="7"/>
        <v>0.05</v>
      </c>
      <c r="R54">
        <f t="shared" si="7"/>
        <v>0.05</v>
      </c>
      <c r="S54">
        <f t="shared" si="7"/>
        <v>0.05</v>
      </c>
      <c r="T54">
        <f t="shared" si="7"/>
        <v>0.05</v>
      </c>
      <c r="U54">
        <f t="shared" si="7"/>
        <v>6.0000000000000005E-2</v>
      </c>
      <c r="V54">
        <f t="shared" si="7"/>
        <v>0</v>
      </c>
      <c r="W54">
        <f t="shared" si="7"/>
        <v>0</v>
      </c>
      <c r="X54">
        <f t="shared" si="7"/>
        <v>0</v>
      </c>
      <c r="Y54">
        <f t="shared" si="7"/>
        <v>0</v>
      </c>
      <c r="Z54">
        <f t="shared" si="7"/>
        <v>0</v>
      </c>
      <c r="AA54">
        <f t="shared" si="7"/>
        <v>0</v>
      </c>
    </row>
    <row r="55" spans="1:27" x14ac:dyDescent="0.25">
      <c r="A55">
        <v>2000</v>
      </c>
      <c r="B55" t="s">
        <v>14</v>
      </c>
      <c r="C55">
        <f t="shared" ref="C55:M55" si="8">C5-ROUNDUP(C5*0.1,2)-ROUNDUP(C5*0.05,2)</f>
        <v>0.05</v>
      </c>
      <c r="D55">
        <f t="shared" si="8"/>
        <v>0.05</v>
      </c>
      <c r="E55">
        <f t="shared" si="8"/>
        <v>0.05</v>
      </c>
      <c r="F55">
        <f t="shared" si="8"/>
        <v>0.05</v>
      </c>
      <c r="G55">
        <f t="shared" si="8"/>
        <v>0.05</v>
      </c>
      <c r="H55">
        <f t="shared" si="8"/>
        <v>0.05</v>
      </c>
      <c r="I55">
        <f t="shared" si="8"/>
        <v>0.05</v>
      </c>
      <c r="J55">
        <f t="shared" si="8"/>
        <v>0.05</v>
      </c>
      <c r="K55">
        <f t="shared" si="8"/>
        <v>0.05</v>
      </c>
      <c r="L55">
        <f t="shared" si="8"/>
        <v>0.05</v>
      </c>
      <c r="M55">
        <f t="shared" si="8"/>
        <v>0.05</v>
      </c>
      <c r="N55">
        <f t="shared" ref="N55" si="9">N5-ROUNDUP(N5*0.1,2)-ROUNDUP(N5*0.05,2)</f>
        <v>0.05</v>
      </c>
      <c r="O55">
        <f t="shared" ref="O55:AA55" si="10">O5-ROUNDUP(O5*0.1,2)-ROUNDUP(O5*0.05,2)</f>
        <v>0.05</v>
      </c>
      <c r="P55">
        <f t="shared" si="10"/>
        <v>0.05</v>
      </c>
      <c r="Q55">
        <f t="shared" si="10"/>
        <v>0.05</v>
      </c>
      <c r="R55">
        <f t="shared" si="10"/>
        <v>0.05</v>
      </c>
      <c r="S55">
        <f t="shared" si="10"/>
        <v>0.05</v>
      </c>
      <c r="T55">
        <f t="shared" si="10"/>
        <v>0.05</v>
      </c>
      <c r="U55">
        <f t="shared" si="10"/>
        <v>0.09</v>
      </c>
      <c r="V55">
        <f t="shared" si="10"/>
        <v>0</v>
      </c>
      <c r="W55">
        <f t="shared" si="10"/>
        <v>0</v>
      </c>
      <c r="X55">
        <f t="shared" si="10"/>
        <v>0</v>
      </c>
      <c r="Y55">
        <f t="shared" si="10"/>
        <v>0</v>
      </c>
      <c r="Z55">
        <f t="shared" si="10"/>
        <v>0</v>
      </c>
      <c r="AA55">
        <f t="shared" si="10"/>
        <v>0</v>
      </c>
    </row>
    <row r="56" spans="1:27" x14ac:dyDescent="0.25">
      <c r="A56">
        <v>2000</v>
      </c>
      <c r="B56" t="s">
        <v>15</v>
      </c>
      <c r="C56">
        <f t="shared" ref="C56:M56" si="11">C6-ROUNDUP(C6*0.1,2)-ROUNDUP(C6*0.05,2)</f>
        <v>0.03</v>
      </c>
      <c r="D56">
        <f t="shared" si="11"/>
        <v>0.03</v>
      </c>
      <c r="E56">
        <f t="shared" si="11"/>
        <v>0.03</v>
      </c>
      <c r="F56">
        <f t="shared" si="11"/>
        <v>3.9999999999999994E-2</v>
      </c>
      <c r="G56">
        <f t="shared" si="11"/>
        <v>3.9999999999999994E-2</v>
      </c>
      <c r="H56">
        <f t="shared" si="11"/>
        <v>3.9999999999999994E-2</v>
      </c>
      <c r="I56">
        <f t="shared" si="11"/>
        <v>0.03</v>
      </c>
      <c r="J56">
        <f t="shared" si="11"/>
        <v>3.9999999999999994E-2</v>
      </c>
      <c r="K56">
        <f t="shared" si="11"/>
        <v>3.9999999999999994E-2</v>
      </c>
      <c r="L56">
        <f t="shared" si="11"/>
        <v>3.9999999999999994E-2</v>
      </c>
      <c r="M56">
        <f t="shared" si="11"/>
        <v>3.9999999999999994E-2</v>
      </c>
      <c r="N56">
        <f t="shared" ref="N56" si="12">N6-ROUNDUP(N6*0.1,2)-ROUNDUP(N6*0.05,2)</f>
        <v>3.9999999999999994E-2</v>
      </c>
      <c r="O56">
        <f t="shared" ref="O56:AA56" si="13">O6-ROUNDUP(O6*0.1,2)-ROUNDUP(O6*0.05,2)</f>
        <v>3.9999999999999994E-2</v>
      </c>
      <c r="P56">
        <f t="shared" si="13"/>
        <v>0.03</v>
      </c>
      <c r="Q56">
        <f t="shared" si="13"/>
        <v>3.9999999999999994E-2</v>
      </c>
      <c r="R56">
        <f t="shared" si="13"/>
        <v>3.9999999999999994E-2</v>
      </c>
      <c r="S56">
        <f t="shared" si="13"/>
        <v>3.9999999999999994E-2</v>
      </c>
      <c r="T56">
        <f t="shared" si="13"/>
        <v>3.9999999999999994E-2</v>
      </c>
      <c r="U56">
        <f t="shared" si="13"/>
        <v>0.05</v>
      </c>
      <c r="V56">
        <f t="shared" si="13"/>
        <v>0</v>
      </c>
      <c r="W56">
        <f t="shared" si="13"/>
        <v>0</v>
      </c>
      <c r="X56">
        <f t="shared" si="13"/>
        <v>0</v>
      </c>
      <c r="Y56">
        <f t="shared" si="13"/>
        <v>0</v>
      </c>
      <c r="Z56">
        <f t="shared" si="13"/>
        <v>0</v>
      </c>
      <c r="AA56">
        <f t="shared" si="13"/>
        <v>0</v>
      </c>
    </row>
    <row r="57" spans="1:27" x14ac:dyDescent="0.25">
      <c r="A57">
        <v>215</v>
      </c>
      <c r="B57" t="s">
        <v>16</v>
      </c>
      <c r="C57">
        <f t="shared" ref="C57:M57" si="14">C7-ROUNDUP(C7*0.1,2)-ROUNDUP(C7*0.05,2)</f>
        <v>6.0000000000000005E-2</v>
      </c>
      <c r="D57">
        <f t="shared" si="14"/>
        <v>6.0000000000000005E-2</v>
      </c>
      <c r="E57">
        <f t="shared" si="14"/>
        <v>6.0000000000000005E-2</v>
      </c>
      <c r="F57">
        <f t="shared" si="14"/>
        <v>6.0000000000000005E-2</v>
      </c>
      <c r="G57">
        <f t="shared" si="14"/>
        <v>6.0000000000000005E-2</v>
      </c>
      <c r="H57">
        <f t="shared" si="14"/>
        <v>6.0000000000000005E-2</v>
      </c>
      <c r="I57">
        <f t="shared" si="14"/>
        <v>6.0000000000000005E-2</v>
      </c>
      <c r="J57">
        <f t="shared" si="14"/>
        <v>6.0000000000000005E-2</v>
      </c>
      <c r="K57">
        <f t="shared" si="14"/>
        <v>6.0000000000000005E-2</v>
      </c>
      <c r="L57">
        <f t="shared" si="14"/>
        <v>6.0000000000000005E-2</v>
      </c>
      <c r="M57">
        <f t="shared" si="14"/>
        <v>6.0000000000000005E-2</v>
      </c>
      <c r="N57">
        <f t="shared" ref="N57" si="15">N7-ROUNDUP(N7*0.1,2)-ROUNDUP(N7*0.05,2)</f>
        <v>6.0000000000000005E-2</v>
      </c>
      <c r="O57">
        <f t="shared" ref="O57:AA57" si="16">O7-ROUNDUP(O7*0.1,2)-ROUNDUP(O7*0.05,2)</f>
        <v>6.0000000000000005E-2</v>
      </c>
      <c r="P57">
        <f t="shared" si="16"/>
        <v>6.0000000000000005E-2</v>
      </c>
      <c r="Q57">
        <f t="shared" si="16"/>
        <v>6.0000000000000005E-2</v>
      </c>
      <c r="R57">
        <f t="shared" si="16"/>
        <v>6.0000000000000005E-2</v>
      </c>
      <c r="S57">
        <f t="shared" si="16"/>
        <v>6.0000000000000005E-2</v>
      </c>
      <c r="T57">
        <f t="shared" si="16"/>
        <v>6.0000000000000005E-2</v>
      </c>
      <c r="U57">
        <f t="shared" si="16"/>
        <v>0.13</v>
      </c>
      <c r="V57">
        <f t="shared" si="16"/>
        <v>0</v>
      </c>
      <c r="W57">
        <f t="shared" si="16"/>
        <v>0</v>
      </c>
      <c r="X57">
        <f t="shared" si="16"/>
        <v>0</v>
      </c>
      <c r="Y57">
        <f t="shared" si="16"/>
        <v>0</v>
      </c>
      <c r="Z57">
        <f t="shared" si="16"/>
        <v>0</v>
      </c>
      <c r="AA57">
        <f t="shared" si="16"/>
        <v>0</v>
      </c>
    </row>
    <row r="58" spans="1:27" x14ac:dyDescent="0.25">
      <c r="A58">
        <v>150</v>
      </c>
      <c r="B58" t="s">
        <v>17</v>
      </c>
      <c r="C58">
        <f t="shared" ref="C58:M58" si="17">C8-ROUNDUP(C8*0.1,2)-ROUNDUP(C8*0.05,2)</f>
        <v>0.28999999999999998</v>
      </c>
      <c r="D58">
        <f t="shared" si="17"/>
        <v>0.28999999999999998</v>
      </c>
      <c r="E58">
        <f t="shared" si="17"/>
        <v>0.28999999999999998</v>
      </c>
      <c r="F58">
        <f t="shared" si="17"/>
        <v>0.25</v>
      </c>
      <c r="G58">
        <f t="shared" si="17"/>
        <v>0.25</v>
      </c>
      <c r="H58">
        <f t="shared" si="17"/>
        <v>0.28000000000000003</v>
      </c>
      <c r="I58">
        <f t="shared" si="17"/>
        <v>0.25</v>
      </c>
      <c r="J58">
        <f t="shared" si="17"/>
        <v>0.25</v>
      </c>
      <c r="K58">
        <f t="shared" si="17"/>
        <v>0.25</v>
      </c>
      <c r="L58">
        <f t="shared" si="17"/>
        <v>0.25</v>
      </c>
      <c r="M58">
        <f t="shared" si="17"/>
        <v>0.25</v>
      </c>
      <c r="N58">
        <f t="shared" ref="N58" si="18">N8-ROUNDUP(N8*0.1,2)-ROUNDUP(N8*0.05,2)</f>
        <v>0.25</v>
      </c>
      <c r="O58">
        <f t="shared" ref="O58:AA58" si="19">O8-ROUNDUP(O8*0.1,2)-ROUNDUP(O8*0.05,2)</f>
        <v>0.26</v>
      </c>
      <c r="P58">
        <f t="shared" si="19"/>
        <v>0.26</v>
      </c>
      <c r="Q58">
        <f t="shared" si="19"/>
        <v>0.28000000000000003</v>
      </c>
      <c r="R58">
        <f t="shared" si="19"/>
        <v>0.25</v>
      </c>
      <c r="S58">
        <f t="shared" si="19"/>
        <v>0.26</v>
      </c>
      <c r="T58">
        <f t="shared" si="19"/>
        <v>0.25</v>
      </c>
      <c r="U58">
        <f t="shared" si="19"/>
        <v>0.28999999999999998</v>
      </c>
      <c r="V58">
        <f t="shared" si="19"/>
        <v>0</v>
      </c>
      <c r="W58">
        <f t="shared" si="19"/>
        <v>0</v>
      </c>
      <c r="X58">
        <f t="shared" si="19"/>
        <v>0</v>
      </c>
      <c r="Y58">
        <f t="shared" si="19"/>
        <v>0</v>
      </c>
      <c r="Z58">
        <f t="shared" si="19"/>
        <v>0</v>
      </c>
      <c r="AA58">
        <f t="shared" si="19"/>
        <v>0</v>
      </c>
    </row>
    <row r="62" spans="1:27" ht="23.25" x14ac:dyDescent="0.35">
      <c r="A62" s="3" t="s">
        <v>18</v>
      </c>
    </row>
    <row r="63" spans="1:27" x14ac:dyDescent="0.25">
      <c r="A63" s="2" t="s">
        <v>11</v>
      </c>
      <c r="B63" s="2" t="s">
        <v>12</v>
      </c>
    </row>
    <row r="64" spans="1:27" x14ac:dyDescent="0.25">
      <c r="C64" s="1">
        <f>C53</f>
        <v>44331</v>
      </c>
      <c r="D64" s="1">
        <f t="shared" ref="D64:M64" si="20">D53</f>
        <v>44332</v>
      </c>
      <c r="E64" s="1">
        <f t="shared" si="20"/>
        <v>44334</v>
      </c>
      <c r="F64" s="1">
        <f t="shared" si="20"/>
        <v>44336</v>
      </c>
      <c r="G64" s="1">
        <f t="shared" si="20"/>
        <v>44337</v>
      </c>
      <c r="H64" s="1">
        <f t="shared" si="20"/>
        <v>44338</v>
      </c>
      <c r="I64" s="1">
        <f t="shared" si="20"/>
        <v>44339</v>
      </c>
      <c r="J64" s="1">
        <f t="shared" si="20"/>
        <v>44340</v>
      </c>
      <c r="K64" s="1">
        <f t="shared" si="20"/>
        <v>44341</v>
      </c>
      <c r="L64" s="1">
        <f t="shared" si="20"/>
        <v>44342</v>
      </c>
      <c r="M64" s="1">
        <f t="shared" si="20"/>
        <v>44343</v>
      </c>
      <c r="N64" s="1">
        <f t="shared" ref="N64" si="21">N53</f>
        <v>44344</v>
      </c>
      <c r="O64" s="1">
        <f t="shared" ref="O64:AA64" si="22">O53</f>
        <v>44345</v>
      </c>
      <c r="P64" s="1">
        <f t="shared" si="22"/>
        <v>44346</v>
      </c>
      <c r="Q64" s="1">
        <f t="shared" si="22"/>
        <v>44347</v>
      </c>
      <c r="R64" s="1">
        <f t="shared" si="22"/>
        <v>44348</v>
      </c>
      <c r="S64" s="1">
        <f t="shared" si="22"/>
        <v>44349</v>
      </c>
      <c r="T64" s="1">
        <f t="shared" si="22"/>
        <v>44350</v>
      </c>
      <c r="U64" s="1">
        <f t="shared" si="22"/>
        <v>44351</v>
      </c>
      <c r="V64" s="1">
        <f t="shared" si="22"/>
        <v>44352</v>
      </c>
      <c r="W64" s="1">
        <f t="shared" si="22"/>
        <v>44353</v>
      </c>
      <c r="X64" s="1">
        <f t="shared" si="22"/>
        <v>44354</v>
      </c>
      <c r="Y64" s="1">
        <f t="shared" si="22"/>
        <v>44355</v>
      </c>
      <c r="Z64" s="1">
        <f t="shared" si="22"/>
        <v>44356</v>
      </c>
      <c r="AA64" s="1">
        <f t="shared" si="22"/>
        <v>44357</v>
      </c>
    </row>
    <row r="65" spans="1:27" x14ac:dyDescent="0.25">
      <c r="A65">
        <v>5</v>
      </c>
      <c r="B65" t="s">
        <v>19</v>
      </c>
      <c r="C65">
        <f t="shared" ref="C65:M65" si="23">C15-ROUNDUP(C15*0.1,2)-ROUNDUP(C15*0.05,2)</f>
        <v>0.03</v>
      </c>
      <c r="D65">
        <f t="shared" si="23"/>
        <v>0.03</v>
      </c>
      <c r="E65">
        <f t="shared" si="23"/>
        <v>0.03</v>
      </c>
      <c r="F65">
        <f t="shared" si="23"/>
        <v>3.9999999999999994E-2</v>
      </c>
      <c r="G65">
        <f t="shared" si="23"/>
        <v>3.9999999999999994E-2</v>
      </c>
      <c r="H65">
        <f t="shared" si="23"/>
        <v>3.9999999999999994E-2</v>
      </c>
      <c r="I65">
        <f t="shared" si="23"/>
        <v>0.03</v>
      </c>
      <c r="J65">
        <f t="shared" si="23"/>
        <v>3.9999999999999994E-2</v>
      </c>
      <c r="K65">
        <f t="shared" si="23"/>
        <v>3.9999999999999994E-2</v>
      </c>
      <c r="L65">
        <f t="shared" si="23"/>
        <v>3.9999999999999994E-2</v>
      </c>
      <c r="M65">
        <f t="shared" si="23"/>
        <v>3.9999999999999994E-2</v>
      </c>
      <c r="N65">
        <f t="shared" ref="N65" si="24">N15-ROUNDUP(N15*0.1,2)-ROUNDUP(N15*0.05,2)</f>
        <v>3.9999999999999994E-2</v>
      </c>
      <c r="O65">
        <f t="shared" ref="O65:AA65" si="25">O15-ROUNDUP(O15*0.1,2)-ROUNDUP(O15*0.05,2)</f>
        <v>3.9999999999999994E-2</v>
      </c>
      <c r="P65">
        <f t="shared" si="25"/>
        <v>0.03</v>
      </c>
      <c r="Q65">
        <f t="shared" si="25"/>
        <v>3.9999999999999994E-2</v>
      </c>
      <c r="R65">
        <f t="shared" si="25"/>
        <v>3.9999999999999994E-2</v>
      </c>
      <c r="S65">
        <f t="shared" si="25"/>
        <v>3.9999999999999994E-2</v>
      </c>
      <c r="T65">
        <f t="shared" si="25"/>
        <v>3.9999999999999994E-2</v>
      </c>
      <c r="U65">
        <f t="shared" si="25"/>
        <v>0.05</v>
      </c>
      <c r="V65">
        <f t="shared" si="25"/>
        <v>0</v>
      </c>
      <c r="W65">
        <f t="shared" si="25"/>
        <v>0</v>
      </c>
      <c r="X65">
        <f t="shared" si="25"/>
        <v>0</v>
      </c>
      <c r="Y65">
        <f t="shared" si="25"/>
        <v>0</v>
      </c>
      <c r="Z65">
        <f t="shared" si="25"/>
        <v>0</v>
      </c>
      <c r="AA65">
        <f t="shared" si="25"/>
        <v>0</v>
      </c>
    </row>
    <row r="66" spans="1:27" x14ac:dyDescent="0.25">
      <c r="A66">
        <v>16</v>
      </c>
      <c r="B66" t="s">
        <v>20</v>
      </c>
      <c r="C66">
        <f t="shared" ref="C66:M66" si="26">C16-ROUNDUP(C16*0.1,2)-ROUNDUP(C16*0.05,2)</f>
        <v>0.05</v>
      </c>
      <c r="D66">
        <f t="shared" si="26"/>
        <v>0.05</v>
      </c>
      <c r="E66">
        <f t="shared" si="26"/>
        <v>0.05</v>
      </c>
      <c r="F66">
        <f t="shared" si="26"/>
        <v>0.05</v>
      </c>
      <c r="G66">
        <f t="shared" si="26"/>
        <v>0.05</v>
      </c>
      <c r="H66">
        <f t="shared" si="26"/>
        <v>0.05</v>
      </c>
      <c r="I66">
        <f t="shared" si="26"/>
        <v>0.05</v>
      </c>
      <c r="J66">
        <f t="shared" si="26"/>
        <v>0.05</v>
      </c>
      <c r="K66">
        <f t="shared" si="26"/>
        <v>0.05</v>
      </c>
      <c r="L66">
        <f t="shared" si="26"/>
        <v>0.05</v>
      </c>
      <c r="M66">
        <f t="shared" si="26"/>
        <v>0.05</v>
      </c>
      <c r="N66">
        <f t="shared" ref="N66" si="27">N16-ROUNDUP(N16*0.1,2)-ROUNDUP(N16*0.05,2)</f>
        <v>0.05</v>
      </c>
      <c r="O66">
        <f t="shared" ref="O66:AA66" si="28">O16-ROUNDUP(O16*0.1,2)-ROUNDUP(O16*0.05,2)</f>
        <v>0.05</v>
      </c>
      <c r="P66">
        <f t="shared" si="28"/>
        <v>0.05</v>
      </c>
      <c r="Q66">
        <f t="shared" si="28"/>
        <v>0.05</v>
      </c>
      <c r="R66">
        <f t="shared" si="28"/>
        <v>6.0000000000000005E-2</v>
      </c>
      <c r="S66">
        <f t="shared" si="28"/>
        <v>6.0000000000000005E-2</v>
      </c>
      <c r="T66">
        <f t="shared" si="28"/>
        <v>6.0000000000000005E-2</v>
      </c>
      <c r="U66">
        <f t="shared" si="28"/>
        <v>7.0000000000000007E-2</v>
      </c>
      <c r="V66">
        <f t="shared" si="28"/>
        <v>0</v>
      </c>
      <c r="W66">
        <f t="shared" si="28"/>
        <v>0</v>
      </c>
      <c r="X66">
        <f t="shared" si="28"/>
        <v>0</v>
      </c>
      <c r="Y66">
        <f t="shared" si="28"/>
        <v>0</v>
      </c>
      <c r="Z66">
        <f t="shared" si="28"/>
        <v>0</v>
      </c>
      <c r="AA66">
        <f t="shared" si="28"/>
        <v>0</v>
      </c>
    </row>
    <row r="67" spans="1:27" x14ac:dyDescent="0.25">
      <c r="A67">
        <v>3</v>
      </c>
      <c r="B67" t="s">
        <v>21</v>
      </c>
      <c r="C67">
        <f t="shared" ref="C67:M67" si="29">C17-ROUNDUP(C17*0.1,2)-ROUNDUP(C17*0.05,2)</f>
        <v>0.28999999999999998</v>
      </c>
      <c r="D67">
        <f t="shared" si="29"/>
        <v>0.28999999999999998</v>
      </c>
      <c r="E67">
        <f t="shared" si="29"/>
        <v>0.28999999999999998</v>
      </c>
      <c r="F67">
        <f t="shared" si="29"/>
        <v>0.25</v>
      </c>
      <c r="G67">
        <f t="shared" si="29"/>
        <v>0.25</v>
      </c>
      <c r="H67">
        <f t="shared" si="29"/>
        <v>0.28000000000000003</v>
      </c>
      <c r="I67">
        <f t="shared" si="29"/>
        <v>0.25</v>
      </c>
      <c r="J67">
        <f t="shared" si="29"/>
        <v>0.25</v>
      </c>
      <c r="K67">
        <f t="shared" si="29"/>
        <v>0.25</v>
      </c>
      <c r="L67">
        <f t="shared" si="29"/>
        <v>0.25</v>
      </c>
      <c r="M67">
        <f t="shared" si="29"/>
        <v>0.25</v>
      </c>
      <c r="N67">
        <f t="shared" ref="N67" si="30">N17-ROUNDUP(N17*0.1,2)-ROUNDUP(N17*0.05,2)</f>
        <v>0.25</v>
      </c>
      <c r="O67">
        <f t="shared" ref="O67:AA67" si="31">O17-ROUNDUP(O17*0.1,2)-ROUNDUP(O17*0.05,2)</f>
        <v>0.26</v>
      </c>
      <c r="P67">
        <f t="shared" si="31"/>
        <v>0.26</v>
      </c>
      <c r="Q67">
        <f t="shared" si="31"/>
        <v>0.28000000000000003</v>
      </c>
      <c r="R67">
        <f t="shared" si="31"/>
        <v>0.25</v>
      </c>
      <c r="S67">
        <f t="shared" si="31"/>
        <v>0.26</v>
      </c>
      <c r="T67">
        <f t="shared" si="31"/>
        <v>0.25</v>
      </c>
      <c r="U67">
        <f t="shared" si="31"/>
        <v>0.28999999999999998</v>
      </c>
      <c r="V67">
        <f t="shared" si="31"/>
        <v>0</v>
      </c>
      <c r="W67">
        <f t="shared" si="31"/>
        <v>0</v>
      </c>
      <c r="X67">
        <f t="shared" si="31"/>
        <v>0</v>
      </c>
      <c r="Y67">
        <f t="shared" si="31"/>
        <v>0</v>
      </c>
      <c r="Z67">
        <f t="shared" si="31"/>
        <v>0</v>
      </c>
      <c r="AA67">
        <f t="shared" si="31"/>
        <v>0</v>
      </c>
    </row>
    <row r="68" spans="1:27" x14ac:dyDescent="0.25">
      <c r="A68">
        <v>16</v>
      </c>
      <c r="B68" t="s">
        <v>22</v>
      </c>
      <c r="C68">
        <f t="shared" ref="C68:M68" si="32">C18-ROUNDUP(C18*0.1,2)-ROUNDUP(C18*0.05,2)</f>
        <v>0.05</v>
      </c>
      <c r="D68">
        <f t="shared" si="32"/>
        <v>0.05</v>
      </c>
      <c r="E68">
        <f t="shared" si="32"/>
        <v>0.05</v>
      </c>
      <c r="F68">
        <f t="shared" si="32"/>
        <v>0.05</v>
      </c>
      <c r="G68">
        <f t="shared" si="32"/>
        <v>0.05</v>
      </c>
      <c r="H68">
        <f t="shared" si="32"/>
        <v>0.05</v>
      </c>
      <c r="I68">
        <f t="shared" si="32"/>
        <v>0.05</v>
      </c>
      <c r="J68">
        <f t="shared" si="32"/>
        <v>0.05</v>
      </c>
      <c r="K68">
        <f t="shared" si="32"/>
        <v>0.05</v>
      </c>
      <c r="L68">
        <f t="shared" si="32"/>
        <v>0.05</v>
      </c>
      <c r="M68">
        <f t="shared" si="32"/>
        <v>0.05</v>
      </c>
      <c r="N68">
        <f t="shared" ref="N68" si="33">N18-ROUNDUP(N18*0.1,2)-ROUNDUP(N18*0.05,2)</f>
        <v>3.9999999999999994E-2</v>
      </c>
      <c r="O68">
        <f t="shared" ref="O68:AA68" si="34">O18-ROUNDUP(O18*0.1,2)-ROUNDUP(O18*0.05,2)</f>
        <v>3.9999999999999994E-2</v>
      </c>
      <c r="P68">
        <f t="shared" si="34"/>
        <v>0.05</v>
      </c>
      <c r="Q68">
        <f t="shared" si="34"/>
        <v>0.05</v>
      </c>
      <c r="R68">
        <f t="shared" si="34"/>
        <v>0.05</v>
      </c>
      <c r="S68">
        <f t="shared" si="34"/>
        <v>0.05</v>
      </c>
      <c r="T68">
        <f t="shared" si="34"/>
        <v>0.05</v>
      </c>
      <c r="U68">
        <f t="shared" si="34"/>
        <v>6.0000000000000005E-2</v>
      </c>
      <c r="V68">
        <f t="shared" si="34"/>
        <v>0</v>
      </c>
      <c r="W68">
        <f t="shared" si="34"/>
        <v>0</v>
      </c>
      <c r="X68">
        <f t="shared" si="34"/>
        <v>0</v>
      </c>
      <c r="Y68">
        <f t="shared" si="34"/>
        <v>0</v>
      </c>
      <c r="Z68">
        <f t="shared" si="34"/>
        <v>0</v>
      </c>
      <c r="AA68">
        <f t="shared" si="34"/>
        <v>0</v>
      </c>
    </row>
    <row r="69" spans="1:27" x14ac:dyDescent="0.25">
      <c r="A69">
        <v>19</v>
      </c>
      <c r="B69" t="s">
        <v>23</v>
      </c>
      <c r="C69">
        <f t="shared" ref="C69:M69" si="35">C19-ROUNDUP(C19*0.1,2)-ROUNDUP(C19*0.05,2)</f>
        <v>0.16</v>
      </c>
      <c r="D69">
        <f t="shared" si="35"/>
        <v>0.16</v>
      </c>
      <c r="E69">
        <f t="shared" si="35"/>
        <v>0.16</v>
      </c>
      <c r="F69">
        <f t="shared" si="35"/>
        <v>0.16</v>
      </c>
      <c r="G69">
        <f t="shared" si="35"/>
        <v>0.16</v>
      </c>
      <c r="H69">
        <f t="shared" si="35"/>
        <v>0.16</v>
      </c>
      <c r="I69">
        <f t="shared" si="35"/>
        <v>0.16</v>
      </c>
      <c r="J69">
        <f t="shared" si="35"/>
        <v>0.16</v>
      </c>
      <c r="K69">
        <f t="shared" si="35"/>
        <v>0.16</v>
      </c>
      <c r="L69">
        <f t="shared" si="35"/>
        <v>0.17</v>
      </c>
      <c r="M69">
        <f t="shared" si="35"/>
        <v>0.17</v>
      </c>
      <c r="N69">
        <f t="shared" ref="N69" si="36">N19-ROUNDUP(N19*0.1,2)-ROUNDUP(N19*0.05,2)</f>
        <v>0.16</v>
      </c>
      <c r="O69">
        <f t="shared" ref="O69:AA69" si="37">O19-ROUNDUP(O19*0.1,2)-ROUNDUP(O19*0.05,2)</f>
        <v>0.16</v>
      </c>
      <c r="P69">
        <f t="shared" si="37"/>
        <v>0.19</v>
      </c>
      <c r="Q69">
        <f t="shared" si="37"/>
        <v>0.19</v>
      </c>
      <c r="R69">
        <f t="shared" si="37"/>
        <v>0.19</v>
      </c>
      <c r="S69">
        <f t="shared" si="37"/>
        <v>0.21000000000000002</v>
      </c>
      <c r="T69">
        <f t="shared" si="37"/>
        <v>0.22000000000000003</v>
      </c>
      <c r="U69">
        <f t="shared" si="37"/>
        <v>0.28000000000000003</v>
      </c>
      <c r="V69">
        <f t="shared" si="37"/>
        <v>0</v>
      </c>
      <c r="W69">
        <f t="shared" si="37"/>
        <v>0</v>
      </c>
      <c r="X69">
        <f t="shared" si="37"/>
        <v>0</v>
      </c>
      <c r="Y69">
        <f t="shared" si="37"/>
        <v>0</v>
      </c>
      <c r="Z69">
        <f t="shared" si="37"/>
        <v>0</v>
      </c>
      <c r="AA69">
        <f t="shared" si="37"/>
        <v>0</v>
      </c>
    </row>
    <row r="70" spans="1:27" x14ac:dyDescent="0.25">
      <c r="A70">
        <v>6</v>
      </c>
      <c r="B70" t="s">
        <v>24</v>
      </c>
      <c r="C70">
        <f t="shared" ref="C70:M70" si="38">C20-ROUNDUP(C20*0.1,2)-ROUNDUP(C20*0.05,2)</f>
        <v>6.0000000000000005E-2</v>
      </c>
      <c r="D70">
        <f t="shared" si="38"/>
        <v>6.0000000000000005E-2</v>
      </c>
      <c r="E70">
        <f t="shared" si="38"/>
        <v>6.0000000000000005E-2</v>
      </c>
      <c r="F70">
        <f t="shared" si="38"/>
        <v>6.0000000000000005E-2</v>
      </c>
      <c r="G70">
        <f t="shared" si="38"/>
        <v>6.0000000000000005E-2</v>
      </c>
      <c r="H70">
        <f t="shared" si="38"/>
        <v>6.0000000000000005E-2</v>
      </c>
      <c r="I70">
        <f t="shared" si="38"/>
        <v>6.0000000000000005E-2</v>
      </c>
      <c r="J70">
        <f t="shared" si="38"/>
        <v>6.0000000000000005E-2</v>
      </c>
      <c r="K70">
        <f t="shared" si="38"/>
        <v>6.0000000000000005E-2</v>
      </c>
      <c r="L70">
        <f t="shared" si="38"/>
        <v>6.0000000000000005E-2</v>
      </c>
      <c r="M70">
        <f t="shared" si="38"/>
        <v>6.0000000000000005E-2</v>
      </c>
      <c r="N70">
        <f t="shared" ref="N70" si="39">N20-ROUNDUP(N20*0.1,2)-ROUNDUP(N20*0.05,2)</f>
        <v>6.0000000000000005E-2</v>
      </c>
      <c r="O70">
        <f t="shared" ref="O70:AA70" si="40">O20-ROUNDUP(O20*0.1,2)-ROUNDUP(O20*0.05,2)</f>
        <v>6.0000000000000005E-2</v>
      </c>
      <c r="P70">
        <f t="shared" si="40"/>
        <v>6.0000000000000005E-2</v>
      </c>
      <c r="Q70">
        <f t="shared" si="40"/>
        <v>6.0000000000000005E-2</v>
      </c>
      <c r="R70">
        <f t="shared" si="40"/>
        <v>6.0000000000000005E-2</v>
      </c>
      <c r="S70">
        <f t="shared" si="40"/>
        <v>6.0000000000000005E-2</v>
      </c>
      <c r="T70">
        <f t="shared" si="40"/>
        <v>6.0000000000000005E-2</v>
      </c>
      <c r="U70">
        <f t="shared" si="40"/>
        <v>0.13</v>
      </c>
      <c r="V70">
        <f t="shared" si="40"/>
        <v>0</v>
      </c>
      <c r="W70">
        <f t="shared" si="40"/>
        <v>0</v>
      </c>
      <c r="X70">
        <f t="shared" si="40"/>
        <v>0</v>
      </c>
      <c r="Y70">
        <f t="shared" si="40"/>
        <v>0</v>
      </c>
      <c r="Z70">
        <f t="shared" si="40"/>
        <v>0</v>
      </c>
      <c r="AA70">
        <f t="shared" si="40"/>
        <v>0</v>
      </c>
    </row>
    <row r="71" spans="1:27" x14ac:dyDescent="0.25">
      <c r="A71">
        <v>7</v>
      </c>
      <c r="B71" t="s">
        <v>25</v>
      </c>
      <c r="C71">
        <f t="shared" ref="C71:M71" si="41">C21-ROUNDUP(C21*0.1,2)-ROUNDUP(C21*0.05,2)</f>
        <v>0.94</v>
      </c>
      <c r="D71">
        <f t="shared" si="41"/>
        <v>0.94</v>
      </c>
      <c r="E71">
        <f t="shared" si="41"/>
        <v>1.02</v>
      </c>
      <c r="F71">
        <f t="shared" si="41"/>
        <v>1.0399999999999998</v>
      </c>
      <c r="G71">
        <f t="shared" si="41"/>
        <v>1.01</v>
      </c>
      <c r="H71">
        <f t="shared" si="41"/>
        <v>1.0599999999999998</v>
      </c>
      <c r="I71">
        <f t="shared" si="41"/>
        <v>1.07</v>
      </c>
      <c r="J71">
        <f t="shared" si="41"/>
        <v>1.0999999999999999</v>
      </c>
      <c r="K71">
        <f t="shared" si="41"/>
        <v>1.29</v>
      </c>
      <c r="L71">
        <f t="shared" si="41"/>
        <v>1.2199999999999998</v>
      </c>
      <c r="M71">
        <f t="shared" si="41"/>
        <v>1.27</v>
      </c>
      <c r="N71">
        <f t="shared" ref="N71" si="42">N21-ROUNDUP(N21*0.1,2)-ROUNDUP(N21*0.05,2)</f>
        <v>1.2599999999999998</v>
      </c>
      <c r="O71">
        <f t="shared" ref="O71:AA71" si="43">O21-ROUNDUP(O21*0.1,2)-ROUNDUP(O21*0.05,2)</f>
        <v>1.1799999999999997</v>
      </c>
      <c r="P71">
        <f t="shared" si="43"/>
        <v>1.18</v>
      </c>
      <c r="Q71">
        <f t="shared" si="43"/>
        <v>1.0999999999999999</v>
      </c>
      <c r="R71">
        <f t="shared" si="43"/>
        <v>1.1300000000000001</v>
      </c>
      <c r="S71">
        <f t="shared" si="43"/>
        <v>1.0999999999999999</v>
      </c>
      <c r="T71">
        <f t="shared" si="43"/>
        <v>1.1399999999999999</v>
      </c>
      <c r="U71">
        <f t="shared" si="43"/>
        <v>1.1399999999999999</v>
      </c>
      <c r="V71">
        <f t="shared" si="43"/>
        <v>0</v>
      </c>
      <c r="W71">
        <f t="shared" si="43"/>
        <v>0</v>
      </c>
      <c r="X71">
        <f t="shared" si="43"/>
        <v>0</v>
      </c>
      <c r="Y71">
        <f t="shared" si="43"/>
        <v>0</v>
      </c>
      <c r="Z71">
        <f t="shared" si="43"/>
        <v>0</v>
      </c>
      <c r="AA71">
        <f t="shared" si="43"/>
        <v>0</v>
      </c>
    </row>
    <row r="72" spans="1:27" x14ac:dyDescent="0.25">
      <c r="A72">
        <v>4</v>
      </c>
      <c r="B72" t="s">
        <v>26</v>
      </c>
      <c r="C72">
        <f t="shared" ref="C72:M72" si="44">C22-ROUNDUP(C22*0.1,2)-ROUNDUP(C22*0.05,2)</f>
        <v>0.14000000000000001</v>
      </c>
      <c r="D72">
        <f t="shared" si="44"/>
        <v>0.14000000000000001</v>
      </c>
      <c r="E72">
        <f t="shared" si="44"/>
        <v>0.16</v>
      </c>
      <c r="F72">
        <f t="shared" si="44"/>
        <v>0.16</v>
      </c>
      <c r="G72">
        <f t="shared" si="44"/>
        <v>0.14000000000000001</v>
      </c>
      <c r="H72">
        <f t="shared" si="44"/>
        <v>0.15</v>
      </c>
      <c r="I72">
        <f t="shared" si="44"/>
        <v>0.15</v>
      </c>
      <c r="J72">
        <f t="shared" si="44"/>
        <v>0.14000000000000001</v>
      </c>
      <c r="K72">
        <f t="shared" si="44"/>
        <v>0.14000000000000001</v>
      </c>
      <c r="L72">
        <f t="shared" si="44"/>
        <v>0.15</v>
      </c>
      <c r="M72">
        <f t="shared" si="44"/>
        <v>0.15</v>
      </c>
      <c r="N72">
        <f t="shared" ref="N72" si="45">N22-ROUNDUP(N22*0.1,2)-ROUNDUP(N22*0.05,2)</f>
        <v>0.16</v>
      </c>
      <c r="O72">
        <f t="shared" ref="O72:AA72" si="46">O22-ROUNDUP(O22*0.1,2)-ROUNDUP(O22*0.05,2)</f>
        <v>0.17</v>
      </c>
      <c r="P72">
        <f t="shared" si="46"/>
        <v>0.16</v>
      </c>
      <c r="Q72">
        <f t="shared" si="46"/>
        <v>0.16</v>
      </c>
      <c r="R72">
        <f t="shared" si="46"/>
        <v>0.19</v>
      </c>
      <c r="S72">
        <f t="shared" si="46"/>
        <v>0.19</v>
      </c>
      <c r="T72">
        <f t="shared" si="46"/>
        <v>0.18000000000000002</v>
      </c>
      <c r="U72">
        <f t="shared" si="46"/>
        <v>0.28000000000000003</v>
      </c>
      <c r="V72">
        <f t="shared" si="46"/>
        <v>0</v>
      </c>
      <c r="W72">
        <f t="shared" si="46"/>
        <v>0</v>
      </c>
      <c r="X72">
        <f t="shared" si="46"/>
        <v>0</v>
      </c>
      <c r="Y72">
        <f t="shared" si="46"/>
        <v>0</v>
      </c>
      <c r="Z72">
        <f t="shared" si="46"/>
        <v>0</v>
      </c>
      <c r="AA72">
        <f t="shared" si="46"/>
        <v>0</v>
      </c>
    </row>
    <row r="73" spans="1:27" x14ac:dyDescent="0.25">
      <c r="A73">
        <v>4</v>
      </c>
      <c r="B73" t="s">
        <v>27</v>
      </c>
      <c r="C73">
        <f t="shared" ref="C73:M73" si="47">C23-ROUNDUP(C23*0.1,2)-ROUNDUP(C23*0.05,2)</f>
        <v>0.05</v>
      </c>
      <c r="D73">
        <f t="shared" si="47"/>
        <v>0.05</v>
      </c>
      <c r="E73">
        <f t="shared" si="47"/>
        <v>0.05</v>
      </c>
      <c r="F73">
        <f t="shared" si="47"/>
        <v>0.05</v>
      </c>
      <c r="G73">
        <f t="shared" si="47"/>
        <v>0.05</v>
      </c>
      <c r="H73">
        <f t="shared" si="47"/>
        <v>0.05</v>
      </c>
      <c r="I73">
        <f t="shared" si="47"/>
        <v>0.05</v>
      </c>
      <c r="J73">
        <f t="shared" si="47"/>
        <v>0.05</v>
      </c>
      <c r="K73">
        <f t="shared" si="47"/>
        <v>0.05</v>
      </c>
      <c r="L73">
        <f t="shared" si="47"/>
        <v>0.05</v>
      </c>
      <c r="M73">
        <f t="shared" si="47"/>
        <v>0.05</v>
      </c>
      <c r="N73">
        <f t="shared" ref="N73" si="48">N23-ROUNDUP(N23*0.1,2)-ROUNDUP(N23*0.05,2)</f>
        <v>0.05</v>
      </c>
      <c r="O73">
        <f t="shared" ref="O73:AA73" si="49">O23-ROUNDUP(O23*0.1,2)-ROUNDUP(O23*0.05,2)</f>
        <v>0.05</v>
      </c>
      <c r="P73">
        <f t="shared" si="49"/>
        <v>0.05</v>
      </c>
      <c r="Q73">
        <f t="shared" si="49"/>
        <v>0.05</v>
      </c>
      <c r="R73">
        <f t="shared" si="49"/>
        <v>0.05</v>
      </c>
      <c r="S73">
        <f t="shared" si="49"/>
        <v>0.05</v>
      </c>
      <c r="T73">
        <f t="shared" si="49"/>
        <v>0.05</v>
      </c>
      <c r="U73">
        <f t="shared" si="49"/>
        <v>0.09</v>
      </c>
      <c r="V73">
        <f t="shared" si="49"/>
        <v>0</v>
      </c>
      <c r="W73">
        <f t="shared" si="49"/>
        <v>0</v>
      </c>
      <c r="X73">
        <f t="shared" si="49"/>
        <v>0</v>
      </c>
      <c r="Y73">
        <f t="shared" si="49"/>
        <v>0</v>
      </c>
      <c r="Z73">
        <f t="shared" si="49"/>
        <v>0</v>
      </c>
      <c r="AA73">
        <f t="shared" si="49"/>
        <v>0</v>
      </c>
    </row>
    <row r="74" spans="1:27" x14ac:dyDescent="0.25">
      <c r="A74">
        <v>1</v>
      </c>
      <c r="B74" t="s">
        <v>28</v>
      </c>
      <c r="C74">
        <f t="shared" ref="C74:M74" si="50">C24-ROUNDUP(C24*0.1,2)-ROUNDUP(C24*0.05,2)</f>
        <v>0.49999999999999989</v>
      </c>
      <c r="D74">
        <f t="shared" si="50"/>
        <v>0.48999999999999988</v>
      </c>
      <c r="E74">
        <f t="shared" si="50"/>
        <v>0.46000000000000008</v>
      </c>
      <c r="F74">
        <f t="shared" si="50"/>
        <v>0.44000000000000006</v>
      </c>
      <c r="G74">
        <f t="shared" si="50"/>
        <v>0.51</v>
      </c>
      <c r="H74">
        <f t="shared" si="50"/>
        <v>0.51</v>
      </c>
      <c r="I74">
        <f t="shared" si="50"/>
        <v>0.51</v>
      </c>
      <c r="J74">
        <f t="shared" si="50"/>
        <v>0.5</v>
      </c>
      <c r="K74">
        <f t="shared" si="50"/>
        <v>0.48999999999999988</v>
      </c>
      <c r="L74">
        <f t="shared" si="50"/>
        <v>0.5</v>
      </c>
      <c r="M74">
        <f t="shared" si="50"/>
        <v>0.48999999999999988</v>
      </c>
      <c r="N74">
        <f t="shared" ref="N74" si="51">N24-ROUNDUP(N24*0.1,2)-ROUNDUP(N24*0.05,2)</f>
        <v>0.51</v>
      </c>
      <c r="O74">
        <f t="shared" ref="O74:AA74" si="52">O24-ROUNDUP(O24*0.1,2)-ROUNDUP(O24*0.05,2)</f>
        <v>0.54</v>
      </c>
      <c r="P74">
        <f t="shared" si="52"/>
        <v>0.55000000000000004</v>
      </c>
      <c r="Q74">
        <f t="shared" si="52"/>
        <v>0.54</v>
      </c>
      <c r="R74">
        <f t="shared" si="52"/>
        <v>0.55000000000000004</v>
      </c>
      <c r="S74">
        <f t="shared" si="52"/>
        <v>0.53</v>
      </c>
      <c r="T74">
        <f t="shared" si="52"/>
        <v>0.53</v>
      </c>
      <c r="U74">
        <f t="shared" si="52"/>
        <v>0.6</v>
      </c>
      <c r="V74">
        <f t="shared" si="52"/>
        <v>0</v>
      </c>
      <c r="W74">
        <f t="shared" si="52"/>
        <v>0</v>
      </c>
      <c r="X74">
        <f t="shared" si="52"/>
        <v>0</v>
      </c>
      <c r="Y74">
        <f t="shared" si="52"/>
        <v>0</v>
      </c>
      <c r="Z74">
        <f t="shared" si="52"/>
        <v>0</v>
      </c>
      <c r="AA74">
        <f t="shared" si="52"/>
        <v>0</v>
      </c>
    </row>
    <row r="78" spans="1:27" ht="23.25" x14ac:dyDescent="0.35">
      <c r="A78" s="3" t="s">
        <v>29</v>
      </c>
    </row>
    <row r="79" spans="1:27" x14ac:dyDescent="0.25">
      <c r="A79" s="2" t="s">
        <v>11</v>
      </c>
      <c r="B79" s="2" t="s">
        <v>12</v>
      </c>
    </row>
    <row r="80" spans="1:27" x14ac:dyDescent="0.25">
      <c r="C80" s="1">
        <f t="shared" ref="C80:M80" si="53">C64</f>
        <v>44331</v>
      </c>
      <c r="D80" s="1">
        <f t="shared" si="53"/>
        <v>44332</v>
      </c>
      <c r="E80" s="1">
        <f t="shared" si="53"/>
        <v>44334</v>
      </c>
      <c r="F80" s="1">
        <f t="shared" si="53"/>
        <v>44336</v>
      </c>
      <c r="G80" s="1">
        <f t="shared" si="53"/>
        <v>44337</v>
      </c>
      <c r="H80" s="1">
        <f t="shared" si="53"/>
        <v>44338</v>
      </c>
      <c r="I80" s="1">
        <f t="shared" si="53"/>
        <v>44339</v>
      </c>
      <c r="J80" s="1">
        <f t="shared" si="53"/>
        <v>44340</v>
      </c>
      <c r="K80" s="1">
        <f t="shared" si="53"/>
        <v>44341</v>
      </c>
      <c r="L80" s="1">
        <f t="shared" si="53"/>
        <v>44342</v>
      </c>
      <c r="M80" s="1">
        <f t="shared" si="53"/>
        <v>44343</v>
      </c>
      <c r="N80" s="1">
        <f t="shared" ref="N80" si="54">N64</f>
        <v>44344</v>
      </c>
      <c r="O80" s="1">
        <f t="shared" ref="O80:AA80" si="55">O64</f>
        <v>44345</v>
      </c>
      <c r="P80" s="1">
        <f t="shared" si="55"/>
        <v>44346</v>
      </c>
      <c r="Q80" s="1">
        <f t="shared" si="55"/>
        <v>44347</v>
      </c>
      <c r="R80" s="1">
        <f t="shared" si="55"/>
        <v>44348</v>
      </c>
      <c r="S80" s="1">
        <f t="shared" si="55"/>
        <v>44349</v>
      </c>
      <c r="T80" s="1">
        <f t="shared" si="55"/>
        <v>44350</v>
      </c>
      <c r="U80" s="1">
        <f t="shared" si="55"/>
        <v>44351</v>
      </c>
      <c r="V80" s="1">
        <f t="shared" si="55"/>
        <v>44352</v>
      </c>
      <c r="W80" s="1">
        <f t="shared" si="55"/>
        <v>44353</v>
      </c>
      <c r="X80" s="1">
        <f t="shared" si="55"/>
        <v>44354</v>
      </c>
      <c r="Y80" s="1">
        <f t="shared" si="55"/>
        <v>44355</v>
      </c>
      <c r="Z80" s="1">
        <f t="shared" si="55"/>
        <v>44356</v>
      </c>
      <c r="AA80" s="1">
        <f t="shared" si="55"/>
        <v>44357</v>
      </c>
    </row>
    <row r="81" spans="1:27" x14ac:dyDescent="0.25">
      <c r="A81">
        <v>48</v>
      </c>
      <c r="B81" t="s">
        <v>30</v>
      </c>
      <c r="C81">
        <f t="shared" ref="C81" si="56">C31-ROUNDUP(C31*0.1,2)-ROUNDUP(C31*0.05,2)</f>
        <v>3.2899999999999996</v>
      </c>
      <c r="D81">
        <f t="shared" ref="D81:M81" si="57">D31-ROUNDUP(D31*0.1,2)-ROUNDUP(D31*0.05,2)</f>
        <v>3.12</v>
      </c>
      <c r="E81">
        <f t="shared" si="57"/>
        <v>3.35</v>
      </c>
      <c r="F81">
        <f t="shared" si="57"/>
        <v>3.77</v>
      </c>
      <c r="G81">
        <f t="shared" si="57"/>
        <v>3.73</v>
      </c>
      <c r="H81">
        <f t="shared" si="57"/>
        <v>5.0900000000000007</v>
      </c>
      <c r="I81">
        <f t="shared" si="57"/>
        <v>5</v>
      </c>
      <c r="J81">
        <f t="shared" si="57"/>
        <v>5.52</v>
      </c>
      <c r="K81">
        <f t="shared" si="57"/>
        <v>5.54</v>
      </c>
      <c r="L81">
        <f t="shared" si="57"/>
        <v>6.5200000000000005</v>
      </c>
      <c r="M81">
        <f t="shared" si="57"/>
        <v>7.379999999999999</v>
      </c>
      <c r="N81">
        <f t="shared" ref="N81" si="58">N31-ROUNDUP(N31*0.1,2)-ROUNDUP(N31*0.05,2)</f>
        <v>7.3</v>
      </c>
      <c r="O81">
        <f t="shared" ref="O81:AA81" si="59">O31-ROUNDUP(O31*0.1,2)-ROUNDUP(O31*0.05,2)</f>
        <v>6.55</v>
      </c>
      <c r="P81">
        <f t="shared" si="59"/>
        <v>6.14</v>
      </c>
      <c r="Q81">
        <f t="shared" si="59"/>
        <v>5.82</v>
      </c>
      <c r="R81">
        <f t="shared" si="59"/>
        <v>6.5600000000000005</v>
      </c>
      <c r="S81">
        <f t="shared" si="59"/>
        <v>7.29</v>
      </c>
      <c r="T81">
        <f t="shared" si="59"/>
        <v>7.6800000000000006</v>
      </c>
      <c r="U81">
        <f t="shared" si="59"/>
        <v>7.9200000000000008</v>
      </c>
      <c r="V81">
        <f t="shared" si="59"/>
        <v>0</v>
      </c>
      <c r="W81">
        <f t="shared" si="59"/>
        <v>0</v>
      </c>
      <c r="X81">
        <f t="shared" si="59"/>
        <v>0</v>
      </c>
      <c r="Y81">
        <f t="shared" si="59"/>
        <v>0</v>
      </c>
      <c r="Z81">
        <f t="shared" si="59"/>
        <v>0</v>
      </c>
      <c r="AA81">
        <f t="shared" si="59"/>
        <v>0</v>
      </c>
    </row>
    <row r="82" spans="1:27" x14ac:dyDescent="0.25">
      <c r="A82">
        <v>10</v>
      </c>
      <c r="B82" t="s">
        <v>123</v>
      </c>
      <c r="C82">
        <f t="shared" ref="C82:M82" si="60">C32-ROUNDUP(C32*0.1,2)-ROUNDUP(C32*0.05,2)</f>
        <v>2.9499999999999997</v>
      </c>
      <c r="D82">
        <f t="shared" si="60"/>
        <v>2.98</v>
      </c>
      <c r="E82">
        <f t="shared" si="60"/>
        <v>3.33</v>
      </c>
      <c r="F82">
        <f t="shared" si="60"/>
        <v>3.63</v>
      </c>
      <c r="G82">
        <f t="shared" si="60"/>
        <v>3.82</v>
      </c>
      <c r="H82">
        <f t="shared" si="60"/>
        <v>4.93</v>
      </c>
      <c r="I82">
        <f t="shared" si="60"/>
        <v>4.84</v>
      </c>
      <c r="J82">
        <f t="shared" si="60"/>
        <v>5.35</v>
      </c>
      <c r="K82">
        <f t="shared" si="60"/>
        <v>5.31</v>
      </c>
      <c r="L82">
        <f t="shared" si="60"/>
        <v>6.21</v>
      </c>
      <c r="M82">
        <f t="shared" si="60"/>
        <v>6.79</v>
      </c>
      <c r="N82">
        <f t="shared" ref="N82" si="61">N32-ROUNDUP(N32*0.1,2)-ROUNDUP(N32*0.05,2)</f>
        <v>7.16</v>
      </c>
      <c r="O82">
        <f t="shared" ref="O82:AA82" si="62">O32-ROUNDUP(O32*0.1,2)-ROUNDUP(O32*0.05,2)</f>
        <v>6.91</v>
      </c>
      <c r="P82">
        <f t="shared" si="62"/>
        <v>6.11</v>
      </c>
      <c r="Q82">
        <f t="shared" si="62"/>
        <v>5.41</v>
      </c>
      <c r="R82">
        <f t="shared" si="62"/>
        <v>5.82</v>
      </c>
      <c r="S82">
        <f t="shared" si="62"/>
        <v>6.83</v>
      </c>
      <c r="T82">
        <f t="shared" si="62"/>
        <v>7.51</v>
      </c>
      <c r="U82">
        <f t="shared" si="62"/>
        <v>7.6499999999999995</v>
      </c>
      <c r="V82">
        <f t="shared" si="62"/>
        <v>0</v>
      </c>
      <c r="W82">
        <f t="shared" si="62"/>
        <v>0</v>
      </c>
      <c r="X82">
        <f t="shared" si="62"/>
        <v>0</v>
      </c>
      <c r="Y82">
        <f t="shared" si="62"/>
        <v>0</v>
      </c>
      <c r="Z82">
        <f t="shared" si="62"/>
        <v>0</v>
      </c>
      <c r="AA82">
        <f t="shared" si="62"/>
        <v>0</v>
      </c>
    </row>
    <row r="83" spans="1:27" x14ac:dyDescent="0.25">
      <c r="A83">
        <v>6</v>
      </c>
      <c r="B83" t="s">
        <v>124</v>
      </c>
      <c r="C83">
        <f t="shared" ref="C83:M83" si="63">C33-ROUNDUP(C33*0.1,2)-ROUNDUP(C33*0.05,2)</f>
        <v>3.01</v>
      </c>
      <c r="D83">
        <f t="shared" si="63"/>
        <v>2.9099999999999997</v>
      </c>
      <c r="E83">
        <f t="shared" si="63"/>
        <v>3.36</v>
      </c>
      <c r="F83">
        <f t="shared" si="63"/>
        <v>3.7499999999999996</v>
      </c>
      <c r="G83">
        <f t="shared" si="63"/>
        <v>3.82</v>
      </c>
      <c r="H83">
        <f t="shared" si="63"/>
        <v>5.69</v>
      </c>
      <c r="I83">
        <f t="shared" si="63"/>
        <v>6.12</v>
      </c>
      <c r="J83">
        <f t="shared" si="63"/>
        <v>5.15</v>
      </c>
      <c r="K83">
        <f t="shared" si="63"/>
        <v>5.59</v>
      </c>
      <c r="L83">
        <f t="shared" si="63"/>
        <v>6.36</v>
      </c>
      <c r="M83">
        <f t="shared" si="63"/>
        <v>6.9</v>
      </c>
      <c r="N83">
        <f t="shared" ref="N83" si="64">N33-ROUNDUP(N33*0.1,2)-ROUNDUP(N33*0.05,2)</f>
        <v>7.22</v>
      </c>
      <c r="O83">
        <f t="shared" ref="O83:AA83" si="65">O33-ROUNDUP(O33*0.1,2)-ROUNDUP(O33*0.05,2)</f>
        <v>6.68</v>
      </c>
      <c r="P83">
        <f t="shared" si="65"/>
        <v>6.42</v>
      </c>
      <c r="Q83">
        <f t="shared" si="65"/>
        <v>5.8900000000000006</v>
      </c>
      <c r="R83">
        <f t="shared" si="65"/>
        <v>5.97</v>
      </c>
      <c r="S83">
        <f t="shared" si="65"/>
        <v>6.71</v>
      </c>
      <c r="T83">
        <f t="shared" si="65"/>
        <v>8.2299999999999986</v>
      </c>
      <c r="U83">
        <f t="shared" si="65"/>
        <v>8.25</v>
      </c>
      <c r="V83">
        <f t="shared" si="65"/>
        <v>0</v>
      </c>
      <c r="W83">
        <f t="shared" si="65"/>
        <v>0</v>
      </c>
      <c r="X83">
        <f t="shared" si="65"/>
        <v>0</v>
      </c>
      <c r="Y83">
        <f t="shared" si="65"/>
        <v>0</v>
      </c>
      <c r="Z83">
        <f t="shared" si="65"/>
        <v>0</v>
      </c>
      <c r="AA83">
        <f t="shared" si="65"/>
        <v>0</v>
      </c>
    </row>
    <row r="84" spans="1:27" x14ac:dyDescent="0.25">
      <c r="A84">
        <v>10</v>
      </c>
      <c r="B84" t="s">
        <v>125</v>
      </c>
      <c r="C84">
        <f t="shared" ref="C84:M84" si="66">C34-ROUNDUP(C34*0.1,2)-ROUNDUP(C34*0.05,2)</f>
        <v>3.51</v>
      </c>
      <c r="D84">
        <f t="shared" si="66"/>
        <v>3.3099999999999996</v>
      </c>
      <c r="E84">
        <f t="shared" si="66"/>
        <v>3.3099999999999996</v>
      </c>
      <c r="F84">
        <f t="shared" si="66"/>
        <v>4</v>
      </c>
      <c r="G84">
        <f t="shared" si="66"/>
        <v>4.33</v>
      </c>
      <c r="H84">
        <f t="shared" si="66"/>
        <v>5.0100000000000007</v>
      </c>
      <c r="I84">
        <f t="shared" si="66"/>
        <v>5.5699999999999994</v>
      </c>
      <c r="J84">
        <f t="shared" si="66"/>
        <v>6.05</v>
      </c>
      <c r="K84">
        <f t="shared" si="66"/>
        <v>6.11</v>
      </c>
      <c r="L84">
        <f t="shared" si="66"/>
        <v>6.76</v>
      </c>
      <c r="M84">
        <f t="shared" si="66"/>
        <v>7.2499999999999991</v>
      </c>
      <c r="N84">
        <f t="shared" ref="N84" si="67">N34-ROUNDUP(N34*0.1,2)-ROUNDUP(N34*0.05,2)</f>
        <v>7.0600000000000005</v>
      </c>
      <c r="O84">
        <f t="shared" ref="O84:AA84" si="68">O34-ROUNDUP(O34*0.1,2)-ROUNDUP(O34*0.05,2)</f>
        <v>6.9699999999999989</v>
      </c>
      <c r="P84">
        <f t="shared" si="68"/>
        <v>6.46</v>
      </c>
      <c r="Q84">
        <f t="shared" si="68"/>
        <v>6.41</v>
      </c>
      <c r="R84">
        <f t="shared" si="68"/>
        <v>6.6599999999999993</v>
      </c>
      <c r="S84">
        <f t="shared" si="68"/>
        <v>7.4599999999999991</v>
      </c>
      <c r="T84">
        <f t="shared" si="68"/>
        <v>7.69</v>
      </c>
      <c r="U84">
        <f t="shared" si="68"/>
        <v>8.56</v>
      </c>
      <c r="V84">
        <f t="shared" si="68"/>
        <v>0</v>
      </c>
      <c r="W84">
        <f t="shared" si="68"/>
        <v>0</v>
      </c>
      <c r="X84">
        <f t="shared" si="68"/>
        <v>0</v>
      </c>
      <c r="Y84">
        <f t="shared" si="68"/>
        <v>0</v>
      </c>
      <c r="Z84">
        <f t="shared" si="68"/>
        <v>0</v>
      </c>
      <c r="AA84">
        <f t="shared" si="68"/>
        <v>0</v>
      </c>
    </row>
    <row r="85" spans="1:27" x14ac:dyDescent="0.25">
      <c r="A85">
        <v>10</v>
      </c>
      <c r="B85" t="s">
        <v>126</v>
      </c>
      <c r="C85">
        <f t="shared" ref="C85:M85" si="69">C35-ROUNDUP(C35*0.1,2)-ROUNDUP(C35*0.05,2)</f>
        <v>3.03</v>
      </c>
      <c r="D85">
        <f t="shared" si="69"/>
        <v>3.02</v>
      </c>
      <c r="E85">
        <f t="shared" si="69"/>
        <v>3.2499999999999996</v>
      </c>
      <c r="F85">
        <f t="shared" si="69"/>
        <v>3.6399999999999997</v>
      </c>
      <c r="G85">
        <f t="shared" si="69"/>
        <v>3.74</v>
      </c>
      <c r="H85">
        <f t="shared" si="69"/>
        <v>4.8099999999999996</v>
      </c>
      <c r="I85">
        <f t="shared" si="69"/>
        <v>4.9800000000000004</v>
      </c>
      <c r="J85">
        <f t="shared" si="69"/>
        <v>5.35</v>
      </c>
      <c r="K85">
        <f t="shared" si="69"/>
        <v>5.28</v>
      </c>
      <c r="L85">
        <f t="shared" si="69"/>
        <v>6.29</v>
      </c>
      <c r="M85">
        <f t="shared" si="69"/>
        <v>6.67</v>
      </c>
      <c r="N85">
        <f t="shared" ref="N85" si="70">N35-ROUNDUP(N35*0.1,2)-ROUNDUP(N35*0.05,2)</f>
        <v>6.9600000000000009</v>
      </c>
      <c r="O85">
        <f t="shared" ref="O85:AA85" si="71">O35-ROUNDUP(O35*0.1,2)-ROUNDUP(O35*0.05,2)</f>
        <v>6.83</v>
      </c>
      <c r="P85">
        <f t="shared" si="71"/>
        <v>6.76</v>
      </c>
      <c r="Q85">
        <f t="shared" si="71"/>
        <v>6.14</v>
      </c>
      <c r="R85">
        <f t="shared" si="71"/>
        <v>5.88</v>
      </c>
      <c r="S85">
        <f t="shared" si="71"/>
        <v>6.77</v>
      </c>
      <c r="T85">
        <f t="shared" si="71"/>
        <v>7.55</v>
      </c>
      <c r="U85">
        <f t="shared" si="71"/>
        <v>8.2299999999999986</v>
      </c>
      <c r="V85">
        <f t="shared" si="71"/>
        <v>0</v>
      </c>
      <c r="W85">
        <f t="shared" si="71"/>
        <v>0</v>
      </c>
      <c r="X85">
        <f t="shared" si="71"/>
        <v>0</v>
      </c>
      <c r="Y85">
        <f t="shared" si="71"/>
        <v>0</v>
      </c>
      <c r="Z85">
        <f t="shared" si="71"/>
        <v>0</v>
      </c>
      <c r="AA85">
        <f t="shared" si="71"/>
        <v>0</v>
      </c>
    </row>
    <row r="86" spans="1:27" x14ac:dyDescent="0.25">
      <c r="A86">
        <v>7</v>
      </c>
      <c r="B86" t="s">
        <v>127</v>
      </c>
      <c r="C86">
        <f t="shared" ref="C86:M86" si="72">C36-ROUNDUP(C36*0.1,2)-ROUNDUP(C36*0.05,2)</f>
        <v>2.96</v>
      </c>
      <c r="D86">
        <f t="shared" si="72"/>
        <v>3.19</v>
      </c>
      <c r="E86">
        <f t="shared" si="72"/>
        <v>3.41</v>
      </c>
      <c r="F86">
        <f t="shared" si="72"/>
        <v>3.73</v>
      </c>
      <c r="G86">
        <f t="shared" si="72"/>
        <v>4.0399999999999991</v>
      </c>
      <c r="H86">
        <f t="shared" si="72"/>
        <v>5.19</v>
      </c>
      <c r="I86">
        <f t="shared" si="72"/>
        <v>5.59</v>
      </c>
      <c r="J86">
        <f t="shared" si="72"/>
        <v>5.59</v>
      </c>
      <c r="K86">
        <f t="shared" si="72"/>
        <v>5.58</v>
      </c>
      <c r="L86">
        <f t="shared" si="72"/>
        <v>6.53</v>
      </c>
      <c r="M86">
        <f t="shared" si="72"/>
        <v>7.2399999999999993</v>
      </c>
      <c r="N86">
        <f t="shared" ref="N86" si="73">N36-ROUNDUP(N36*0.1,2)-ROUNDUP(N36*0.05,2)</f>
        <v>7.1800000000000015</v>
      </c>
      <c r="O86">
        <f t="shared" ref="O86:AA86" si="74">O36-ROUNDUP(O36*0.1,2)-ROUNDUP(O36*0.05,2)</f>
        <v>7.2000000000000011</v>
      </c>
      <c r="P86">
        <f t="shared" si="74"/>
        <v>6.77</v>
      </c>
      <c r="Q86">
        <f t="shared" si="74"/>
        <v>6.71</v>
      </c>
      <c r="R86">
        <f t="shared" si="74"/>
        <v>6.6999999999999993</v>
      </c>
      <c r="S86">
        <f t="shared" si="74"/>
        <v>7.3</v>
      </c>
      <c r="T86">
        <f t="shared" si="74"/>
        <v>7.96</v>
      </c>
      <c r="U86">
        <f t="shared" si="74"/>
        <v>9.41</v>
      </c>
      <c r="V86">
        <f t="shared" si="74"/>
        <v>0</v>
      </c>
      <c r="W86">
        <f t="shared" si="74"/>
        <v>0</v>
      </c>
      <c r="X86">
        <f t="shared" si="74"/>
        <v>0</v>
      </c>
      <c r="Y86">
        <f t="shared" si="74"/>
        <v>0</v>
      </c>
      <c r="Z86">
        <f t="shared" si="74"/>
        <v>0</v>
      </c>
      <c r="AA86">
        <f t="shared" si="74"/>
        <v>0</v>
      </c>
    </row>
    <row r="87" spans="1:27" x14ac:dyDescent="0.25">
      <c r="A87">
        <v>5</v>
      </c>
      <c r="B87" t="s">
        <v>128</v>
      </c>
      <c r="C87">
        <f t="shared" ref="C87:M87" si="75">C37-ROUNDUP(C37*0.1,2)-ROUNDUP(C37*0.05,2)</f>
        <v>2.9699999999999998</v>
      </c>
      <c r="D87">
        <f t="shared" si="75"/>
        <v>3.14</v>
      </c>
      <c r="E87">
        <f t="shared" si="75"/>
        <v>3.3099999999999996</v>
      </c>
      <c r="F87">
        <f t="shared" si="75"/>
        <v>3.5700000000000003</v>
      </c>
      <c r="G87">
        <f t="shared" si="75"/>
        <v>3.82</v>
      </c>
      <c r="H87">
        <f t="shared" si="75"/>
        <v>5.6099999999999994</v>
      </c>
      <c r="I87">
        <f t="shared" si="75"/>
        <v>5.43</v>
      </c>
      <c r="J87">
        <f t="shared" si="75"/>
        <v>5.43</v>
      </c>
      <c r="K87">
        <f t="shared" si="75"/>
        <v>5.5699999999999994</v>
      </c>
      <c r="L87">
        <f t="shared" si="75"/>
        <v>7.49</v>
      </c>
      <c r="M87">
        <f t="shared" si="75"/>
        <v>8.1499999999999986</v>
      </c>
      <c r="N87">
        <f t="shared" ref="N87" si="76">N37-ROUNDUP(N37*0.1,2)-ROUNDUP(N37*0.05,2)</f>
        <v>7.6499999999999995</v>
      </c>
      <c r="O87">
        <f t="shared" ref="O87:AA87" si="77">O37-ROUNDUP(O37*0.1,2)-ROUNDUP(O37*0.05,2)</f>
        <v>7.379999999999999</v>
      </c>
      <c r="P87">
        <f t="shared" si="77"/>
        <v>6.9599999999999991</v>
      </c>
      <c r="Q87">
        <f t="shared" si="77"/>
        <v>6.26</v>
      </c>
      <c r="R87">
        <f t="shared" si="77"/>
        <v>6.47</v>
      </c>
      <c r="S87">
        <f t="shared" si="77"/>
        <v>6.98</v>
      </c>
      <c r="T87">
        <f t="shared" si="77"/>
        <v>7.78</v>
      </c>
      <c r="U87">
        <f t="shared" si="77"/>
        <v>8.4</v>
      </c>
      <c r="V87">
        <f t="shared" si="77"/>
        <v>0</v>
      </c>
      <c r="W87">
        <f t="shared" si="77"/>
        <v>0</v>
      </c>
      <c r="X87">
        <f t="shared" si="77"/>
        <v>0</v>
      </c>
      <c r="Y87">
        <f t="shared" si="77"/>
        <v>0</v>
      </c>
      <c r="Z87">
        <f t="shared" si="77"/>
        <v>0</v>
      </c>
      <c r="AA87">
        <f t="shared" si="77"/>
        <v>0</v>
      </c>
    </row>
    <row r="91" spans="1:27" ht="31.5" x14ac:dyDescent="0.5">
      <c r="A91" s="4" t="s">
        <v>31</v>
      </c>
    </row>
    <row r="94" spans="1:27" ht="23.25" x14ac:dyDescent="0.35">
      <c r="A94" s="3" t="s">
        <v>1</v>
      </c>
    </row>
    <row r="95" spans="1:27" x14ac:dyDescent="0.25">
      <c r="A95" s="2" t="s">
        <v>11</v>
      </c>
      <c r="B95" s="2" t="s">
        <v>12</v>
      </c>
    </row>
    <row r="96" spans="1:27" x14ac:dyDescent="0.25">
      <c r="C96" s="1">
        <f t="shared" ref="C96:M96" si="78">C80</f>
        <v>44331</v>
      </c>
      <c r="D96" s="1">
        <f t="shared" si="78"/>
        <v>44332</v>
      </c>
      <c r="E96" s="1">
        <f t="shared" si="78"/>
        <v>44334</v>
      </c>
      <c r="F96" s="1">
        <f t="shared" si="78"/>
        <v>44336</v>
      </c>
      <c r="G96" s="1">
        <f t="shared" si="78"/>
        <v>44337</v>
      </c>
      <c r="H96" s="1">
        <f t="shared" si="78"/>
        <v>44338</v>
      </c>
      <c r="I96" s="1">
        <f t="shared" si="78"/>
        <v>44339</v>
      </c>
      <c r="J96" s="1">
        <f t="shared" si="78"/>
        <v>44340</v>
      </c>
      <c r="K96" s="1">
        <f t="shared" si="78"/>
        <v>44341</v>
      </c>
      <c r="L96" s="1">
        <f t="shared" si="78"/>
        <v>44342</v>
      </c>
      <c r="M96" s="1">
        <f t="shared" si="78"/>
        <v>44343</v>
      </c>
      <c r="N96" s="1">
        <f t="shared" ref="N96" si="79">N80</f>
        <v>44344</v>
      </c>
      <c r="O96" s="1">
        <f t="shared" ref="O96:AA96" si="80">O80</f>
        <v>44345</v>
      </c>
      <c r="P96" s="1">
        <f t="shared" si="80"/>
        <v>44346</v>
      </c>
      <c r="Q96" s="1">
        <f t="shared" si="80"/>
        <v>44347</v>
      </c>
      <c r="R96" s="1">
        <f t="shared" si="80"/>
        <v>44348</v>
      </c>
      <c r="S96" s="1">
        <f t="shared" si="80"/>
        <v>44349</v>
      </c>
      <c r="T96" s="1">
        <f t="shared" si="80"/>
        <v>44350</v>
      </c>
      <c r="U96" s="1">
        <f t="shared" si="80"/>
        <v>44351</v>
      </c>
      <c r="V96" s="1">
        <f t="shared" si="80"/>
        <v>44352</v>
      </c>
      <c r="W96" s="1">
        <f t="shared" si="80"/>
        <v>44353</v>
      </c>
      <c r="X96" s="1">
        <f t="shared" si="80"/>
        <v>44354</v>
      </c>
      <c r="Y96" s="1">
        <f t="shared" si="80"/>
        <v>44355</v>
      </c>
      <c r="Z96" s="1">
        <f t="shared" si="80"/>
        <v>44356</v>
      </c>
      <c r="AA96" s="1">
        <f t="shared" si="80"/>
        <v>44357</v>
      </c>
    </row>
    <row r="97" spans="1:27" x14ac:dyDescent="0.25">
      <c r="A97">
        <v>1000</v>
      </c>
      <c r="B97" t="s">
        <v>13</v>
      </c>
      <c r="C97">
        <f t="shared" ref="C97:M97" si="81">C4*$A97</f>
        <v>70</v>
      </c>
      <c r="D97">
        <f t="shared" si="81"/>
        <v>70</v>
      </c>
      <c r="E97">
        <f t="shared" si="81"/>
        <v>70</v>
      </c>
      <c r="F97">
        <f t="shared" si="81"/>
        <v>70</v>
      </c>
      <c r="G97">
        <f t="shared" si="81"/>
        <v>70</v>
      </c>
      <c r="H97">
        <f t="shared" si="81"/>
        <v>70</v>
      </c>
      <c r="I97">
        <f t="shared" si="81"/>
        <v>70</v>
      </c>
      <c r="J97">
        <f t="shared" si="81"/>
        <v>70</v>
      </c>
      <c r="K97">
        <f t="shared" si="81"/>
        <v>70</v>
      </c>
      <c r="L97">
        <f t="shared" si="81"/>
        <v>70</v>
      </c>
      <c r="M97">
        <f t="shared" si="81"/>
        <v>70</v>
      </c>
      <c r="N97">
        <f t="shared" ref="N97" si="82">N4*$A97</f>
        <v>60</v>
      </c>
      <c r="O97">
        <f t="shared" ref="O97:AA97" si="83">O4*$A97</f>
        <v>60</v>
      </c>
      <c r="P97">
        <f t="shared" si="83"/>
        <v>70</v>
      </c>
      <c r="Q97">
        <f t="shared" si="83"/>
        <v>70</v>
      </c>
      <c r="R97">
        <f t="shared" si="83"/>
        <v>70</v>
      </c>
      <c r="S97">
        <f t="shared" si="83"/>
        <v>70</v>
      </c>
      <c r="T97">
        <f t="shared" si="83"/>
        <v>70</v>
      </c>
      <c r="U97">
        <f t="shared" si="83"/>
        <v>80</v>
      </c>
      <c r="V97">
        <f t="shared" si="83"/>
        <v>0</v>
      </c>
      <c r="W97">
        <f t="shared" si="83"/>
        <v>0</v>
      </c>
      <c r="X97">
        <f t="shared" si="83"/>
        <v>0</v>
      </c>
      <c r="Y97">
        <f t="shared" si="83"/>
        <v>0</v>
      </c>
      <c r="Z97">
        <f t="shared" si="83"/>
        <v>0</v>
      </c>
      <c r="AA97">
        <f t="shared" si="83"/>
        <v>0</v>
      </c>
    </row>
    <row r="98" spans="1:27" x14ac:dyDescent="0.25">
      <c r="A98">
        <v>2000</v>
      </c>
      <c r="B98" t="s">
        <v>14</v>
      </c>
      <c r="C98">
        <f t="shared" ref="C98:M98" si="84">C5*$A98</f>
        <v>140</v>
      </c>
      <c r="D98">
        <f t="shared" si="84"/>
        <v>140</v>
      </c>
      <c r="E98">
        <f t="shared" si="84"/>
        <v>140</v>
      </c>
      <c r="F98">
        <f t="shared" si="84"/>
        <v>140</v>
      </c>
      <c r="G98">
        <f t="shared" si="84"/>
        <v>140</v>
      </c>
      <c r="H98">
        <f t="shared" si="84"/>
        <v>140</v>
      </c>
      <c r="I98">
        <f t="shared" si="84"/>
        <v>140</v>
      </c>
      <c r="J98">
        <f t="shared" si="84"/>
        <v>140</v>
      </c>
      <c r="K98">
        <f t="shared" si="84"/>
        <v>140</v>
      </c>
      <c r="L98">
        <f t="shared" si="84"/>
        <v>140</v>
      </c>
      <c r="M98">
        <f t="shared" si="84"/>
        <v>140</v>
      </c>
      <c r="N98">
        <f t="shared" ref="N98" si="85">N5*$A98</f>
        <v>140</v>
      </c>
      <c r="O98">
        <f t="shared" ref="O98:AA98" si="86">O5*$A98</f>
        <v>140</v>
      </c>
      <c r="P98">
        <f t="shared" si="86"/>
        <v>140</v>
      </c>
      <c r="Q98">
        <f t="shared" si="86"/>
        <v>140</v>
      </c>
      <c r="R98">
        <f t="shared" si="86"/>
        <v>140</v>
      </c>
      <c r="S98">
        <f t="shared" si="86"/>
        <v>140</v>
      </c>
      <c r="T98">
        <f t="shared" si="86"/>
        <v>140</v>
      </c>
      <c r="U98">
        <f t="shared" si="86"/>
        <v>240</v>
      </c>
      <c r="V98">
        <f t="shared" si="86"/>
        <v>0</v>
      </c>
      <c r="W98">
        <f t="shared" si="86"/>
        <v>0</v>
      </c>
      <c r="X98">
        <f t="shared" si="86"/>
        <v>0</v>
      </c>
      <c r="Y98">
        <f t="shared" si="86"/>
        <v>0</v>
      </c>
      <c r="Z98">
        <f t="shared" si="86"/>
        <v>0</v>
      </c>
      <c r="AA98">
        <f t="shared" si="86"/>
        <v>0</v>
      </c>
    </row>
    <row r="99" spans="1:27" x14ac:dyDescent="0.25">
      <c r="A99">
        <v>2000</v>
      </c>
      <c r="B99" t="s">
        <v>15</v>
      </c>
      <c r="C99">
        <f t="shared" ref="C99:M99" si="87">C6*$A99</f>
        <v>100</v>
      </c>
      <c r="D99">
        <f t="shared" si="87"/>
        <v>100</v>
      </c>
      <c r="E99">
        <f t="shared" si="87"/>
        <v>100</v>
      </c>
      <c r="F99">
        <f t="shared" si="87"/>
        <v>120</v>
      </c>
      <c r="G99">
        <f t="shared" si="87"/>
        <v>120</v>
      </c>
      <c r="H99">
        <f t="shared" si="87"/>
        <v>120</v>
      </c>
      <c r="I99">
        <f t="shared" si="87"/>
        <v>100</v>
      </c>
      <c r="J99">
        <f t="shared" si="87"/>
        <v>120</v>
      </c>
      <c r="K99">
        <f t="shared" si="87"/>
        <v>120</v>
      </c>
      <c r="L99">
        <f t="shared" si="87"/>
        <v>120</v>
      </c>
      <c r="M99">
        <f t="shared" si="87"/>
        <v>120</v>
      </c>
      <c r="N99">
        <f t="shared" ref="N99" si="88">N6*$A99</f>
        <v>120</v>
      </c>
      <c r="O99">
        <f t="shared" ref="O99:AA99" si="89">O6*$A99</f>
        <v>120</v>
      </c>
      <c r="P99">
        <f t="shared" si="89"/>
        <v>100</v>
      </c>
      <c r="Q99">
        <f t="shared" si="89"/>
        <v>120</v>
      </c>
      <c r="R99">
        <f t="shared" si="89"/>
        <v>120</v>
      </c>
      <c r="S99">
        <f t="shared" si="89"/>
        <v>120</v>
      </c>
      <c r="T99">
        <f t="shared" si="89"/>
        <v>120</v>
      </c>
      <c r="U99">
        <f t="shared" si="89"/>
        <v>140</v>
      </c>
      <c r="V99">
        <f t="shared" si="89"/>
        <v>0</v>
      </c>
      <c r="W99">
        <f t="shared" si="89"/>
        <v>0</v>
      </c>
      <c r="X99">
        <f t="shared" si="89"/>
        <v>0</v>
      </c>
      <c r="Y99">
        <f t="shared" si="89"/>
        <v>0</v>
      </c>
      <c r="Z99">
        <f t="shared" si="89"/>
        <v>0</v>
      </c>
      <c r="AA99">
        <f t="shared" si="89"/>
        <v>0</v>
      </c>
    </row>
    <row r="100" spans="1:27" x14ac:dyDescent="0.25">
      <c r="A100">
        <v>215</v>
      </c>
      <c r="B100" t="s">
        <v>16</v>
      </c>
      <c r="C100">
        <f t="shared" ref="C100:M100" si="90">C7*$A100</f>
        <v>17.2</v>
      </c>
      <c r="D100">
        <f t="shared" si="90"/>
        <v>17.2</v>
      </c>
      <c r="E100">
        <f t="shared" si="90"/>
        <v>17.2</v>
      </c>
      <c r="F100">
        <f t="shared" si="90"/>
        <v>17.2</v>
      </c>
      <c r="G100">
        <f t="shared" si="90"/>
        <v>17.2</v>
      </c>
      <c r="H100">
        <f t="shared" si="90"/>
        <v>17.2</v>
      </c>
      <c r="I100">
        <f t="shared" si="90"/>
        <v>17.2</v>
      </c>
      <c r="J100">
        <f t="shared" si="90"/>
        <v>17.2</v>
      </c>
      <c r="K100">
        <f t="shared" si="90"/>
        <v>17.2</v>
      </c>
      <c r="L100">
        <f t="shared" si="90"/>
        <v>17.2</v>
      </c>
      <c r="M100">
        <f t="shared" si="90"/>
        <v>17.2</v>
      </c>
      <c r="N100">
        <f t="shared" ref="N100" si="91">N7*$A100</f>
        <v>17.2</v>
      </c>
      <c r="O100">
        <f t="shared" ref="O100:AA100" si="92">O7*$A100</f>
        <v>17.2</v>
      </c>
      <c r="P100">
        <f t="shared" si="92"/>
        <v>17.2</v>
      </c>
      <c r="Q100">
        <f t="shared" si="92"/>
        <v>17.2</v>
      </c>
      <c r="R100">
        <f t="shared" si="92"/>
        <v>17.2</v>
      </c>
      <c r="S100">
        <f t="shared" si="92"/>
        <v>17.2</v>
      </c>
      <c r="T100">
        <f t="shared" si="92"/>
        <v>17.2</v>
      </c>
      <c r="U100">
        <f t="shared" si="92"/>
        <v>34.4</v>
      </c>
      <c r="V100">
        <f t="shared" si="92"/>
        <v>0</v>
      </c>
      <c r="W100">
        <f t="shared" si="92"/>
        <v>0</v>
      </c>
      <c r="X100">
        <f t="shared" si="92"/>
        <v>0</v>
      </c>
      <c r="Y100">
        <f t="shared" si="92"/>
        <v>0</v>
      </c>
      <c r="Z100">
        <f t="shared" si="92"/>
        <v>0</v>
      </c>
      <c r="AA100">
        <f t="shared" si="92"/>
        <v>0</v>
      </c>
    </row>
    <row r="101" spans="1:27" x14ac:dyDescent="0.25">
      <c r="A101">
        <v>150</v>
      </c>
      <c r="B101" t="s">
        <v>17</v>
      </c>
      <c r="C101">
        <f t="shared" ref="C101:M101" si="93">C8*$A101</f>
        <v>52.5</v>
      </c>
      <c r="D101">
        <f t="shared" si="93"/>
        <v>52.5</v>
      </c>
      <c r="E101">
        <f t="shared" si="93"/>
        <v>52.5</v>
      </c>
      <c r="F101">
        <f t="shared" si="93"/>
        <v>46.5</v>
      </c>
      <c r="G101">
        <f t="shared" si="93"/>
        <v>45</v>
      </c>
      <c r="H101">
        <f t="shared" si="93"/>
        <v>51.000000000000007</v>
      </c>
      <c r="I101">
        <f t="shared" si="93"/>
        <v>45</v>
      </c>
      <c r="J101">
        <f t="shared" si="93"/>
        <v>45</v>
      </c>
      <c r="K101">
        <f t="shared" si="93"/>
        <v>46.5</v>
      </c>
      <c r="L101">
        <f t="shared" si="93"/>
        <v>45</v>
      </c>
      <c r="M101">
        <f t="shared" si="93"/>
        <v>46.5</v>
      </c>
      <c r="N101">
        <f t="shared" ref="N101" si="94">N8*$A101</f>
        <v>45</v>
      </c>
      <c r="O101">
        <f t="shared" ref="O101:AA101" si="95">O8*$A101</f>
        <v>48</v>
      </c>
      <c r="P101">
        <f t="shared" si="95"/>
        <v>48</v>
      </c>
      <c r="Q101">
        <f t="shared" si="95"/>
        <v>51.000000000000007</v>
      </c>
      <c r="R101">
        <f t="shared" si="95"/>
        <v>45</v>
      </c>
      <c r="S101">
        <f t="shared" si="95"/>
        <v>48</v>
      </c>
      <c r="T101">
        <f t="shared" si="95"/>
        <v>45</v>
      </c>
      <c r="U101">
        <f t="shared" si="95"/>
        <v>52.5</v>
      </c>
      <c r="V101">
        <f t="shared" si="95"/>
        <v>0</v>
      </c>
      <c r="W101">
        <f t="shared" si="95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</row>
    <row r="102" spans="1:27" x14ac:dyDescent="0.25">
      <c r="C102" s="2">
        <f>SUM(C97:C101)</f>
        <v>379.7</v>
      </c>
      <c r="D102" s="2">
        <f t="shared" ref="D102:F102" si="96">SUM(D97:D101)</f>
        <v>379.7</v>
      </c>
      <c r="E102" s="2">
        <f t="shared" si="96"/>
        <v>379.7</v>
      </c>
      <c r="F102" s="2">
        <f t="shared" si="96"/>
        <v>393.7</v>
      </c>
      <c r="G102" s="2">
        <f t="shared" ref="G102" si="97">SUM(G97:G101)</f>
        <v>392.2</v>
      </c>
      <c r="H102" s="2">
        <f t="shared" ref="H102" si="98">SUM(H97:H101)</f>
        <v>398.2</v>
      </c>
      <c r="I102" s="2">
        <f t="shared" ref="I102" si="99">SUM(I97:I101)</f>
        <v>372.2</v>
      </c>
      <c r="J102" s="2">
        <f t="shared" ref="J102" si="100">SUM(J97:J101)</f>
        <v>392.2</v>
      </c>
      <c r="K102" s="2">
        <f t="shared" ref="K102" si="101">SUM(K97:K101)</f>
        <v>393.7</v>
      </c>
      <c r="L102" s="2">
        <f t="shared" ref="L102" si="102">SUM(L97:L101)</f>
        <v>392.2</v>
      </c>
      <c r="M102" s="2">
        <f t="shared" ref="M102" si="103">SUM(M97:M101)</f>
        <v>393.7</v>
      </c>
      <c r="N102" s="2">
        <f t="shared" ref="N102" si="104">SUM(N97:N101)</f>
        <v>382.2</v>
      </c>
      <c r="O102" s="2">
        <f t="shared" ref="O102:AA102" si="105">SUM(O97:O101)</f>
        <v>385.2</v>
      </c>
      <c r="P102" s="2">
        <f t="shared" si="105"/>
        <v>375.2</v>
      </c>
      <c r="Q102" s="2">
        <f t="shared" si="105"/>
        <v>398.2</v>
      </c>
      <c r="R102" s="2">
        <f t="shared" si="105"/>
        <v>392.2</v>
      </c>
      <c r="S102" s="2">
        <f t="shared" si="105"/>
        <v>395.2</v>
      </c>
      <c r="T102" s="2">
        <f t="shared" si="105"/>
        <v>392.2</v>
      </c>
      <c r="U102" s="2">
        <f t="shared" si="105"/>
        <v>546.9</v>
      </c>
      <c r="V102" s="2">
        <f t="shared" si="105"/>
        <v>0</v>
      </c>
      <c r="W102" s="2">
        <f t="shared" si="105"/>
        <v>0</v>
      </c>
      <c r="X102" s="2">
        <f t="shared" si="105"/>
        <v>0</v>
      </c>
      <c r="Y102" s="2">
        <f t="shared" si="105"/>
        <v>0</v>
      </c>
      <c r="Z102" s="2">
        <f t="shared" si="105"/>
        <v>0</v>
      </c>
      <c r="AA102" s="2">
        <f t="shared" si="105"/>
        <v>0</v>
      </c>
    </row>
    <row r="105" spans="1:27" ht="23.25" x14ac:dyDescent="0.35">
      <c r="A105" s="3" t="s">
        <v>18</v>
      </c>
    </row>
    <row r="106" spans="1:27" x14ac:dyDescent="0.25">
      <c r="A106" s="2" t="s">
        <v>11</v>
      </c>
      <c r="B106" s="2" t="s">
        <v>12</v>
      </c>
    </row>
    <row r="107" spans="1:27" x14ac:dyDescent="0.25">
      <c r="C107" s="1">
        <f>C96</f>
        <v>44331</v>
      </c>
      <c r="D107" s="1">
        <f t="shared" ref="D107:M107" si="106">D96</f>
        <v>44332</v>
      </c>
      <c r="E107" s="1">
        <f t="shared" si="106"/>
        <v>44334</v>
      </c>
      <c r="F107" s="1">
        <f t="shared" si="106"/>
        <v>44336</v>
      </c>
      <c r="G107" s="1">
        <f t="shared" si="106"/>
        <v>44337</v>
      </c>
      <c r="H107" s="1">
        <f t="shared" si="106"/>
        <v>44338</v>
      </c>
      <c r="I107" s="1">
        <f t="shared" si="106"/>
        <v>44339</v>
      </c>
      <c r="J107" s="1">
        <f t="shared" si="106"/>
        <v>44340</v>
      </c>
      <c r="K107" s="1">
        <f t="shared" si="106"/>
        <v>44341</v>
      </c>
      <c r="L107" s="1">
        <f t="shared" si="106"/>
        <v>44342</v>
      </c>
      <c r="M107" s="1">
        <f t="shared" si="106"/>
        <v>44343</v>
      </c>
      <c r="N107" s="1">
        <f t="shared" ref="N107" si="107">N96</f>
        <v>44344</v>
      </c>
      <c r="O107" s="1">
        <f t="shared" ref="O107:AA107" si="108">O96</f>
        <v>44345</v>
      </c>
      <c r="P107" s="1">
        <f t="shared" si="108"/>
        <v>44346</v>
      </c>
      <c r="Q107" s="1">
        <f t="shared" si="108"/>
        <v>44347</v>
      </c>
      <c r="R107" s="1">
        <f t="shared" si="108"/>
        <v>44348</v>
      </c>
      <c r="S107" s="1">
        <f t="shared" si="108"/>
        <v>44349</v>
      </c>
      <c r="T107" s="1">
        <f t="shared" si="108"/>
        <v>44350</v>
      </c>
      <c r="U107" s="1">
        <f t="shared" si="108"/>
        <v>44351</v>
      </c>
      <c r="V107" s="1">
        <f t="shared" si="108"/>
        <v>44352</v>
      </c>
      <c r="W107" s="1">
        <f t="shared" si="108"/>
        <v>44353</v>
      </c>
      <c r="X107" s="1">
        <f t="shared" si="108"/>
        <v>44354</v>
      </c>
      <c r="Y107" s="1">
        <f t="shared" si="108"/>
        <v>44355</v>
      </c>
      <c r="Z107" s="1">
        <f t="shared" si="108"/>
        <v>44356</v>
      </c>
      <c r="AA107" s="1">
        <f t="shared" si="108"/>
        <v>44357</v>
      </c>
    </row>
    <row r="108" spans="1:27" x14ac:dyDescent="0.25">
      <c r="A108">
        <v>5</v>
      </c>
      <c r="B108" t="s">
        <v>19</v>
      </c>
      <c r="C108">
        <f t="shared" ref="C108:M108" si="109">C15*$A108</f>
        <v>0.25</v>
      </c>
      <c r="D108">
        <f t="shared" si="109"/>
        <v>0.25</v>
      </c>
      <c r="E108">
        <f t="shared" si="109"/>
        <v>0.25</v>
      </c>
      <c r="F108">
        <f t="shared" si="109"/>
        <v>0.3</v>
      </c>
      <c r="G108">
        <f t="shared" si="109"/>
        <v>0.3</v>
      </c>
      <c r="H108">
        <f t="shared" si="109"/>
        <v>0.3</v>
      </c>
      <c r="I108">
        <f t="shared" si="109"/>
        <v>0.25</v>
      </c>
      <c r="J108">
        <f t="shared" si="109"/>
        <v>0.3</v>
      </c>
      <c r="K108">
        <f t="shared" si="109"/>
        <v>0.3</v>
      </c>
      <c r="L108">
        <f t="shared" si="109"/>
        <v>0.3</v>
      </c>
      <c r="M108">
        <f t="shared" si="109"/>
        <v>0.3</v>
      </c>
      <c r="N108">
        <f t="shared" ref="N108" si="110">N15*$A108</f>
        <v>0.3</v>
      </c>
      <c r="O108">
        <f t="shared" ref="O108:AA108" si="111">O15*$A108</f>
        <v>0.3</v>
      </c>
      <c r="P108">
        <f t="shared" si="111"/>
        <v>0.25</v>
      </c>
      <c r="Q108">
        <f t="shared" si="111"/>
        <v>0.3</v>
      </c>
      <c r="R108">
        <f t="shared" si="111"/>
        <v>0.3</v>
      </c>
      <c r="S108">
        <f t="shared" si="111"/>
        <v>0.3</v>
      </c>
      <c r="T108">
        <f t="shared" si="111"/>
        <v>0.3</v>
      </c>
      <c r="U108">
        <f t="shared" si="111"/>
        <v>0.35000000000000003</v>
      </c>
      <c r="V108">
        <f t="shared" si="111"/>
        <v>0</v>
      </c>
      <c r="W108">
        <f t="shared" si="111"/>
        <v>0</v>
      </c>
      <c r="X108">
        <f t="shared" si="111"/>
        <v>0</v>
      </c>
      <c r="Y108">
        <f t="shared" si="111"/>
        <v>0</v>
      </c>
      <c r="Z108">
        <f t="shared" si="111"/>
        <v>0</v>
      </c>
      <c r="AA108">
        <f t="shared" si="111"/>
        <v>0</v>
      </c>
    </row>
    <row r="109" spans="1:27" x14ac:dyDescent="0.25">
      <c r="A109">
        <v>16</v>
      </c>
      <c r="B109" t="s">
        <v>20</v>
      </c>
      <c r="C109">
        <f t="shared" ref="C109:M109" si="112">C16*$A109</f>
        <v>1.1200000000000001</v>
      </c>
      <c r="D109">
        <f t="shared" si="112"/>
        <v>1.1200000000000001</v>
      </c>
      <c r="E109">
        <f t="shared" si="112"/>
        <v>1.1200000000000001</v>
      </c>
      <c r="F109">
        <f t="shared" si="112"/>
        <v>1.1200000000000001</v>
      </c>
      <c r="G109">
        <f t="shared" si="112"/>
        <v>1.1200000000000001</v>
      </c>
      <c r="H109">
        <f t="shared" si="112"/>
        <v>1.1200000000000001</v>
      </c>
      <c r="I109">
        <f t="shared" si="112"/>
        <v>1.1200000000000001</v>
      </c>
      <c r="J109">
        <f t="shared" si="112"/>
        <v>1.1200000000000001</v>
      </c>
      <c r="K109">
        <f t="shared" si="112"/>
        <v>1.1200000000000001</v>
      </c>
      <c r="L109">
        <f t="shared" si="112"/>
        <v>1.1200000000000001</v>
      </c>
      <c r="M109">
        <f t="shared" si="112"/>
        <v>1.1200000000000001</v>
      </c>
      <c r="N109">
        <f t="shared" ref="N109" si="113">N16*$A109</f>
        <v>1.1200000000000001</v>
      </c>
      <c r="O109">
        <f t="shared" ref="O109:AA109" si="114">O16*$A109</f>
        <v>1.1200000000000001</v>
      </c>
      <c r="P109">
        <f t="shared" si="114"/>
        <v>1.1200000000000001</v>
      </c>
      <c r="Q109">
        <f t="shared" si="114"/>
        <v>1.1200000000000001</v>
      </c>
      <c r="R109">
        <f t="shared" si="114"/>
        <v>1.28</v>
      </c>
      <c r="S109">
        <f t="shared" si="114"/>
        <v>1.28</v>
      </c>
      <c r="T109">
        <f t="shared" si="114"/>
        <v>1.28</v>
      </c>
      <c r="U109">
        <f t="shared" si="114"/>
        <v>1.44</v>
      </c>
      <c r="V109">
        <f t="shared" si="114"/>
        <v>0</v>
      </c>
      <c r="W109">
        <f t="shared" si="114"/>
        <v>0</v>
      </c>
      <c r="X109">
        <f t="shared" si="114"/>
        <v>0</v>
      </c>
      <c r="Y109">
        <f t="shared" si="114"/>
        <v>0</v>
      </c>
      <c r="Z109">
        <f t="shared" si="114"/>
        <v>0</v>
      </c>
      <c r="AA109">
        <f t="shared" si="114"/>
        <v>0</v>
      </c>
    </row>
    <row r="110" spans="1:27" x14ac:dyDescent="0.25">
      <c r="A110">
        <v>3</v>
      </c>
      <c r="B110" t="s">
        <v>21</v>
      </c>
      <c r="C110">
        <f t="shared" ref="C110:M110" si="115">C17*$A110</f>
        <v>1.0499999999999998</v>
      </c>
      <c r="D110">
        <f t="shared" si="115"/>
        <v>1.0499999999999998</v>
      </c>
      <c r="E110">
        <f t="shared" si="115"/>
        <v>1.0499999999999998</v>
      </c>
      <c r="F110">
        <f t="shared" si="115"/>
        <v>0.92999999999999994</v>
      </c>
      <c r="G110">
        <f t="shared" si="115"/>
        <v>0.89999999999999991</v>
      </c>
      <c r="H110">
        <f t="shared" si="115"/>
        <v>1.02</v>
      </c>
      <c r="I110">
        <f t="shared" si="115"/>
        <v>0.89999999999999991</v>
      </c>
      <c r="J110">
        <f t="shared" si="115"/>
        <v>0.89999999999999991</v>
      </c>
      <c r="K110">
        <f t="shared" si="115"/>
        <v>0.92999999999999994</v>
      </c>
      <c r="L110">
        <f t="shared" si="115"/>
        <v>0.89999999999999991</v>
      </c>
      <c r="M110">
        <f t="shared" si="115"/>
        <v>0.92999999999999994</v>
      </c>
      <c r="N110">
        <f t="shared" ref="N110" si="116">N17*$A110</f>
        <v>0.89999999999999991</v>
      </c>
      <c r="O110">
        <f t="shared" ref="O110:AA110" si="117">O17*$A110</f>
        <v>0.96</v>
      </c>
      <c r="P110">
        <f t="shared" si="117"/>
        <v>0.96</v>
      </c>
      <c r="Q110">
        <f t="shared" si="117"/>
        <v>1.02</v>
      </c>
      <c r="R110">
        <f t="shared" si="117"/>
        <v>0.89999999999999991</v>
      </c>
      <c r="S110">
        <f t="shared" si="117"/>
        <v>0.96</v>
      </c>
      <c r="T110">
        <f t="shared" si="117"/>
        <v>0.89999999999999991</v>
      </c>
      <c r="U110">
        <f t="shared" si="117"/>
        <v>1.0499999999999998</v>
      </c>
      <c r="V110">
        <f t="shared" si="117"/>
        <v>0</v>
      </c>
      <c r="W110">
        <f t="shared" si="117"/>
        <v>0</v>
      </c>
      <c r="X110">
        <f t="shared" si="117"/>
        <v>0</v>
      </c>
      <c r="Y110">
        <f t="shared" si="117"/>
        <v>0</v>
      </c>
      <c r="Z110">
        <f t="shared" si="117"/>
        <v>0</v>
      </c>
      <c r="AA110">
        <f t="shared" si="117"/>
        <v>0</v>
      </c>
    </row>
    <row r="111" spans="1:27" x14ac:dyDescent="0.25">
      <c r="A111">
        <v>16</v>
      </c>
      <c r="B111" t="s">
        <v>22</v>
      </c>
      <c r="C111">
        <f t="shared" ref="C111:M111" si="118">C18*$A111</f>
        <v>1.1200000000000001</v>
      </c>
      <c r="D111">
        <f t="shared" si="118"/>
        <v>1.1200000000000001</v>
      </c>
      <c r="E111">
        <f t="shared" si="118"/>
        <v>1.1200000000000001</v>
      </c>
      <c r="F111">
        <f t="shared" si="118"/>
        <v>1.1200000000000001</v>
      </c>
      <c r="G111">
        <f t="shared" si="118"/>
        <v>1.1200000000000001</v>
      </c>
      <c r="H111">
        <f t="shared" si="118"/>
        <v>1.1200000000000001</v>
      </c>
      <c r="I111">
        <f t="shared" si="118"/>
        <v>1.1200000000000001</v>
      </c>
      <c r="J111">
        <f t="shared" si="118"/>
        <v>1.1200000000000001</v>
      </c>
      <c r="K111">
        <f t="shared" si="118"/>
        <v>1.1200000000000001</v>
      </c>
      <c r="L111">
        <f t="shared" si="118"/>
        <v>1.1200000000000001</v>
      </c>
      <c r="M111">
        <f t="shared" si="118"/>
        <v>1.1200000000000001</v>
      </c>
      <c r="N111">
        <f t="shared" ref="N111" si="119">N18*$A111</f>
        <v>0.96</v>
      </c>
      <c r="O111">
        <f t="shared" ref="O111:AA111" si="120">O18*$A111</f>
        <v>0.96</v>
      </c>
      <c r="P111">
        <f t="shared" si="120"/>
        <v>1.1200000000000001</v>
      </c>
      <c r="Q111">
        <f t="shared" si="120"/>
        <v>1.1200000000000001</v>
      </c>
      <c r="R111">
        <f t="shared" si="120"/>
        <v>1.1200000000000001</v>
      </c>
      <c r="S111">
        <f t="shared" si="120"/>
        <v>1.1200000000000001</v>
      </c>
      <c r="T111">
        <f t="shared" si="120"/>
        <v>1.1200000000000001</v>
      </c>
      <c r="U111">
        <f t="shared" si="120"/>
        <v>1.28</v>
      </c>
      <c r="V111">
        <f t="shared" si="120"/>
        <v>0</v>
      </c>
      <c r="W111">
        <f t="shared" si="120"/>
        <v>0</v>
      </c>
      <c r="X111">
        <f t="shared" si="120"/>
        <v>0</v>
      </c>
      <c r="Y111">
        <f t="shared" si="120"/>
        <v>0</v>
      </c>
      <c r="Z111">
        <f t="shared" si="120"/>
        <v>0</v>
      </c>
      <c r="AA111">
        <f t="shared" si="120"/>
        <v>0</v>
      </c>
    </row>
    <row r="112" spans="1:27" x14ac:dyDescent="0.25">
      <c r="A112">
        <v>19</v>
      </c>
      <c r="B112" t="s">
        <v>23</v>
      </c>
      <c r="C112">
        <f t="shared" ref="C112:M112" si="121">C19*$A112</f>
        <v>3.9899999999999998</v>
      </c>
      <c r="D112">
        <f t="shared" si="121"/>
        <v>3.9899999999999998</v>
      </c>
      <c r="E112">
        <f t="shared" si="121"/>
        <v>3.9899999999999998</v>
      </c>
      <c r="F112">
        <f t="shared" si="121"/>
        <v>3.9899999999999998</v>
      </c>
      <c r="G112">
        <f t="shared" si="121"/>
        <v>3.9899999999999998</v>
      </c>
      <c r="H112">
        <f t="shared" si="121"/>
        <v>3.9899999999999998</v>
      </c>
      <c r="I112">
        <f t="shared" si="121"/>
        <v>3.9899999999999998</v>
      </c>
      <c r="J112">
        <f t="shared" si="121"/>
        <v>3.9899999999999998</v>
      </c>
      <c r="K112">
        <f t="shared" si="121"/>
        <v>3.9899999999999998</v>
      </c>
      <c r="L112">
        <f t="shared" si="121"/>
        <v>3.8000000000000003</v>
      </c>
      <c r="M112">
        <f t="shared" si="121"/>
        <v>3.8000000000000003</v>
      </c>
      <c r="N112">
        <f t="shared" ref="N112" si="122">N19*$A112</f>
        <v>3.9899999999999998</v>
      </c>
      <c r="O112">
        <f t="shared" ref="O112:AA112" si="123">O19*$A112</f>
        <v>3.9899999999999998</v>
      </c>
      <c r="P112">
        <f t="shared" si="123"/>
        <v>4.5599999999999996</v>
      </c>
      <c r="Q112">
        <f t="shared" si="123"/>
        <v>4.5599999999999996</v>
      </c>
      <c r="R112">
        <f t="shared" si="123"/>
        <v>4.5599999999999996</v>
      </c>
      <c r="S112">
        <f t="shared" si="123"/>
        <v>4.9400000000000004</v>
      </c>
      <c r="T112">
        <f t="shared" si="123"/>
        <v>5.1300000000000008</v>
      </c>
      <c r="U112">
        <f t="shared" si="123"/>
        <v>6.4600000000000009</v>
      </c>
      <c r="V112">
        <f t="shared" si="123"/>
        <v>0</v>
      </c>
      <c r="W112">
        <f t="shared" si="123"/>
        <v>0</v>
      </c>
      <c r="X112">
        <f t="shared" si="123"/>
        <v>0</v>
      </c>
      <c r="Y112">
        <f t="shared" si="123"/>
        <v>0</v>
      </c>
      <c r="Z112">
        <f t="shared" si="123"/>
        <v>0</v>
      </c>
      <c r="AA112">
        <f t="shared" si="123"/>
        <v>0</v>
      </c>
    </row>
    <row r="113" spans="1:27" x14ac:dyDescent="0.25">
      <c r="A113">
        <v>6</v>
      </c>
      <c r="B113" t="s">
        <v>24</v>
      </c>
      <c r="C113">
        <f t="shared" ref="C113:M113" si="124">C20*$A113</f>
        <v>0.48</v>
      </c>
      <c r="D113">
        <f t="shared" si="124"/>
        <v>0.48</v>
      </c>
      <c r="E113">
        <f t="shared" si="124"/>
        <v>0.48</v>
      </c>
      <c r="F113">
        <f t="shared" si="124"/>
        <v>0.48</v>
      </c>
      <c r="G113">
        <f t="shared" si="124"/>
        <v>0.48</v>
      </c>
      <c r="H113">
        <f t="shared" si="124"/>
        <v>0.48</v>
      </c>
      <c r="I113">
        <f t="shared" si="124"/>
        <v>0.48</v>
      </c>
      <c r="J113">
        <f t="shared" si="124"/>
        <v>0.48</v>
      </c>
      <c r="K113">
        <f t="shared" si="124"/>
        <v>0.48</v>
      </c>
      <c r="L113">
        <f t="shared" si="124"/>
        <v>0.48</v>
      </c>
      <c r="M113">
        <f t="shared" si="124"/>
        <v>0.48</v>
      </c>
      <c r="N113">
        <f t="shared" ref="N113" si="125">N20*$A113</f>
        <v>0.48</v>
      </c>
      <c r="O113">
        <f t="shared" ref="O113:AA113" si="126">O20*$A113</f>
        <v>0.48</v>
      </c>
      <c r="P113">
        <f t="shared" si="126"/>
        <v>0.48</v>
      </c>
      <c r="Q113">
        <f t="shared" si="126"/>
        <v>0.48</v>
      </c>
      <c r="R113">
        <f t="shared" si="126"/>
        <v>0.48</v>
      </c>
      <c r="S113">
        <f t="shared" si="126"/>
        <v>0.48</v>
      </c>
      <c r="T113">
        <f t="shared" si="126"/>
        <v>0.48</v>
      </c>
      <c r="U113">
        <f t="shared" si="126"/>
        <v>0.96</v>
      </c>
      <c r="V113">
        <f t="shared" si="126"/>
        <v>0</v>
      </c>
      <c r="W113">
        <f t="shared" si="126"/>
        <v>0</v>
      </c>
      <c r="X113">
        <f t="shared" si="126"/>
        <v>0</v>
      </c>
      <c r="Y113">
        <f t="shared" si="126"/>
        <v>0</v>
      </c>
      <c r="Z113">
        <f t="shared" si="126"/>
        <v>0</v>
      </c>
      <c r="AA113">
        <f t="shared" si="126"/>
        <v>0</v>
      </c>
    </row>
    <row r="114" spans="1:27" x14ac:dyDescent="0.25">
      <c r="A114">
        <v>7</v>
      </c>
      <c r="B114" t="s">
        <v>25</v>
      </c>
      <c r="C114">
        <f t="shared" ref="C114:M114" si="127">C21*$A114</f>
        <v>7.8400000000000007</v>
      </c>
      <c r="D114">
        <f t="shared" si="127"/>
        <v>7.8400000000000007</v>
      </c>
      <c r="E114">
        <f t="shared" si="127"/>
        <v>8.4</v>
      </c>
      <c r="F114">
        <f t="shared" si="127"/>
        <v>8.68</v>
      </c>
      <c r="G114">
        <f t="shared" si="127"/>
        <v>8.4699999999999989</v>
      </c>
      <c r="H114">
        <f t="shared" si="127"/>
        <v>8.82</v>
      </c>
      <c r="I114">
        <f t="shared" si="127"/>
        <v>8.89</v>
      </c>
      <c r="J114">
        <f t="shared" si="127"/>
        <v>9.17</v>
      </c>
      <c r="K114">
        <f t="shared" si="127"/>
        <v>10.71</v>
      </c>
      <c r="L114">
        <f t="shared" si="127"/>
        <v>10.15</v>
      </c>
      <c r="M114">
        <f t="shared" si="127"/>
        <v>10.57</v>
      </c>
      <c r="N114">
        <f t="shared" ref="N114" si="128">N21*$A114</f>
        <v>10.43</v>
      </c>
      <c r="O114">
        <f t="shared" ref="O114:AA114" si="129">O21*$A114</f>
        <v>9.8699999999999992</v>
      </c>
      <c r="P114">
        <f t="shared" si="129"/>
        <v>9.7299999999999986</v>
      </c>
      <c r="Q114">
        <f t="shared" si="129"/>
        <v>9.17</v>
      </c>
      <c r="R114">
        <f t="shared" si="129"/>
        <v>9.3800000000000008</v>
      </c>
      <c r="S114">
        <f t="shared" si="129"/>
        <v>9.17</v>
      </c>
      <c r="T114">
        <f t="shared" si="129"/>
        <v>9.4500000000000011</v>
      </c>
      <c r="U114">
        <f t="shared" si="129"/>
        <v>9.4500000000000011</v>
      </c>
      <c r="V114">
        <f t="shared" si="129"/>
        <v>0</v>
      </c>
      <c r="W114">
        <f t="shared" si="129"/>
        <v>0</v>
      </c>
      <c r="X114">
        <f t="shared" si="129"/>
        <v>0</v>
      </c>
      <c r="Y114">
        <f t="shared" si="129"/>
        <v>0</v>
      </c>
      <c r="Z114">
        <f t="shared" si="129"/>
        <v>0</v>
      </c>
      <c r="AA114">
        <f t="shared" si="129"/>
        <v>0</v>
      </c>
    </row>
    <row r="115" spans="1:27" x14ac:dyDescent="0.25">
      <c r="A115">
        <v>4</v>
      </c>
      <c r="B115" t="s">
        <v>26</v>
      </c>
      <c r="C115">
        <f t="shared" ref="C115:M115" si="130">C22*$A115</f>
        <v>0.68</v>
      </c>
      <c r="D115">
        <f t="shared" si="130"/>
        <v>0.68</v>
      </c>
      <c r="E115">
        <f t="shared" si="130"/>
        <v>0.76</v>
      </c>
      <c r="F115">
        <f t="shared" si="130"/>
        <v>0.76</v>
      </c>
      <c r="G115">
        <f t="shared" si="130"/>
        <v>0.68</v>
      </c>
      <c r="H115">
        <f t="shared" si="130"/>
        <v>0.72</v>
      </c>
      <c r="I115">
        <f t="shared" si="130"/>
        <v>0.72</v>
      </c>
      <c r="J115">
        <f t="shared" si="130"/>
        <v>0.68</v>
      </c>
      <c r="K115">
        <f t="shared" si="130"/>
        <v>0.68</v>
      </c>
      <c r="L115">
        <f t="shared" si="130"/>
        <v>0.72</v>
      </c>
      <c r="M115">
        <f t="shared" si="130"/>
        <v>0.72</v>
      </c>
      <c r="N115">
        <f t="shared" ref="N115" si="131">N22*$A115</f>
        <v>0.76</v>
      </c>
      <c r="O115">
        <f t="shared" ref="O115:AA115" si="132">O22*$A115</f>
        <v>0.8</v>
      </c>
      <c r="P115">
        <f t="shared" si="132"/>
        <v>0.84</v>
      </c>
      <c r="Q115">
        <f t="shared" si="132"/>
        <v>0.84</v>
      </c>
      <c r="R115">
        <f t="shared" si="132"/>
        <v>0.96</v>
      </c>
      <c r="S115">
        <f t="shared" si="132"/>
        <v>0.96</v>
      </c>
      <c r="T115">
        <f t="shared" si="132"/>
        <v>0.92</v>
      </c>
      <c r="U115">
        <f t="shared" si="132"/>
        <v>1.36</v>
      </c>
      <c r="V115">
        <f t="shared" si="132"/>
        <v>0</v>
      </c>
      <c r="W115">
        <f t="shared" si="132"/>
        <v>0</v>
      </c>
      <c r="X115">
        <f t="shared" si="132"/>
        <v>0</v>
      </c>
      <c r="Y115">
        <f t="shared" si="132"/>
        <v>0</v>
      </c>
      <c r="Z115">
        <f t="shared" si="132"/>
        <v>0</v>
      </c>
      <c r="AA115">
        <f t="shared" si="132"/>
        <v>0</v>
      </c>
    </row>
    <row r="116" spans="1:27" x14ac:dyDescent="0.25">
      <c r="A116">
        <v>4</v>
      </c>
      <c r="B116" t="s">
        <v>27</v>
      </c>
      <c r="C116">
        <f t="shared" ref="C116:M116" si="133">C23*$A116</f>
        <v>0.28000000000000003</v>
      </c>
      <c r="D116">
        <f t="shared" si="133"/>
        <v>0.28000000000000003</v>
      </c>
      <c r="E116">
        <f t="shared" si="133"/>
        <v>0.28000000000000003</v>
      </c>
      <c r="F116">
        <f t="shared" si="133"/>
        <v>0.28000000000000003</v>
      </c>
      <c r="G116">
        <f t="shared" si="133"/>
        <v>0.28000000000000003</v>
      </c>
      <c r="H116">
        <f t="shared" si="133"/>
        <v>0.28000000000000003</v>
      </c>
      <c r="I116">
        <f t="shared" si="133"/>
        <v>0.28000000000000003</v>
      </c>
      <c r="J116">
        <f t="shared" si="133"/>
        <v>0.28000000000000003</v>
      </c>
      <c r="K116">
        <f t="shared" si="133"/>
        <v>0.28000000000000003</v>
      </c>
      <c r="L116">
        <f t="shared" si="133"/>
        <v>0.28000000000000003</v>
      </c>
      <c r="M116">
        <f t="shared" si="133"/>
        <v>0.28000000000000003</v>
      </c>
      <c r="N116">
        <f t="shared" ref="N116" si="134">N23*$A116</f>
        <v>0.28000000000000003</v>
      </c>
      <c r="O116">
        <f t="shared" ref="O116:AA116" si="135">O23*$A116</f>
        <v>0.28000000000000003</v>
      </c>
      <c r="P116">
        <f t="shared" si="135"/>
        <v>0.28000000000000003</v>
      </c>
      <c r="Q116">
        <f t="shared" si="135"/>
        <v>0.28000000000000003</v>
      </c>
      <c r="R116">
        <f t="shared" si="135"/>
        <v>0.28000000000000003</v>
      </c>
      <c r="S116">
        <f t="shared" si="135"/>
        <v>0.28000000000000003</v>
      </c>
      <c r="T116">
        <f t="shared" si="135"/>
        <v>0.28000000000000003</v>
      </c>
      <c r="U116">
        <f t="shared" si="135"/>
        <v>0.48</v>
      </c>
      <c r="V116">
        <f t="shared" si="135"/>
        <v>0</v>
      </c>
      <c r="W116">
        <f t="shared" si="135"/>
        <v>0</v>
      </c>
      <c r="X116">
        <f t="shared" si="135"/>
        <v>0</v>
      </c>
      <c r="Y116">
        <f t="shared" si="135"/>
        <v>0</v>
      </c>
      <c r="Z116">
        <f t="shared" si="135"/>
        <v>0</v>
      </c>
      <c r="AA116">
        <f t="shared" si="135"/>
        <v>0</v>
      </c>
    </row>
    <row r="117" spans="1:27" x14ac:dyDescent="0.25">
      <c r="A117">
        <v>1</v>
      </c>
      <c r="B117" t="s">
        <v>28</v>
      </c>
      <c r="C117">
        <f t="shared" ref="C117:M117" si="136">C24*$A117</f>
        <v>0.59</v>
      </c>
      <c r="D117">
        <f t="shared" si="136"/>
        <v>0.57999999999999996</v>
      </c>
      <c r="E117">
        <f t="shared" si="136"/>
        <v>0.55000000000000004</v>
      </c>
      <c r="F117">
        <f t="shared" si="136"/>
        <v>0.53</v>
      </c>
      <c r="G117">
        <f t="shared" si="136"/>
        <v>0.6</v>
      </c>
      <c r="H117">
        <f t="shared" si="136"/>
        <v>0.6</v>
      </c>
      <c r="I117">
        <f t="shared" si="136"/>
        <v>0.6</v>
      </c>
      <c r="J117">
        <f t="shared" si="136"/>
        <v>0.61</v>
      </c>
      <c r="K117">
        <f t="shared" si="136"/>
        <v>0.57999999999999996</v>
      </c>
      <c r="L117">
        <f t="shared" si="136"/>
        <v>0.61</v>
      </c>
      <c r="M117">
        <f t="shared" si="136"/>
        <v>0.57999999999999996</v>
      </c>
      <c r="N117">
        <f t="shared" ref="N117" si="137">N24*$A117</f>
        <v>0.62</v>
      </c>
      <c r="O117">
        <f t="shared" ref="O117:AA117" si="138">O24*$A117</f>
        <v>0.65</v>
      </c>
      <c r="P117">
        <f t="shared" si="138"/>
        <v>0.66</v>
      </c>
      <c r="Q117">
        <f t="shared" si="138"/>
        <v>0.65</v>
      </c>
      <c r="R117">
        <f t="shared" si="138"/>
        <v>0.66</v>
      </c>
      <c r="S117">
        <f t="shared" si="138"/>
        <v>0.64</v>
      </c>
      <c r="T117">
        <f t="shared" si="138"/>
        <v>0.64</v>
      </c>
      <c r="U117">
        <f t="shared" si="138"/>
        <v>0.72</v>
      </c>
      <c r="V117">
        <f t="shared" si="138"/>
        <v>0</v>
      </c>
      <c r="W117">
        <f t="shared" si="138"/>
        <v>0</v>
      </c>
      <c r="X117">
        <f t="shared" si="138"/>
        <v>0</v>
      </c>
      <c r="Y117">
        <f t="shared" si="138"/>
        <v>0</v>
      </c>
      <c r="Z117">
        <f t="shared" si="138"/>
        <v>0</v>
      </c>
      <c r="AA117">
        <f t="shared" si="138"/>
        <v>0</v>
      </c>
    </row>
    <row r="118" spans="1:27" x14ac:dyDescent="0.25">
      <c r="C118" s="2">
        <f>SUM(C108:C117)</f>
        <v>17.400000000000002</v>
      </c>
      <c r="D118" s="2">
        <f t="shared" ref="D118:F118" si="139">SUM(D108:D117)</f>
        <v>17.39</v>
      </c>
      <c r="E118" s="2">
        <f t="shared" si="139"/>
        <v>18.000000000000004</v>
      </c>
      <c r="F118" s="2">
        <f t="shared" si="139"/>
        <v>18.190000000000001</v>
      </c>
      <c r="G118" s="2">
        <f t="shared" ref="G118" si="140">SUM(G108:G117)</f>
        <v>17.940000000000001</v>
      </c>
      <c r="H118" s="2">
        <f t="shared" ref="H118" si="141">SUM(H108:H117)</f>
        <v>18.450000000000003</v>
      </c>
      <c r="I118" s="2">
        <f t="shared" ref="I118" si="142">SUM(I108:I117)</f>
        <v>18.350000000000001</v>
      </c>
      <c r="J118" s="2">
        <f t="shared" ref="J118" si="143">SUM(J108:J117)</f>
        <v>18.649999999999999</v>
      </c>
      <c r="K118" s="2">
        <f t="shared" ref="K118" si="144">SUM(K108:K117)</f>
        <v>20.189999999999998</v>
      </c>
      <c r="L118" s="2">
        <f t="shared" ref="L118" si="145">SUM(L108:L117)</f>
        <v>19.48</v>
      </c>
      <c r="M118" s="2">
        <f t="shared" ref="M118" si="146">SUM(M108:M117)</f>
        <v>19.899999999999999</v>
      </c>
      <c r="N118" s="2">
        <f t="shared" ref="N118" si="147">SUM(N108:N117)</f>
        <v>19.840000000000003</v>
      </c>
      <c r="O118" s="2">
        <f t="shared" ref="O118:AA118" si="148">SUM(O108:O117)</f>
        <v>19.41</v>
      </c>
      <c r="P118" s="2">
        <f t="shared" si="148"/>
        <v>20</v>
      </c>
      <c r="Q118" s="2">
        <f t="shared" si="148"/>
        <v>19.540000000000003</v>
      </c>
      <c r="R118" s="2">
        <f t="shared" si="148"/>
        <v>19.920000000000005</v>
      </c>
      <c r="S118" s="2">
        <f t="shared" si="148"/>
        <v>20.130000000000003</v>
      </c>
      <c r="T118" s="2">
        <f t="shared" si="148"/>
        <v>20.500000000000007</v>
      </c>
      <c r="U118" s="2">
        <f t="shared" si="148"/>
        <v>23.55</v>
      </c>
      <c r="V118" s="2">
        <f t="shared" si="148"/>
        <v>0</v>
      </c>
      <c r="W118" s="2">
        <f t="shared" si="148"/>
        <v>0</v>
      </c>
      <c r="X118" s="2">
        <f t="shared" si="148"/>
        <v>0</v>
      </c>
      <c r="Y118" s="2">
        <f t="shared" si="148"/>
        <v>0</v>
      </c>
      <c r="Z118" s="2">
        <f t="shared" si="148"/>
        <v>0</v>
      </c>
      <c r="AA118" s="2">
        <f t="shared" si="148"/>
        <v>0</v>
      </c>
    </row>
    <row r="121" spans="1:27" ht="23.25" x14ac:dyDescent="0.35">
      <c r="A121" s="3" t="s">
        <v>29</v>
      </c>
    </row>
    <row r="122" spans="1:27" x14ac:dyDescent="0.25">
      <c r="A122" s="2" t="s">
        <v>11</v>
      </c>
      <c r="B122" s="2" t="s">
        <v>12</v>
      </c>
    </row>
    <row r="123" spans="1:27" x14ac:dyDescent="0.25">
      <c r="C123" s="1">
        <f>C107</f>
        <v>44331</v>
      </c>
      <c r="D123" s="1">
        <f t="shared" ref="D123:M123" si="149">D107</f>
        <v>44332</v>
      </c>
      <c r="E123" s="1">
        <f t="shared" si="149"/>
        <v>44334</v>
      </c>
      <c r="F123" s="1">
        <f t="shared" si="149"/>
        <v>44336</v>
      </c>
      <c r="G123" s="1">
        <f t="shared" si="149"/>
        <v>44337</v>
      </c>
      <c r="H123" s="1">
        <f t="shared" si="149"/>
        <v>44338</v>
      </c>
      <c r="I123" s="1">
        <f t="shared" si="149"/>
        <v>44339</v>
      </c>
      <c r="J123" s="1">
        <f t="shared" si="149"/>
        <v>44340</v>
      </c>
      <c r="K123" s="1">
        <f t="shared" si="149"/>
        <v>44341</v>
      </c>
      <c r="L123" s="1">
        <f t="shared" si="149"/>
        <v>44342</v>
      </c>
      <c r="M123" s="1">
        <f t="shared" si="149"/>
        <v>44343</v>
      </c>
      <c r="N123" s="1">
        <f t="shared" ref="N123" si="150">N107</f>
        <v>44344</v>
      </c>
      <c r="O123" s="1">
        <f t="shared" ref="O123:AA123" si="151">O107</f>
        <v>44345</v>
      </c>
      <c r="P123" s="1">
        <f t="shared" si="151"/>
        <v>44346</v>
      </c>
      <c r="Q123" s="1">
        <f t="shared" si="151"/>
        <v>44347</v>
      </c>
      <c r="R123" s="1">
        <f t="shared" si="151"/>
        <v>44348</v>
      </c>
      <c r="S123" s="1">
        <f t="shared" si="151"/>
        <v>44349</v>
      </c>
      <c r="T123" s="1">
        <f t="shared" si="151"/>
        <v>44350</v>
      </c>
      <c r="U123" s="1">
        <f t="shared" si="151"/>
        <v>44351</v>
      </c>
      <c r="V123" s="1">
        <f t="shared" si="151"/>
        <v>44352</v>
      </c>
      <c r="W123" s="1">
        <f t="shared" si="151"/>
        <v>44353</v>
      </c>
      <c r="X123" s="1">
        <f t="shared" si="151"/>
        <v>44354</v>
      </c>
      <c r="Y123" s="1">
        <f t="shared" si="151"/>
        <v>44355</v>
      </c>
      <c r="Z123" s="1">
        <f t="shared" si="151"/>
        <v>44356</v>
      </c>
      <c r="AA123" s="1">
        <f t="shared" si="151"/>
        <v>44357</v>
      </c>
    </row>
    <row r="124" spans="1:27" x14ac:dyDescent="0.25">
      <c r="A124">
        <v>48</v>
      </c>
      <c r="B124" t="s">
        <v>30</v>
      </c>
      <c r="C124">
        <f t="shared" ref="C124:M124" si="152">C31*$A124</f>
        <v>186.24</v>
      </c>
      <c r="D124">
        <f t="shared" si="152"/>
        <v>176.64000000000001</v>
      </c>
      <c r="E124">
        <f t="shared" si="152"/>
        <v>189.60000000000002</v>
      </c>
      <c r="F124">
        <f t="shared" si="152"/>
        <v>213.60000000000002</v>
      </c>
      <c r="G124">
        <f t="shared" si="152"/>
        <v>211.68</v>
      </c>
      <c r="H124">
        <f t="shared" si="152"/>
        <v>287.52</v>
      </c>
      <c r="I124">
        <f t="shared" si="152"/>
        <v>282.71999999999997</v>
      </c>
      <c r="J124">
        <f t="shared" si="152"/>
        <v>312.48</v>
      </c>
      <c r="K124">
        <f t="shared" si="152"/>
        <v>313.44</v>
      </c>
      <c r="L124">
        <f t="shared" si="152"/>
        <v>368.64</v>
      </c>
      <c r="M124">
        <f t="shared" si="152"/>
        <v>417.12</v>
      </c>
      <c r="N124">
        <f t="shared" ref="N124" si="153">N31*$A124</f>
        <v>412.32</v>
      </c>
      <c r="O124">
        <f t="shared" ref="O124:AA124" si="154">O31*$A124</f>
        <v>370.56</v>
      </c>
      <c r="P124">
        <f t="shared" si="154"/>
        <v>347.52</v>
      </c>
      <c r="Q124">
        <f t="shared" si="154"/>
        <v>329.28000000000003</v>
      </c>
      <c r="R124">
        <f t="shared" si="154"/>
        <v>371.04</v>
      </c>
      <c r="S124">
        <f t="shared" si="154"/>
        <v>411.84000000000003</v>
      </c>
      <c r="T124">
        <f t="shared" si="154"/>
        <v>434.40000000000003</v>
      </c>
      <c r="U124">
        <f t="shared" si="154"/>
        <v>447.84000000000003</v>
      </c>
      <c r="V124">
        <f t="shared" si="154"/>
        <v>0</v>
      </c>
      <c r="W124">
        <f t="shared" si="154"/>
        <v>0</v>
      </c>
      <c r="X124">
        <f t="shared" si="154"/>
        <v>0</v>
      </c>
      <c r="Y124">
        <f t="shared" si="154"/>
        <v>0</v>
      </c>
      <c r="Z124">
        <f t="shared" si="154"/>
        <v>0</v>
      </c>
      <c r="AA124">
        <f t="shared" si="154"/>
        <v>0</v>
      </c>
    </row>
    <row r="125" spans="1:27" x14ac:dyDescent="0.25">
      <c r="A125">
        <v>10</v>
      </c>
      <c r="B125" t="s">
        <v>123</v>
      </c>
      <c r="C125">
        <f t="shared" ref="C125:M125" si="155">C32*$A125</f>
        <v>34.799999999999997</v>
      </c>
      <c r="D125">
        <f t="shared" si="155"/>
        <v>35.200000000000003</v>
      </c>
      <c r="E125">
        <f t="shared" si="155"/>
        <v>39.300000000000004</v>
      </c>
      <c r="F125">
        <f t="shared" si="155"/>
        <v>42.800000000000004</v>
      </c>
      <c r="G125">
        <f t="shared" si="155"/>
        <v>45</v>
      </c>
      <c r="H125">
        <f t="shared" si="155"/>
        <v>58</v>
      </c>
      <c r="I125">
        <f t="shared" si="155"/>
        <v>57</v>
      </c>
      <c r="J125">
        <f t="shared" si="155"/>
        <v>63</v>
      </c>
      <c r="K125">
        <f t="shared" si="155"/>
        <v>62.599999999999994</v>
      </c>
      <c r="L125">
        <f t="shared" si="155"/>
        <v>73.2</v>
      </c>
      <c r="M125">
        <f t="shared" si="155"/>
        <v>79.900000000000006</v>
      </c>
      <c r="N125">
        <f t="shared" ref="N125" si="156">N32*$A125</f>
        <v>84.399999999999991</v>
      </c>
      <c r="O125">
        <f t="shared" ref="O125:AA125" si="157">O32*$A125</f>
        <v>81.400000000000006</v>
      </c>
      <c r="P125">
        <f t="shared" si="157"/>
        <v>71.900000000000006</v>
      </c>
      <c r="Q125">
        <f t="shared" si="157"/>
        <v>63.7</v>
      </c>
      <c r="R125">
        <f t="shared" si="157"/>
        <v>68.600000000000009</v>
      </c>
      <c r="S125">
        <f t="shared" si="157"/>
        <v>80.5</v>
      </c>
      <c r="T125">
        <f t="shared" si="157"/>
        <v>88.5</v>
      </c>
      <c r="U125">
        <f t="shared" si="157"/>
        <v>90.199999999999989</v>
      </c>
      <c r="V125">
        <f t="shared" si="157"/>
        <v>0</v>
      </c>
      <c r="W125">
        <f t="shared" si="157"/>
        <v>0</v>
      </c>
      <c r="X125">
        <f t="shared" si="157"/>
        <v>0</v>
      </c>
      <c r="Y125">
        <f t="shared" si="157"/>
        <v>0</v>
      </c>
      <c r="Z125">
        <f t="shared" si="157"/>
        <v>0</v>
      </c>
      <c r="AA125">
        <f t="shared" si="157"/>
        <v>0</v>
      </c>
    </row>
    <row r="126" spans="1:27" x14ac:dyDescent="0.25">
      <c r="A126">
        <v>6</v>
      </c>
      <c r="B126" t="s">
        <v>124</v>
      </c>
      <c r="C126">
        <f t="shared" ref="C126:M126" si="158">C33*$A126</f>
        <v>21.299999999999997</v>
      </c>
      <c r="D126">
        <f t="shared" si="158"/>
        <v>20.64</v>
      </c>
      <c r="E126">
        <f t="shared" si="158"/>
        <v>23.759999999999998</v>
      </c>
      <c r="F126">
        <f t="shared" si="158"/>
        <v>26.58</v>
      </c>
      <c r="G126">
        <f t="shared" si="158"/>
        <v>27.06</v>
      </c>
      <c r="H126">
        <f t="shared" si="158"/>
        <v>40.26</v>
      </c>
      <c r="I126">
        <f t="shared" si="158"/>
        <v>43.32</v>
      </c>
      <c r="J126">
        <f t="shared" si="158"/>
        <v>36.42</v>
      </c>
      <c r="K126">
        <f t="shared" si="158"/>
        <v>39.480000000000004</v>
      </c>
      <c r="L126">
        <f t="shared" si="158"/>
        <v>44.94</v>
      </c>
      <c r="M126">
        <f t="shared" si="158"/>
        <v>48.78</v>
      </c>
      <c r="N126">
        <f t="shared" ref="N126" si="159">N33*$A126</f>
        <v>51.06</v>
      </c>
      <c r="O126">
        <f t="shared" ref="O126:AA126" si="160">O33*$A126</f>
        <v>47.22</v>
      </c>
      <c r="P126">
        <f t="shared" si="160"/>
        <v>45.36</v>
      </c>
      <c r="Q126">
        <f t="shared" si="160"/>
        <v>41.64</v>
      </c>
      <c r="R126">
        <f t="shared" si="160"/>
        <v>42.24</v>
      </c>
      <c r="S126">
        <f t="shared" si="160"/>
        <v>47.400000000000006</v>
      </c>
      <c r="T126">
        <f t="shared" si="160"/>
        <v>58.14</v>
      </c>
      <c r="U126">
        <f t="shared" si="160"/>
        <v>58.320000000000007</v>
      </c>
      <c r="V126">
        <f t="shared" si="160"/>
        <v>0</v>
      </c>
      <c r="W126">
        <f t="shared" si="160"/>
        <v>0</v>
      </c>
      <c r="X126">
        <f t="shared" si="160"/>
        <v>0</v>
      </c>
      <c r="Y126">
        <f t="shared" si="160"/>
        <v>0</v>
      </c>
      <c r="Z126">
        <f t="shared" si="160"/>
        <v>0</v>
      </c>
      <c r="AA126">
        <f t="shared" si="160"/>
        <v>0</v>
      </c>
    </row>
    <row r="127" spans="1:27" x14ac:dyDescent="0.25">
      <c r="A127">
        <v>10</v>
      </c>
      <c r="B127" t="s">
        <v>125</v>
      </c>
      <c r="C127">
        <f t="shared" ref="C127:M127" si="161">C34*$A127</f>
        <v>41.4</v>
      </c>
      <c r="D127">
        <f t="shared" si="161"/>
        <v>39</v>
      </c>
      <c r="E127">
        <f t="shared" si="161"/>
        <v>39</v>
      </c>
      <c r="F127">
        <f t="shared" si="161"/>
        <v>47.199999999999996</v>
      </c>
      <c r="G127">
        <f t="shared" si="161"/>
        <v>51</v>
      </c>
      <c r="H127">
        <f t="shared" si="161"/>
        <v>59</v>
      </c>
      <c r="I127">
        <f t="shared" si="161"/>
        <v>65.599999999999994</v>
      </c>
      <c r="J127">
        <f t="shared" si="161"/>
        <v>71.3</v>
      </c>
      <c r="K127">
        <f t="shared" si="161"/>
        <v>71.900000000000006</v>
      </c>
      <c r="L127">
        <f t="shared" si="161"/>
        <v>79.599999999999994</v>
      </c>
      <c r="M127">
        <f t="shared" si="161"/>
        <v>85.399999999999991</v>
      </c>
      <c r="N127">
        <f t="shared" ref="N127" si="162">N34*$A127</f>
        <v>83.2</v>
      </c>
      <c r="O127">
        <f t="shared" ref="O127:AA127" si="163">O34*$A127</f>
        <v>82</v>
      </c>
      <c r="P127">
        <f t="shared" si="163"/>
        <v>76</v>
      </c>
      <c r="Q127">
        <f t="shared" si="163"/>
        <v>75.5</v>
      </c>
      <c r="R127">
        <f t="shared" si="163"/>
        <v>78.5</v>
      </c>
      <c r="S127">
        <f t="shared" si="163"/>
        <v>87.8</v>
      </c>
      <c r="T127">
        <f t="shared" si="163"/>
        <v>90.600000000000009</v>
      </c>
      <c r="U127">
        <f t="shared" si="163"/>
        <v>100.8</v>
      </c>
      <c r="V127">
        <f t="shared" si="163"/>
        <v>0</v>
      </c>
      <c r="W127">
        <f t="shared" si="163"/>
        <v>0</v>
      </c>
      <c r="X127">
        <f t="shared" si="163"/>
        <v>0</v>
      </c>
      <c r="Y127">
        <f t="shared" si="163"/>
        <v>0</v>
      </c>
      <c r="Z127">
        <f t="shared" si="163"/>
        <v>0</v>
      </c>
      <c r="AA127">
        <f t="shared" si="163"/>
        <v>0</v>
      </c>
    </row>
    <row r="128" spans="1:27" x14ac:dyDescent="0.25">
      <c r="A128">
        <v>10</v>
      </c>
      <c r="B128" t="s">
        <v>126</v>
      </c>
      <c r="C128">
        <f t="shared" ref="C128:M128" si="164">C35*$A128</f>
        <v>35.699999999999996</v>
      </c>
      <c r="D128">
        <f t="shared" si="164"/>
        <v>35.6</v>
      </c>
      <c r="E128">
        <f t="shared" si="164"/>
        <v>38.4</v>
      </c>
      <c r="F128">
        <f t="shared" si="164"/>
        <v>42.9</v>
      </c>
      <c r="G128">
        <f t="shared" si="164"/>
        <v>44</v>
      </c>
      <c r="H128">
        <f t="shared" si="164"/>
        <v>56.7</v>
      </c>
      <c r="I128">
        <f t="shared" si="164"/>
        <v>58.7</v>
      </c>
      <c r="J128">
        <f t="shared" si="164"/>
        <v>63</v>
      </c>
      <c r="K128">
        <f t="shared" si="164"/>
        <v>62.300000000000004</v>
      </c>
      <c r="L128">
        <f t="shared" si="164"/>
        <v>74.2</v>
      </c>
      <c r="M128">
        <f t="shared" si="164"/>
        <v>78.600000000000009</v>
      </c>
      <c r="N128">
        <f t="shared" ref="N128" si="165">N35*$A128</f>
        <v>82.100000000000009</v>
      </c>
      <c r="O128">
        <f t="shared" ref="O128:AA128" si="166">O35*$A128</f>
        <v>80.5</v>
      </c>
      <c r="P128">
        <f t="shared" si="166"/>
        <v>79.599999999999994</v>
      </c>
      <c r="Q128">
        <f t="shared" si="166"/>
        <v>72.400000000000006</v>
      </c>
      <c r="R128">
        <f t="shared" si="166"/>
        <v>69.3</v>
      </c>
      <c r="S128">
        <f t="shared" si="166"/>
        <v>79.7</v>
      </c>
      <c r="T128">
        <f t="shared" si="166"/>
        <v>88.9</v>
      </c>
      <c r="U128">
        <f t="shared" si="166"/>
        <v>96.899999999999991</v>
      </c>
      <c r="V128">
        <f t="shared" si="166"/>
        <v>0</v>
      </c>
      <c r="W128">
        <f t="shared" si="166"/>
        <v>0</v>
      </c>
      <c r="X128">
        <f t="shared" si="166"/>
        <v>0</v>
      </c>
      <c r="Y128">
        <f t="shared" si="166"/>
        <v>0</v>
      </c>
      <c r="Z128">
        <f t="shared" si="166"/>
        <v>0</v>
      </c>
      <c r="AA128">
        <f t="shared" si="166"/>
        <v>0</v>
      </c>
    </row>
    <row r="129" spans="1:27" x14ac:dyDescent="0.25">
      <c r="A129">
        <v>7</v>
      </c>
      <c r="B129" t="s">
        <v>127</v>
      </c>
      <c r="C129">
        <f t="shared" ref="C129:M129" si="167">C36*$A129</f>
        <v>24.43</v>
      </c>
      <c r="D129">
        <f t="shared" si="167"/>
        <v>26.32</v>
      </c>
      <c r="E129">
        <f t="shared" si="167"/>
        <v>28.21</v>
      </c>
      <c r="F129">
        <f t="shared" si="167"/>
        <v>30.87</v>
      </c>
      <c r="G129">
        <f t="shared" si="167"/>
        <v>33.32</v>
      </c>
      <c r="H129">
        <f t="shared" si="167"/>
        <v>42.84</v>
      </c>
      <c r="I129">
        <f t="shared" si="167"/>
        <v>46.06</v>
      </c>
      <c r="J129">
        <f t="shared" si="167"/>
        <v>46.06</v>
      </c>
      <c r="K129">
        <f t="shared" si="167"/>
        <v>45.99</v>
      </c>
      <c r="L129">
        <f t="shared" si="167"/>
        <v>53.830000000000005</v>
      </c>
      <c r="M129">
        <f t="shared" si="167"/>
        <v>59.709999999999994</v>
      </c>
      <c r="N129">
        <f t="shared" ref="N129" si="168">N36*$A129</f>
        <v>59.220000000000006</v>
      </c>
      <c r="O129">
        <f t="shared" ref="O129:AA129" si="169">O36*$A129</f>
        <v>59.36</v>
      </c>
      <c r="P129">
        <f t="shared" si="169"/>
        <v>55.79</v>
      </c>
      <c r="Q129">
        <f t="shared" si="169"/>
        <v>55.300000000000004</v>
      </c>
      <c r="R129">
        <f t="shared" si="169"/>
        <v>55.23</v>
      </c>
      <c r="S129">
        <f t="shared" si="169"/>
        <v>60.129999999999995</v>
      </c>
      <c r="T129">
        <f t="shared" si="169"/>
        <v>65.589999999999989</v>
      </c>
      <c r="U129">
        <f t="shared" si="169"/>
        <v>77.56</v>
      </c>
      <c r="V129">
        <f t="shared" si="169"/>
        <v>0</v>
      </c>
      <c r="W129">
        <f t="shared" si="169"/>
        <v>0</v>
      </c>
      <c r="X129">
        <f t="shared" si="169"/>
        <v>0</v>
      </c>
      <c r="Y129">
        <f t="shared" si="169"/>
        <v>0</v>
      </c>
      <c r="Z129">
        <f t="shared" si="169"/>
        <v>0</v>
      </c>
      <c r="AA129">
        <f t="shared" si="169"/>
        <v>0</v>
      </c>
    </row>
    <row r="130" spans="1:27" x14ac:dyDescent="0.25">
      <c r="A130">
        <v>5</v>
      </c>
      <c r="B130" t="s">
        <v>128</v>
      </c>
      <c r="C130">
        <f t="shared" ref="C130:M130" si="170">C37*$A130</f>
        <v>17.5</v>
      </c>
      <c r="D130">
        <f t="shared" si="170"/>
        <v>18.5</v>
      </c>
      <c r="E130">
        <f t="shared" si="170"/>
        <v>19.5</v>
      </c>
      <c r="F130">
        <f t="shared" si="170"/>
        <v>21</v>
      </c>
      <c r="G130">
        <f t="shared" si="170"/>
        <v>22.5</v>
      </c>
      <c r="H130">
        <f t="shared" si="170"/>
        <v>33</v>
      </c>
      <c r="I130">
        <f t="shared" si="170"/>
        <v>32.049999999999997</v>
      </c>
      <c r="J130">
        <f t="shared" si="170"/>
        <v>32.049999999999997</v>
      </c>
      <c r="K130">
        <f t="shared" si="170"/>
        <v>32.799999999999997</v>
      </c>
      <c r="L130">
        <f t="shared" si="170"/>
        <v>44.15</v>
      </c>
      <c r="M130">
        <f t="shared" si="170"/>
        <v>48.05</v>
      </c>
      <c r="N130">
        <f t="shared" ref="N130" si="171">N37*$A130</f>
        <v>45.099999999999994</v>
      </c>
      <c r="O130">
        <f t="shared" ref="O130:AA130" si="172">O37*$A130</f>
        <v>43.449999999999996</v>
      </c>
      <c r="P130">
        <f t="shared" si="172"/>
        <v>40.949999999999996</v>
      </c>
      <c r="Q130">
        <f t="shared" si="172"/>
        <v>36.85</v>
      </c>
      <c r="R130">
        <f t="shared" si="172"/>
        <v>38.15</v>
      </c>
      <c r="S130">
        <f t="shared" si="172"/>
        <v>41.150000000000006</v>
      </c>
      <c r="T130">
        <f t="shared" si="172"/>
        <v>45.8</v>
      </c>
      <c r="U130">
        <f t="shared" si="172"/>
        <v>49.45</v>
      </c>
      <c r="V130">
        <f t="shared" si="172"/>
        <v>0</v>
      </c>
      <c r="W130">
        <f t="shared" si="172"/>
        <v>0</v>
      </c>
      <c r="X130">
        <f t="shared" si="172"/>
        <v>0</v>
      </c>
      <c r="Y130">
        <f t="shared" si="172"/>
        <v>0</v>
      </c>
      <c r="Z130">
        <f t="shared" si="172"/>
        <v>0</v>
      </c>
      <c r="AA130">
        <f t="shared" si="172"/>
        <v>0</v>
      </c>
    </row>
    <row r="131" spans="1:27" x14ac:dyDescent="0.25">
      <c r="C131" s="2">
        <f>SUM(C124:C130)</f>
        <v>361.37</v>
      </c>
      <c r="D131" s="2">
        <f t="shared" ref="D131:M131" si="173">SUM(D124:D130)</f>
        <v>351.90000000000003</v>
      </c>
      <c r="E131" s="2">
        <f t="shared" si="173"/>
        <v>377.77</v>
      </c>
      <c r="F131" s="2">
        <f t="shared" si="173"/>
        <v>424.95</v>
      </c>
      <c r="G131" s="2">
        <f t="shared" si="173"/>
        <v>434.56</v>
      </c>
      <c r="H131" s="2">
        <f t="shared" si="173"/>
        <v>577.31999999999994</v>
      </c>
      <c r="I131" s="2">
        <f t="shared" si="173"/>
        <v>585.44999999999993</v>
      </c>
      <c r="J131" s="2">
        <f t="shared" si="173"/>
        <v>624.30999999999995</v>
      </c>
      <c r="K131" s="2">
        <f t="shared" si="173"/>
        <v>628.50999999999988</v>
      </c>
      <c r="L131" s="2">
        <f t="shared" si="173"/>
        <v>738.56000000000006</v>
      </c>
      <c r="M131" s="2">
        <f t="shared" si="173"/>
        <v>817.56</v>
      </c>
      <c r="N131" s="2">
        <f t="shared" ref="N131" si="174">SUM(N124:N130)</f>
        <v>817.40000000000009</v>
      </c>
      <c r="O131" s="2">
        <f t="shared" ref="O131:AA131" si="175">SUM(O124:O130)</f>
        <v>764.49000000000012</v>
      </c>
      <c r="P131" s="2">
        <f t="shared" si="175"/>
        <v>717.12</v>
      </c>
      <c r="Q131" s="2">
        <f t="shared" si="175"/>
        <v>674.67</v>
      </c>
      <c r="R131" s="2">
        <f t="shared" si="175"/>
        <v>723.06000000000006</v>
      </c>
      <c r="S131" s="2">
        <f t="shared" si="175"/>
        <v>808.52</v>
      </c>
      <c r="T131" s="2">
        <f t="shared" si="175"/>
        <v>871.93000000000006</v>
      </c>
      <c r="U131" s="2">
        <f t="shared" si="175"/>
        <v>921.06999999999994</v>
      </c>
      <c r="V131" s="2">
        <f t="shared" si="175"/>
        <v>0</v>
      </c>
      <c r="W131" s="2">
        <f t="shared" si="175"/>
        <v>0</v>
      </c>
      <c r="X131" s="2">
        <f t="shared" si="175"/>
        <v>0</v>
      </c>
      <c r="Y131" s="2">
        <f t="shared" si="175"/>
        <v>0</v>
      </c>
      <c r="Z131" s="2">
        <f t="shared" si="175"/>
        <v>0</v>
      </c>
      <c r="AA131" s="2">
        <f t="shared" si="175"/>
        <v>0</v>
      </c>
    </row>
    <row r="135" spans="1:27" ht="23.25" x14ac:dyDescent="0.35">
      <c r="B135" s="3" t="s">
        <v>35</v>
      </c>
      <c r="C135" s="3">
        <f t="shared" ref="C135:M135" si="176">SUM(C102+C118+C131)</f>
        <v>758.47</v>
      </c>
      <c r="D135" s="3">
        <f t="shared" si="176"/>
        <v>748.99</v>
      </c>
      <c r="E135" s="3">
        <f t="shared" si="176"/>
        <v>775.47</v>
      </c>
      <c r="F135" s="3">
        <f t="shared" si="176"/>
        <v>836.83999999999992</v>
      </c>
      <c r="G135" s="3">
        <f t="shared" si="176"/>
        <v>844.7</v>
      </c>
      <c r="H135" s="3">
        <f t="shared" si="176"/>
        <v>993.96999999999991</v>
      </c>
      <c r="I135" s="3">
        <f t="shared" si="176"/>
        <v>976</v>
      </c>
      <c r="J135" s="3">
        <f t="shared" si="176"/>
        <v>1035.1599999999999</v>
      </c>
      <c r="K135" s="3">
        <f t="shared" si="176"/>
        <v>1042.3999999999999</v>
      </c>
      <c r="L135" s="3">
        <f t="shared" si="176"/>
        <v>1150.24</v>
      </c>
      <c r="M135" s="3">
        <f t="shared" si="176"/>
        <v>1231.1599999999999</v>
      </c>
      <c r="N135" s="3">
        <f t="shared" ref="N135" si="177">SUM(N102+N118+N131)</f>
        <v>1219.44</v>
      </c>
      <c r="O135" s="3">
        <f t="shared" ref="O135:AA135" si="178">SUM(O102+O118+O131)</f>
        <v>1169.1000000000001</v>
      </c>
      <c r="P135" s="3">
        <f t="shared" si="178"/>
        <v>1112.32</v>
      </c>
      <c r="Q135" s="3">
        <f t="shared" si="178"/>
        <v>1092.4099999999999</v>
      </c>
      <c r="R135" s="3">
        <f t="shared" si="178"/>
        <v>1135.18</v>
      </c>
      <c r="S135" s="3">
        <f t="shared" si="178"/>
        <v>1223.8499999999999</v>
      </c>
      <c r="T135" s="3">
        <f t="shared" si="178"/>
        <v>1284.6300000000001</v>
      </c>
      <c r="U135" s="3">
        <f t="shared" si="178"/>
        <v>1491.52</v>
      </c>
      <c r="V135" s="3">
        <f t="shared" si="178"/>
        <v>0</v>
      </c>
      <c r="W135" s="3">
        <f t="shared" si="178"/>
        <v>0</v>
      </c>
      <c r="X135" s="3">
        <f t="shared" si="178"/>
        <v>0</v>
      </c>
      <c r="Y135" s="3">
        <f t="shared" si="178"/>
        <v>0</v>
      </c>
      <c r="Z135" s="3">
        <f t="shared" si="178"/>
        <v>0</v>
      </c>
      <c r="AA135" s="3">
        <f t="shared" si="178"/>
        <v>0</v>
      </c>
    </row>
    <row r="140" spans="1:27" ht="31.5" x14ac:dyDescent="0.5">
      <c r="A140" s="4" t="s">
        <v>34</v>
      </c>
    </row>
    <row r="142" spans="1:27" ht="23.25" x14ac:dyDescent="0.35">
      <c r="A142" s="3" t="s">
        <v>1</v>
      </c>
    </row>
    <row r="143" spans="1:27" x14ac:dyDescent="0.25">
      <c r="A143" s="2" t="s">
        <v>11</v>
      </c>
      <c r="B143" s="2" t="s">
        <v>12</v>
      </c>
    </row>
    <row r="144" spans="1:27" x14ac:dyDescent="0.25">
      <c r="C144" s="1">
        <f t="shared" ref="C144:M144" si="179">C123</f>
        <v>44331</v>
      </c>
      <c r="D144" s="1">
        <f t="shared" si="179"/>
        <v>44332</v>
      </c>
      <c r="E144" s="1">
        <f t="shared" si="179"/>
        <v>44334</v>
      </c>
      <c r="F144" s="1">
        <f t="shared" si="179"/>
        <v>44336</v>
      </c>
      <c r="G144" s="1">
        <f t="shared" si="179"/>
        <v>44337</v>
      </c>
      <c r="H144" s="1">
        <f t="shared" si="179"/>
        <v>44338</v>
      </c>
      <c r="I144" s="1">
        <f t="shared" si="179"/>
        <v>44339</v>
      </c>
      <c r="J144" s="1">
        <f t="shared" si="179"/>
        <v>44340</v>
      </c>
      <c r="K144" s="1">
        <f t="shared" si="179"/>
        <v>44341</v>
      </c>
      <c r="L144" s="1">
        <f t="shared" si="179"/>
        <v>44342</v>
      </c>
      <c r="M144" s="1">
        <f t="shared" si="179"/>
        <v>44343</v>
      </c>
      <c r="N144" s="1">
        <f t="shared" ref="N144" si="180">N123</f>
        <v>44344</v>
      </c>
      <c r="O144" s="1">
        <f t="shared" ref="O144:AA144" si="181">O123</f>
        <v>44345</v>
      </c>
      <c r="P144" s="1">
        <f t="shared" si="181"/>
        <v>44346</v>
      </c>
      <c r="Q144" s="1">
        <f t="shared" si="181"/>
        <v>44347</v>
      </c>
      <c r="R144" s="1">
        <f t="shared" si="181"/>
        <v>44348</v>
      </c>
      <c r="S144" s="1">
        <f t="shared" si="181"/>
        <v>44349</v>
      </c>
      <c r="T144" s="1">
        <f t="shared" si="181"/>
        <v>44350</v>
      </c>
      <c r="U144" s="1">
        <f t="shared" si="181"/>
        <v>44351</v>
      </c>
      <c r="V144" s="1">
        <f t="shared" si="181"/>
        <v>44352</v>
      </c>
      <c r="W144" s="1">
        <f t="shared" si="181"/>
        <v>44353</v>
      </c>
      <c r="X144" s="1">
        <f t="shared" si="181"/>
        <v>44354</v>
      </c>
      <c r="Y144" s="1">
        <f t="shared" si="181"/>
        <v>44355</v>
      </c>
      <c r="Z144" s="1">
        <f t="shared" si="181"/>
        <v>44356</v>
      </c>
      <c r="AA144" s="1">
        <f t="shared" si="181"/>
        <v>44357</v>
      </c>
    </row>
    <row r="145" spans="1:27" x14ac:dyDescent="0.25">
      <c r="A145">
        <v>1000</v>
      </c>
      <c r="B145" t="s">
        <v>13</v>
      </c>
      <c r="C145">
        <f t="shared" ref="C145:M145" si="182">C54*$A145</f>
        <v>50</v>
      </c>
      <c r="D145">
        <f t="shared" si="182"/>
        <v>50</v>
      </c>
      <c r="E145">
        <f t="shared" si="182"/>
        <v>50</v>
      </c>
      <c r="F145">
        <f t="shared" si="182"/>
        <v>50</v>
      </c>
      <c r="G145">
        <f t="shared" si="182"/>
        <v>50</v>
      </c>
      <c r="H145">
        <f t="shared" si="182"/>
        <v>50</v>
      </c>
      <c r="I145">
        <f t="shared" si="182"/>
        <v>50</v>
      </c>
      <c r="J145">
        <f t="shared" si="182"/>
        <v>50</v>
      </c>
      <c r="K145">
        <f t="shared" si="182"/>
        <v>50</v>
      </c>
      <c r="L145">
        <f t="shared" si="182"/>
        <v>50</v>
      </c>
      <c r="M145">
        <f t="shared" si="182"/>
        <v>50</v>
      </c>
      <c r="N145">
        <f t="shared" ref="N145" si="183">N54*$A145</f>
        <v>39.999999999999993</v>
      </c>
      <c r="O145">
        <f t="shared" ref="O145:AA145" si="184">O54*$A145</f>
        <v>39.999999999999993</v>
      </c>
      <c r="P145">
        <f t="shared" si="184"/>
        <v>50</v>
      </c>
      <c r="Q145">
        <f t="shared" si="184"/>
        <v>50</v>
      </c>
      <c r="R145">
        <f t="shared" si="184"/>
        <v>50</v>
      </c>
      <c r="S145">
        <f t="shared" si="184"/>
        <v>50</v>
      </c>
      <c r="T145">
        <f t="shared" si="184"/>
        <v>50</v>
      </c>
      <c r="U145">
        <f t="shared" si="184"/>
        <v>60.000000000000007</v>
      </c>
      <c r="V145">
        <f t="shared" si="184"/>
        <v>0</v>
      </c>
      <c r="W145">
        <f t="shared" si="184"/>
        <v>0</v>
      </c>
      <c r="X145">
        <f t="shared" si="184"/>
        <v>0</v>
      </c>
      <c r="Y145">
        <f t="shared" si="184"/>
        <v>0</v>
      </c>
      <c r="Z145">
        <f t="shared" si="184"/>
        <v>0</v>
      </c>
      <c r="AA145">
        <f t="shared" si="184"/>
        <v>0</v>
      </c>
    </row>
    <row r="146" spans="1:27" x14ac:dyDescent="0.25">
      <c r="A146">
        <v>2000</v>
      </c>
      <c r="B146" t="s">
        <v>14</v>
      </c>
      <c r="C146">
        <f t="shared" ref="C146:M146" si="185">C55*$A146</f>
        <v>100</v>
      </c>
      <c r="D146">
        <f t="shared" si="185"/>
        <v>100</v>
      </c>
      <c r="E146">
        <f t="shared" si="185"/>
        <v>100</v>
      </c>
      <c r="F146">
        <f t="shared" si="185"/>
        <v>100</v>
      </c>
      <c r="G146">
        <f t="shared" si="185"/>
        <v>100</v>
      </c>
      <c r="H146">
        <f t="shared" si="185"/>
        <v>100</v>
      </c>
      <c r="I146">
        <f t="shared" si="185"/>
        <v>100</v>
      </c>
      <c r="J146">
        <f t="shared" si="185"/>
        <v>100</v>
      </c>
      <c r="K146">
        <f t="shared" si="185"/>
        <v>100</v>
      </c>
      <c r="L146">
        <f t="shared" si="185"/>
        <v>100</v>
      </c>
      <c r="M146">
        <f t="shared" si="185"/>
        <v>100</v>
      </c>
      <c r="N146">
        <f t="shared" ref="N146" si="186">N55*$A146</f>
        <v>100</v>
      </c>
      <c r="O146">
        <f t="shared" ref="O146:AA146" si="187">O55*$A146</f>
        <v>100</v>
      </c>
      <c r="P146">
        <f t="shared" si="187"/>
        <v>100</v>
      </c>
      <c r="Q146">
        <f t="shared" si="187"/>
        <v>100</v>
      </c>
      <c r="R146">
        <f t="shared" si="187"/>
        <v>100</v>
      </c>
      <c r="S146">
        <f t="shared" si="187"/>
        <v>100</v>
      </c>
      <c r="T146">
        <f t="shared" si="187"/>
        <v>100</v>
      </c>
      <c r="U146">
        <f t="shared" si="187"/>
        <v>180</v>
      </c>
      <c r="V146">
        <f t="shared" si="187"/>
        <v>0</v>
      </c>
      <c r="W146">
        <f t="shared" si="187"/>
        <v>0</v>
      </c>
      <c r="X146">
        <f t="shared" si="187"/>
        <v>0</v>
      </c>
      <c r="Y146">
        <f t="shared" si="187"/>
        <v>0</v>
      </c>
      <c r="Z146">
        <f t="shared" si="187"/>
        <v>0</v>
      </c>
      <c r="AA146">
        <f t="shared" si="187"/>
        <v>0</v>
      </c>
    </row>
    <row r="147" spans="1:27" x14ac:dyDescent="0.25">
      <c r="A147">
        <v>2000</v>
      </c>
      <c r="B147" t="s">
        <v>15</v>
      </c>
      <c r="C147">
        <f t="shared" ref="C147:M147" si="188">C56*$A147</f>
        <v>60</v>
      </c>
      <c r="D147">
        <f t="shared" si="188"/>
        <v>60</v>
      </c>
      <c r="E147">
        <f t="shared" si="188"/>
        <v>60</v>
      </c>
      <c r="F147">
        <f t="shared" si="188"/>
        <v>79.999999999999986</v>
      </c>
      <c r="G147">
        <f t="shared" si="188"/>
        <v>79.999999999999986</v>
      </c>
      <c r="H147">
        <f t="shared" si="188"/>
        <v>79.999999999999986</v>
      </c>
      <c r="I147">
        <f t="shared" si="188"/>
        <v>60</v>
      </c>
      <c r="J147">
        <f t="shared" si="188"/>
        <v>79.999999999999986</v>
      </c>
      <c r="K147">
        <f t="shared" si="188"/>
        <v>79.999999999999986</v>
      </c>
      <c r="L147">
        <f t="shared" si="188"/>
        <v>79.999999999999986</v>
      </c>
      <c r="M147">
        <f t="shared" si="188"/>
        <v>79.999999999999986</v>
      </c>
      <c r="N147">
        <f t="shared" ref="N147" si="189">N56*$A147</f>
        <v>79.999999999999986</v>
      </c>
      <c r="O147">
        <f t="shared" ref="O147:AA147" si="190">O56*$A147</f>
        <v>79.999999999999986</v>
      </c>
      <c r="P147">
        <f t="shared" si="190"/>
        <v>60</v>
      </c>
      <c r="Q147">
        <f t="shared" si="190"/>
        <v>79.999999999999986</v>
      </c>
      <c r="R147">
        <f t="shared" si="190"/>
        <v>79.999999999999986</v>
      </c>
      <c r="S147">
        <f t="shared" si="190"/>
        <v>79.999999999999986</v>
      </c>
      <c r="T147">
        <f t="shared" si="190"/>
        <v>79.999999999999986</v>
      </c>
      <c r="U147">
        <f t="shared" si="190"/>
        <v>100</v>
      </c>
      <c r="V147">
        <f t="shared" si="190"/>
        <v>0</v>
      </c>
      <c r="W147">
        <f t="shared" si="190"/>
        <v>0</v>
      </c>
      <c r="X147">
        <f t="shared" si="190"/>
        <v>0</v>
      </c>
      <c r="Y147">
        <f t="shared" si="190"/>
        <v>0</v>
      </c>
      <c r="Z147">
        <f t="shared" si="190"/>
        <v>0</v>
      </c>
      <c r="AA147">
        <f t="shared" si="190"/>
        <v>0</v>
      </c>
    </row>
    <row r="148" spans="1:27" x14ac:dyDescent="0.25">
      <c r="A148">
        <v>215</v>
      </c>
      <c r="B148" t="s">
        <v>16</v>
      </c>
      <c r="C148">
        <f t="shared" ref="C148:M148" si="191">C57*$A148</f>
        <v>12.9</v>
      </c>
      <c r="D148">
        <f t="shared" si="191"/>
        <v>12.9</v>
      </c>
      <c r="E148">
        <f t="shared" si="191"/>
        <v>12.9</v>
      </c>
      <c r="F148">
        <f t="shared" si="191"/>
        <v>12.9</v>
      </c>
      <c r="G148">
        <f t="shared" si="191"/>
        <v>12.9</v>
      </c>
      <c r="H148">
        <f t="shared" si="191"/>
        <v>12.9</v>
      </c>
      <c r="I148">
        <f t="shared" si="191"/>
        <v>12.9</v>
      </c>
      <c r="J148">
        <f t="shared" si="191"/>
        <v>12.9</v>
      </c>
      <c r="K148">
        <f t="shared" si="191"/>
        <v>12.9</v>
      </c>
      <c r="L148">
        <f t="shared" si="191"/>
        <v>12.9</v>
      </c>
      <c r="M148">
        <f t="shared" si="191"/>
        <v>12.9</v>
      </c>
      <c r="N148">
        <f t="shared" ref="N148" si="192">N57*$A148</f>
        <v>12.9</v>
      </c>
      <c r="O148">
        <f t="shared" ref="O148:AA148" si="193">O57*$A148</f>
        <v>12.9</v>
      </c>
      <c r="P148">
        <f t="shared" si="193"/>
        <v>12.9</v>
      </c>
      <c r="Q148">
        <f t="shared" si="193"/>
        <v>12.9</v>
      </c>
      <c r="R148">
        <f t="shared" si="193"/>
        <v>12.9</v>
      </c>
      <c r="S148">
        <f t="shared" si="193"/>
        <v>12.9</v>
      </c>
      <c r="T148">
        <f t="shared" si="193"/>
        <v>12.9</v>
      </c>
      <c r="U148">
        <f t="shared" si="193"/>
        <v>27.95</v>
      </c>
      <c r="V148">
        <f t="shared" si="193"/>
        <v>0</v>
      </c>
      <c r="W148">
        <f t="shared" si="193"/>
        <v>0</v>
      </c>
      <c r="X148">
        <f t="shared" si="193"/>
        <v>0</v>
      </c>
      <c r="Y148">
        <f t="shared" si="193"/>
        <v>0</v>
      </c>
      <c r="Z148">
        <f t="shared" si="193"/>
        <v>0</v>
      </c>
      <c r="AA148">
        <f t="shared" si="193"/>
        <v>0</v>
      </c>
    </row>
    <row r="149" spans="1:27" x14ac:dyDescent="0.25">
      <c r="A149">
        <v>150</v>
      </c>
      <c r="B149" t="s">
        <v>17</v>
      </c>
      <c r="C149">
        <f t="shared" ref="C149:M149" si="194">C58*$A149</f>
        <v>43.5</v>
      </c>
      <c r="D149">
        <f t="shared" si="194"/>
        <v>43.5</v>
      </c>
      <c r="E149">
        <f t="shared" si="194"/>
        <v>43.5</v>
      </c>
      <c r="F149">
        <f t="shared" si="194"/>
        <v>37.5</v>
      </c>
      <c r="G149">
        <f t="shared" si="194"/>
        <v>37.5</v>
      </c>
      <c r="H149">
        <f t="shared" si="194"/>
        <v>42.000000000000007</v>
      </c>
      <c r="I149">
        <f t="shared" si="194"/>
        <v>37.5</v>
      </c>
      <c r="J149">
        <f t="shared" si="194"/>
        <v>37.5</v>
      </c>
      <c r="K149">
        <f t="shared" si="194"/>
        <v>37.5</v>
      </c>
      <c r="L149">
        <f t="shared" si="194"/>
        <v>37.5</v>
      </c>
      <c r="M149">
        <f t="shared" si="194"/>
        <v>37.5</v>
      </c>
      <c r="N149">
        <f t="shared" ref="N149" si="195">N58*$A149</f>
        <v>37.5</v>
      </c>
      <c r="O149">
        <f t="shared" ref="O149:AA149" si="196">O58*$A149</f>
        <v>39</v>
      </c>
      <c r="P149">
        <f t="shared" si="196"/>
        <v>39</v>
      </c>
      <c r="Q149">
        <f t="shared" si="196"/>
        <v>42.000000000000007</v>
      </c>
      <c r="R149">
        <f t="shared" si="196"/>
        <v>37.5</v>
      </c>
      <c r="S149">
        <f t="shared" si="196"/>
        <v>39</v>
      </c>
      <c r="T149">
        <f t="shared" si="196"/>
        <v>37.5</v>
      </c>
      <c r="U149">
        <f t="shared" si="196"/>
        <v>43.5</v>
      </c>
      <c r="V149">
        <f t="shared" si="196"/>
        <v>0</v>
      </c>
      <c r="W149">
        <f t="shared" si="196"/>
        <v>0</v>
      </c>
      <c r="X149">
        <f t="shared" si="196"/>
        <v>0</v>
      </c>
      <c r="Y149">
        <f t="shared" si="196"/>
        <v>0</v>
      </c>
      <c r="Z149">
        <f t="shared" si="196"/>
        <v>0</v>
      </c>
      <c r="AA149">
        <f t="shared" si="196"/>
        <v>0</v>
      </c>
    </row>
    <row r="150" spans="1:27" x14ac:dyDescent="0.25">
      <c r="C150" s="2">
        <f>SUM(C145:C149)</f>
        <v>266.39999999999998</v>
      </c>
      <c r="D150" s="2">
        <f t="shared" ref="D150" si="197">SUM(D145:D149)</f>
        <v>266.39999999999998</v>
      </c>
      <c r="E150" s="2">
        <f t="shared" ref="E150" si="198">SUM(E145:E149)</f>
        <v>266.39999999999998</v>
      </c>
      <c r="F150" s="2">
        <f t="shared" ref="F150" si="199">SUM(F145:F149)</f>
        <v>280.39999999999998</v>
      </c>
      <c r="G150" s="2">
        <f t="shared" ref="G150" si="200">SUM(G145:G149)</f>
        <v>280.39999999999998</v>
      </c>
      <c r="H150" s="2">
        <f t="shared" ref="H150" si="201">SUM(H145:H149)</f>
        <v>284.90000000000003</v>
      </c>
      <c r="I150" s="2">
        <f t="shared" ref="I150" si="202">SUM(I145:I149)</f>
        <v>260.39999999999998</v>
      </c>
      <c r="J150" s="2">
        <f t="shared" ref="J150" si="203">SUM(J145:J149)</f>
        <v>280.39999999999998</v>
      </c>
      <c r="K150" s="2">
        <f t="shared" ref="K150" si="204">SUM(K145:K149)</f>
        <v>280.39999999999998</v>
      </c>
      <c r="L150" s="2">
        <f t="shared" ref="L150" si="205">SUM(L145:L149)</f>
        <v>280.39999999999998</v>
      </c>
      <c r="M150" s="2">
        <f t="shared" ref="M150" si="206">SUM(M145:M149)</f>
        <v>280.39999999999998</v>
      </c>
      <c r="N150" s="2">
        <f t="shared" ref="N150" si="207">SUM(N145:N149)</f>
        <v>270.39999999999998</v>
      </c>
      <c r="O150" s="2">
        <f t="shared" ref="O150:AA150" si="208">SUM(O145:O149)</f>
        <v>271.89999999999998</v>
      </c>
      <c r="P150" s="2">
        <f t="shared" si="208"/>
        <v>261.89999999999998</v>
      </c>
      <c r="Q150" s="2">
        <f t="shared" si="208"/>
        <v>284.90000000000003</v>
      </c>
      <c r="R150" s="2">
        <f t="shared" si="208"/>
        <v>280.39999999999998</v>
      </c>
      <c r="S150" s="2">
        <f t="shared" si="208"/>
        <v>281.89999999999998</v>
      </c>
      <c r="T150" s="2">
        <f t="shared" si="208"/>
        <v>280.39999999999998</v>
      </c>
      <c r="U150" s="2">
        <f t="shared" si="208"/>
        <v>411.45</v>
      </c>
      <c r="V150" s="2">
        <f t="shared" si="208"/>
        <v>0</v>
      </c>
      <c r="W150" s="2">
        <f t="shared" si="208"/>
        <v>0</v>
      </c>
      <c r="X150" s="2">
        <f t="shared" si="208"/>
        <v>0</v>
      </c>
      <c r="Y150" s="2">
        <f t="shared" si="208"/>
        <v>0</v>
      </c>
      <c r="Z150" s="2">
        <f t="shared" si="208"/>
        <v>0</v>
      </c>
      <c r="AA150" s="2">
        <f t="shared" si="208"/>
        <v>0</v>
      </c>
    </row>
    <row r="153" spans="1:27" ht="23.25" x14ac:dyDescent="0.35">
      <c r="A153" s="3" t="s">
        <v>18</v>
      </c>
    </row>
    <row r="154" spans="1:27" x14ac:dyDescent="0.25">
      <c r="A154" s="2" t="s">
        <v>11</v>
      </c>
      <c r="B154" s="2" t="s">
        <v>12</v>
      </c>
    </row>
    <row r="155" spans="1:27" x14ac:dyDescent="0.25">
      <c r="C155" s="1">
        <f>C144</f>
        <v>44331</v>
      </c>
      <c r="D155" s="1">
        <f t="shared" ref="D155:M155" si="209">D144</f>
        <v>44332</v>
      </c>
      <c r="E155" s="1">
        <f t="shared" si="209"/>
        <v>44334</v>
      </c>
      <c r="F155" s="1">
        <f t="shared" si="209"/>
        <v>44336</v>
      </c>
      <c r="G155" s="1">
        <f t="shared" si="209"/>
        <v>44337</v>
      </c>
      <c r="H155" s="1">
        <f t="shared" si="209"/>
        <v>44338</v>
      </c>
      <c r="I155" s="1">
        <f t="shared" si="209"/>
        <v>44339</v>
      </c>
      <c r="J155" s="1">
        <f t="shared" si="209"/>
        <v>44340</v>
      </c>
      <c r="K155" s="1">
        <f t="shared" si="209"/>
        <v>44341</v>
      </c>
      <c r="L155" s="1">
        <f t="shared" si="209"/>
        <v>44342</v>
      </c>
      <c r="M155" s="1">
        <f t="shared" si="209"/>
        <v>44343</v>
      </c>
      <c r="N155" s="1">
        <f t="shared" ref="N155" si="210">N144</f>
        <v>44344</v>
      </c>
      <c r="O155" s="1">
        <f t="shared" ref="O155:AA155" si="211">O144</f>
        <v>44345</v>
      </c>
      <c r="P155" s="1">
        <f t="shared" si="211"/>
        <v>44346</v>
      </c>
      <c r="Q155" s="1">
        <f t="shared" si="211"/>
        <v>44347</v>
      </c>
      <c r="R155" s="1">
        <f t="shared" si="211"/>
        <v>44348</v>
      </c>
      <c r="S155" s="1">
        <f t="shared" si="211"/>
        <v>44349</v>
      </c>
      <c r="T155" s="1">
        <f t="shared" si="211"/>
        <v>44350</v>
      </c>
      <c r="U155" s="1">
        <f t="shared" si="211"/>
        <v>44351</v>
      </c>
      <c r="V155" s="1">
        <f t="shared" si="211"/>
        <v>44352</v>
      </c>
      <c r="W155" s="1">
        <f t="shared" si="211"/>
        <v>44353</v>
      </c>
      <c r="X155" s="1">
        <f t="shared" si="211"/>
        <v>44354</v>
      </c>
      <c r="Y155" s="1">
        <f t="shared" si="211"/>
        <v>44355</v>
      </c>
      <c r="Z155" s="1">
        <f t="shared" si="211"/>
        <v>44356</v>
      </c>
      <c r="AA155" s="1">
        <f t="shared" si="211"/>
        <v>44357</v>
      </c>
    </row>
    <row r="156" spans="1:27" x14ac:dyDescent="0.25">
      <c r="A156">
        <v>5</v>
      </c>
      <c r="B156" t="s">
        <v>19</v>
      </c>
      <c r="C156">
        <f t="shared" ref="C156:M156" si="212">C65*$A156</f>
        <v>0.15</v>
      </c>
      <c r="D156">
        <f t="shared" si="212"/>
        <v>0.15</v>
      </c>
      <c r="E156">
        <f t="shared" si="212"/>
        <v>0.15</v>
      </c>
      <c r="F156">
        <f t="shared" si="212"/>
        <v>0.19999999999999996</v>
      </c>
      <c r="G156">
        <f t="shared" si="212"/>
        <v>0.19999999999999996</v>
      </c>
      <c r="H156">
        <f t="shared" si="212"/>
        <v>0.19999999999999996</v>
      </c>
      <c r="I156">
        <f t="shared" si="212"/>
        <v>0.15</v>
      </c>
      <c r="J156">
        <f t="shared" si="212"/>
        <v>0.19999999999999996</v>
      </c>
      <c r="K156">
        <f t="shared" si="212"/>
        <v>0.19999999999999996</v>
      </c>
      <c r="L156">
        <f t="shared" si="212"/>
        <v>0.19999999999999996</v>
      </c>
      <c r="M156">
        <f t="shared" si="212"/>
        <v>0.19999999999999996</v>
      </c>
      <c r="N156">
        <f t="shared" ref="N156" si="213">N65*$A156</f>
        <v>0.19999999999999996</v>
      </c>
      <c r="O156">
        <f t="shared" ref="O156:AA156" si="214">O65*$A156</f>
        <v>0.19999999999999996</v>
      </c>
      <c r="P156">
        <f t="shared" si="214"/>
        <v>0.15</v>
      </c>
      <c r="Q156">
        <f t="shared" si="214"/>
        <v>0.19999999999999996</v>
      </c>
      <c r="R156">
        <f t="shared" si="214"/>
        <v>0.19999999999999996</v>
      </c>
      <c r="S156">
        <f t="shared" si="214"/>
        <v>0.19999999999999996</v>
      </c>
      <c r="T156">
        <f t="shared" si="214"/>
        <v>0.19999999999999996</v>
      </c>
      <c r="U156">
        <f t="shared" si="214"/>
        <v>0.25</v>
      </c>
      <c r="V156">
        <f t="shared" si="214"/>
        <v>0</v>
      </c>
      <c r="W156">
        <f t="shared" si="214"/>
        <v>0</v>
      </c>
      <c r="X156">
        <f t="shared" si="214"/>
        <v>0</v>
      </c>
      <c r="Y156">
        <f t="shared" si="214"/>
        <v>0</v>
      </c>
      <c r="Z156">
        <f t="shared" si="214"/>
        <v>0</v>
      </c>
      <c r="AA156">
        <f t="shared" si="214"/>
        <v>0</v>
      </c>
    </row>
    <row r="157" spans="1:27" x14ac:dyDescent="0.25">
      <c r="A157">
        <v>16</v>
      </c>
      <c r="B157" t="s">
        <v>20</v>
      </c>
      <c r="C157">
        <f t="shared" ref="C157:M157" si="215">C66*$A157</f>
        <v>0.8</v>
      </c>
      <c r="D157">
        <f t="shared" si="215"/>
        <v>0.8</v>
      </c>
      <c r="E157">
        <f t="shared" si="215"/>
        <v>0.8</v>
      </c>
      <c r="F157">
        <f t="shared" si="215"/>
        <v>0.8</v>
      </c>
      <c r="G157">
        <f t="shared" si="215"/>
        <v>0.8</v>
      </c>
      <c r="H157">
        <f t="shared" si="215"/>
        <v>0.8</v>
      </c>
      <c r="I157">
        <f t="shared" si="215"/>
        <v>0.8</v>
      </c>
      <c r="J157">
        <f t="shared" si="215"/>
        <v>0.8</v>
      </c>
      <c r="K157">
        <f t="shared" si="215"/>
        <v>0.8</v>
      </c>
      <c r="L157">
        <f t="shared" si="215"/>
        <v>0.8</v>
      </c>
      <c r="M157">
        <f t="shared" si="215"/>
        <v>0.8</v>
      </c>
      <c r="N157">
        <f t="shared" ref="N157" si="216">N66*$A157</f>
        <v>0.8</v>
      </c>
      <c r="O157">
        <f t="shared" ref="O157:AA157" si="217">O66*$A157</f>
        <v>0.8</v>
      </c>
      <c r="P157">
        <f t="shared" si="217"/>
        <v>0.8</v>
      </c>
      <c r="Q157">
        <f t="shared" si="217"/>
        <v>0.8</v>
      </c>
      <c r="R157">
        <f t="shared" si="217"/>
        <v>0.96000000000000008</v>
      </c>
      <c r="S157">
        <f t="shared" si="217"/>
        <v>0.96000000000000008</v>
      </c>
      <c r="T157">
        <f t="shared" si="217"/>
        <v>0.96000000000000008</v>
      </c>
      <c r="U157">
        <f t="shared" si="217"/>
        <v>1.1200000000000001</v>
      </c>
      <c r="V157">
        <f t="shared" si="217"/>
        <v>0</v>
      </c>
      <c r="W157">
        <f t="shared" si="217"/>
        <v>0</v>
      </c>
      <c r="X157">
        <f t="shared" si="217"/>
        <v>0</v>
      </c>
      <c r="Y157">
        <f t="shared" si="217"/>
        <v>0</v>
      </c>
      <c r="Z157">
        <f t="shared" si="217"/>
        <v>0</v>
      </c>
      <c r="AA157">
        <f t="shared" si="217"/>
        <v>0</v>
      </c>
    </row>
    <row r="158" spans="1:27" x14ac:dyDescent="0.25">
      <c r="A158">
        <v>3</v>
      </c>
      <c r="B158" t="s">
        <v>21</v>
      </c>
      <c r="C158">
        <f t="shared" ref="C158:M158" si="218">C67*$A158</f>
        <v>0.86999999999999988</v>
      </c>
      <c r="D158">
        <f t="shared" si="218"/>
        <v>0.86999999999999988</v>
      </c>
      <c r="E158">
        <f t="shared" si="218"/>
        <v>0.86999999999999988</v>
      </c>
      <c r="F158">
        <f t="shared" si="218"/>
        <v>0.75</v>
      </c>
      <c r="G158">
        <f t="shared" si="218"/>
        <v>0.75</v>
      </c>
      <c r="H158">
        <f t="shared" si="218"/>
        <v>0.84000000000000008</v>
      </c>
      <c r="I158">
        <f t="shared" si="218"/>
        <v>0.75</v>
      </c>
      <c r="J158">
        <f t="shared" si="218"/>
        <v>0.75</v>
      </c>
      <c r="K158">
        <f t="shared" si="218"/>
        <v>0.75</v>
      </c>
      <c r="L158">
        <f t="shared" si="218"/>
        <v>0.75</v>
      </c>
      <c r="M158">
        <f t="shared" si="218"/>
        <v>0.75</v>
      </c>
      <c r="N158">
        <f t="shared" ref="N158" si="219">N67*$A158</f>
        <v>0.75</v>
      </c>
      <c r="O158">
        <f t="shared" ref="O158:AA158" si="220">O67*$A158</f>
        <v>0.78</v>
      </c>
      <c r="P158">
        <f t="shared" si="220"/>
        <v>0.78</v>
      </c>
      <c r="Q158">
        <f t="shared" si="220"/>
        <v>0.84000000000000008</v>
      </c>
      <c r="R158">
        <f t="shared" si="220"/>
        <v>0.75</v>
      </c>
      <c r="S158">
        <f t="shared" si="220"/>
        <v>0.78</v>
      </c>
      <c r="T158">
        <f t="shared" si="220"/>
        <v>0.75</v>
      </c>
      <c r="U158">
        <f t="shared" si="220"/>
        <v>0.86999999999999988</v>
      </c>
      <c r="V158">
        <f t="shared" si="220"/>
        <v>0</v>
      </c>
      <c r="W158">
        <f t="shared" si="220"/>
        <v>0</v>
      </c>
      <c r="X158">
        <f t="shared" si="220"/>
        <v>0</v>
      </c>
      <c r="Y158">
        <f t="shared" si="220"/>
        <v>0</v>
      </c>
      <c r="Z158">
        <f t="shared" si="220"/>
        <v>0</v>
      </c>
      <c r="AA158">
        <f t="shared" si="220"/>
        <v>0</v>
      </c>
    </row>
    <row r="159" spans="1:27" x14ac:dyDescent="0.25">
      <c r="A159">
        <v>16</v>
      </c>
      <c r="B159" t="s">
        <v>22</v>
      </c>
      <c r="C159">
        <f t="shared" ref="C159:M159" si="221">C68*$A159</f>
        <v>0.8</v>
      </c>
      <c r="D159">
        <f t="shared" si="221"/>
        <v>0.8</v>
      </c>
      <c r="E159">
        <f t="shared" si="221"/>
        <v>0.8</v>
      </c>
      <c r="F159">
        <f t="shared" si="221"/>
        <v>0.8</v>
      </c>
      <c r="G159">
        <f t="shared" si="221"/>
        <v>0.8</v>
      </c>
      <c r="H159">
        <f t="shared" si="221"/>
        <v>0.8</v>
      </c>
      <c r="I159">
        <f t="shared" si="221"/>
        <v>0.8</v>
      </c>
      <c r="J159">
        <f t="shared" si="221"/>
        <v>0.8</v>
      </c>
      <c r="K159">
        <f t="shared" si="221"/>
        <v>0.8</v>
      </c>
      <c r="L159">
        <f t="shared" si="221"/>
        <v>0.8</v>
      </c>
      <c r="M159">
        <f t="shared" si="221"/>
        <v>0.8</v>
      </c>
      <c r="N159">
        <f t="shared" ref="N159" si="222">N68*$A159</f>
        <v>0.6399999999999999</v>
      </c>
      <c r="O159">
        <f t="shared" ref="O159:AA159" si="223">O68*$A159</f>
        <v>0.6399999999999999</v>
      </c>
      <c r="P159">
        <f t="shared" si="223"/>
        <v>0.8</v>
      </c>
      <c r="Q159">
        <f t="shared" si="223"/>
        <v>0.8</v>
      </c>
      <c r="R159">
        <f t="shared" si="223"/>
        <v>0.8</v>
      </c>
      <c r="S159">
        <f t="shared" si="223"/>
        <v>0.8</v>
      </c>
      <c r="T159">
        <f t="shared" si="223"/>
        <v>0.8</v>
      </c>
      <c r="U159">
        <f t="shared" si="223"/>
        <v>0.96000000000000008</v>
      </c>
      <c r="V159">
        <f t="shared" si="223"/>
        <v>0</v>
      </c>
      <c r="W159">
        <f t="shared" si="223"/>
        <v>0</v>
      </c>
      <c r="X159">
        <f t="shared" si="223"/>
        <v>0</v>
      </c>
      <c r="Y159">
        <f t="shared" si="223"/>
        <v>0</v>
      </c>
      <c r="Z159">
        <f t="shared" si="223"/>
        <v>0</v>
      </c>
      <c r="AA159">
        <f t="shared" si="223"/>
        <v>0</v>
      </c>
    </row>
    <row r="160" spans="1:27" x14ac:dyDescent="0.25">
      <c r="A160">
        <v>19</v>
      </c>
      <c r="B160" t="s">
        <v>23</v>
      </c>
      <c r="C160">
        <f t="shared" ref="C160:M160" si="224">C69*$A160</f>
        <v>3.04</v>
      </c>
      <c r="D160">
        <f t="shared" si="224"/>
        <v>3.04</v>
      </c>
      <c r="E160">
        <f t="shared" si="224"/>
        <v>3.04</v>
      </c>
      <c r="F160">
        <f t="shared" si="224"/>
        <v>3.04</v>
      </c>
      <c r="G160">
        <f t="shared" si="224"/>
        <v>3.04</v>
      </c>
      <c r="H160">
        <f t="shared" si="224"/>
        <v>3.04</v>
      </c>
      <c r="I160">
        <f t="shared" si="224"/>
        <v>3.04</v>
      </c>
      <c r="J160">
        <f t="shared" si="224"/>
        <v>3.04</v>
      </c>
      <c r="K160">
        <f t="shared" si="224"/>
        <v>3.04</v>
      </c>
      <c r="L160">
        <f t="shared" si="224"/>
        <v>3.2300000000000004</v>
      </c>
      <c r="M160">
        <f t="shared" si="224"/>
        <v>3.2300000000000004</v>
      </c>
      <c r="N160">
        <f t="shared" ref="N160" si="225">N69*$A160</f>
        <v>3.04</v>
      </c>
      <c r="O160">
        <f t="shared" ref="O160:AA160" si="226">O69*$A160</f>
        <v>3.04</v>
      </c>
      <c r="P160">
        <f t="shared" si="226"/>
        <v>3.61</v>
      </c>
      <c r="Q160">
        <f t="shared" si="226"/>
        <v>3.61</v>
      </c>
      <c r="R160">
        <f t="shared" si="226"/>
        <v>3.61</v>
      </c>
      <c r="S160">
        <f t="shared" si="226"/>
        <v>3.99</v>
      </c>
      <c r="T160">
        <f t="shared" si="226"/>
        <v>4.1800000000000006</v>
      </c>
      <c r="U160">
        <f t="shared" si="226"/>
        <v>5.32</v>
      </c>
      <c r="V160">
        <f t="shared" si="226"/>
        <v>0</v>
      </c>
      <c r="W160">
        <f t="shared" si="226"/>
        <v>0</v>
      </c>
      <c r="X160">
        <f t="shared" si="226"/>
        <v>0</v>
      </c>
      <c r="Y160">
        <f t="shared" si="226"/>
        <v>0</v>
      </c>
      <c r="Z160">
        <f t="shared" si="226"/>
        <v>0</v>
      </c>
      <c r="AA160">
        <f t="shared" si="226"/>
        <v>0</v>
      </c>
    </row>
    <row r="161" spans="1:27" x14ac:dyDescent="0.25">
      <c r="A161">
        <v>6</v>
      </c>
      <c r="B161" t="s">
        <v>24</v>
      </c>
      <c r="C161">
        <f t="shared" ref="C161:M161" si="227">C70*$A161</f>
        <v>0.36000000000000004</v>
      </c>
      <c r="D161">
        <f t="shared" si="227"/>
        <v>0.36000000000000004</v>
      </c>
      <c r="E161">
        <f t="shared" si="227"/>
        <v>0.36000000000000004</v>
      </c>
      <c r="F161">
        <f t="shared" si="227"/>
        <v>0.36000000000000004</v>
      </c>
      <c r="G161">
        <f t="shared" si="227"/>
        <v>0.36000000000000004</v>
      </c>
      <c r="H161">
        <f t="shared" si="227"/>
        <v>0.36000000000000004</v>
      </c>
      <c r="I161">
        <f t="shared" si="227"/>
        <v>0.36000000000000004</v>
      </c>
      <c r="J161">
        <f t="shared" si="227"/>
        <v>0.36000000000000004</v>
      </c>
      <c r="K161">
        <f t="shared" si="227"/>
        <v>0.36000000000000004</v>
      </c>
      <c r="L161">
        <f t="shared" si="227"/>
        <v>0.36000000000000004</v>
      </c>
      <c r="M161">
        <f t="shared" si="227"/>
        <v>0.36000000000000004</v>
      </c>
      <c r="N161">
        <f t="shared" ref="N161" si="228">N70*$A161</f>
        <v>0.36000000000000004</v>
      </c>
      <c r="O161">
        <f t="shared" ref="O161:AA161" si="229">O70*$A161</f>
        <v>0.36000000000000004</v>
      </c>
      <c r="P161">
        <f t="shared" si="229"/>
        <v>0.36000000000000004</v>
      </c>
      <c r="Q161">
        <f t="shared" si="229"/>
        <v>0.36000000000000004</v>
      </c>
      <c r="R161">
        <f t="shared" si="229"/>
        <v>0.36000000000000004</v>
      </c>
      <c r="S161">
        <f t="shared" si="229"/>
        <v>0.36000000000000004</v>
      </c>
      <c r="T161">
        <f t="shared" si="229"/>
        <v>0.36000000000000004</v>
      </c>
      <c r="U161">
        <f t="shared" si="229"/>
        <v>0.78</v>
      </c>
      <c r="V161">
        <f t="shared" si="229"/>
        <v>0</v>
      </c>
      <c r="W161">
        <f t="shared" si="229"/>
        <v>0</v>
      </c>
      <c r="X161">
        <f t="shared" si="229"/>
        <v>0</v>
      </c>
      <c r="Y161">
        <f t="shared" si="229"/>
        <v>0</v>
      </c>
      <c r="Z161">
        <f t="shared" si="229"/>
        <v>0</v>
      </c>
      <c r="AA161">
        <f t="shared" si="229"/>
        <v>0</v>
      </c>
    </row>
    <row r="162" spans="1:27" x14ac:dyDescent="0.25">
      <c r="A162">
        <v>7</v>
      </c>
      <c r="B162" t="s">
        <v>25</v>
      </c>
      <c r="C162">
        <f t="shared" ref="C162:M162" si="230">C71*$A162</f>
        <v>6.58</v>
      </c>
      <c r="D162">
        <f t="shared" si="230"/>
        <v>6.58</v>
      </c>
      <c r="E162">
        <f t="shared" si="230"/>
        <v>7.1400000000000006</v>
      </c>
      <c r="F162">
        <f t="shared" si="230"/>
        <v>7.2799999999999985</v>
      </c>
      <c r="G162">
        <f t="shared" si="230"/>
        <v>7.07</v>
      </c>
      <c r="H162">
        <f t="shared" si="230"/>
        <v>7.419999999999999</v>
      </c>
      <c r="I162">
        <f t="shared" si="230"/>
        <v>7.49</v>
      </c>
      <c r="J162">
        <f t="shared" si="230"/>
        <v>7.6999999999999993</v>
      </c>
      <c r="K162">
        <f t="shared" si="230"/>
        <v>9.0300000000000011</v>
      </c>
      <c r="L162">
        <f t="shared" si="230"/>
        <v>8.5399999999999991</v>
      </c>
      <c r="M162">
        <f t="shared" si="230"/>
        <v>8.89</v>
      </c>
      <c r="N162">
        <f t="shared" ref="N162" si="231">N71*$A162</f>
        <v>8.8199999999999985</v>
      </c>
      <c r="O162">
        <f t="shared" ref="O162:AA162" si="232">O71*$A162</f>
        <v>8.259999999999998</v>
      </c>
      <c r="P162">
        <f t="shared" si="232"/>
        <v>8.26</v>
      </c>
      <c r="Q162">
        <f t="shared" si="232"/>
        <v>7.6999999999999993</v>
      </c>
      <c r="R162">
        <f t="shared" si="232"/>
        <v>7.910000000000001</v>
      </c>
      <c r="S162">
        <f t="shared" si="232"/>
        <v>7.6999999999999993</v>
      </c>
      <c r="T162">
        <f t="shared" si="232"/>
        <v>7.9799999999999995</v>
      </c>
      <c r="U162">
        <f t="shared" si="232"/>
        <v>7.9799999999999995</v>
      </c>
      <c r="V162">
        <f t="shared" si="232"/>
        <v>0</v>
      </c>
      <c r="W162">
        <f t="shared" si="232"/>
        <v>0</v>
      </c>
      <c r="X162">
        <f t="shared" si="232"/>
        <v>0</v>
      </c>
      <c r="Y162">
        <f t="shared" si="232"/>
        <v>0</v>
      </c>
      <c r="Z162">
        <f t="shared" si="232"/>
        <v>0</v>
      </c>
      <c r="AA162">
        <f t="shared" si="232"/>
        <v>0</v>
      </c>
    </row>
    <row r="163" spans="1:27" x14ac:dyDescent="0.25">
      <c r="A163">
        <v>4</v>
      </c>
      <c r="B163" t="s">
        <v>26</v>
      </c>
      <c r="C163">
        <f t="shared" ref="C163:M163" si="233">C72*$A163</f>
        <v>0.56000000000000005</v>
      </c>
      <c r="D163">
        <f t="shared" si="233"/>
        <v>0.56000000000000005</v>
      </c>
      <c r="E163">
        <f t="shared" si="233"/>
        <v>0.64</v>
      </c>
      <c r="F163">
        <f t="shared" si="233"/>
        <v>0.64</v>
      </c>
      <c r="G163">
        <f t="shared" si="233"/>
        <v>0.56000000000000005</v>
      </c>
      <c r="H163">
        <f t="shared" si="233"/>
        <v>0.6</v>
      </c>
      <c r="I163">
        <f t="shared" si="233"/>
        <v>0.6</v>
      </c>
      <c r="J163">
        <f t="shared" si="233"/>
        <v>0.56000000000000005</v>
      </c>
      <c r="K163">
        <f t="shared" si="233"/>
        <v>0.56000000000000005</v>
      </c>
      <c r="L163">
        <f t="shared" si="233"/>
        <v>0.6</v>
      </c>
      <c r="M163">
        <f t="shared" si="233"/>
        <v>0.6</v>
      </c>
      <c r="N163">
        <f t="shared" ref="N163" si="234">N72*$A163</f>
        <v>0.64</v>
      </c>
      <c r="O163">
        <f t="shared" ref="O163:AA163" si="235">O72*$A163</f>
        <v>0.68</v>
      </c>
      <c r="P163">
        <f t="shared" si="235"/>
        <v>0.64</v>
      </c>
      <c r="Q163">
        <f t="shared" si="235"/>
        <v>0.64</v>
      </c>
      <c r="R163">
        <f t="shared" si="235"/>
        <v>0.76</v>
      </c>
      <c r="S163">
        <f t="shared" si="235"/>
        <v>0.76</v>
      </c>
      <c r="T163">
        <f t="shared" si="235"/>
        <v>0.72000000000000008</v>
      </c>
      <c r="U163">
        <f t="shared" si="235"/>
        <v>1.1200000000000001</v>
      </c>
      <c r="V163">
        <f t="shared" si="235"/>
        <v>0</v>
      </c>
      <c r="W163">
        <f t="shared" si="235"/>
        <v>0</v>
      </c>
      <c r="X163">
        <f t="shared" si="235"/>
        <v>0</v>
      </c>
      <c r="Y163">
        <f t="shared" si="235"/>
        <v>0</v>
      </c>
      <c r="Z163">
        <f t="shared" si="235"/>
        <v>0</v>
      </c>
      <c r="AA163">
        <f t="shared" si="235"/>
        <v>0</v>
      </c>
    </row>
    <row r="164" spans="1:27" x14ac:dyDescent="0.25">
      <c r="A164">
        <v>4</v>
      </c>
      <c r="B164" t="s">
        <v>27</v>
      </c>
      <c r="C164">
        <f t="shared" ref="C164:M164" si="236">C73*$A164</f>
        <v>0.2</v>
      </c>
      <c r="D164">
        <f t="shared" si="236"/>
        <v>0.2</v>
      </c>
      <c r="E164">
        <f t="shared" si="236"/>
        <v>0.2</v>
      </c>
      <c r="F164">
        <f t="shared" si="236"/>
        <v>0.2</v>
      </c>
      <c r="G164">
        <f t="shared" si="236"/>
        <v>0.2</v>
      </c>
      <c r="H164">
        <f t="shared" si="236"/>
        <v>0.2</v>
      </c>
      <c r="I164">
        <f t="shared" si="236"/>
        <v>0.2</v>
      </c>
      <c r="J164">
        <f t="shared" si="236"/>
        <v>0.2</v>
      </c>
      <c r="K164">
        <f t="shared" si="236"/>
        <v>0.2</v>
      </c>
      <c r="L164">
        <f t="shared" si="236"/>
        <v>0.2</v>
      </c>
      <c r="M164">
        <f t="shared" si="236"/>
        <v>0.2</v>
      </c>
      <c r="N164">
        <f t="shared" ref="N164" si="237">N73*$A164</f>
        <v>0.2</v>
      </c>
      <c r="O164">
        <f t="shared" ref="O164:AA164" si="238">O73*$A164</f>
        <v>0.2</v>
      </c>
      <c r="P164">
        <f t="shared" si="238"/>
        <v>0.2</v>
      </c>
      <c r="Q164">
        <f t="shared" si="238"/>
        <v>0.2</v>
      </c>
      <c r="R164">
        <f t="shared" si="238"/>
        <v>0.2</v>
      </c>
      <c r="S164">
        <f t="shared" si="238"/>
        <v>0.2</v>
      </c>
      <c r="T164">
        <f t="shared" si="238"/>
        <v>0.2</v>
      </c>
      <c r="U164">
        <f t="shared" si="238"/>
        <v>0.36</v>
      </c>
      <c r="V164">
        <f t="shared" si="238"/>
        <v>0</v>
      </c>
      <c r="W164">
        <f t="shared" si="238"/>
        <v>0</v>
      </c>
      <c r="X164">
        <f t="shared" si="238"/>
        <v>0</v>
      </c>
      <c r="Y164">
        <f t="shared" si="238"/>
        <v>0</v>
      </c>
      <c r="Z164">
        <f t="shared" si="238"/>
        <v>0</v>
      </c>
      <c r="AA164">
        <f t="shared" si="238"/>
        <v>0</v>
      </c>
    </row>
    <row r="165" spans="1:27" x14ac:dyDescent="0.25">
      <c r="A165">
        <v>1</v>
      </c>
      <c r="B165" t="s">
        <v>28</v>
      </c>
      <c r="C165">
        <f t="shared" ref="C165:M165" si="239">C74*$A165</f>
        <v>0.49999999999999989</v>
      </c>
      <c r="D165">
        <f t="shared" si="239"/>
        <v>0.48999999999999988</v>
      </c>
      <c r="E165">
        <f t="shared" si="239"/>
        <v>0.46000000000000008</v>
      </c>
      <c r="F165">
        <f t="shared" si="239"/>
        <v>0.44000000000000006</v>
      </c>
      <c r="G165">
        <f t="shared" si="239"/>
        <v>0.51</v>
      </c>
      <c r="H165">
        <f t="shared" si="239"/>
        <v>0.51</v>
      </c>
      <c r="I165">
        <f t="shared" si="239"/>
        <v>0.51</v>
      </c>
      <c r="J165">
        <f t="shared" si="239"/>
        <v>0.5</v>
      </c>
      <c r="K165">
        <f t="shared" si="239"/>
        <v>0.48999999999999988</v>
      </c>
      <c r="L165">
        <f t="shared" si="239"/>
        <v>0.5</v>
      </c>
      <c r="M165">
        <f t="shared" si="239"/>
        <v>0.48999999999999988</v>
      </c>
      <c r="N165">
        <f t="shared" ref="N165" si="240">N74*$A165</f>
        <v>0.51</v>
      </c>
      <c r="O165">
        <f t="shared" ref="O165:AA165" si="241">O74*$A165</f>
        <v>0.54</v>
      </c>
      <c r="P165">
        <f t="shared" si="241"/>
        <v>0.55000000000000004</v>
      </c>
      <c r="Q165">
        <f t="shared" si="241"/>
        <v>0.54</v>
      </c>
      <c r="R165">
        <f t="shared" si="241"/>
        <v>0.55000000000000004</v>
      </c>
      <c r="S165">
        <f t="shared" si="241"/>
        <v>0.53</v>
      </c>
      <c r="T165">
        <f t="shared" si="241"/>
        <v>0.53</v>
      </c>
      <c r="U165">
        <f t="shared" si="241"/>
        <v>0.6</v>
      </c>
      <c r="V165">
        <f t="shared" si="241"/>
        <v>0</v>
      </c>
      <c r="W165">
        <f t="shared" si="241"/>
        <v>0</v>
      </c>
      <c r="X165">
        <f t="shared" si="241"/>
        <v>0</v>
      </c>
      <c r="Y165">
        <f t="shared" si="241"/>
        <v>0</v>
      </c>
      <c r="Z165">
        <f t="shared" si="241"/>
        <v>0</v>
      </c>
      <c r="AA165">
        <f t="shared" si="241"/>
        <v>0</v>
      </c>
    </row>
    <row r="166" spans="1:27" x14ac:dyDescent="0.25">
      <c r="C166" s="2">
        <f>SUM(C156:C165)</f>
        <v>13.860000000000001</v>
      </c>
      <c r="D166" s="2">
        <f t="shared" ref="D166" si="242">SUM(D156:D165)</f>
        <v>13.850000000000001</v>
      </c>
      <c r="E166" s="2">
        <f t="shared" ref="E166" si="243">SUM(E156:E165)</f>
        <v>14.46</v>
      </c>
      <c r="F166" s="2">
        <f t="shared" ref="F166" si="244">SUM(F156:F165)</f>
        <v>14.509999999999998</v>
      </c>
      <c r="G166" s="2">
        <f t="shared" ref="G166" si="245">SUM(G156:G165)</f>
        <v>14.29</v>
      </c>
      <c r="H166" s="2">
        <f t="shared" ref="H166" si="246">SUM(H156:H165)</f>
        <v>14.769999999999998</v>
      </c>
      <c r="I166" s="2">
        <f t="shared" ref="I166" si="247">SUM(I156:I165)</f>
        <v>14.7</v>
      </c>
      <c r="J166" s="2">
        <f t="shared" ref="J166" si="248">SUM(J156:J165)</f>
        <v>14.909999999999998</v>
      </c>
      <c r="K166" s="2">
        <f t="shared" ref="K166" si="249">SUM(K156:K165)</f>
        <v>16.23</v>
      </c>
      <c r="L166" s="2">
        <f t="shared" ref="L166" si="250">SUM(L156:L165)</f>
        <v>15.979999999999999</v>
      </c>
      <c r="M166" s="2">
        <f t="shared" ref="M166" si="251">SUM(M156:M165)</f>
        <v>16.32</v>
      </c>
      <c r="N166" s="2">
        <f t="shared" ref="N166" si="252">SUM(N156:N165)</f>
        <v>15.959999999999999</v>
      </c>
      <c r="O166" s="2">
        <f t="shared" ref="O166:AA166" si="253">SUM(O156:O165)</f>
        <v>15.499999999999996</v>
      </c>
      <c r="P166" s="2">
        <f t="shared" si="253"/>
        <v>16.150000000000002</v>
      </c>
      <c r="Q166" s="2">
        <f t="shared" si="253"/>
        <v>15.689999999999998</v>
      </c>
      <c r="R166" s="2">
        <f t="shared" si="253"/>
        <v>16.100000000000001</v>
      </c>
      <c r="S166" s="2">
        <f t="shared" si="253"/>
        <v>16.279999999999998</v>
      </c>
      <c r="T166" s="2">
        <f t="shared" si="253"/>
        <v>16.680000000000003</v>
      </c>
      <c r="U166" s="2">
        <f t="shared" si="253"/>
        <v>19.36</v>
      </c>
      <c r="V166" s="2">
        <f t="shared" si="253"/>
        <v>0</v>
      </c>
      <c r="W166" s="2">
        <f t="shared" si="253"/>
        <v>0</v>
      </c>
      <c r="X166" s="2">
        <f t="shared" si="253"/>
        <v>0</v>
      </c>
      <c r="Y166" s="2">
        <f t="shared" si="253"/>
        <v>0</v>
      </c>
      <c r="Z166" s="2">
        <f t="shared" si="253"/>
        <v>0</v>
      </c>
      <c r="AA166" s="2">
        <f t="shared" si="253"/>
        <v>0</v>
      </c>
    </row>
    <row r="169" spans="1:27" ht="23.25" x14ac:dyDescent="0.35">
      <c r="A169" s="3" t="s">
        <v>29</v>
      </c>
    </row>
    <row r="170" spans="1:27" x14ac:dyDescent="0.25">
      <c r="A170" s="2" t="s">
        <v>11</v>
      </c>
      <c r="B170" s="2" t="s">
        <v>12</v>
      </c>
    </row>
    <row r="171" spans="1:27" x14ac:dyDescent="0.25">
      <c r="C171" s="1">
        <f>C155</f>
        <v>44331</v>
      </c>
      <c r="D171" s="1">
        <f t="shared" ref="D171:M171" si="254">D155</f>
        <v>44332</v>
      </c>
      <c r="E171" s="1">
        <f t="shared" si="254"/>
        <v>44334</v>
      </c>
      <c r="F171" s="1">
        <f t="shared" si="254"/>
        <v>44336</v>
      </c>
      <c r="G171" s="1">
        <f t="shared" si="254"/>
        <v>44337</v>
      </c>
      <c r="H171" s="1">
        <f t="shared" si="254"/>
        <v>44338</v>
      </c>
      <c r="I171" s="1">
        <f t="shared" si="254"/>
        <v>44339</v>
      </c>
      <c r="J171" s="1">
        <f t="shared" si="254"/>
        <v>44340</v>
      </c>
      <c r="K171" s="1">
        <f t="shared" si="254"/>
        <v>44341</v>
      </c>
      <c r="L171" s="1">
        <f t="shared" si="254"/>
        <v>44342</v>
      </c>
      <c r="M171" s="1">
        <f t="shared" si="254"/>
        <v>44343</v>
      </c>
      <c r="N171" s="1">
        <f t="shared" ref="N171" si="255">N155</f>
        <v>44344</v>
      </c>
      <c r="O171" s="1">
        <f t="shared" ref="O171:AA171" si="256">O155</f>
        <v>44345</v>
      </c>
      <c r="P171" s="1">
        <f t="shared" si="256"/>
        <v>44346</v>
      </c>
      <c r="Q171" s="1">
        <f t="shared" si="256"/>
        <v>44347</v>
      </c>
      <c r="R171" s="1">
        <f t="shared" si="256"/>
        <v>44348</v>
      </c>
      <c r="S171" s="1">
        <f t="shared" si="256"/>
        <v>44349</v>
      </c>
      <c r="T171" s="1">
        <f t="shared" si="256"/>
        <v>44350</v>
      </c>
      <c r="U171" s="1">
        <f t="shared" si="256"/>
        <v>44351</v>
      </c>
      <c r="V171" s="1">
        <f t="shared" si="256"/>
        <v>44352</v>
      </c>
      <c r="W171" s="1">
        <f t="shared" si="256"/>
        <v>44353</v>
      </c>
      <c r="X171" s="1">
        <f t="shared" si="256"/>
        <v>44354</v>
      </c>
      <c r="Y171" s="1">
        <f t="shared" si="256"/>
        <v>44355</v>
      </c>
      <c r="Z171" s="1">
        <f t="shared" si="256"/>
        <v>44356</v>
      </c>
      <c r="AA171" s="1">
        <f t="shared" si="256"/>
        <v>44357</v>
      </c>
    </row>
    <row r="172" spans="1:27" x14ac:dyDescent="0.25">
      <c r="A172">
        <v>48</v>
      </c>
      <c r="B172" t="s">
        <v>30</v>
      </c>
      <c r="C172">
        <f>ROUNDDOWN(C81*$A172*0.8,2)</f>
        <v>126.33</v>
      </c>
      <c r="D172">
        <f t="shared" ref="D172:L172" si="257">ROUNDDOWN(D81*$A172*0.8,2)</f>
        <v>119.8</v>
      </c>
      <c r="E172">
        <f t="shared" si="257"/>
        <v>128.63999999999999</v>
      </c>
      <c r="F172">
        <f t="shared" si="257"/>
        <v>144.76</v>
      </c>
      <c r="G172">
        <f t="shared" si="257"/>
        <v>143.22999999999999</v>
      </c>
      <c r="H172">
        <f t="shared" si="257"/>
        <v>195.45</v>
      </c>
      <c r="I172">
        <f t="shared" si="257"/>
        <v>192</v>
      </c>
      <c r="J172">
        <f t="shared" si="257"/>
        <v>211.96</v>
      </c>
      <c r="K172">
        <f t="shared" si="257"/>
        <v>212.73</v>
      </c>
      <c r="L172">
        <f t="shared" si="257"/>
        <v>250.36</v>
      </c>
      <c r="M172">
        <f t="shared" ref="M172:AA172" si="258">ROUNDDOWN(M81*$A172*0.8,2)</f>
        <v>283.39</v>
      </c>
      <c r="N172">
        <f t="shared" si="258"/>
        <v>280.32</v>
      </c>
      <c r="O172">
        <f t="shared" si="258"/>
        <v>251.52</v>
      </c>
      <c r="P172">
        <f t="shared" si="258"/>
        <v>235.77</v>
      </c>
      <c r="Q172">
        <f t="shared" si="258"/>
        <v>223.48</v>
      </c>
      <c r="R172">
        <f t="shared" si="258"/>
        <v>251.9</v>
      </c>
      <c r="S172">
        <f t="shared" si="258"/>
        <v>279.93</v>
      </c>
      <c r="T172">
        <f t="shared" si="258"/>
        <v>294.91000000000003</v>
      </c>
      <c r="U172">
        <f t="shared" si="258"/>
        <v>304.12</v>
      </c>
      <c r="V172">
        <f t="shared" si="258"/>
        <v>0</v>
      </c>
      <c r="W172">
        <f t="shared" si="258"/>
        <v>0</v>
      </c>
      <c r="X172">
        <f t="shared" si="258"/>
        <v>0</v>
      </c>
      <c r="Y172">
        <f t="shared" si="258"/>
        <v>0</v>
      </c>
      <c r="Z172">
        <f t="shared" si="258"/>
        <v>0</v>
      </c>
      <c r="AA172">
        <f t="shared" si="258"/>
        <v>0</v>
      </c>
    </row>
    <row r="173" spans="1:27" x14ac:dyDescent="0.25">
      <c r="A173">
        <v>10</v>
      </c>
      <c r="B173" t="s">
        <v>123</v>
      </c>
      <c r="C173">
        <f t="shared" ref="C173:L178" si="259">ROUNDDOWN(C82*$A173*0.8,2)</f>
        <v>23.6</v>
      </c>
      <c r="D173">
        <f t="shared" si="259"/>
        <v>23.84</v>
      </c>
      <c r="E173">
        <f t="shared" si="259"/>
        <v>26.64</v>
      </c>
      <c r="F173">
        <f t="shared" si="259"/>
        <v>29.04</v>
      </c>
      <c r="G173">
        <f t="shared" si="259"/>
        <v>30.56</v>
      </c>
      <c r="H173">
        <f t="shared" si="259"/>
        <v>39.44</v>
      </c>
      <c r="I173">
        <f t="shared" si="259"/>
        <v>38.72</v>
      </c>
      <c r="J173">
        <f t="shared" si="259"/>
        <v>42.8</v>
      </c>
      <c r="K173">
        <f t="shared" si="259"/>
        <v>42.48</v>
      </c>
      <c r="L173">
        <f t="shared" si="259"/>
        <v>49.68</v>
      </c>
      <c r="M173">
        <f t="shared" ref="M173:AA173" si="260">ROUNDDOWN(M82*$A173*0.8,2)</f>
        <v>54.32</v>
      </c>
      <c r="N173">
        <f t="shared" si="260"/>
        <v>57.28</v>
      </c>
      <c r="O173">
        <f t="shared" si="260"/>
        <v>55.28</v>
      </c>
      <c r="P173">
        <f t="shared" si="260"/>
        <v>48.88</v>
      </c>
      <c r="Q173">
        <f t="shared" si="260"/>
        <v>43.28</v>
      </c>
      <c r="R173">
        <f t="shared" si="260"/>
        <v>46.56</v>
      </c>
      <c r="S173">
        <f t="shared" si="260"/>
        <v>54.64</v>
      </c>
      <c r="T173">
        <f t="shared" si="260"/>
        <v>60.08</v>
      </c>
      <c r="U173">
        <f t="shared" si="260"/>
        <v>61.2</v>
      </c>
      <c r="V173">
        <f t="shared" si="260"/>
        <v>0</v>
      </c>
      <c r="W173">
        <f t="shared" si="260"/>
        <v>0</v>
      </c>
      <c r="X173">
        <f t="shared" si="260"/>
        <v>0</v>
      </c>
      <c r="Y173">
        <f t="shared" si="260"/>
        <v>0</v>
      </c>
      <c r="Z173">
        <f t="shared" si="260"/>
        <v>0</v>
      </c>
      <c r="AA173">
        <f t="shared" si="260"/>
        <v>0</v>
      </c>
    </row>
    <row r="174" spans="1:27" x14ac:dyDescent="0.25">
      <c r="A174">
        <v>6</v>
      </c>
      <c r="B174" t="s">
        <v>124</v>
      </c>
      <c r="C174">
        <f t="shared" si="259"/>
        <v>14.44</v>
      </c>
      <c r="D174">
        <f t="shared" si="259"/>
        <v>13.96</v>
      </c>
      <c r="E174">
        <f t="shared" si="259"/>
        <v>16.12</v>
      </c>
      <c r="F174">
        <f t="shared" si="259"/>
        <v>18</v>
      </c>
      <c r="G174">
        <f t="shared" si="259"/>
        <v>18.329999999999998</v>
      </c>
      <c r="H174">
        <f t="shared" si="259"/>
        <v>27.31</v>
      </c>
      <c r="I174">
        <f t="shared" si="259"/>
        <v>29.37</v>
      </c>
      <c r="J174">
        <f t="shared" si="259"/>
        <v>24.72</v>
      </c>
      <c r="K174">
        <f t="shared" si="259"/>
        <v>26.83</v>
      </c>
      <c r="L174">
        <f t="shared" si="259"/>
        <v>30.52</v>
      </c>
      <c r="M174">
        <f t="shared" ref="M174:AA174" si="261">ROUNDDOWN(M83*$A174*0.8,2)</f>
        <v>33.119999999999997</v>
      </c>
      <c r="N174">
        <f t="shared" si="261"/>
        <v>34.65</v>
      </c>
      <c r="O174">
        <f t="shared" si="261"/>
        <v>32.06</v>
      </c>
      <c r="P174">
        <f t="shared" si="261"/>
        <v>30.81</v>
      </c>
      <c r="Q174">
        <f t="shared" si="261"/>
        <v>28.27</v>
      </c>
      <c r="R174">
        <f t="shared" si="261"/>
        <v>28.65</v>
      </c>
      <c r="S174">
        <f t="shared" si="261"/>
        <v>32.200000000000003</v>
      </c>
      <c r="T174">
        <f t="shared" si="261"/>
        <v>39.5</v>
      </c>
      <c r="U174">
        <f t="shared" si="261"/>
        <v>39.6</v>
      </c>
      <c r="V174">
        <f t="shared" si="261"/>
        <v>0</v>
      </c>
      <c r="W174">
        <f t="shared" si="261"/>
        <v>0</v>
      </c>
      <c r="X174">
        <f t="shared" si="261"/>
        <v>0</v>
      </c>
      <c r="Y174">
        <f t="shared" si="261"/>
        <v>0</v>
      </c>
      <c r="Z174">
        <f t="shared" si="261"/>
        <v>0</v>
      </c>
      <c r="AA174">
        <f t="shared" si="261"/>
        <v>0</v>
      </c>
    </row>
    <row r="175" spans="1:27" x14ac:dyDescent="0.25">
      <c r="A175">
        <v>10</v>
      </c>
      <c r="B175" t="s">
        <v>125</v>
      </c>
      <c r="C175">
        <f t="shared" si="259"/>
        <v>28.08</v>
      </c>
      <c r="D175">
        <f t="shared" si="259"/>
        <v>26.48</v>
      </c>
      <c r="E175">
        <f t="shared" si="259"/>
        <v>26.48</v>
      </c>
      <c r="F175">
        <f t="shared" si="259"/>
        <v>32</v>
      </c>
      <c r="G175">
        <f t="shared" si="259"/>
        <v>34.64</v>
      </c>
      <c r="H175">
        <f t="shared" si="259"/>
        <v>40.08</v>
      </c>
      <c r="I175">
        <f t="shared" si="259"/>
        <v>44.56</v>
      </c>
      <c r="J175">
        <f t="shared" si="259"/>
        <v>48.4</v>
      </c>
      <c r="K175">
        <f t="shared" si="259"/>
        <v>48.88</v>
      </c>
      <c r="L175">
        <f t="shared" si="259"/>
        <v>54.08</v>
      </c>
      <c r="M175">
        <f t="shared" ref="M175:AA175" si="262">ROUNDDOWN(M84*$A175*0.8,2)</f>
        <v>58</v>
      </c>
      <c r="N175">
        <f t="shared" si="262"/>
        <v>56.48</v>
      </c>
      <c r="O175">
        <f t="shared" si="262"/>
        <v>55.76</v>
      </c>
      <c r="P175">
        <f t="shared" si="262"/>
        <v>51.68</v>
      </c>
      <c r="Q175">
        <f t="shared" si="262"/>
        <v>51.28</v>
      </c>
      <c r="R175">
        <f t="shared" si="262"/>
        <v>53.28</v>
      </c>
      <c r="S175">
        <f t="shared" si="262"/>
        <v>59.68</v>
      </c>
      <c r="T175">
        <f t="shared" si="262"/>
        <v>61.52</v>
      </c>
      <c r="U175">
        <f t="shared" si="262"/>
        <v>68.48</v>
      </c>
      <c r="V175">
        <f t="shared" si="262"/>
        <v>0</v>
      </c>
      <c r="W175">
        <f t="shared" si="262"/>
        <v>0</v>
      </c>
      <c r="X175">
        <f t="shared" si="262"/>
        <v>0</v>
      </c>
      <c r="Y175">
        <f t="shared" si="262"/>
        <v>0</v>
      </c>
      <c r="Z175">
        <f t="shared" si="262"/>
        <v>0</v>
      </c>
      <c r="AA175">
        <f t="shared" si="262"/>
        <v>0</v>
      </c>
    </row>
    <row r="176" spans="1:27" x14ac:dyDescent="0.25">
      <c r="A176">
        <v>10</v>
      </c>
      <c r="B176" t="s">
        <v>126</v>
      </c>
      <c r="C176">
        <f t="shared" si="259"/>
        <v>24.24</v>
      </c>
      <c r="D176">
        <f t="shared" si="259"/>
        <v>24.16</v>
      </c>
      <c r="E176">
        <f t="shared" si="259"/>
        <v>26</v>
      </c>
      <c r="F176">
        <f t="shared" si="259"/>
        <v>29.12</v>
      </c>
      <c r="G176">
        <f t="shared" si="259"/>
        <v>29.92</v>
      </c>
      <c r="H176">
        <f t="shared" si="259"/>
        <v>38.479999999999997</v>
      </c>
      <c r="I176">
        <f t="shared" si="259"/>
        <v>39.840000000000003</v>
      </c>
      <c r="J176">
        <f t="shared" si="259"/>
        <v>42.8</v>
      </c>
      <c r="K176">
        <f t="shared" si="259"/>
        <v>42.24</v>
      </c>
      <c r="L176">
        <f t="shared" si="259"/>
        <v>50.32</v>
      </c>
      <c r="M176">
        <f t="shared" ref="M176:AA176" si="263">ROUNDDOWN(M85*$A176*0.8,2)</f>
        <v>53.36</v>
      </c>
      <c r="N176">
        <f t="shared" si="263"/>
        <v>55.68</v>
      </c>
      <c r="O176">
        <f t="shared" si="263"/>
        <v>54.64</v>
      </c>
      <c r="P176">
        <f t="shared" si="263"/>
        <v>54.08</v>
      </c>
      <c r="Q176">
        <f t="shared" si="263"/>
        <v>49.12</v>
      </c>
      <c r="R176">
        <f t="shared" si="263"/>
        <v>47.04</v>
      </c>
      <c r="S176">
        <f t="shared" si="263"/>
        <v>54.16</v>
      </c>
      <c r="T176">
        <f t="shared" si="263"/>
        <v>60.4</v>
      </c>
      <c r="U176">
        <f t="shared" si="263"/>
        <v>65.84</v>
      </c>
      <c r="V176">
        <f t="shared" si="263"/>
        <v>0</v>
      </c>
      <c r="W176">
        <f t="shared" si="263"/>
        <v>0</v>
      </c>
      <c r="X176">
        <f t="shared" si="263"/>
        <v>0</v>
      </c>
      <c r="Y176">
        <f t="shared" si="263"/>
        <v>0</v>
      </c>
      <c r="Z176">
        <f t="shared" si="263"/>
        <v>0</v>
      </c>
      <c r="AA176">
        <f t="shared" si="263"/>
        <v>0</v>
      </c>
    </row>
    <row r="177" spans="1:27" x14ac:dyDescent="0.25">
      <c r="A177">
        <v>7</v>
      </c>
      <c r="B177" t="s">
        <v>127</v>
      </c>
      <c r="C177">
        <f t="shared" si="259"/>
        <v>16.57</v>
      </c>
      <c r="D177">
        <f t="shared" si="259"/>
        <v>17.86</v>
      </c>
      <c r="E177">
        <f t="shared" si="259"/>
        <v>19.09</v>
      </c>
      <c r="F177">
        <f t="shared" si="259"/>
        <v>20.88</v>
      </c>
      <c r="G177">
        <f t="shared" si="259"/>
        <v>22.62</v>
      </c>
      <c r="H177">
        <f t="shared" si="259"/>
        <v>29.06</v>
      </c>
      <c r="I177">
        <f t="shared" si="259"/>
        <v>31.3</v>
      </c>
      <c r="J177">
        <f t="shared" si="259"/>
        <v>31.3</v>
      </c>
      <c r="K177">
        <f t="shared" si="259"/>
        <v>31.24</v>
      </c>
      <c r="L177">
        <f t="shared" si="259"/>
        <v>36.56</v>
      </c>
      <c r="M177">
        <f t="shared" ref="M177:AA177" si="264">ROUNDDOWN(M86*$A177*0.8,2)</f>
        <v>40.54</v>
      </c>
      <c r="N177">
        <f t="shared" si="264"/>
        <v>40.200000000000003</v>
      </c>
      <c r="O177">
        <f t="shared" si="264"/>
        <v>40.32</v>
      </c>
      <c r="P177">
        <f t="shared" si="264"/>
        <v>37.909999999999997</v>
      </c>
      <c r="Q177">
        <f t="shared" si="264"/>
        <v>37.57</v>
      </c>
      <c r="R177">
        <f t="shared" si="264"/>
        <v>37.520000000000003</v>
      </c>
      <c r="S177">
        <f t="shared" si="264"/>
        <v>40.880000000000003</v>
      </c>
      <c r="T177">
        <f t="shared" si="264"/>
        <v>44.57</v>
      </c>
      <c r="U177">
        <f t="shared" si="264"/>
        <v>52.69</v>
      </c>
      <c r="V177">
        <f t="shared" si="264"/>
        <v>0</v>
      </c>
      <c r="W177">
        <f t="shared" si="264"/>
        <v>0</v>
      </c>
      <c r="X177">
        <f t="shared" si="264"/>
        <v>0</v>
      </c>
      <c r="Y177">
        <f t="shared" si="264"/>
        <v>0</v>
      </c>
      <c r="Z177">
        <f t="shared" si="264"/>
        <v>0</v>
      </c>
      <c r="AA177">
        <f t="shared" si="264"/>
        <v>0</v>
      </c>
    </row>
    <row r="178" spans="1:27" x14ac:dyDescent="0.25">
      <c r="A178">
        <v>5</v>
      </c>
      <c r="B178" t="s">
        <v>128</v>
      </c>
      <c r="C178">
        <f t="shared" si="259"/>
        <v>11.88</v>
      </c>
      <c r="D178">
        <f t="shared" si="259"/>
        <v>12.56</v>
      </c>
      <c r="E178">
        <f t="shared" si="259"/>
        <v>13.24</v>
      </c>
      <c r="F178">
        <f t="shared" si="259"/>
        <v>14.28</v>
      </c>
      <c r="G178">
        <f t="shared" si="259"/>
        <v>15.28</v>
      </c>
      <c r="H178">
        <f t="shared" si="259"/>
        <v>22.44</v>
      </c>
      <c r="I178">
        <f t="shared" si="259"/>
        <v>21.72</v>
      </c>
      <c r="J178">
        <f t="shared" si="259"/>
        <v>21.72</v>
      </c>
      <c r="K178">
        <f t="shared" si="259"/>
        <v>22.28</v>
      </c>
      <c r="L178">
        <f t="shared" si="259"/>
        <v>29.96</v>
      </c>
      <c r="M178">
        <f t="shared" ref="M178:AA178" si="265">ROUNDDOWN(M87*$A178*0.8,2)</f>
        <v>32.6</v>
      </c>
      <c r="N178">
        <f t="shared" si="265"/>
        <v>30.6</v>
      </c>
      <c r="O178">
        <f t="shared" si="265"/>
        <v>29.52</v>
      </c>
      <c r="P178">
        <f t="shared" si="265"/>
        <v>27.84</v>
      </c>
      <c r="Q178">
        <f t="shared" si="265"/>
        <v>25.04</v>
      </c>
      <c r="R178">
        <f t="shared" si="265"/>
        <v>25.88</v>
      </c>
      <c r="S178">
        <f t="shared" si="265"/>
        <v>27.92</v>
      </c>
      <c r="T178">
        <f t="shared" si="265"/>
        <v>31.12</v>
      </c>
      <c r="U178">
        <f t="shared" si="265"/>
        <v>33.6</v>
      </c>
      <c r="V178">
        <f t="shared" si="265"/>
        <v>0</v>
      </c>
      <c r="W178">
        <f t="shared" si="265"/>
        <v>0</v>
      </c>
      <c r="X178">
        <f t="shared" si="265"/>
        <v>0</v>
      </c>
      <c r="Y178">
        <f t="shared" si="265"/>
        <v>0</v>
      </c>
      <c r="Z178">
        <f t="shared" si="265"/>
        <v>0</v>
      </c>
      <c r="AA178">
        <f t="shared" si="265"/>
        <v>0</v>
      </c>
    </row>
    <row r="179" spans="1:27" x14ac:dyDescent="0.25">
      <c r="C179" s="2">
        <f>SUM(C172:C178)</f>
        <v>245.14</v>
      </c>
      <c r="D179" s="2">
        <f t="shared" ref="D179:L179" si="266">SUM(D172:D178)</f>
        <v>238.65999999999997</v>
      </c>
      <c r="E179" s="2">
        <f t="shared" si="266"/>
        <v>256.20999999999998</v>
      </c>
      <c r="F179" s="2">
        <f t="shared" si="266"/>
        <v>288.08</v>
      </c>
      <c r="G179" s="2">
        <f t="shared" si="266"/>
        <v>294.58</v>
      </c>
      <c r="H179" s="2">
        <f t="shared" si="266"/>
        <v>392.26</v>
      </c>
      <c r="I179" s="2">
        <f t="shared" si="266"/>
        <v>397.51</v>
      </c>
      <c r="J179" s="2">
        <f t="shared" si="266"/>
        <v>423.70000000000005</v>
      </c>
      <c r="K179" s="2">
        <f t="shared" si="266"/>
        <v>426.67999999999995</v>
      </c>
      <c r="L179" s="2">
        <f t="shared" si="266"/>
        <v>501.47999999999996</v>
      </c>
      <c r="M179" s="2">
        <f t="shared" ref="M179:AA179" si="267">SUM(M172:M178)</f>
        <v>555.33000000000004</v>
      </c>
      <c r="N179" s="2">
        <f t="shared" si="267"/>
        <v>555.21</v>
      </c>
      <c r="O179" s="2">
        <f t="shared" si="267"/>
        <v>519.1</v>
      </c>
      <c r="P179" s="2">
        <f t="shared" si="267"/>
        <v>486.96999999999997</v>
      </c>
      <c r="Q179" s="2">
        <f t="shared" si="267"/>
        <v>458.03999999999996</v>
      </c>
      <c r="R179" s="2">
        <f t="shared" si="267"/>
        <v>490.83</v>
      </c>
      <c r="S179" s="2">
        <f t="shared" si="267"/>
        <v>549.41</v>
      </c>
      <c r="T179" s="2">
        <f t="shared" si="267"/>
        <v>592.1</v>
      </c>
      <c r="U179" s="2">
        <f t="shared" si="267"/>
        <v>625.53000000000009</v>
      </c>
      <c r="V179" s="2">
        <f t="shared" si="267"/>
        <v>0</v>
      </c>
      <c r="W179" s="2">
        <f t="shared" si="267"/>
        <v>0</v>
      </c>
      <c r="X179" s="2">
        <f t="shared" si="267"/>
        <v>0</v>
      </c>
      <c r="Y179" s="2">
        <f t="shared" si="267"/>
        <v>0</v>
      </c>
      <c r="Z179" s="2">
        <f t="shared" si="267"/>
        <v>0</v>
      </c>
      <c r="AA179" s="2">
        <f t="shared" si="267"/>
        <v>0</v>
      </c>
    </row>
    <row r="181" spans="1:27" ht="23.25" x14ac:dyDescent="0.35">
      <c r="B181" s="3" t="s">
        <v>35</v>
      </c>
      <c r="C181" s="3">
        <f t="shared" ref="C181:M181" si="268">SUM(C150+C166+C179)</f>
        <v>525.4</v>
      </c>
      <c r="D181" s="3">
        <f t="shared" si="268"/>
        <v>518.91</v>
      </c>
      <c r="E181" s="3">
        <f t="shared" si="268"/>
        <v>537.06999999999994</v>
      </c>
      <c r="F181" s="3">
        <f t="shared" si="268"/>
        <v>582.99</v>
      </c>
      <c r="G181" s="3">
        <f t="shared" si="268"/>
        <v>589.27</v>
      </c>
      <c r="H181" s="3">
        <f t="shared" si="268"/>
        <v>691.93000000000006</v>
      </c>
      <c r="I181" s="3">
        <f t="shared" si="268"/>
        <v>672.6099999999999</v>
      </c>
      <c r="J181" s="3">
        <f t="shared" si="268"/>
        <v>719.01</v>
      </c>
      <c r="K181" s="3">
        <f t="shared" si="268"/>
        <v>723.31</v>
      </c>
      <c r="L181" s="3">
        <f t="shared" si="268"/>
        <v>797.8599999999999</v>
      </c>
      <c r="M181" s="3">
        <f t="shared" si="268"/>
        <v>852.05</v>
      </c>
      <c r="N181" s="3">
        <f t="shared" ref="N181" si="269">SUM(N150+N166+N179)</f>
        <v>841.56999999999994</v>
      </c>
      <c r="O181" s="3">
        <f t="shared" ref="O181:AA181" si="270">SUM(O150+O166+O179)</f>
        <v>806.5</v>
      </c>
      <c r="P181" s="3">
        <f t="shared" si="270"/>
        <v>765.02</v>
      </c>
      <c r="Q181" s="3">
        <f t="shared" si="270"/>
        <v>758.63</v>
      </c>
      <c r="R181" s="3">
        <f t="shared" si="270"/>
        <v>787.32999999999993</v>
      </c>
      <c r="S181" s="3">
        <f t="shared" si="270"/>
        <v>847.58999999999992</v>
      </c>
      <c r="T181" s="3">
        <f t="shared" si="270"/>
        <v>889.18000000000006</v>
      </c>
      <c r="U181" s="3">
        <f t="shared" si="270"/>
        <v>1056.3400000000001</v>
      </c>
      <c r="V181" s="3">
        <f t="shared" si="270"/>
        <v>0</v>
      </c>
      <c r="W181" s="3">
        <f t="shared" si="270"/>
        <v>0</v>
      </c>
      <c r="X181" s="3">
        <f t="shared" si="270"/>
        <v>0</v>
      </c>
      <c r="Y181" s="3">
        <f t="shared" si="270"/>
        <v>0</v>
      </c>
      <c r="Z181" s="3">
        <f t="shared" si="270"/>
        <v>0</v>
      </c>
      <c r="AA181" s="3">
        <f t="shared" si="27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65D6-D049-478F-8624-CCA63860B5C9}">
  <dimension ref="A1:Z25"/>
  <sheetViews>
    <sheetView zoomScale="90" zoomScaleNormal="90" workbookViewId="0">
      <pane xSplit="1" topLeftCell="M1" activePane="topRight" state="frozen"/>
      <selection pane="topRight" activeCell="T6" sqref="T6"/>
    </sheetView>
  </sheetViews>
  <sheetFormatPr defaultRowHeight="15" x14ac:dyDescent="0.25"/>
  <cols>
    <col min="1" max="1" width="23.7109375" customWidth="1"/>
    <col min="2" max="46" width="12" customWidth="1"/>
  </cols>
  <sheetData>
    <row r="1" spans="1:26" ht="31.5" x14ac:dyDescent="0.5">
      <c r="A1" s="4" t="s">
        <v>0</v>
      </c>
    </row>
    <row r="3" spans="1:26" x14ac:dyDescent="0.25">
      <c r="A3" t="s">
        <v>12</v>
      </c>
    </row>
    <row r="4" spans="1:26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</row>
    <row r="5" spans="1:26" x14ac:dyDescent="0.25">
      <c r="A5" s="2" t="s">
        <v>36</v>
      </c>
      <c r="B5">
        <v>196.27</v>
      </c>
      <c r="C5">
        <v>201.82</v>
      </c>
      <c r="D5">
        <v>197</v>
      </c>
      <c r="E5">
        <v>196.88</v>
      </c>
      <c r="F5">
        <v>207.18</v>
      </c>
      <c r="G5">
        <v>209.46</v>
      </c>
      <c r="H5">
        <v>201.89</v>
      </c>
      <c r="I5">
        <v>202.48</v>
      </c>
      <c r="J5">
        <v>196.23</v>
      </c>
      <c r="K5">
        <v>204.01</v>
      </c>
      <c r="L5">
        <v>206.61</v>
      </c>
      <c r="M5">
        <v>209.15</v>
      </c>
      <c r="N5">
        <v>207.58</v>
      </c>
      <c r="O5">
        <v>207.32</v>
      </c>
      <c r="P5">
        <v>202.17</v>
      </c>
      <c r="Q5">
        <v>201.3</v>
      </c>
      <c r="R5">
        <v>201.79</v>
      </c>
      <c r="S5">
        <v>203.29</v>
      </c>
      <c r="T5">
        <v>201.2</v>
      </c>
    </row>
    <row r="6" spans="1:26" x14ac:dyDescent="0.25">
      <c r="A6" s="2" t="s">
        <v>37</v>
      </c>
      <c r="B6">
        <v>1201.5999999999999</v>
      </c>
      <c r="C6">
        <v>1205.46</v>
      </c>
      <c r="D6">
        <v>1261.0999999999999</v>
      </c>
      <c r="E6">
        <v>1261.06</v>
      </c>
      <c r="F6">
        <v>1261.06</v>
      </c>
      <c r="G6">
        <v>1230.57</v>
      </c>
      <c r="H6">
        <v>1294.3599999999999</v>
      </c>
      <c r="I6">
        <v>1294.3599999999999</v>
      </c>
      <c r="J6">
        <v>1290.31</v>
      </c>
      <c r="K6">
        <v>1427.45</v>
      </c>
      <c r="L6">
        <v>1391</v>
      </c>
      <c r="M6">
        <v>1383.65</v>
      </c>
      <c r="N6">
        <v>1363.98</v>
      </c>
      <c r="O6">
        <v>1354.05</v>
      </c>
      <c r="P6">
        <v>1341.3</v>
      </c>
      <c r="Q6">
        <v>1341.3</v>
      </c>
      <c r="R6">
        <v>1354.94</v>
      </c>
      <c r="S6">
        <v>1364.6</v>
      </c>
      <c r="T6">
        <v>1349.99</v>
      </c>
    </row>
    <row r="7" spans="1:26" x14ac:dyDescent="0.25">
      <c r="A7" s="2" t="s">
        <v>38</v>
      </c>
      <c r="B7">
        <v>194.62</v>
      </c>
      <c r="C7">
        <v>191.6</v>
      </c>
      <c r="D7">
        <v>180.11</v>
      </c>
      <c r="E7">
        <v>192.42</v>
      </c>
      <c r="F7">
        <v>192.42</v>
      </c>
      <c r="G7">
        <v>191.29</v>
      </c>
      <c r="H7">
        <v>183.02</v>
      </c>
      <c r="I7">
        <v>190.84</v>
      </c>
      <c r="J7">
        <v>183.2</v>
      </c>
      <c r="K7">
        <v>188.79</v>
      </c>
      <c r="L7">
        <v>188.98</v>
      </c>
      <c r="M7">
        <v>181.09</v>
      </c>
      <c r="N7">
        <v>190.1</v>
      </c>
      <c r="O7">
        <v>189.75</v>
      </c>
      <c r="P7">
        <v>180.74</v>
      </c>
      <c r="Q7">
        <v>189.61</v>
      </c>
      <c r="R7">
        <v>186.36</v>
      </c>
      <c r="S7">
        <v>180.21</v>
      </c>
      <c r="T7">
        <v>164.58</v>
      </c>
    </row>
    <row r="8" spans="1:26" x14ac:dyDescent="0.25">
      <c r="A8" s="2" t="s">
        <v>39</v>
      </c>
      <c r="B8">
        <v>380.55</v>
      </c>
      <c r="C8">
        <v>383.02</v>
      </c>
      <c r="D8">
        <v>361.9</v>
      </c>
      <c r="E8">
        <v>361.97</v>
      </c>
      <c r="F8">
        <v>372.41</v>
      </c>
      <c r="G8">
        <v>365.9</v>
      </c>
      <c r="H8">
        <v>334.61</v>
      </c>
      <c r="I8">
        <v>355.59</v>
      </c>
      <c r="J8">
        <v>350.79</v>
      </c>
      <c r="K8">
        <v>385.29</v>
      </c>
      <c r="L8">
        <v>391.15</v>
      </c>
      <c r="M8">
        <v>391.41</v>
      </c>
      <c r="N8">
        <v>370.36</v>
      </c>
      <c r="O8">
        <v>386.6</v>
      </c>
      <c r="P8">
        <v>386.45</v>
      </c>
      <c r="Q8">
        <v>382.76</v>
      </c>
      <c r="R8">
        <v>397.01</v>
      </c>
      <c r="S8">
        <v>406.58</v>
      </c>
      <c r="T8">
        <v>384.98</v>
      </c>
    </row>
    <row r="10" spans="1:26" x14ac:dyDescent="0.25">
      <c r="B10" s="2">
        <f>SUM(B5:B8)</f>
        <v>1973.0399999999997</v>
      </c>
      <c r="C10" s="2">
        <f t="shared" ref="C10:L10" si="0">SUM(C5:C8)</f>
        <v>1981.8999999999999</v>
      </c>
      <c r="D10" s="2">
        <f t="shared" si="0"/>
        <v>2000.1100000000001</v>
      </c>
      <c r="E10" s="2">
        <f t="shared" si="0"/>
        <v>2012.3300000000002</v>
      </c>
      <c r="F10" s="2">
        <f t="shared" si="0"/>
        <v>2033.0700000000002</v>
      </c>
      <c r="G10" s="2">
        <f t="shared" si="0"/>
        <v>1997.2199999999998</v>
      </c>
      <c r="H10" s="2">
        <f t="shared" si="0"/>
        <v>2013.88</v>
      </c>
      <c r="I10" s="2">
        <f t="shared" si="0"/>
        <v>2043.2699999999998</v>
      </c>
      <c r="J10" s="2">
        <f t="shared" si="0"/>
        <v>2020.53</v>
      </c>
      <c r="K10" s="2">
        <f t="shared" si="0"/>
        <v>2205.54</v>
      </c>
      <c r="L10" s="2">
        <f t="shared" si="0"/>
        <v>2177.7400000000002</v>
      </c>
      <c r="M10" s="2">
        <f t="shared" ref="M10:Z10" si="1">SUM(M5:M8)</f>
        <v>2165.3000000000002</v>
      </c>
      <c r="N10" s="2">
        <f t="shared" si="1"/>
        <v>2132.02</v>
      </c>
      <c r="O10" s="2">
        <f t="shared" si="1"/>
        <v>2137.7199999999998</v>
      </c>
      <c r="P10" s="2">
        <f t="shared" si="1"/>
        <v>2110.66</v>
      </c>
      <c r="Q10" s="2">
        <f t="shared" si="1"/>
        <v>2114.9700000000003</v>
      </c>
      <c r="R10" s="2">
        <f t="shared" si="1"/>
        <v>2140.1000000000004</v>
      </c>
      <c r="S10" s="2">
        <f t="shared" si="1"/>
        <v>2154.6799999999998</v>
      </c>
      <c r="T10" s="2">
        <f t="shared" si="1"/>
        <v>2100.75</v>
      </c>
      <c r="U10" s="2">
        <f t="shared" si="1"/>
        <v>0</v>
      </c>
      <c r="V10" s="2">
        <f t="shared" si="1"/>
        <v>0</v>
      </c>
      <c r="W10" s="2">
        <f t="shared" si="1"/>
        <v>0</v>
      </c>
      <c r="X10" s="2">
        <f t="shared" si="1"/>
        <v>0</v>
      </c>
      <c r="Y10" s="2">
        <f t="shared" si="1"/>
        <v>0</v>
      </c>
      <c r="Z10" s="2">
        <f t="shared" si="1"/>
        <v>0</v>
      </c>
    </row>
    <row r="16" spans="1:26" ht="21" x14ac:dyDescent="0.35">
      <c r="A16" s="5" t="s">
        <v>33</v>
      </c>
    </row>
    <row r="18" spans="1:26" x14ac:dyDescent="0.25">
      <c r="A18" t="s">
        <v>12</v>
      </c>
    </row>
    <row r="19" spans="1:26" x14ac:dyDescent="0.25">
      <c r="B19" s="1">
        <f>B4</f>
        <v>44331</v>
      </c>
      <c r="C19" s="1">
        <f t="shared" ref="C19:L19" si="2">C4</f>
        <v>44332</v>
      </c>
      <c r="D19" s="1">
        <f t="shared" si="2"/>
        <v>44334</v>
      </c>
      <c r="E19" s="1">
        <f t="shared" si="2"/>
        <v>44336</v>
      </c>
      <c r="F19" s="1">
        <f t="shared" si="2"/>
        <v>44337</v>
      </c>
      <c r="G19" s="1">
        <f t="shared" si="2"/>
        <v>44338</v>
      </c>
      <c r="H19" s="1">
        <f t="shared" si="2"/>
        <v>44339</v>
      </c>
      <c r="I19" s="1">
        <f t="shared" si="2"/>
        <v>44340</v>
      </c>
      <c r="J19" s="1">
        <f t="shared" si="2"/>
        <v>44341</v>
      </c>
      <c r="K19" s="1">
        <f t="shared" si="2"/>
        <v>44342</v>
      </c>
      <c r="L19" s="1">
        <f t="shared" si="2"/>
        <v>44343</v>
      </c>
      <c r="M19" s="1">
        <f t="shared" ref="M19:Z19" si="3">M4</f>
        <v>44344</v>
      </c>
      <c r="N19" s="1">
        <f t="shared" si="3"/>
        <v>44345</v>
      </c>
      <c r="O19" s="1">
        <f t="shared" si="3"/>
        <v>44346</v>
      </c>
      <c r="P19" s="1">
        <f t="shared" si="3"/>
        <v>44347</v>
      </c>
      <c r="Q19" s="1">
        <f t="shared" si="3"/>
        <v>44348</v>
      </c>
      <c r="R19" s="1">
        <f t="shared" si="3"/>
        <v>44349</v>
      </c>
      <c r="S19" s="1">
        <f t="shared" si="3"/>
        <v>44350</v>
      </c>
      <c r="T19" s="1">
        <f t="shared" si="3"/>
        <v>44351</v>
      </c>
      <c r="U19" s="1">
        <f t="shared" si="3"/>
        <v>44352</v>
      </c>
      <c r="V19" s="1">
        <f t="shared" si="3"/>
        <v>44353</v>
      </c>
      <c r="W19" s="1">
        <f t="shared" si="3"/>
        <v>44354</v>
      </c>
      <c r="X19" s="1">
        <f t="shared" si="3"/>
        <v>44355</v>
      </c>
      <c r="Y19" s="1">
        <f t="shared" si="3"/>
        <v>44356</v>
      </c>
      <c r="Z19" s="1">
        <f t="shared" si="3"/>
        <v>44357</v>
      </c>
    </row>
    <row r="20" spans="1:26" x14ac:dyDescent="0.25">
      <c r="A20" s="2" t="s">
        <v>36</v>
      </c>
      <c r="B20">
        <f>ROUNDDOWN((B5-ROUNDUP(B5*0.1,2)-ROUNDUP(B5*0.05,2))*0.8,2)</f>
        <v>133.44999999999999</v>
      </c>
      <c r="C20">
        <f t="shared" ref="C20:L20" si="4">ROUNDDOWN((C5-ROUNDUP(C5*0.1,2)-ROUNDUP(C5*0.05,2))*0.8,2)</f>
        <v>137.22</v>
      </c>
      <c r="D20">
        <f t="shared" si="4"/>
        <v>133.96</v>
      </c>
      <c r="E20">
        <f t="shared" si="4"/>
        <v>133.87</v>
      </c>
      <c r="F20">
        <f t="shared" si="4"/>
        <v>140.88</v>
      </c>
      <c r="G20">
        <f t="shared" si="4"/>
        <v>142.41999999999999</v>
      </c>
      <c r="H20">
        <f t="shared" si="4"/>
        <v>137.28</v>
      </c>
      <c r="I20">
        <f t="shared" si="4"/>
        <v>137.68</v>
      </c>
      <c r="J20">
        <f t="shared" si="4"/>
        <v>133.41999999999999</v>
      </c>
      <c r="K20">
        <f t="shared" si="4"/>
        <v>138.71</v>
      </c>
      <c r="L20">
        <f t="shared" si="4"/>
        <v>140.47999999999999</v>
      </c>
      <c r="M20">
        <f t="shared" ref="M20:Z20" si="5">ROUNDDOWN((M5-ROUNDUP(M5*0.1,2)-ROUNDUP(M5*0.05,2))*0.8,2)</f>
        <v>142.21</v>
      </c>
      <c r="N20">
        <f t="shared" si="5"/>
        <v>141.15</v>
      </c>
      <c r="O20">
        <f t="shared" si="5"/>
        <v>140.96</v>
      </c>
      <c r="P20">
        <f t="shared" si="5"/>
        <v>137.47</v>
      </c>
      <c r="Q20">
        <f t="shared" si="5"/>
        <v>136.88</v>
      </c>
      <c r="R20">
        <f t="shared" si="5"/>
        <v>137.21</v>
      </c>
      <c r="S20">
        <f t="shared" si="5"/>
        <v>138.22999999999999</v>
      </c>
      <c r="T20">
        <f t="shared" si="5"/>
        <v>136.81</v>
      </c>
      <c r="U20">
        <f t="shared" si="5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</row>
    <row r="21" spans="1:26" x14ac:dyDescent="0.25">
      <c r="A21" s="2" t="s">
        <v>37</v>
      </c>
      <c r="B21">
        <f t="shared" ref="B21:L23" si="6">ROUNDDOWN((B6-ROUNDUP(B6*0.1,2)-ROUNDUP(B6*0.05,2))*0.8,2)</f>
        <v>817.08</v>
      </c>
      <c r="C21">
        <f t="shared" si="6"/>
        <v>819.7</v>
      </c>
      <c r="D21">
        <f t="shared" si="6"/>
        <v>857.54</v>
      </c>
      <c r="E21">
        <f t="shared" si="6"/>
        <v>857.51</v>
      </c>
      <c r="F21">
        <f t="shared" si="6"/>
        <v>857.51</v>
      </c>
      <c r="G21">
        <f t="shared" si="6"/>
        <v>836.78</v>
      </c>
      <c r="H21">
        <f t="shared" si="6"/>
        <v>880.16</v>
      </c>
      <c r="I21">
        <f t="shared" si="6"/>
        <v>880.16</v>
      </c>
      <c r="J21">
        <f t="shared" si="6"/>
        <v>877.4</v>
      </c>
      <c r="K21">
        <f t="shared" si="6"/>
        <v>970.65</v>
      </c>
      <c r="L21">
        <f t="shared" si="6"/>
        <v>945.88</v>
      </c>
      <c r="M21">
        <f t="shared" ref="M21:Z21" si="7">ROUNDDOWN((M6-ROUNDUP(M6*0.1,2)-ROUNDUP(M6*0.05,2))*0.8,2)</f>
        <v>940.87</v>
      </c>
      <c r="N21">
        <f t="shared" si="7"/>
        <v>927.5</v>
      </c>
      <c r="O21">
        <f t="shared" si="7"/>
        <v>920.74</v>
      </c>
      <c r="P21">
        <f t="shared" si="7"/>
        <v>912.08</v>
      </c>
      <c r="Q21">
        <f t="shared" si="7"/>
        <v>912.08</v>
      </c>
      <c r="R21">
        <f t="shared" si="7"/>
        <v>921.35</v>
      </c>
      <c r="S21">
        <f t="shared" si="7"/>
        <v>927.92</v>
      </c>
      <c r="T21">
        <f t="shared" si="7"/>
        <v>917.99</v>
      </c>
      <c r="U21">
        <f t="shared" si="7"/>
        <v>0</v>
      </c>
      <c r="V21">
        <f t="shared" si="7"/>
        <v>0</v>
      </c>
      <c r="W21">
        <f t="shared" si="7"/>
        <v>0</v>
      </c>
      <c r="X21">
        <f t="shared" si="7"/>
        <v>0</v>
      </c>
      <c r="Y21">
        <f t="shared" si="7"/>
        <v>0</v>
      </c>
      <c r="Z21">
        <f t="shared" si="7"/>
        <v>0</v>
      </c>
    </row>
    <row r="22" spans="1:26" x14ac:dyDescent="0.25">
      <c r="A22" s="2" t="s">
        <v>38</v>
      </c>
      <c r="B22">
        <f t="shared" si="6"/>
        <v>132.32</v>
      </c>
      <c r="C22">
        <f t="shared" si="6"/>
        <v>130.28</v>
      </c>
      <c r="D22">
        <f t="shared" si="6"/>
        <v>122.46</v>
      </c>
      <c r="E22">
        <f t="shared" si="6"/>
        <v>130.83000000000001</v>
      </c>
      <c r="F22">
        <f t="shared" si="6"/>
        <v>130.83000000000001</v>
      </c>
      <c r="G22">
        <f t="shared" si="6"/>
        <v>130.07</v>
      </c>
      <c r="H22">
        <f t="shared" si="6"/>
        <v>124.44</v>
      </c>
      <c r="I22">
        <f t="shared" si="6"/>
        <v>129.76</v>
      </c>
      <c r="J22">
        <f t="shared" si="6"/>
        <v>124.57</v>
      </c>
      <c r="K22">
        <f t="shared" si="6"/>
        <v>128.37</v>
      </c>
      <c r="L22">
        <f t="shared" si="6"/>
        <v>128.5</v>
      </c>
      <c r="M22">
        <f t="shared" ref="M22:Z22" si="8">ROUNDDOWN((M7-ROUNDUP(M7*0.1,2)-ROUNDUP(M7*0.05,2))*0.8,2)</f>
        <v>123.13</v>
      </c>
      <c r="N22">
        <f t="shared" si="8"/>
        <v>129.26</v>
      </c>
      <c r="O22">
        <f t="shared" si="8"/>
        <v>129.02000000000001</v>
      </c>
      <c r="P22">
        <f t="shared" si="8"/>
        <v>122.89</v>
      </c>
      <c r="Q22">
        <f t="shared" si="8"/>
        <v>128.91999999999999</v>
      </c>
      <c r="R22">
        <f t="shared" si="8"/>
        <v>126.72</v>
      </c>
      <c r="S22">
        <f t="shared" si="8"/>
        <v>122.52</v>
      </c>
      <c r="T22">
        <f t="shared" si="8"/>
        <v>111.91</v>
      </c>
      <c r="U22">
        <f t="shared" si="8"/>
        <v>0</v>
      </c>
      <c r="V22">
        <f t="shared" si="8"/>
        <v>0</v>
      </c>
      <c r="W22">
        <f t="shared" si="8"/>
        <v>0</v>
      </c>
      <c r="X22">
        <f t="shared" si="8"/>
        <v>0</v>
      </c>
      <c r="Y22">
        <f t="shared" si="8"/>
        <v>0</v>
      </c>
      <c r="Z22">
        <f t="shared" si="8"/>
        <v>0</v>
      </c>
    </row>
    <row r="23" spans="1:26" x14ac:dyDescent="0.25">
      <c r="A23" s="2" t="s">
        <v>39</v>
      </c>
      <c r="B23">
        <f t="shared" si="6"/>
        <v>258.76</v>
      </c>
      <c r="C23">
        <f t="shared" si="6"/>
        <v>260.44</v>
      </c>
      <c r="D23">
        <f t="shared" si="6"/>
        <v>246.08</v>
      </c>
      <c r="E23">
        <f t="shared" si="6"/>
        <v>246.13</v>
      </c>
      <c r="F23">
        <f t="shared" si="6"/>
        <v>253.22</v>
      </c>
      <c r="G23">
        <f t="shared" si="6"/>
        <v>248.8</v>
      </c>
      <c r="H23">
        <f t="shared" si="6"/>
        <v>227.52</v>
      </c>
      <c r="I23">
        <f t="shared" si="6"/>
        <v>241.8</v>
      </c>
      <c r="J23">
        <f t="shared" si="6"/>
        <v>238.53</v>
      </c>
      <c r="K23">
        <f t="shared" si="6"/>
        <v>261.99</v>
      </c>
      <c r="L23">
        <f t="shared" si="6"/>
        <v>265.97000000000003</v>
      </c>
      <c r="M23">
        <f t="shared" ref="M23:Z23" si="9">ROUNDDOWN((M8-ROUNDUP(M8*0.1,2)-ROUNDUP(M8*0.05,2))*0.8,2)</f>
        <v>266.14</v>
      </c>
      <c r="N23">
        <f t="shared" si="9"/>
        <v>251.84</v>
      </c>
      <c r="O23">
        <f t="shared" si="9"/>
        <v>262.88</v>
      </c>
      <c r="P23">
        <f t="shared" si="9"/>
        <v>262.77</v>
      </c>
      <c r="Q23">
        <f t="shared" si="9"/>
        <v>260.27</v>
      </c>
      <c r="R23">
        <f t="shared" si="9"/>
        <v>269.95</v>
      </c>
      <c r="S23">
        <f t="shared" si="9"/>
        <v>276.47000000000003</v>
      </c>
      <c r="T23">
        <f t="shared" si="9"/>
        <v>261.77999999999997</v>
      </c>
      <c r="U23">
        <f t="shared" si="9"/>
        <v>0</v>
      </c>
      <c r="V23">
        <f t="shared" si="9"/>
        <v>0</v>
      </c>
      <c r="W23">
        <f t="shared" si="9"/>
        <v>0</v>
      </c>
      <c r="X23">
        <f t="shared" si="9"/>
        <v>0</v>
      </c>
      <c r="Y23">
        <f t="shared" si="9"/>
        <v>0</v>
      </c>
      <c r="Z23">
        <f t="shared" si="9"/>
        <v>0</v>
      </c>
    </row>
    <row r="25" spans="1:26" x14ac:dyDescent="0.25">
      <c r="B25" s="2">
        <f>SUM(B20:B23)</f>
        <v>1341.61</v>
      </c>
      <c r="C25" s="2">
        <f t="shared" ref="C25:E25" si="10">SUM(C20:C23)</f>
        <v>1347.64</v>
      </c>
      <c r="D25" s="2">
        <f t="shared" si="10"/>
        <v>1360.04</v>
      </c>
      <c r="E25" s="2">
        <f t="shared" si="10"/>
        <v>1368.3400000000001</v>
      </c>
      <c r="F25" s="2">
        <f t="shared" ref="F25:L25" si="11">SUM(F20:F23)</f>
        <v>1382.44</v>
      </c>
      <c r="G25" s="2">
        <f t="shared" si="11"/>
        <v>1358.07</v>
      </c>
      <c r="H25" s="2">
        <f t="shared" si="11"/>
        <v>1369.3999999999999</v>
      </c>
      <c r="I25" s="2">
        <f t="shared" si="11"/>
        <v>1389.3999999999999</v>
      </c>
      <c r="J25" s="2">
        <f t="shared" si="11"/>
        <v>1373.9199999999998</v>
      </c>
      <c r="K25" s="2">
        <f t="shared" si="11"/>
        <v>1499.72</v>
      </c>
      <c r="L25" s="2">
        <f t="shared" si="11"/>
        <v>1480.83</v>
      </c>
      <c r="M25" s="2">
        <f t="shared" ref="M25:Z25" si="12">SUM(M20:M23)</f>
        <v>1472.35</v>
      </c>
      <c r="N25" s="2">
        <f t="shared" si="12"/>
        <v>1449.75</v>
      </c>
      <c r="O25" s="2">
        <f t="shared" si="12"/>
        <v>1453.6</v>
      </c>
      <c r="P25" s="2">
        <f t="shared" si="12"/>
        <v>1435.21</v>
      </c>
      <c r="Q25" s="2">
        <f t="shared" si="12"/>
        <v>1438.15</v>
      </c>
      <c r="R25" s="2">
        <f t="shared" si="12"/>
        <v>1455.23</v>
      </c>
      <c r="S25" s="2">
        <f t="shared" si="12"/>
        <v>1465.1399999999999</v>
      </c>
      <c r="T25" s="2">
        <f t="shared" si="12"/>
        <v>1428.49</v>
      </c>
      <c r="U25" s="2">
        <f t="shared" si="12"/>
        <v>0</v>
      </c>
      <c r="V25" s="2">
        <f t="shared" si="12"/>
        <v>0</v>
      </c>
      <c r="W25" s="2">
        <f t="shared" si="12"/>
        <v>0</v>
      </c>
      <c r="X25" s="2">
        <f t="shared" si="12"/>
        <v>0</v>
      </c>
      <c r="Y25" s="2">
        <f t="shared" si="12"/>
        <v>0</v>
      </c>
      <c r="Z25" s="2">
        <f t="shared" si="1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88B26-4CB6-44FA-B469-8BD4E4E45B9E}">
  <dimension ref="A1:Z30"/>
  <sheetViews>
    <sheetView zoomScale="80" zoomScaleNormal="80" workbookViewId="0">
      <pane xSplit="1" topLeftCell="M1" activePane="topRight" state="frozen"/>
      <selection pane="topRight" activeCell="T6" sqref="T6"/>
    </sheetView>
  </sheetViews>
  <sheetFormatPr defaultRowHeight="15" x14ac:dyDescent="0.25"/>
  <cols>
    <col min="1" max="1" width="21" customWidth="1"/>
    <col min="2" max="50" width="12.85546875" customWidth="1"/>
  </cols>
  <sheetData>
    <row r="1" spans="1:26" ht="31.5" x14ac:dyDescent="0.5">
      <c r="A1" s="4" t="s">
        <v>2</v>
      </c>
    </row>
    <row r="3" spans="1:26" x14ac:dyDescent="0.25">
      <c r="A3" t="s">
        <v>12</v>
      </c>
    </row>
    <row r="4" spans="1:26" x14ac:dyDescent="0.25">
      <c r="B4" s="1">
        <f>Knives!B4</f>
        <v>44331</v>
      </c>
      <c r="C4" s="1">
        <f>Knives!C4</f>
        <v>44332</v>
      </c>
      <c r="D4" s="1">
        <f>Knives!D4</f>
        <v>44334</v>
      </c>
      <c r="E4" s="1">
        <f>Knives!E4</f>
        <v>44336</v>
      </c>
      <c r="F4" s="1">
        <f>Knives!F4</f>
        <v>44337</v>
      </c>
      <c r="G4" s="1">
        <f>Knives!G4</f>
        <v>44338</v>
      </c>
      <c r="H4" s="1">
        <f>Knives!H4</f>
        <v>44339</v>
      </c>
      <c r="I4" s="1">
        <f>Knives!I4</f>
        <v>44340</v>
      </c>
      <c r="J4" s="1">
        <f>Knives!J4</f>
        <v>44341</v>
      </c>
      <c r="K4" s="1">
        <f>Knives!K4</f>
        <v>44342</v>
      </c>
      <c r="L4" s="1">
        <f>Knives!L4</f>
        <v>44343</v>
      </c>
      <c r="M4" s="1">
        <f>Knives!M4</f>
        <v>44344</v>
      </c>
      <c r="N4" s="1">
        <f>Knives!N4</f>
        <v>44345</v>
      </c>
      <c r="O4" s="1">
        <f>Knives!O4</f>
        <v>44346</v>
      </c>
      <c r="P4" s="1">
        <f>Knives!P4</f>
        <v>44347</v>
      </c>
      <c r="Q4" s="1">
        <f>Knives!Q4</f>
        <v>44348</v>
      </c>
      <c r="R4" s="1">
        <f>Knives!R4</f>
        <v>44349</v>
      </c>
      <c r="S4" s="1">
        <f>Knives!S4</f>
        <v>44350</v>
      </c>
      <c r="T4" s="1">
        <f>Knives!T4</f>
        <v>44351</v>
      </c>
      <c r="U4" s="1">
        <f>Knives!U4</f>
        <v>44352</v>
      </c>
      <c r="V4" s="1">
        <f>Knives!V4</f>
        <v>44353</v>
      </c>
      <c r="W4" s="1">
        <f>Knives!W4</f>
        <v>44354</v>
      </c>
      <c r="X4" s="1">
        <f>Knives!X4</f>
        <v>44355</v>
      </c>
      <c r="Y4" s="1">
        <f>Knives!Y4</f>
        <v>44356</v>
      </c>
      <c r="Z4" s="1">
        <f>Knives!Z4</f>
        <v>44357</v>
      </c>
    </row>
    <row r="5" spans="1:26" x14ac:dyDescent="0.25">
      <c r="A5" s="2" t="s">
        <v>40</v>
      </c>
      <c r="B5">
        <v>7.47</v>
      </c>
      <c r="C5">
        <v>7.52</v>
      </c>
      <c r="D5">
        <v>7.36</v>
      </c>
      <c r="E5">
        <v>7.24</v>
      </c>
      <c r="F5">
        <v>7.42</v>
      </c>
      <c r="G5">
        <v>7.21</v>
      </c>
      <c r="H5">
        <v>7.03</v>
      </c>
      <c r="I5">
        <v>7.44</v>
      </c>
      <c r="J5">
        <v>7.33</v>
      </c>
      <c r="K5">
        <v>6.98</v>
      </c>
      <c r="L5">
        <v>6.95</v>
      </c>
      <c r="M5">
        <v>6.92</v>
      </c>
      <c r="N5">
        <v>7.05</v>
      </c>
      <c r="O5">
        <v>6.62</v>
      </c>
      <c r="P5">
        <v>6.71</v>
      </c>
      <c r="Q5">
        <v>7.14</v>
      </c>
      <c r="R5">
        <v>6.86</v>
      </c>
      <c r="S5">
        <v>7.3</v>
      </c>
      <c r="T5">
        <v>7.04</v>
      </c>
    </row>
    <row r="6" spans="1:26" x14ac:dyDescent="0.25">
      <c r="A6" s="2" t="s">
        <v>41</v>
      </c>
      <c r="B6">
        <v>6.81</v>
      </c>
      <c r="C6">
        <v>7.26</v>
      </c>
      <c r="D6">
        <v>7.22</v>
      </c>
      <c r="E6">
        <v>6.73</v>
      </c>
      <c r="F6">
        <v>6.71</v>
      </c>
      <c r="G6">
        <v>6.73</v>
      </c>
      <c r="H6">
        <v>6.97</v>
      </c>
      <c r="I6">
        <v>7.34</v>
      </c>
      <c r="J6">
        <v>7.18</v>
      </c>
      <c r="K6">
        <v>6.93</v>
      </c>
      <c r="L6">
        <v>6.5</v>
      </c>
      <c r="M6">
        <v>6.4</v>
      </c>
      <c r="N6">
        <v>7.28</v>
      </c>
      <c r="O6">
        <v>7.32</v>
      </c>
      <c r="P6">
        <v>7.71</v>
      </c>
      <c r="Q6">
        <v>7.27</v>
      </c>
      <c r="R6">
        <v>7.36</v>
      </c>
      <c r="S6">
        <v>7.14</v>
      </c>
      <c r="T6">
        <v>7.32</v>
      </c>
    </row>
    <row r="7" spans="1:26" x14ac:dyDescent="0.25">
      <c r="A7" s="2" t="s">
        <v>42</v>
      </c>
      <c r="B7">
        <v>74.08</v>
      </c>
      <c r="C7">
        <v>71.31</v>
      </c>
      <c r="D7">
        <v>71.88</v>
      </c>
      <c r="E7">
        <v>71.23</v>
      </c>
      <c r="F7">
        <v>70.58</v>
      </c>
      <c r="G7">
        <v>65.36</v>
      </c>
      <c r="H7">
        <v>73.31</v>
      </c>
      <c r="I7">
        <v>73.31</v>
      </c>
      <c r="J7">
        <v>72.87</v>
      </c>
      <c r="K7">
        <v>84.58</v>
      </c>
      <c r="L7">
        <v>84.44</v>
      </c>
      <c r="M7">
        <v>75.84</v>
      </c>
      <c r="N7">
        <v>76.16</v>
      </c>
      <c r="O7">
        <v>69.569999999999993</v>
      </c>
      <c r="P7">
        <v>74.78</v>
      </c>
      <c r="Q7">
        <v>75.67</v>
      </c>
      <c r="R7">
        <v>83.34</v>
      </c>
      <c r="S7">
        <v>78.56</v>
      </c>
      <c r="T7">
        <v>78.23</v>
      </c>
    </row>
    <row r="8" spans="1:26" x14ac:dyDescent="0.25">
      <c r="A8" s="2" t="s">
        <v>43</v>
      </c>
      <c r="B8">
        <v>3.23</v>
      </c>
      <c r="C8">
        <v>3.14</v>
      </c>
      <c r="D8">
        <v>3.5</v>
      </c>
      <c r="E8">
        <v>3.27</v>
      </c>
      <c r="F8">
        <v>3.28</v>
      </c>
      <c r="G8">
        <v>3.41</v>
      </c>
      <c r="H8">
        <v>3.47</v>
      </c>
      <c r="I8">
        <v>3.16</v>
      </c>
      <c r="J8">
        <v>3.26</v>
      </c>
      <c r="K8">
        <v>3.28</v>
      </c>
      <c r="L8">
        <v>3.29</v>
      </c>
      <c r="M8">
        <v>3.38</v>
      </c>
      <c r="N8">
        <v>3.25</v>
      </c>
      <c r="O8">
        <v>3.26</v>
      </c>
      <c r="P8">
        <v>3.19</v>
      </c>
      <c r="Q8">
        <v>3.39</v>
      </c>
      <c r="R8">
        <v>3.14</v>
      </c>
      <c r="S8">
        <v>3.14</v>
      </c>
      <c r="T8">
        <v>3.13</v>
      </c>
    </row>
    <row r="9" spans="1:26" x14ac:dyDescent="0.25">
      <c r="A9" s="2" t="s">
        <v>44</v>
      </c>
      <c r="B9">
        <v>52.57</v>
      </c>
      <c r="C9">
        <v>50.84</v>
      </c>
      <c r="D9">
        <v>61.12</v>
      </c>
      <c r="E9">
        <v>54.92</v>
      </c>
      <c r="F9">
        <v>54.99</v>
      </c>
      <c r="G9">
        <v>52.25</v>
      </c>
      <c r="H9">
        <v>56.03</v>
      </c>
      <c r="I9">
        <v>55.57</v>
      </c>
      <c r="J9">
        <v>54.76</v>
      </c>
      <c r="K9">
        <v>54.99</v>
      </c>
      <c r="L9">
        <v>54.7</v>
      </c>
      <c r="M9">
        <v>52.32</v>
      </c>
      <c r="N9">
        <v>54.62</v>
      </c>
      <c r="O9">
        <v>55.38</v>
      </c>
      <c r="P9">
        <v>53.77</v>
      </c>
      <c r="Q9">
        <v>56.08</v>
      </c>
      <c r="R9">
        <v>56.08</v>
      </c>
      <c r="S9">
        <v>57.36</v>
      </c>
      <c r="T9">
        <v>55.4</v>
      </c>
    </row>
    <row r="10" spans="1:26" x14ac:dyDescent="0.25">
      <c r="A10" s="2" t="s">
        <v>45</v>
      </c>
      <c r="B10">
        <v>47</v>
      </c>
      <c r="C10">
        <v>45.93</v>
      </c>
      <c r="D10">
        <v>44.54</v>
      </c>
      <c r="E10">
        <v>45.51</v>
      </c>
      <c r="F10">
        <v>46.05</v>
      </c>
      <c r="G10">
        <v>46.08</v>
      </c>
      <c r="H10">
        <v>46.57</v>
      </c>
      <c r="I10">
        <v>47.69</v>
      </c>
      <c r="J10">
        <v>44.11</v>
      </c>
      <c r="K10">
        <v>44.01</v>
      </c>
      <c r="L10">
        <v>45.22</v>
      </c>
      <c r="M10">
        <v>46.55</v>
      </c>
      <c r="N10">
        <v>46.98</v>
      </c>
      <c r="O10">
        <v>43.94</v>
      </c>
      <c r="P10">
        <v>46.39</v>
      </c>
      <c r="Q10">
        <v>46.37</v>
      </c>
      <c r="R10">
        <v>47.84</v>
      </c>
      <c r="S10">
        <v>44.88</v>
      </c>
      <c r="T10">
        <v>48.07</v>
      </c>
    </row>
    <row r="11" spans="1:26" x14ac:dyDescent="0.25">
      <c r="A11" s="2" t="s">
        <v>46</v>
      </c>
      <c r="B11">
        <v>4.3099999999999996</v>
      </c>
      <c r="C11">
        <v>4.54</v>
      </c>
      <c r="D11">
        <v>4.37</v>
      </c>
      <c r="E11">
        <v>4.41</v>
      </c>
      <c r="F11">
        <v>4.16</v>
      </c>
      <c r="G11">
        <v>4.4000000000000004</v>
      </c>
      <c r="H11">
        <v>4.7300000000000004</v>
      </c>
      <c r="I11">
        <v>4.6900000000000004</v>
      </c>
      <c r="J11">
        <v>4.54</v>
      </c>
      <c r="K11">
        <v>4.53</v>
      </c>
      <c r="L11">
        <v>4.55</v>
      </c>
      <c r="M11">
        <v>4.22</v>
      </c>
      <c r="N11">
        <v>4.3899999999999997</v>
      </c>
      <c r="O11">
        <v>4.2300000000000004</v>
      </c>
      <c r="P11">
        <v>4.0599999999999996</v>
      </c>
      <c r="Q11">
        <v>4.2300000000000004</v>
      </c>
      <c r="R11">
        <v>4.62</v>
      </c>
      <c r="S11">
        <v>4.07</v>
      </c>
      <c r="T11">
        <v>4.3</v>
      </c>
    </row>
    <row r="13" spans="1:26" x14ac:dyDescent="0.25">
      <c r="B13" s="2">
        <f>SUM(B5:B11)</f>
        <v>195.47</v>
      </c>
      <c r="C13" s="2">
        <f t="shared" ref="C13:L13" si="0">SUM(C5:C11)</f>
        <v>190.54</v>
      </c>
      <c r="D13" s="2">
        <f t="shared" si="0"/>
        <v>199.98999999999998</v>
      </c>
      <c r="E13" s="2">
        <f t="shared" si="0"/>
        <v>193.30999999999997</v>
      </c>
      <c r="F13" s="2">
        <f t="shared" si="0"/>
        <v>193.18999999999997</v>
      </c>
      <c r="G13" s="2">
        <f t="shared" si="0"/>
        <v>185.43999999999997</v>
      </c>
      <c r="H13" s="2">
        <f t="shared" si="0"/>
        <v>198.10999999999999</v>
      </c>
      <c r="I13" s="2">
        <f t="shared" si="0"/>
        <v>199.2</v>
      </c>
      <c r="J13" s="2">
        <f t="shared" si="0"/>
        <v>194.04999999999998</v>
      </c>
      <c r="K13" s="2">
        <f t="shared" si="0"/>
        <v>205.29999999999998</v>
      </c>
      <c r="L13" s="2">
        <f t="shared" si="0"/>
        <v>205.65</v>
      </c>
      <c r="M13" s="2">
        <f t="shared" ref="M13:Z13" si="1">SUM(M5:M11)</f>
        <v>195.62999999999997</v>
      </c>
      <c r="N13" s="2">
        <f t="shared" si="1"/>
        <v>199.72999999999996</v>
      </c>
      <c r="O13" s="2">
        <f t="shared" si="1"/>
        <v>190.32</v>
      </c>
      <c r="P13" s="2">
        <f t="shared" si="1"/>
        <v>196.61</v>
      </c>
      <c r="Q13" s="2">
        <f t="shared" si="1"/>
        <v>200.15</v>
      </c>
      <c r="R13" s="2">
        <f t="shared" si="1"/>
        <v>209.24</v>
      </c>
      <c r="S13" s="2">
        <f t="shared" si="1"/>
        <v>202.45</v>
      </c>
      <c r="T13" s="2">
        <f t="shared" si="1"/>
        <v>203.49</v>
      </c>
      <c r="U13" s="2">
        <f t="shared" si="1"/>
        <v>0</v>
      </c>
      <c r="V13" s="2">
        <f t="shared" si="1"/>
        <v>0</v>
      </c>
      <c r="W13" s="2">
        <f t="shared" si="1"/>
        <v>0</v>
      </c>
      <c r="X13" s="2">
        <f t="shared" si="1"/>
        <v>0</v>
      </c>
      <c r="Y13" s="2">
        <f t="shared" si="1"/>
        <v>0</v>
      </c>
      <c r="Z13" s="2">
        <f t="shared" si="1"/>
        <v>0</v>
      </c>
    </row>
    <row r="18" spans="1:26" ht="21" x14ac:dyDescent="0.35">
      <c r="A18" s="5" t="s">
        <v>33</v>
      </c>
    </row>
    <row r="20" spans="1:26" x14ac:dyDescent="0.25">
      <c r="A20" t="s">
        <v>12</v>
      </c>
    </row>
    <row r="21" spans="1:26" x14ac:dyDescent="0.25">
      <c r="B21" s="1">
        <f>B4</f>
        <v>44331</v>
      </c>
      <c r="C21" s="1">
        <f t="shared" ref="C21:L21" si="2">C4</f>
        <v>44332</v>
      </c>
      <c r="D21" s="1">
        <f t="shared" si="2"/>
        <v>44334</v>
      </c>
      <c r="E21" s="1">
        <f t="shared" si="2"/>
        <v>44336</v>
      </c>
      <c r="F21" s="1">
        <f t="shared" si="2"/>
        <v>44337</v>
      </c>
      <c r="G21" s="1">
        <f t="shared" si="2"/>
        <v>44338</v>
      </c>
      <c r="H21" s="1">
        <f t="shared" si="2"/>
        <v>44339</v>
      </c>
      <c r="I21" s="1">
        <f t="shared" si="2"/>
        <v>44340</v>
      </c>
      <c r="J21" s="1">
        <f t="shared" si="2"/>
        <v>44341</v>
      </c>
      <c r="K21" s="1">
        <f t="shared" si="2"/>
        <v>44342</v>
      </c>
      <c r="L21" s="1">
        <f t="shared" si="2"/>
        <v>44343</v>
      </c>
      <c r="M21" s="1">
        <f t="shared" ref="M21:Z21" si="3">M4</f>
        <v>44344</v>
      </c>
      <c r="N21" s="1">
        <f t="shared" si="3"/>
        <v>44345</v>
      </c>
      <c r="O21" s="1">
        <f t="shared" si="3"/>
        <v>44346</v>
      </c>
      <c r="P21" s="1">
        <f t="shared" si="3"/>
        <v>44347</v>
      </c>
      <c r="Q21" s="1">
        <f t="shared" si="3"/>
        <v>44348</v>
      </c>
      <c r="R21" s="1">
        <f t="shared" si="3"/>
        <v>44349</v>
      </c>
      <c r="S21" s="1">
        <f t="shared" si="3"/>
        <v>44350</v>
      </c>
      <c r="T21" s="1">
        <f t="shared" si="3"/>
        <v>44351</v>
      </c>
      <c r="U21" s="1">
        <f t="shared" si="3"/>
        <v>44352</v>
      </c>
      <c r="V21" s="1">
        <f t="shared" si="3"/>
        <v>44353</v>
      </c>
      <c r="W21" s="1">
        <f t="shared" si="3"/>
        <v>44354</v>
      </c>
      <c r="X21" s="1">
        <f t="shared" si="3"/>
        <v>44355</v>
      </c>
      <c r="Y21" s="1">
        <f t="shared" si="3"/>
        <v>44356</v>
      </c>
      <c r="Z21" s="1">
        <f t="shared" si="3"/>
        <v>44357</v>
      </c>
    </row>
    <row r="22" spans="1:26" x14ac:dyDescent="0.25">
      <c r="A22" s="2" t="s">
        <v>40</v>
      </c>
      <c r="B22">
        <f>ROUNDDOWN((B5-ROUNDUP(B5*0.1,2)-ROUNDUP(B5*0.05,2))*0.8,2)</f>
        <v>5.07</v>
      </c>
      <c r="C22">
        <f t="shared" ref="C22:L22" si="4">ROUNDDOWN((C5-ROUNDUP(C5*0.1,2)-ROUNDUP(C5*0.05,2))*0.8,2)</f>
        <v>5.0999999999999996</v>
      </c>
      <c r="D22">
        <f t="shared" si="4"/>
        <v>5</v>
      </c>
      <c r="E22">
        <f t="shared" si="4"/>
        <v>4.91</v>
      </c>
      <c r="F22">
        <f t="shared" si="4"/>
        <v>5.03</v>
      </c>
      <c r="G22">
        <f t="shared" si="4"/>
        <v>4.88</v>
      </c>
      <c r="H22">
        <f t="shared" si="4"/>
        <v>4.76</v>
      </c>
      <c r="I22">
        <f t="shared" si="4"/>
        <v>5.04</v>
      </c>
      <c r="J22">
        <f t="shared" si="4"/>
        <v>4.97</v>
      </c>
      <c r="K22">
        <f t="shared" si="4"/>
        <v>4.74</v>
      </c>
      <c r="L22">
        <f t="shared" si="4"/>
        <v>4.72</v>
      </c>
      <c r="M22">
        <f t="shared" ref="M22:Z22" si="5">ROUNDDOWN((M5-ROUNDUP(M5*0.1,2)-ROUNDUP(M5*0.05,2))*0.8,2)</f>
        <v>4.6900000000000004</v>
      </c>
      <c r="N22">
        <f t="shared" si="5"/>
        <v>4.78</v>
      </c>
      <c r="O22">
        <f t="shared" si="5"/>
        <v>4.4800000000000004</v>
      </c>
      <c r="P22">
        <f t="shared" si="5"/>
        <v>4.55</v>
      </c>
      <c r="Q22">
        <f t="shared" si="5"/>
        <v>4.84</v>
      </c>
      <c r="R22">
        <f t="shared" si="5"/>
        <v>4.6500000000000004</v>
      </c>
      <c r="S22">
        <f t="shared" si="5"/>
        <v>4.96</v>
      </c>
      <c r="T22">
        <f t="shared" si="5"/>
        <v>4.7699999999999996</v>
      </c>
      <c r="U22">
        <f t="shared" si="5"/>
        <v>0</v>
      </c>
      <c r="V22">
        <f t="shared" si="5"/>
        <v>0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</row>
    <row r="23" spans="1:26" x14ac:dyDescent="0.25">
      <c r="A23" s="2" t="s">
        <v>41</v>
      </c>
      <c r="B23">
        <f t="shared" ref="B23:L28" si="6">ROUNDDOWN((B6-ROUNDUP(B6*0.1,2)-ROUNDUP(B6*0.05,2))*0.8,2)</f>
        <v>4.6100000000000003</v>
      </c>
      <c r="C23">
        <f t="shared" si="6"/>
        <v>4.92</v>
      </c>
      <c r="D23">
        <f t="shared" si="6"/>
        <v>4.8899999999999997</v>
      </c>
      <c r="E23">
        <f t="shared" si="6"/>
        <v>4.5599999999999996</v>
      </c>
      <c r="F23">
        <f t="shared" si="6"/>
        <v>4.55</v>
      </c>
      <c r="G23">
        <f t="shared" si="6"/>
        <v>4.5599999999999996</v>
      </c>
      <c r="H23">
        <f t="shared" si="6"/>
        <v>4.7300000000000004</v>
      </c>
      <c r="I23">
        <f t="shared" si="6"/>
        <v>4.9800000000000004</v>
      </c>
      <c r="J23">
        <f t="shared" si="6"/>
        <v>4.88</v>
      </c>
      <c r="K23">
        <f t="shared" si="6"/>
        <v>4.7</v>
      </c>
      <c r="L23">
        <f t="shared" si="6"/>
        <v>4.41</v>
      </c>
      <c r="M23">
        <f t="shared" ref="M23:Z23" si="7">ROUNDDOWN((M6-ROUNDUP(M6*0.1,2)-ROUNDUP(M6*0.05,2))*0.8,2)</f>
        <v>4.3499999999999996</v>
      </c>
      <c r="N23">
        <f t="shared" si="7"/>
        <v>4.9400000000000004</v>
      </c>
      <c r="O23">
        <f t="shared" si="7"/>
        <v>4.96</v>
      </c>
      <c r="P23">
        <f t="shared" si="7"/>
        <v>5.23</v>
      </c>
      <c r="Q23">
        <f t="shared" si="7"/>
        <v>4.93</v>
      </c>
      <c r="R23">
        <f t="shared" si="7"/>
        <v>5</v>
      </c>
      <c r="S23">
        <f t="shared" si="7"/>
        <v>4.84</v>
      </c>
      <c r="T23">
        <f t="shared" si="7"/>
        <v>4.96</v>
      </c>
      <c r="U23">
        <f t="shared" si="7"/>
        <v>0</v>
      </c>
      <c r="V23">
        <f t="shared" si="7"/>
        <v>0</v>
      </c>
      <c r="W23">
        <f t="shared" si="7"/>
        <v>0</v>
      </c>
      <c r="X23">
        <f t="shared" si="7"/>
        <v>0</v>
      </c>
      <c r="Y23">
        <f t="shared" si="7"/>
        <v>0</v>
      </c>
      <c r="Z23">
        <f t="shared" si="7"/>
        <v>0</v>
      </c>
    </row>
    <row r="24" spans="1:26" x14ac:dyDescent="0.25">
      <c r="A24" s="2" t="s">
        <v>42</v>
      </c>
      <c r="B24">
        <f t="shared" si="6"/>
        <v>50.36</v>
      </c>
      <c r="C24">
        <f t="shared" si="6"/>
        <v>48.48</v>
      </c>
      <c r="D24">
        <f t="shared" si="6"/>
        <v>48.87</v>
      </c>
      <c r="E24">
        <f t="shared" si="6"/>
        <v>48.42</v>
      </c>
      <c r="F24">
        <f t="shared" si="6"/>
        <v>47.99</v>
      </c>
      <c r="G24">
        <f t="shared" si="6"/>
        <v>44.44</v>
      </c>
      <c r="H24">
        <f t="shared" si="6"/>
        <v>49.84</v>
      </c>
      <c r="I24">
        <f t="shared" si="6"/>
        <v>49.84</v>
      </c>
      <c r="J24">
        <f t="shared" si="6"/>
        <v>49.54</v>
      </c>
      <c r="K24">
        <f t="shared" si="6"/>
        <v>57.51</v>
      </c>
      <c r="L24">
        <f t="shared" si="6"/>
        <v>57.4</v>
      </c>
      <c r="M24">
        <f t="shared" ref="M24:Z24" si="8">ROUNDDOWN((M7-ROUNDUP(M7*0.1,2)-ROUNDUP(M7*0.05,2))*0.8,2)</f>
        <v>51.56</v>
      </c>
      <c r="N24">
        <f t="shared" si="8"/>
        <v>51.78</v>
      </c>
      <c r="O24">
        <f t="shared" si="8"/>
        <v>47.3</v>
      </c>
      <c r="P24">
        <f t="shared" si="8"/>
        <v>50.84</v>
      </c>
      <c r="Q24">
        <f t="shared" si="8"/>
        <v>51.44</v>
      </c>
      <c r="R24">
        <f t="shared" si="8"/>
        <v>56.66</v>
      </c>
      <c r="S24">
        <f t="shared" si="8"/>
        <v>53.41</v>
      </c>
      <c r="T24">
        <f t="shared" si="8"/>
        <v>53.18</v>
      </c>
      <c r="U24">
        <f t="shared" si="8"/>
        <v>0</v>
      </c>
      <c r="V24">
        <f t="shared" si="8"/>
        <v>0</v>
      </c>
      <c r="W24">
        <f t="shared" si="8"/>
        <v>0</v>
      </c>
      <c r="X24">
        <f t="shared" si="8"/>
        <v>0</v>
      </c>
      <c r="Y24">
        <f t="shared" si="8"/>
        <v>0</v>
      </c>
      <c r="Z24">
        <f t="shared" si="8"/>
        <v>0</v>
      </c>
    </row>
    <row r="25" spans="1:26" x14ac:dyDescent="0.25">
      <c r="A25" s="2" t="s">
        <v>43</v>
      </c>
      <c r="B25">
        <f t="shared" si="6"/>
        <v>2.1800000000000002</v>
      </c>
      <c r="C25">
        <f t="shared" si="6"/>
        <v>2.12</v>
      </c>
      <c r="D25">
        <f t="shared" si="6"/>
        <v>2.37</v>
      </c>
      <c r="E25">
        <f t="shared" si="6"/>
        <v>2.21</v>
      </c>
      <c r="F25">
        <f t="shared" si="6"/>
        <v>2.2200000000000002</v>
      </c>
      <c r="G25">
        <f t="shared" si="6"/>
        <v>2.2999999999999998</v>
      </c>
      <c r="H25">
        <f t="shared" si="6"/>
        <v>2.35</v>
      </c>
      <c r="I25">
        <f t="shared" si="6"/>
        <v>2.14</v>
      </c>
      <c r="J25">
        <f t="shared" si="6"/>
        <v>2.2000000000000002</v>
      </c>
      <c r="K25">
        <f t="shared" si="6"/>
        <v>2.2200000000000002</v>
      </c>
      <c r="L25">
        <f t="shared" si="6"/>
        <v>2.23</v>
      </c>
      <c r="M25">
        <f t="shared" ref="M25:Z25" si="9">ROUNDDOWN((M8-ROUNDUP(M8*0.1,2)-ROUNDUP(M8*0.05,2))*0.8,2)</f>
        <v>2.29</v>
      </c>
      <c r="N25">
        <f t="shared" si="9"/>
        <v>2.2000000000000002</v>
      </c>
      <c r="O25">
        <f t="shared" si="9"/>
        <v>2.2000000000000002</v>
      </c>
      <c r="P25">
        <f t="shared" si="9"/>
        <v>2.16</v>
      </c>
      <c r="Q25">
        <f t="shared" si="9"/>
        <v>2.2999999999999998</v>
      </c>
      <c r="R25">
        <f t="shared" si="9"/>
        <v>2.12</v>
      </c>
      <c r="S25">
        <f t="shared" si="9"/>
        <v>2.12</v>
      </c>
      <c r="T25">
        <f t="shared" si="9"/>
        <v>2.12</v>
      </c>
      <c r="U25">
        <f t="shared" si="9"/>
        <v>0</v>
      </c>
      <c r="V25">
        <f t="shared" si="9"/>
        <v>0</v>
      </c>
      <c r="W25">
        <f t="shared" si="9"/>
        <v>0</v>
      </c>
      <c r="X25">
        <f t="shared" si="9"/>
        <v>0</v>
      </c>
      <c r="Y25">
        <f t="shared" si="9"/>
        <v>0</v>
      </c>
      <c r="Z25">
        <f t="shared" si="9"/>
        <v>0</v>
      </c>
    </row>
    <row r="26" spans="1:26" x14ac:dyDescent="0.25">
      <c r="A26" s="2" t="s">
        <v>44</v>
      </c>
      <c r="B26">
        <f t="shared" si="6"/>
        <v>35.74</v>
      </c>
      <c r="C26">
        <f t="shared" si="6"/>
        <v>34.56</v>
      </c>
      <c r="D26">
        <f t="shared" si="6"/>
        <v>41.55</v>
      </c>
      <c r="E26">
        <f t="shared" si="6"/>
        <v>37.33</v>
      </c>
      <c r="F26">
        <f t="shared" si="6"/>
        <v>37.39</v>
      </c>
      <c r="G26">
        <f t="shared" si="6"/>
        <v>35.520000000000003</v>
      </c>
      <c r="H26">
        <f t="shared" si="6"/>
        <v>38.08</v>
      </c>
      <c r="I26">
        <f t="shared" si="6"/>
        <v>37.78</v>
      </c>
      <c r="J26">
        <f t="shared" si="6"/>
        <v>37.229999999999997</v>
      </c>
      <c r="K26">
        <f t="shared" si="6"/>
        <v>37.39</v>
      </c>
      <c r="L26">
        <f t="shared" si="6"/>
        <v>37.19</v>
      </c>
      <c r="M26">
        <f t="shared" ref="M26:Z26" si="10">ROUNDDOWN((M9-ROUNDUP(M9*0.1,2)-ROUNDUP(M9*0.05,2))*0.8,2)</f>
        <v>35.56</v>
      </c>
      <c r="N26">
        <f t="shared" si="10"/>
        <v>37.119999999999997</v>
      </c>
      <c r="O26">
        <f t="shared" si="10"/>
        <v>37.65</v>
      </c>
      <c r="P26">
        <f t="shared" si="10"/>
        <v>36.56</v>
      </c>
      <c r="Q26">
        <f t="shared" si="10"/>
        <v>38.119999999999997</v>
      </c>
      <c r="R26">
        <f t="shared" si="10"/>
        <v>38.119999999999997</v>
      </c>
      <c r="S26">
        <f t="shared" si="10"/>
        <v>39</v>
      </c>
      <c r="T26">
        <f t="shared" si="10"/>
        <v>37.67</v>
      </c>
      <c r="U26">
        <f t="shared" si="10"/>
        <v>0</v>
      </c>
      <c r="V26">
        <f t="shared" si="10"/>
        <v>0</v>
      </c>
      <c r="W26">
        <f t="shared" si="10"/>
        <v>0</v>
      </c>
      <c r="X26">
        <f t="shared" si="10"/>
        <v>0</v>
      </c>
      <c r="Y26">
        <f t="shared" si="10"/>
        <v>0</v>
      </c>
      <c r="Z26">
        <f t="shared" si="10"/>
        <v>0</v>
      </c>
    </row>
    <row r="27" spans="1:26" x14ac:dyDescent="0.25">
      <c r="A27" s="2" t="s">
        <v>45</v>
      </c>
      <c r="B27">
        <f t="shared" si="6"/>
        <v>31.96</v>
      </c>
      <c r="C27">
        <f t="shared" si="6"/>
        <v>31.22</v>
      </c>
      <c r="D27">
        <f t="shared" si="6"/>
        <v>30.28</v>
      </c>
      <c r="E27">
        <f t="shared" si="6"/>
        <v>30.93</v>
      </c>
      <c r="F27">
        <f t="shared" si="6"/>
        <v>31.3</v>
      </c>
      <c r="G27">
        <f t="shared" si="6"/>
        <v>31.32</v>
      </c>
      <c r="H27">
        <f t="shared" si="6"/>
        <v>31.66</v>
      </c>
      <c r="I27">
        <f t="shared" si="6"/>
        <v>32.42</v>
      </c>
      <c r="J27">
        <f t="shared" si="6"/>
        <v>29.98</v>
      </c>
      <c r="K27">
        <f t="shared" si="6"/>
        <v>29.91</v>
      </c>
      <c r="L27">
        <f t="shared" si="6"/>
        <v>30.73</v>
      </c>
      <c r="M27">
        <f t="shared" ref="M27:Z27" si="11">ROUNDDOWN((M10-ROUNDUP(M10*0.1,2)-ROUNDUP(M10*0.05,2))*0.8,2)</f>
        <v>31.64</v>
      </c>
      <c r="N27">
        <f t="shared" si="11"/>
        <v>31.94</v>
      </c>
      <c r="O27">
        <f t="shared" si="11"/>
        <v>29.87</v>
      </c>
      <c r="P27">
        <f t="shared" si="11"/>
        <v>31.54</v>
      </c>
      <c r="Q27">
        <f t="shared" si="11"/>
        <v>31.52</v>
      </c>
      <c r="R27">
        <f t="shared" si="11"/>
        <v>32.520000000000003</v>
      </c>
      <c r="S27">
        <f t="shared" si="11"/>
        <v>30.51</v>
      </c>
      <c r="T27">
        <f t="shared" si="11"/>
        <v>32.68</v>
      </c>
      <c r="U27">
        <f t="shared" si="11"/>
        <v>0</v>
      </c>
      <c r="V27">
        <f t="shared" si="11"/>
        <v>0</v>
      </c>
      <c r="W27">
        <f t="shared" si="11"/>
        <v>0</v>
      </c>
      <c r="X27">
        <f t="shared" si="11"/>
        <v>0</v>
      </c>
      <c r="Y27">
        <f t="shared" si="11"/>
        <v>0</v>
      </c>
      <c r="Z27">
        <f t="shared" si="11"/>
        <v>0</v>
      </c>
    </row>
    <row r="28" spans="1:26" x14ac:dyDescent="0.25">
      <c r="A28" s="2" t="s">
        <v>46</v>
      </c>
      <c r="B28">
        <f t="shared" si="6"/>
        <v>2.92</v>
      </c>
      <c r="C28">
        <f t="shared" si="6"/>
        <v>3.08</v>
      </c>
      <c r="D28">
        <f t="shared" si="6"/>
        <v>2.96</v>
      </c>
      <c r="E28">
        <f t="shared" si="6"/>
        <v>2.98</v>
      </c>
      <c r="F28">
        <f t="shared" si="6"/>
        <v>2.82</v>
      </c>
      <c r="G28">
        <f t="shared" si="6"/>
        <v>2.99</v>
      </c>
      <c r="H28">
        <f t="shared" si="6"/>
        <v>3.2</v>
      </c>
      <c r="I28">
        <f t="shared" si="6"/>
        <v>3.18</v>
      </c>
      <c r="J28">
        <f t="shared" si="6"/>
        <v>3.08</v>
      </c>
      <c r="K28">
        <f t="shared" si="6"/>
        <v>3.07</v>
      </c>
      <c r="L28">
        <f t="shared" si="6"/>
        <v>3.08</v>
      </c>
      <c r="M28">
        <f t="shared" ref="M28:Z28" si="12">ROUNDDOWN((M11-ROUNDUP(M11*0.1,2)-ROUNDUP(M11*0.05,2))*0.8,2)</f>
        <v>2.85</v>
      </c>
      <c r="N28">
        <f t="shared" si="12"/>
        <v>2.98</v>
      </c>
      <c r="O28">
        <f t="shared" si="12"/>
        <v>2.86</v>
      </c>
      <c r="P28">
        <f t="shared" si="12"/>
        <v>2.75</v>
      </c>
      <c r="Q28">
        <f t="shared" si="12"/>
        <v>2.86</v>
      </c>
      <c r="R28">
        <f t="shared" si="12"/>
        <v>3.12</v>
      </c>
      <c r="S28">
        <f t="shared" si="12"/>
        <v>2.76</v>
      </c>
      <c r="T28">
        <f t="shared" si="12"/>
        <v>2.92</v>
      </c>
      <c r="U28">
        <f t="shared" si="12"/>
        <v>0</v>
      </c>
      <c r="V28">
        <f t="shared" si="12"/>
        <v>0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</row>
    <row r="30" spans="1:26" x14ac:dyDescent="0.25">
      <c r="B30" s="2">
        <f>SUM(B22:B28)</f>
        <v>132.84</v>
      </c>
      <c r="C30" s="2">
        <f t="shared" ref="C30:E30" si="13">SUM(C22:C28)</f>
        <v>129.48000000000002</v>
      </c>
      <c r="D30" s="2">
        <f t="shared" si="13"/>
        <v>135.91999999999999</v>
      </c>
      <c r="E30" s="2">
        <f t="shared" si="13"/>
        <v>131.34</v>
      </c>
      <c r="F30" s="2">
        <f t="shared" ref="F30:L30" si="14">SUM(F22:F28)</f>
        <v>131.30000000000001</v>
      </c>
      <c r="G30" s="2">
        <f t="shared" si="14"/>
        <v>126.00999999999998</v>
      </c>
      <c r="H30" s="2">
        <f t="shared" si="14"/>
        <v>134.62</v>
      </c>
      <c r="I30" s="2">
        <f t="shared" si="14"/>
        <v>135.38</v>
      </c>
      <c r="J30" s="2">
        <f t="shared" si="14"/>
        <v>131.88</v>
      </c>
      <c r="K30" s="2">
        <f t="shared" si="14"/>
        <v>139.54</v>
      </c>
      <c r="L30" s="2">
        <f t="shared" si="14"/>
        <v>139.76000000000002</v>
      </c>
      <c r="M30" s="2">
        <f t="shared" ref="M30:Z30" si="15">SUM(M22:M28)</f>
        <v>132.94</v>
      </c>
      <c r="N30" s="2">
        <f t="shared" si="15"/>
        <v>135.73999999999998</v>
      </c>
      <c r="O30" s="2">
        <f t="shared" si="15"/>
        <v>129.32000000000002</v>
      </c>
      <c r="P30" s="2">
        <f t="shared" si="15"/>
        <v>133.63</v>
      </c>
      <c r="Q30" s="2">
        <f t="shared" si="15"/>
        <v>136.01000000000002</v>
      </c>
      <c r="R30" s="2">
        <f t="shared" si="15"/>
        <v>142.19000000000003</v>
      </c>
      <c r="S30" s="2">
        <f t="shared" si="15"/>
        <v>137.6</v>
      </c>
      <c r="T30" s="2">
        <f t="shared" si="15"/>
        <v>138.29999999999998</v>
      </c>
      <c r="U30" s="2">
        <f t="shared" si="15"/>
        <v>0</v>
      </c>
      <c r="V30" s="2">
        <f t="shared" si="15"/>
        <v>0</v>
      </c>
      <c r="W30" s="2">
        <f t="shared" si="15"/>
        <v>0</v>
      </c>
      <c r="X30" s="2">
        <f t="shared" si="15"/>
        <v>0</v>
      </c>
      <c r="Y30" s="2">
        <f t="shared" si="15"/>
        <v>0</v>
      </c>
      <c r="Z30" s="2">
        <f t="shared" si="15"/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0316-5A52-48FE-A351-96D9FC691E83}">
  <dimension ref="A1:AB31"/>
  <sheetViews>
    <sheetView zoomScale="80" zoomScaleNormal="80" workbookViewId="0">
      <pane xSplit="1" topLeftCell="M1" activePane="topRight" state="frozen"/>
      <selection pane="topRight" activeCell="T13" sqref="T13"/>
    </sheetView>
  </sheetViews>
  <sheetFormatPr defaultRowHeight="15" x14ac:dyDescent="0.25"/>
  <cols>
    <col min="1" max="1" width="23" customWidth="1"/>
    <col min="2" max="50" width="12.85546875" customWidth="1"/>
  </cols>
  <sheetData>
    <row r="1" spans="1:28" ht="31.5" x14ac:dyDescent="0.5">
      <c r="A1" s="4" t="s">
        <v>4</v>
      </c>
    </row>
    <row r="3" spans="1:28" x14ac:dyDescent="0.25">
      <c r="A3" t="s">
        <v>12</v>
      </c>
    </row>
    <row r="4" spans="1:28" x14ac:dyDescent="0.25">
      <c r="B4" s="1">
        <f>Knives!B4</f>
        <v>44331</v>
      </c>
      <c r="C4" s="1">
        <f>Knives!C4</f>
        <v>44332</v>
      </c>
      <c r="D4" s="1">
        <f>Knives!D4</f>
        <v>44334</v>
      </c>
      <c r="E4" s="1">
        <f>Knives!E4</f>
        <v>44336</v>
      </c>
      <c r="F4" s="1">
        <f>Knives!F4</f>
        <v>44337</v>
      </c>
      <c r="G4" s="1">
        <f>Knives!G4</f>
        <v>44338</v>
      </c>
      <c r="H4" s="1">
        <f>Knives!H4</f>
        <v>44339</v>
      </c>
      <c r="I4" s="1">
        <f>Knives!I4</f>
        <v>44340</v>
      </c>
      <c r="J4" s="1">
        <f>Knives!J4</f>
        <v>44341</v>
      </c>
      <c r="K4" s="1">
        <f>Knives!K4</f>
        <v>44342</v>
      </c>
      <c r="L4" s="1">
        <f>Knives!L4</f>
        <v>44343</v>
      </c>
      <c r="M4" s="1">
        <f>Knives!M4</f>
        <v>44344</v>
      </c>
      <c r="N4" s="1">
        <f>Knives!N4</f>
        <v>44345</v>
      </c>
      <c r="O4" s="1">
        <f>Knives!O4</f>
        <v>44346</v>
      </c>
      <c r="P4" s="1">
        <f>Knives!P4</f>
        <v>44347</v>
      </c>
      <c r="Q4" s="1">
        <f>Knives!Q4</f>
        <v>44348</v>
      </c>
      <c r="R4" s="1">
        <f>Knives!R4</f>
        <v>44349</v>
      </c>
      <c r="S4" s="1">
        <f>Knives!S4</f>
        <v>44350</v>
      </c>
      <c r="T4" s="1">
        <f>Knives!T4</f>
        <v>44351</v>
      </c>
      <c r="U4" s="1">
        <f>Knives!U4</f>
        <v>44352</v>
      </c>
      <c r="V4" s="1">
        <f>Knives!V4</f>
        <v>44353</v>
      </c>
      <c r="W4" s="1">
        <f>Knives!W4</f>
        <v>44354</v>
      </c>
      <c r="X4" s="1">
        <f>Knives!X4</f>
        <v>44355</v>
      </c>
      <c r="Y4" s="1">
        <f>Knives!Y4</f>
        <v>44356</v>
      </c>
      <c r="Z4" s="1">
        <f>Knives!Z4</f>
        <v>44357</v>
      </c>
      <c r="AA4" s="1"/>
      <c r="AB4" s="1"/>
    </row>
    <row r="5" spans="1:28" x14ac:dyDescent="0.25">
      <c r="A5" s="2" t="s">
        <v>47</v>
      </c>
      <c r="B5">
        <v>37.31</v>
      </c>
      <c r="C5">
        <v>36.880000000000003</v>
      </c>
      <c r="D5">
        <v>38.799999999999997</v>
      </c>
      <c r="E5">
        <v>37.92</v>
      </c>
      <c r="F5">
        <v>39.03</v>
      </c>
      <c r="G5">
        <v>38.35</v>
      </c>
      <c r="H5">
        <v>37.799999999999997</v>
      </c>
      <c r="I5">
        <v>36.909999999999997</v>
      </c>
      <c r="J5">
        <v>35.35</v>
      </c>
      <c r="K5">
        <v>38.06</v>
      </c>
      <c r="L5">
        <v>35.93</v>
      </c>
      <c r="M5">
        <v>36.22</v>
      </c>
      <c r="N5">
        <v>35.090000000000003</v>
      </c>
      <c r="O5">
        <v>36.14</v>
      </c>
      <c r="P5">
        <v>36.81</v>
      </c>
      <c r="Q5">
        <v>37.950000000000003</v>
      </c>
      <c r="R5">
        <v>39.409999999999997</v>
      </c>
      <c r="S5">
        <v>37.04</v>
      </c>
      <c r="T5">
        <v>39.44</v>
      </c>
    </row>
    <row r="6" spans="1:28" x14ac:dyDescent="0.25">
      <c r="A6" s="2" t="s">
        <v>48</v>
      </c>
      <c r="B6">
        <v>13.77</v>
      </c>
      <c r="C6">
        <v>14.43</v>
      </c>
      <c r="D6">
        <v>13.96</v>
      </c>
      <c r="E6">
        <v>13.19</v>
      </c>
      <c r="F6">
        <v>14.41</v>
      </c>
      <c r="G6">
        <v>14.08</v>
      </c>
      <c r="H6">
        <v>14.66</v>
      </c>
      <c r="I6">
        <v>13.65</v>
      </c>
      <c r="J6">
        <v>13.29</v>
      </c>
      <c r="K6">
        <v>13.64</v>
      </c>
      <c r="L6">
        <v>13.24</v>
      </c>
      <c r="M6">
        <v>13.22</v>
      </c>
      <c r="N6">
        <v>13.98</v>
      </c>
      <c r="O6">
        <v>13.53</v>
      </c>
      <c r="P6">
        <v>13.74</v>
      </c>
      <c r="Q6">
        <v>13.68</v>
      </c>
      <c r="R6">
        <v>13.85</v>
      </c>
      <c r="S6">
        <v>12.95</v>
      </c>
      <c r="T6">
        <v>13.12</v>
      </c>
    </row>
    <row r="7" spans="1:28" x14ac:dyDescent="0.25">
      <c r="A7" s="2" t="s">
        <v>49</v>
      </c>
      <c r="B7">
        <v>17.309999999999999</v>
      </c>
      <c r="C7">
        <v>16.39</v>
      </c>
      <c r="D7">
        <v>18.760000000000002</v>
      </c>
      <c r="E7">
        <v>18.239999999999998</v>
      </c>
      <c r="F7">
        <v>18.28</v>
      </c>
      <c r="G7">
        <v>17.510000000000002</v>
      </c>
      <c r="H7">
        <v>17.170000000000002</v>
      </c>
      <c r="I7">
        <v>18.43</v>
      </c>
      <c r="J7">
        <v>17.95</v>
      </c>
      <c r="K7">
        <v>18.690000000000001</v>
      </c>
      <c r="L7">
        <v>17.260000000000002</v>
      </c>
      <c r="M7">
        <v>18.41</v>
      </c>
      <c r="N7">
        <v>18.350000000000001</v>
      </c>
      <c r="O7">
        <v>18.91</v>
      </c>
      <c r="P7">
        <v>17.68</v>
      </c>
      <c r="Q7">
        <v>18.25</v>
      </c>
      <c r="R7">
        <v>18.32</v>
      </c>
      <c r="S7">
        <v>18.260000000000002</v>
      </c>
      <c r="T7">
        <v>17.87</v>
      </c>
    </row>
    <row r="8" spans="1:28" x14ac:dyDescent="0.25">
      <c r="A8" s="2" t="s">
        <v>50</v>
      </c>
      <c r="B8">
        <v>6.9</v>
      </c>
      <c r="C8">
        <v>7.37</v>
      </c>
      <c r="D8">
        <v>6.99</v>
      </c>
      <c r="E8">
        <v>6.87</v>
      </c>
      <c r="F8">
        <v>6.82</v>
      </c>
      <c r="G8">
        <v>7.06</v>
      </c>
      <c r="H8">
        <v>6.74</v>
      </c>
      <c r="I8">
        <v>7.04</v>
      </c>
      <c r="J8">
        <v>6.99</v>
      </c>
      <c r="K8">
        <v>7.14</v>
      </c>
      <c r="L8">
        <v>6.68</v>
      </c>
      <c r="M8">
        <v>6.85</v>
      </c>
      <c r="N8">
        <v>6.98</v>
      </c>
      <c r="O8">
        <v>7.03</v>
      </c>
      <c r="P8">
        <v>6.48</v>
      </c>
      <c r="Q8">
        <v>6.63</v>
      </c>
      <c r="R8">
        <v>6.64</v>
      </c>
      <c r="S8">
        <v>7.06</v>
      </c>
      <c r="T8">
        <v>6.58</v>
      </c>
    </row>
    <row r="9" spans="1:28" x14ac:dyDescent="0.25">
      <c r="A9" s="2" t="s">
        <v>51</v>
      </c>
      <c r="B9">
        <v>26.86</v>
      </c>
      <c r="C9">
        <v>25.93</v>
      </c>
      <c r="D9">
        <v>25.2</v>
      </c>
      <c r="E9">
        <v>26.25</v>
      </c>
      <c r="F9">
        <v>26.3</v>
      </c>
      <c r="G9">
        <v>26.9</v>
      </c>
      <c r="H9">
        <v>24.86</v>
      </c>
      <c r="I9">
        <v>27.3</v>
      </c>
      <c r="J9">
        <v>25.21</v>
      </c>
      <c r="K9">
        <v>26.11</v>
      </c>
      <c r="L9">
        <v>27.42</v>
      </c>
      <c r="M9">
        <v>27.34</v>
      </c>
      <c r="N9">
        <v>27.33</v>
      </c>
      <c r="O9">
        <v>28.52</v>
      </c>
      <c r="P9">
        <v>28.58</v>
      </c>
      <c r="Q9">
        <v>29.09</v>
      </c>
      <c r="R9">
        <v>29.49</v>
      </c>
      <c r="S9">
        <v>28.06</v>
      </c>
      <c r="T9">
        <v>32.92</v>
      </c>
    </row>
    <row r="10" spans="1:28" x14ac:dyDescent="0.25">
      <c r="A10" s="2" t="s">
        <v>52</v>
      </c>
      <c r="B10">
        <v>29.07</v>
      </c>
      <c r="C10">
        <v>29.37</v>
      </c>
      <c r="D10">
        <v>26.79</v>
      </c>
      <c r="E10">
        <v>27.5</v>
      </c>
      <c r="F10">
        <v>27.26</v>
      </c>
      <c r="G10">
        <v>28.86</v>
      </c>
      <c r="H10">
        <v>27.29</v>
      </c>
      <c r="I10">
        <v>25.83</v>
      </c>
      <c r="J10">
        <v>26.17</v>
      </c>
      <c r="K10">
        <v>25.72</v>
      </c>
      <c r="L10">
        <v>27.42</v>
      </c>
      <c r="M10">
        <v>25.94</v>
      </c>
      <c r="N10">
        <v>26.04</v>
      </c>
      <c r="O10">
        <v>25.26</v>
      </c>
      <c r="P10">
        <v>27.4</v>
      </c>
      <c r="Q10">
        <v>27.17</v>
      </c>
      <c r="R10">
        <v>26.02</v>
      </c>
      <c r="S10">
        <v>26.27</v>
      </c>
      <c r="T10">
        <v>27.83</v>
      </c>
    </row>
    <row r="11" spans="1:28" x14ac:dyDescent="0.25">
      <c r="A11" s="2" t="s">
        <v>53</v>
      </c>
      <c r="B11">
        <v>14.52</v>
      </c>
      <c r="C11">
        <v>13.27</v>
      </c>
      <c r="D11">
        <v>13.26</v>
      </c>
      <c r="E11">
        <v>14.11</v>
      </c>
      <c r="F11">
        <v>14.06</v>
      </c>
      <c r="G11">
        <v>14.27</v>
      </c>
      <c r="H11">
        <v>13.84</v>
      </c>
      <c r="I11">
        <v>13.34</v>
      </c>
      <c r="J11">
        <v>12.49</v>
      </c>
      <c r="K11">
        <v>12.85</v>
      </c>
      <c r="L11">
        <v>12.48</v>
      </c>
      <c r="M11">
        <v>13.5</v>
      </c>
      <c r="N11">
        <v>13.54</v>
      </c>
      <c r="O11">
        <v>13.54</v>
      </c>
      <c r="P11">
        <v>14.22</v>
      </c>
      <c r="Q11">
        <v>13.54</v>
      </c>
      <c r="R11">
        <v>13.19</v>
      </c>
      <c r="S11">
        <v>13.66</v>
      </c>
      <c r="T11">
        <v>12.69</v>
      </c>
    </row>
    <row r="12" spans="1:28" x14ac:dyDescent="0.25">
      <c r="A12" s="2" t="s">
        <v>54</v>
      </c>
      <c r="B12">
        <v>33.21</v>
      </c>
      <c r="C12">
        <v>31.65</v>
      </c>
      <c r="D12">
        <v>29.18</v>
      </c>
      <c r="E12">
        <v>31.74</v>
      </c>
      <c r="F12">
        <v>29.35</v>
      </c>
      <c r="G12">
        <v>30.3</v>
      </c>
      <c r="H12">
        <v>30.75</v>
      </c>
      <c r="I12">
        <v>28.8</v>
      </c>
      <c r="J12">
        <v>30.22</v>
      </c>
      <c r="K12">
        <v>28.81</v>
      </c>
      <c r="L12">
        <v>28.69</v>
      </c>
      <c r="M12">
        <v>27.92</v>
      </c>
      <c r="N12">
        <v>28.87</v>
      </c>
      <c r="O12">
        <v>29.99</v>
      </c>
      <c r="P12">
        <v>28.9</v>
      </c>
      <c r="Q12">
        <v>29.12</v>
      </c>
      <c r="R12">
        <v>29.62</v>
      </c>
      <c r="S12">
        <v>28.55</v>
      </c>
      <c r="T12">
        <v>29.16</v>
      </c>
    </row>
    <row r="14" spans="1:28" x14ac:dyDescent="0.25">
      <c r="B14" s="2">
        <f>SUM(B5:B12)</f>
        <v>178.95000000000002</v>
      </c>
      <c r="C14" s="2">
        <f t="shared" ref="C14:L14" si="0">SUM(C5:C12)</f>
        <v>175.29000000000002</v>
      </c>
      <c r="D14" s="2">
        <f t="shared" si="0"/>
        <v>172.94</v>
      </c>
      <c r="E14" s="2">
        <f t="shared" si="0"/>
        <v>175.82</v>
      </c>
      <c r="F14" s="2">
        <f t="shared" si="0"/>
        <v>175.51</v>
      </c>
      <c r="G14" s="2">
        <f t="shared" si="0"/>
        <v>177.33</v>
      </c>
      <c r="H14" s="2">
        <f t="shared" si="0"/>
        <v>173.10999999999999</v>
      </c>
      <c r="I14" s="2">
        <f t="shared" si="0"/>
        <v>171.3</v>
      </c>
      <c r="J14" s="2">
        <f t="shared" si="0"/>
        <v>167.67</v>
      </c>
      <c r="K14" s="2">
        <f t="shared" si="0"/>
        <v>171.02</v>
      </c>
      <c r="L14" s="2">
        <f t="shared" si="0"/>
        <v>169.12</v>
      </c>
      <c r="M14" s="2">
        <f t="shared" ref="M14:Z14" si="1">SUM(M5:M12)</f>
        <v>169.39999999999998</v>
      </c>
      <c r="N14" s="2">
        <f t="shared" si="1"/>
        <v>170.18</v>
      </c>
      <c r="O14" s="2">
        <f t="shared" si="1"/>
        <v>172.92</v>
      </c>
      <c r="P14" s="2">
        <f t="shared" si="1"/>
        <v>173.81</v>
      </c>
      <c r="Q14" s="2">
        <f t="shared" si="1"/>
        <v>175.42999999999998</v>
      </c>
      <c r="R14" s="2">
        <f t="shared" si="1"/>
        <v>176.54</v>
      </c>
      <c r="S14" s="2">
        <f t="shared" si="1"/>
        <v>171.85000000000002</v>
      </c>
      <c r="T14" s="2">
        <f t="shared" si="1"/>
        <v>179.60999999999999</v>
      </c>
      <c r="U14" s="2">
        <f t="shared" si="1"/>
        <v>0</v>
      </c>
      <c r="V14" s="2">
        <f t="shared" si="1"/>
        <v>0</v>
      </c>
      <c r="W14" s="2">
        <f t="shared" si="1"/>
        <v>0</v>
      </c>
      <c r="X14" s="2">
        <f t="shared" si="1"/>
        <v>0</v>
      </c>
      <c r="Y14" s="2">
        <f t="shared" si="1"/>
        <v>0</v>
      </c>
      <c r="Z14" s="2">
        <f t="shared" si="1"/>
        <v>0</v>
      </c>
    </row>
    <row r="18" spans="1:26" ht="21" x14ac:dyDescent="0.35">
      <c r="A18" s="5" t="s">
        <v>33</v>
      </c>
    </row>
    <row r="20" spans="1:26" x14ac:dyDescent="0.25">
      <c r="A20" t="s">
        <v>12</v>
      </c>
    </row>
    <row r="21" spans="1:26" x14ac:dyDescent="0.25">
      <c r="B21" s="1">
        <f>B4</f>
        <v>44331</v>
      </c>
      <c r="C21" s="1">
        <f t="shared" ref="C21:L21" si="2">C4</f>
        <v>44332</v>
      </c>
      <c r="D21" s="1">
        <f t="shared" si="2"/>
        <v>44334</v>
      </c>
      <c r="E21" s="1">
        <f t="shared" si="2"/>
        <v>44336</v>
      </c>
      <c r="F21" s="1">
        <f t="shared" si="2"/>
        <v>44337</v>
      </c>
      <c r="G21" s="1">
        <f t="shared" si="2"/>
        <v>44338</v>
      </c>
      <c r="H21" s="1">
        <f t="shared" si="2"/>
        <v>44339</v>
      </c>
      <c r="I21" s="1">
        <f t="shared" si="2"/>
        <v>44340</v>
      </c>
      <c r="J21" s="1">
        <f t="shared" si="2"/>
        <v>44341</v>
      </c>
      <c r="K21" s="1">
        <f t="shared" si="2"/>
        <v>44342</v>
      </c>
      <c r="L21" s="1">
        <f t="shared" si="2"/>
        <v>44343</v>
      </c>
      <c r="M21" s="1">
        <f t="shared" ref="M21:Z21" si="3">M4</f>
        <v>44344</v>
      </c>
      <c r="N21" s="1">
        <f t="shared" si="3"/>
        <v>44345</v>
      </c>
      <c r="O21" s="1">
        <f t="shared" si="3"/>
        <v>44346</v>
      </c>
      <c r="P21" s="1">
        <f t="shared" si="3"/>
        <v>44347</v>
      </c>
      <c r="Q21" s="1">
        <f t="shared" si="3"/>
        <v>44348</v>
      </c>
      <c r="R21" s="1">
        <f t="shared" si="3"/>
        <v>44349</v>
      </c>
      <c r="S21" s="1">
        <f t="shared" si="3"/>
        <v>44350</v>
      </c>
      <c r="T21" s="1">
        <f t="shared" si="3"/>
        <v>44351</v>
      </c>
      <c r="U21" s="1">
        <f t="shared" si="3"/>
        <v>44352</v>
      </c>
      <c r="V21" s="1">
        <f t="shared" si="3"/>
        <v>44353</v>
      </c>
      <c r="W21" s="1">
        <f t="shared" si="3"/>
        <v>44354</v>
      </c>
      <c r="X21" s="1">
        <f t="shared" si="3"/>
        <v>44355</v>
      </c>
      <c r="Y21" s="1">
        <f t="shared" si="3"/>
        <v>44356</v>
      </c>
      <c r="Z21" s="1">
        <f t="shared" si="3"/>
        <v>44357</v>
      </c>
    </row>
    <row r="22" spans="1:26" x14ac:dyDescent="0.25">
      <c r="A22" s="2" t="s">
        <v>47</v>
      </c>
      <c r="B22">
        <f>ROUNDDOWN((B5-ROUNDUP(B5*0.1,2)-ROUNDUP(B5*0.05,2))*0.8,2)</f>
        <v>25.36</v>
      </c>
      <c r="C22">
        <f t="shared" ref="C22:L22" si="4">ROUNDDOWN((C5-ROUNDUP(C5*0.1,2)-ROUNDUP(C5*0.05,2))*0.8,2)</f>
        <v>25.07</v>
      </c>
      <c r="D22">
        <f t="shared" si="4"/>
        <v>26.38</v>
      </c>
      <c r="E22">
        <f t="shared" si="4"/>
        <v>25.77</v>
      </c>
      <c r="F22">
        <f t="shared" si="4"/>
        <v>26.52</v>
      </c>
      <c r="G22">
        <f t="shared" si="4"/>
        <v>26.07</v>
      </c>
      <c r="H22">
        <f t="shared" si="4"/>
        <v>25.7</v>
      </c>
      <c r="I22">
        <f t="shared" si="4"/>
        <v>25.08</v>
      </c>
      <c r="J22">
        <f t="shared" si="4"/>
        <v>24.03</v>
      </c>
      <c r="K22">
        <f t="shared" si="4"/>
        <v>25.87</v>
      </c>
      <c r="L22">
        <f t="shared" si="4"/>
        <v>24.42</v>
      </c>
      <c r="M22">
        <f t="shared" ref="M22:Z22" si="5">ROUNDDOWN((M5-ROUNDUP(M5*0.1,2)-ROUNDUP(M5*0.05,2))*0.8,2)</f>
        <v>24.61</v>
      </c>
      <c r="N22">
        <f t="shared" si="5"/>
        <v>23.85</v>
      </c>
      <c r="O22">
        <f t="shared" si="5"/>
        <v>24.56</v>
      </c>
      <c r="P22">
        <f t="shared" si="5"/>
        <v>25.01</v>
      </c>
      <c r="Q22">
        <f t="shared" si="5"/>
        <v>25.8</v>
      </c>
      <c r="R22">
        <f t="shared" si="5"/>
        <v>26.78</v>
      </c>
      <c r="S22">
        <f t="shared" si="5"/>
        <v>25.17</v>
      </c>
      <c r="T22">
        <f t="shared" si="5"/>
        <v>26.8</v>
      </c>
      <c r="U22">
        <f t="shared" si="5"/>
        <v>0</v>
      </c>
      <c r="V22">
        <f t="shared" si="5"/>
        <v>0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</row>
    <row r="23" spans="1:26" x14ac:dyDescent="0.25">
      <c r="A23" s="2" t="s">
        <v>48</v>
      </c>
      <c r="B23">
        <f t="shared" ref="B23:L29" si="6">ROUNDDOWN((B6-ROUNDUP(B6*0.1,2)-ROUNDUP(B6*0.05,2))*0.8,2)</f>
        <v>9.36</v>
      </c>
      <c r="C23">
        <f t="shared" si="6"/>
        <v>9.8000000000000007</v>
      </c>
      <c r="D23">
        <f t="shared" si="6"/>
        <v>9.48</v>
      </c>
      <c r="E23">
        <f t="shared" si="6"/>
        <v>8.9600000000000009</v>
      </c>
      <c r="F23">
        <f t="shared" si="6"/>
        <v>9.7799999999999994</v>
      </c>
      <c r="G23">
        <f t="shared" si="6"/>
        <v>9.56</v>
      </c>
      <c r="H23">
        <f t="shared" si="6"/>
        <v>9.9600000000000009</v>
      </c>
      <c r="I23">
        <f t="shared" si="6"/>
        <v>9.27</v>
      </c>
      <c r="J23">
        <f t="shared" si="6"/>
        <v>9.0299999999999994</v>
      </c>
      <c r="K23">
        <f t="shared" si="6"/>
        <v>9.26</v>
      </c>
      <c r="L23">
        <f t="shared" si="6"/>
        <v>8.99</v>
      </c>
      <c r="M23">
        <f t="shared" ref="M23:Z23" si="7">ROUNDDOWN((M6-ROUNDUP(M6*0.1,2)-ROUNDUP(M6*0.05,2))*0.8,2)</f>
        <v>8.9700000000000006</v>
      </c>
      <c r="N23">
        <f t="shared" si="7"/>
        <v>9.5</v>
      </c>
      <c r="O23">
        <f t="shared" si="7"/>
        <v>9.19</v>
      </c>
      <c r="P23">
        <f t="shared" si="7"/>
        <v>9.33</v>
      </c>
      <c r="Q23">
        <f t="shared" si="7"/>
        <v>9.2899999999999991</v>
      </c>
      <c r="R23">
        <f t="shared" si="7"/>
        <v>9.4</v>
      </c>
      <c r="S23">
        <f t="shared" si="7"/>
        <v>8.8000000000000007</v>
      </c>
      <c r="T23">
        <f t="shared" si="7"/>
        <v>8.91</v>
      </c>
      <c r="U23">
        <f t="shared" si="7"/>
        <v>0</v>
      </c>
      <c r="V23">
        <f t="shared" si="7"/>
        <v>0</v>
      </c>
      <c r="W23">
        <f t="shared" si="7"/>
        <v>0</v>
      </c>
      <c r="X23">
        <f t="shared" si="7"/>
        <v>0</v>
      </c>
      <c r="Y23">
        <f t="shared" si="7"/>
        <v>0</v>
      </c>
      <c r="Z23">
        <f t="shared" si="7"/>
        <v>0</v>
      </c>
    </row>
    <row r="24" spans="1:26" x14ac:dyDescent="0.25">
      <c r="A24" s="2" t="s">
        <v>49</v>
      </c>
      <c r="B24">
        <f t="shared" si="6"/>
        <v>11.76</v>
      </c>
      <c r="C24">
        <f t="shared" si="6"/>
        <v>11.14</v>
      </c>
      <c r="D24">
        <f t="shared" si="6"/>
        <v>12.75</v>
      </c>
      <c r="E24">
        <f t="shared" si="6"/>
        <v>12.39</v>
      </c>
      <c r="F24">
        <f t="shared" si="6"/>
        <v>12.42</v>
      </c>
      <c r="G24">
        <f t="shared" si="6"/>
        <v>11.89</v>
      </c>
      <c r="H24">
        <f t="shared" si="6"/>
        <v>11.67</v>
      </c>
      <c r="I24">
        <f t="shared" si="6"/>
        <v>12.52</v>
      </c>
      <c r="J24">
        <f t="shared" si="6"/>
        <v>12.2</v>
      </c>
      <c r="K24">
        <f t="shared" si="6"/>
        <v>12.7</v>
      </c>
      <c r="L24">
        <f t="shared" si="6"/>
        <v>11.72</v>
      </c>
      <c r="M24">
        <f t="shared" ref="M24:Z24" si="8">ROUNDDOWN((M7-ROUNDUP(M7*0.1,2)-ROUNDUP(M7*0.05,2))*0.8,2)</f>
        <v>12.5</v>
      </c>
      <c r="N24">
        <f t="shared" si="8"/>
        <v>12.47</v>
      </c>
      <c r="O24">
        <f t="shared" si="8"/>
        <v>12.84</v>
      </c>
      <c r="P24">
        <f t="shared" si="8"/>
        <v>12.01</v>
      </c>
      <c r="Q24">
        <f t="shared" si="8"/>
        <v>12.4</v>
      </c>
      <c r="R24">
        <f t="shared" si="8"/>
        <v>12.44</v>
      </c>
      <c r="S24">
        <f t="shared" si="8"/>
        <v>12.4</v>
      </c>
      <c r="T24">
        <f t="shared" si="8"/>
        <v>12.14</v>
      </c>
      <c r="U24">
        <f t="shared" si="8"/>
        <v>0</v>
      </c>
      <c r="V24">
        <f t="shared" si="8"/>
        <v>0</v>
      </c>
      <c r="W24">
        <f t="shared" si="8"/>
        <v>0</v>
      </c>
      <c r="X24">
        <f t="shared" si="8"/>
        <v>0</v>
      </c>
      <c r="Y24">
        <f t="shared" si="8"/>
        <v>0</v>
      </c>
      <c r="Z24">
        <f t="shared" si="8"/>
        <v>0</v>
      </c>
    </row>
    <row r="25" spans="1:26" x14ac:dyDescent="0.25">
      <c r="A25" s="2" t="s">
        <v>50</v>
      </c>
      <c r="B25">
        <f t="shared" si="6"/>
        <v>4.68</v>
      </c>
      <c r="C25">
        <f t="shared" si="6"/>
        <v>5</v>
      </c>
      <c r="D25">
        <f t="shared" si="6"/>
        <v>4.75</v>
      </c>
      <c r="E25">
        <f t="shared" si="6"/>
        <v>4.66</v>
      </c>
      <c r="F25">
        <f t="shared" si="6"/>
        <v>4.62</v>
      </c>
      <c r="G25">
        <f t="shared" si="6"/>
        <v>4.79</v>
      </c>
      <c r="H25">
        <f t="shared" si="6"/>
        <v>4.57</v>
      </c>
      <c r="I25">
        <f t="shared" si="6"/>
        <v>4.7699999999999996</v>
      </c>
      <c r="J25">
        <f t="shared" si="6"/>
        <v>4.75</v>
      </c>
      <c r="K25">
        <f t="shared" si="6"/>
        <v>4.84</v>
      </c>
      <c r="L25">
        <f t="shared" si="6"/>
        <v>4.53</v>
      </c>
      <c r="M25">
        <f t="shared" ref="M25:Z25" si="9">ROUNDDOWN((M8-ROUNDUP(M8*0.1,2)-ROUNDUP(M8*0.05,2))*0.8,2)</f>
        <v>4.6399999999999997</v>
      </c>
      <c r="N25">
        <f t="shared" si="9"/>
        <v>4.74</v>
      </c>
      <c r="O25">
        <f t="shared" si="9"/>
        <v>4.76</v>
      </c>
      <c r="P25">
        <f t="shared" si="9"/>
        <v>4.4000000000000004</v>
      </c>
      <c r="Q25">
        <f t="shared" si="9"/>
        <v>4.49</v>
      </c>
      <c r="R25">
        <f t="shared" si="9"/>
        <v>4.5</v>
      </c>
      <c r="S25">
        <f t="shared" si="9"/>
        <v>4.79</v>
      </c>
      <c r="T25">
        <f t="shared" si="9"/>
        <v>4.47</v>
      </c>
      <c r="U25">
        <f t="shared" si="9"/>
        <v>0</v>
      </c>
      <c r="V25">
        <f t="shared" si="9"/>
        <v>0</v>
      </c>
      <c r="W25">
        <f t="shared" si="9"/>
        <v>0</v>
      </c>
      <c r="X25">
        <f t="shared" si="9"/>
        <v>0</v>
      </c>
      <c r="Y25">
        <f t="shared" si="9"/>
        <v>0</v>
      </c>
      <c r="Z25">
        <f t="shared" si="9"/>
        <v>0</v>
      </c>
    </row>
    <row r="26" spans="1:26" x14ac:dyDescent="0.25">
      <c r="A26" s="2" t="s">
        <v>51</v>
      </c>
      <c r="B26">
        <f t="shared" si="6"/>
        <v>18.25</v>
      </c>
      <c r="C26">
        <f t="shared" si="6"/>
        <v>17.62</v>
      </c>
      <c r="D26">
        <f t="shared" si="6"/>
        <v>17.13</v>
      </c>
      <c r="E26">
        <f t="shared" si="6"/>
        <v>17.84</v>
      </c>
      <c r="F26">
        <f t="shared" si="6"/>
        <v>17.88</v>
      </c>
      <c r="G26">
        <f t="shared" si="6"/>
        <v>18.28</v>
      </c>
      <c r="H26">
        <f t="shared" si="6"/>
        <v>16.89</v>
      </c>
      <c r="I26">
        <f t="shared" si="6"/>
        <v>18.559999999999999</v>
      </c>
      <c r="J26">
        <f t="shared" si="6"/>
        <v>17.12</v>
      </c>
      <c r="K26">
        <f t="shared" si="6"/>
        <v>17.739999999999998</v>
      </c>
      <c r="L26">
        <f t="shared" si="6"/>
        <v>18.63</v>
      </c>
      <c r="M26">
        <f t="shared" ref="M26:Z26" si="10">ROUNDDOWN((M9-ROUNDUP(M9*0.1,2)-ROUNDUP(M9*0.05,2))*0.8,2)</f>
        <v>18.579999999999998</v>
      </c>
      <c r="N26">
        <f t="shared" si="10"/>
        <v>18.57</v>
      </c>
      <c r="O26">
        <f t="shared" si="10"/>
        <v>19.38</v>
      </c>
      <c r="P26">
        <f t="shared" si="10"/>
        <v>19.43</v>
      </c>
      <c r="Q26">
        <f t="shared" si="10"/>
        <v>19.77</v>
      </c>
      <c r="R26">
        <f t="shared" si="10"/>
        <v>20.04</v>
      </c>
      <c r="S26">
        <f t="shared" si="10"/>
        <v>19.07</v>
      </c>
      <c r="T26">
        <f t="shared" si="10"/>
        <v>22.37</v>
      </c>
      <c r="U26">
        <f t="shared" si="10"/>
        <v>0</v>
      </c>
      <c r="V26">
        <f t="shared" si="10"/>
        <v>0</v>
      </c>
      <c r="W26">
        <f t="shared" si="10"/>
        <v>0</v>
      </c>
      <c r="X26">
        <f t="shared" si="10"/>
        <v>0</v>
      </c>
      <c r="Y26">
        <f t="shared" si="10"/>
        <v>0</v>
      </c>
      <c r="Z26">
        <f t="shared" si="10"/>
        <v>0</v>
      </c>
    </row>
    <row r="27" spans="1:26" x14ac:dyDescent="0.25">
      <c r="A27" s="2" t="s">
        <v>52</v>
      </c>
      <c r="B27">
        <f t="shared" si="6"/>
        <v>19.760000000000002</v>
      </c>
      <c r="C27">
        <f t="shared" si="6"/>
        <v>19.96</v>
      </c>
      <c r="D27">
        <f t="shared" si="6"/>
        <v>18.21</v>
      </c>
      <c r="E27">
        <f t="shared" si="6"/>
        <v>18.690000000000001</v>
      </c>
      <c r="F27">
        <f t="shared" si="6"/>
        <v>18.52</v>
      </c>
      <c r="G27">
        <f t="shared" si="6"/>
        <v>19.61</v>
      </c>
      <c r="H27">
        <f t="shared" si="6"/>
        <v>18.55</v>
      </c>
      <c r="I27">
        <f t="shared" si="6"/>
        <v>17.55</v>
      </c>
      <c r="J27">
        <f t="shared" si="6"/>
        <v>17.79</v>
      </c>
      <c r="K27">
        <f t="shared" si="6"/>
        <v>17.48</v>
      </c>
      <c r="L27">
        <f t="shared" si="6"/>
        <v>18.63</v>
      </c>
      <c r="M27">
        <f t="shared" ref="M27:Z27" si="11">ROUNDDOWN((M10-ROUNDUP(M10*0.1,2)-ROUNDUP(M10*0.05,2))*0.8,2)</f>
        <v>17.63</v>
      </c>
      <c r="N27">
        <f t="shared" si="11"/>
        <v>17.690000000000001</v>
      </c>
      <c r="O27">
        <f t="shared" si="11"/>
        <v>17.16</v>
      </c>
      <c r="P27">
        <f t="shared" si="11"/>
        <v>18.63</v>
      </c>
      <c r="Q27">
        <f t="shared" si="11"/>
        <v>18.47</v>
      </c>
      <c r="R27">
        <f t="shared" si="11"/>
        <v>17.68</v>
      </c>
      <c r="S27">
        <f t="shared" si="11"/>
        <v>17.850000000000001</v>
      </c>
      <c r="T27">
        <f t="shared" si="11"/>
        <v>18.91</v>
      </c>
      <c r="U27">
        <f t="shared" si="11"/>
        <v>0</v>
      </c>
      <c r="V27">
        <f t="shared" si="11"/>
        <v>0</v>
      </c>
      <c r="W27">
        <f t="shared" si="11"/>
        <v>0</v>
      </c>
      <c r="X27">
        <f t="shared" si="11"/>
        <v>0</v>
      </c>
      <c r="Y27">
        <f t="shared" si="11"/>
        <v>0</v>
      </c>
      <c r="Z27">
        <f t="shared" si="11"/>
        <v>0</v>
      </c>
    </row>
    <row r="28" spans="1:26" x14ac:dyDescent="0.25">
      <c r="A28" s="2" t="s">
        <v>53</v>
      </c>
      <c r="B28">
        <f t="shared" si="6"/>
        <v>9.86</v>
      </c>
      <c r="C28">
        <f t="shared" si="6"/>
        <v>9.01</v>
      </c>
      <c r="D28">
        <f t="shared" si="6"/>
        <v>9</v>
      </c>
      <c r="E28">
        <f t="shared" si="6"/>
        <v>9.58</v>
      </c>
      <c r="F28">
        <f t="shared" si="6"/>
        <v>9.5500000000000007</v>
      </c>
      <c r="G28">
        <f t="shared" si="6"/>
        <v>9.69</v>
      </c>
      <c r="H28">
        <f t="shared" si="6"/>
        <v>9.4</v>
      </c>
      <c r="I28">
        <f t="shared" si="6"/>
        <v>9.06</v>
      </c>
      <c r="J28">
        <f t="shared" si="6"/>
        <v>8.48</v>
      </c>
      <c r="K28">
        <f t="shared" si="6"/>
        <v>8.7200000000000006</v>
      </c>
      <c r="L28">
        <f t="shared" si="6"/>
        <v>8.48</v>
      </c>
      <c r="M28">
        <f t="shared" ref="M28:Z28" si="12">ROUNDDOWN((M11-ROUNDUP(M11*0.1,2)-ROUNDUP(M11*0.05,2))*0.8,2)</f>
        <v>9.17</v>
      </c>
      <c r="N28">
        <f t="shared" si="12"/>
        <v>9.1999999999999993</v>
      </c>
      <c r="O28">
        <f t="shared" si="12"/>
        <v>9.1999999999999993</v>
      </c>
      <c r="P28">
        <f t="shared" si="12"/>
        <v>9.65</v>
      </c>
      <c r="Q28">
        <f t="shared" si="12"/>
        <v>9.1999999999999993</v>
      </c>
      <c r="R28">
        <f t="shared" si="12"/>
        <v>8.9600000000000009</v>
      </c>
      <c r="S28">
        <f t="shared" si="12"/>
        <v>9.2799999999999994</v>
      </c>
      <c r="T28">
        <f t="shared" si="12"/>
        <v>8.6199999999999992</v>
      </c>
      <c r="U28">
        <f t="shared" si="12"/>
        <v>0</v>
      </c>
      <c r="V28">
        <f t="shared" si="12"/>
        <v>0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</row>
    <row r="29" spans="1:26" x14ac:dyDescent="0.25">
      <c r="A29" s="2" t="s">
        <v>54</v>
      </c>
      <c r="B29">
        <f t="shared" si="6"/>
        <v>22.56</v>
      </c>
      <c r="C29">
        <f t="shared" si="6"/>
        <v>21.51</v>
      </c>
      <c r="D29">
        <f t="shared" si="6"/>
        <v>19.84</v>
      </c>
      <c r="E29">
        <f t="shared" si="6"/>
        <v>21.57</v>
      </c>
      <c r="F29">
        <f t="shared" si="6"/>
        <v>19.95</v>
      </c>
      <c r="G29">
        <f t="shared" si="6"/>
        <v>20.6</v>
      </c>
      <c r="H29">
        <f t="shared" si="6"/>
        <v>20.9</v>
      </c>
      <c r="I29">
        <f t="shared" si="6"/>
        <v>19.579999999999998</v>
      </c>
      <c r="J29">
        <f t="shared" si="6"/>
        <v>20.53</v>
      </c>
      <c r="K29">
        <f t="shared" si="6"/>
        <v>19.57</v>
      </c>
      <c r="L29">
        <f t="shared" si="6"/>
        <v>19.5</v>
      </c>
      <c r="M29">
        <f t="shared" ref="M29:Z29" si="13">ROUNDDOWN((M12-ROUNDUP(M12*0.1,2)-ROUNDUP(M12*0.05,2))*0.8,2)</f>
        <v>18.97</v>
      </c>
      <c r="N29">
        <f t="shared" si="13"/>
        <v>19.62</v>
      </c>
      <c r="O29">
        <f t="shared" si="13"/>
        <v>20.39</v>
      </c>
      <c r="P29">
        <f t="shared" si="13"/>
        <v>19.64</v>
      </c>
      <c r="Q29">
        <f t="shared" si="13"/>
        <v>19.79</v>
      </c>
      <c r="R29">
        <f t="shared" si="13"/>
        <v>20.12</v>
      </c>
      <c r="S29">
        <f t="shared" si="13"/>
        <v>19.399999999999999</v>
      </c>
      <c r="T29">
        <f t="shared" si="13"/>
        <v>19.82</v>
      </c>
      <c r="U29">
        <f t="shared" si="13"/>
        <v>0</v>
      </c>
      <c r="V29">
        <f t="shared" si="13"/>
        <v>0</v>
      </c>
      <c r="W29">
        <f t="shared" si="13"/>
        <v>0</v>
      </c>
      <c r="X29">
        <f t="shared" si="13"/>
        <v>0</v>
      </c>
      <c r="Y29">
        <f t="shared" si="13"/>
        <v>0</v>
      </c>
      <c r="Z29">
        <f t="shared" si="13"/>
        <v>0</v>
      </c>
    </row>
    <row r="31" spans="1:26" x14ac:dyDescent="0.25">
      <c r="B31" s="2">
        <f>SUM(B22:B29)</f>
        <v>121.59</v>
      </c>
      <c r="C31" s="2">
        <f t="shared" ref="C31:E31" si="14">SUM(C22:C29)</f>
        <v>119.11000000000001</v>
      </c>
      <c r="D31" s="2">
        <f t="shared" si="14"/>
        <v>117.53999999999999</v>
      </c>
      <c r="E31" s="2">
        <f t="shared" si="14"/>
        <v>119.46000000000001</v>
      </c>
      <c r="F31" s="2">
        <f t="shared" ref="F31:L31" si="15">SUM(F22:F29)</f>
        <v>119.24</v>
      </c>
      <c r="G31" s="2">
        <f t="shared" si="15"/>
        <v>120.49000000000001</v>
      </c>
      <c r="H31" s="2">
        <f t="shared" si="15"/>
        <v>117.63999999999999</v>
      </c>
      <c r="I31" s="2">
        <f t="shared" si="15"/>
        <v>116.38999999999999</v>
      </c>
      <c r="J31" s="2">
        <f t="shared" si="15"/>
        <v>113.93000000000002</v>
      </c>
      <c r="K31" s="2">
        <f t="shared" si="15"/>
        <v>116.18</v>
      </c>
      <c r="L31" s="2">
        <f t="shared" si="15"/>
        <v>114.9</v>
      </c>
      <c r="M31" s="2">
        <f t="shared" ref="M31:Z31" si="16">SUM(M22:M29)</f>
        <v>115.07</v>
      </c>
      <c r="N31" s="2">
        <f t="shared" si="16"/>
        <v>115.64</v>
      </c>
      <c r="O31" s="2">
        <f t="shared" si="16"/>
        <v>117.48</v>
      </c>
      <c r="P31" s="2">
        <f t="shared" si="16"/>
        <v>118.10000000000001</v>
      </c>
      <c r="Q31" s="2">
        <f t="shared" si="16"/>
        <v>119.21000000000001</v>
      </c>
      <c r="R31" s="2">
        <f t="shared" si="16"/>
        <v>119.92000000000002</v>
      </c>
      <c r="S31" s="2">
        <f t="shared" si="16"/>
        <v>116.75999999999999</v>
      </c>
      <c r="T31" s="2">
        <f t="shared" si="16"/>
        <v>122.03999999999999</v>
      </c>
      <c r="U31" s="2">
        <f t="shared" si="16"/>
        <v>0</v>
      </c>
      <c r="V31" s="2">
        <f t="shared" si="16"/>
        <v>0</v>
      </c>
      <c r="W31" s="2">
        <f t="shared" si="16"/>
        <v>0</v>
      </c>
      <c r="X31" s="2">
        <f t="shared" si="16"/>
        <v>0</v>
      </c>
      <c r="Y31" s="2">
        <f t="shared" si="16"/>
        <v>0</v>
      </c>
      <c r="Z31" s="2">
        <f t="shared" si="16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1A888-88B1-4FC5-8A04-B48A76BE76EB}">
  <dimension ref="A1:AB25"/>
  <sheetViews>
    <sheetView zoomScale="80" zoomScaleNormal="80" workbookViewId="0">
      <pane xSplit="1" topLeftCell="N1" activePane="topRight" state="frozen"/>
      <selection pane="topRight" activeCell="T6" sqref="T6"/>
    </sheetView>
  </sheetViews>
  <sheetFormatPr defaultRowHeight="15" x14ac:dyDescent="0.25"/>
  <cols>
    <col min="1" max="1" width="23.7109375" customWidth="1"/>
    <col min="2" max="46" width="12" customWidth="1"/>
  </cols>
  <sheetData>
    <row r="1" spans="1:28" ht="31.5" x14ac:dyDescent="0.5">
      <c r="A1" s="4" t="s">
        <v>5</v>
      </c>
    </row>
    <row r="3" spans="1:28" x14ac:dyDescent="0.25">
      <c r="A3" t="s">
        <v>12</v>
      </c>
    </row>
    <row r="4" spans="1:28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/>
      <c r="AB4" s="1"/>
    </row>
    <row r="5" spans="1:28" x14ac:dyDescent="0.25">
      <c r="A5" s="2" t="s">
        <v>55</v>
      </c>
      <c r="B5">
        <v>15.54</v>
      </c>
      <c r="C5">
        <v>15.25</v>
      </c>
      <c r="D5">
        <v>15.81</v>
      </c>
      <c r="E5">
        <v>15.02</v>
      </c>
      <c r="F5">
        <v>15.8</v>
      </c>
      <c r="G5">
        <v>15.47</v>
      </c>
      <c r="H5">
        <v>15.35</v>
      </c>
      <c r="I5">
        <v>15.48</v>
      </c>
      <c r="J5">
        <v>15.22</v>
      </c>
      <c r="K5">
        <v>14.51</v>
      </c>
      <c r="L5">
        <v>15.48</v>
      </c>
      <c r="M5">
        <v>14.67</v>
      </c>
      <c r="N5">
        <v>14.07</v>
      </c>
      <c r="O5">
        <v>14.65</v>
      </c>
      <c r="P5">
        <v>14.89</v>
      </c>
      <c r="Q5">
        <v>14.91</v>
      </c>
      <c r="R5">
        <v>15.3</v>
      </c>
      <c r="S5">
        <v>15.45</v>
      </c>
      <c r="T5">
        <v>14.51</v>
      </c>
    </row>
    <row r="6" spans="1:28" x14ac:dyDescent="0.25">
      <c r="A6" s="2" t="s">
        <v>56</v>
      </c>
      <c r="B6">
        <v>21.98</v>
      </c>
      <c r="C6">
        <v>21.05</v>
      </c>
      <c r="D6">
        <v>20.67</v>
      </c>
      <c r="E6">
        <v>19.8</v>
      </c>
      <c r="F6">
        <v>21.22</v>
      </c>
      <c r="G6">
        <v>21.31</v>
      </c>
      <c r="H6">
        <v>21.25</v>
      </c>
      <c r="I6">
        <v>21.06</v>
      </c>
      <c r="J6">
        <v>20.420000000000002</v>
      </c>
      <c r="K6">
        <v>20.03</v>
      </c>
      <c r="L6">
        <v>20.100000000000001</v>
      </c>
      <c r="M6">
        <v>19.739999999999998</v>
      </c>
      <c r="N6">
        <v>20.52</v>
      </c>
      <c r="O6">
        <v>21.08</v>
      </c>
      <c r="P6">
        <v>21.17</v>
      </c>
      <c r="Q6">
        <v>21.44</v>
      </c>
      <c r="R6">
        <v>19.41</v>
      </c>
      <c r="S6">
        <v>19.41</v>
      </c>
      <c r="T6">
        <v>20.84</v>
      </c>
    </row>
    <row r="7" spans="1:28" x14ac:dyDescent="0.25">
      <c r="A7" s="2" t="s">
        <v>57</v>
      </c>
      <c r="B7">
        <v>36.200000000000003</v>
      </c>
      <c r="C7">
        <v>34.799999999999997</v>
      </c>
      <c r="D7">
        <v>33.229999999999997</v>
      </c>
      <c r="E7">
        <v>33.31</v>
      </c>
      <c r="F7">
        <v>34.51</v>
      </c>
      <c r="G7">
        <v>33.049999999999997</v>
      </c>
      <c r="H7">
        <v>31.31</v>
      </c>
      <c r="I7">
        <v>33.380000000000003</v>
      </c>
      <c r="J7">
        <v>33.380000000000003</v>
      </c>
      <c r="K7">
        <v>33.01</v>
      </c>
      <c r="L7">
        <v>30.97</v>
      </c>
      <c r="M7">
        <v>34.409999999999997</v>
      </c>
      <c r="N7">
        <v>34.11</v>
      </c>
      <c r="O7">
        <v>41.12</v>
      </c>
      <c r="P7">
        <v>36.270000000000003</v>
      </c>
      <c r="Q7">
        <v>35.090000000000003</v>
      </c>
      <c r="R7">
        <v>35.93</v>
      </c>
      <c r="S7">
        <v>33.97</v>
      </c>
      <c r="T7">
        <v>35.33</v>
      </c>
    </row>
    <row r="8" spans="1:28" x14ac:dyDescent="0.25">
      <c r="A8" s="2" t="s">
        <v>58</v>
      </c>
      <c r="B8">
        <v>2.92</v>
      </c>
      <c r="C8">
        <v>3.01</v>
      </c>
      <c r="D8">
        <v>2.89</v>
      </c>
      <c r="E8">
        <v>2.81</v>
      </c>
      <c r="F8">
        <v>2.82</v>
      </c>
      <c r="G8">
        <v>2.91</v>
      </c>
      <c r="H8">
        <v>2.84</v>
      </c>
      <c r="I8">
        <v>2.78</v>
      </c>
      <c r="J8">
        <v>2.71</v>
      </c>
      <c r="K8">
        <v>2.68</v>
      </c>
      <c r="L8">
        <v>2.81</v>
      </c>
      <c r="M8">
        <v>2.54</v>
      </c>
      <c r="N8">
        <v>2.64</v>
      </c>
      <c r="O8">
        <v>2.77</v>
      </c>
      <c r="P8">
        <v>2.5</v>
      </c>
      <c r="Q8">
        <v>2.5299999999999998</v>
      </c>
      <c r="R8">
        <v>2.4500000000000002</v>
      </c>
      <c r="S8">
        <v>2.5</v>
      </c>
      <c r="T8">
        <v>2.4500000000000002</v>
      </c>
    </row>
    <row r="10" spans="1:28" x14ac:dyDescent="0.25">
      <c r="B10" s="2">
        <f>SUM(B5:B8)</f>
        <v>76.64</v>
      </c>
      <c r="C10" s="2">
        <f t="shared" ref="C10:L10" si="0">SUM(C5:C8)</f>
        <v>74.11</v>
      </c>
      <c r="D10" s="2">
        <f t="shared" si="0"/>
        <v>72.600000000000009</v>
      </c>
      <c r="E10" s="2">
        <f t="shared" si="0"/>
        <v>70.94</v>
      </c>
      <c r="F10" s="2">
        <f t="shared" si="0"/>
        <v>74.349999999999994</v>
      </c>
      <c r="G10" s="2">
        <f t="shared" si="0"/>
        <v>72.739999999999995</v>
      </c>
      <c r="H10" s="2">
        <f t="shared" si="0"/>
        <v>70.75</v>
      </c>
      <c r="I10" s="2">
        <f t="shared" si="0"/>
        <v>72.7</v>
      </c>
      <c r="J10" s="2">
        <f t="shared" si="0"/>
        <v>71.73</v>
      </c>
      <c r="K10" s="2">
        <f t="shared" si="0"/>
        <v>70.23</v>
      </c>
      <c r="L10" s="2">
        <f t="shared" si="0"/>
        <v>69.36</v>
      </c>
      <c r="M10" s="2">
        <f t="shared" ref="M10:Z10" si="1">SUM(M5:M8)</f>
        <v>71.36</v>
      </c>
      <c r="N10" s="2">
        <f t="shared" si="1"/>
        <v>71.34</v>
      </c>
      <c r="O10" s="2">
        <f t="shared" si="1"/>
        <v>79.61999999999999</v>
      </c>
      <c r="P10" s="2">
        <f t="shared" si="1"/>
        <v>74.830000000000013</v>
      </c>
      <c r="Q10" s="2">
        <f t="shared" si="1"/>
        <v>73.97</v>
      </c>
      <c r="R10" s="2">
        <f t="shared" si="1"/>
        <v>73.09</v>
      </c>
      <c r="S10" s="2">
        <f t="shared" si="1"/>
        <v>71.33</v>
      </c>
      <c r="T10" s="2">
        <f t="shared" si="1"/>
        <v>73.13000000000001</v>
      </c>
      <c r="U10" s="2">
        <f t="shared" si="1"/>
        <v>0</v>
      </c>
      <c r="V10" s="2">
        <f t="shared" si="1"/>
        <v>0</v>
      </c>
      <c r="W10" s="2">
        <f t="shared" si="1"/>
        <v>0</v>
      </c>
      <c r="X10" s="2">
        <f t="shared" si="1"/>
        <v>0</v>
      </c>
      <c r="Y10" s="2">
        <f t="shared" si="1"/>
        <v>0</v>
      </c>
      <c r="Z10" s="2">
        <f t="shared" si="1"/>
        <v>0</v>
      </c>
    </row>
    <row r="16" spans="1:28" ht="21" x14ac:dyDescent="0.35">
      <c r="A16" s="5" t="s">
        <v>33</v>
      </c>
    </row>
    <row r="18" spans="1:26" x14ac:dyDescent="0.25">
      <c r="A18" t="s">
        <v>12</v>
      </c>
    </row>
    <row r="19" spans="1:26" x14ac:dyDescent="0.25">
      <c r="B19" s="1">
        <f>B4</f>
        <v>44331</v>
      </c>
      <c r="C19" s="1">
        <f t="shared" ref="C19:L19" si="2">C4</f>
        <v>44332</v>
      </c>
      <c r="D19" s="1">
        <f t="shared" si="2"/>
        <v>44334</v>
      </c>
      <c r="E19" s="1">
        <f t="shared" si="2"/>
        <v>44336</v>
      </c>
      <c r="F19" s="1">
        <f t="shared" si="2"/>
        <v>44337</v>
      </c>
      <c r="G19" s="1">
        <f t="shared" si="2"/>
        <v>44338</v>
      </c>
      <c r="H19" s="1">
        <f t="shared" si="2"/>
        <v>44339</v>
      </c>
      <c r="I19" s="1">
        <f t="shared" si="2"/>
        <v>44340</v>
      </c>
      <c r="J19" s="1">
        <f t="shared" si="2"/>
        <v>44341</v>
      </c>
      <c r="K19" s="1">
        <f t="shared" si="2"/>
        <v>44342</v>
      </c>
      <c r="L19" s="1">
        <f t="shared" si="2"/>
        <v>44343</v>
      </c>
      <c r="M19" s="1">
        <f t="shared" ref="M19:Z19" si="3">M4</f>
        <v>44344</v>
      </c>
      <c r="N19" s="1">
        <f t="shared" si="3"/>
        <v>44345</v>
      </c>
      <c r="O19" s="1">
        <f t="shared" si="3"/>
        <v>44346</v>
      </c>
      <c r="P19" s="1">
        <f t="shared" si="3"/>
        <v>44347</v>
      </c>
      <c r="Q19" s="1">
        <f t="shared" si="3"/>
        <v>44348</v>
      </c>
      <c r="R19" s="1">
        <f t="shared" si="3"/>
        <v>44349</v>
      </c>
      <c r="S19" s="1">
        <f t="shared" si="3"/>
        <v>44350</v>
      </c>
      <c r="T19" s="1">
        <f t="shared" si="3"/>
        <v>44351</v>
      </c>
      <c r="U19" s="1">
        <f t="shared" si="3"/>
        <v>44352</v>
      </c>
      <c r="V19" s="1">
        <f t="shared" si="3"/>
        <v>44353</v>
      </c>
      <c r="W19" s="1">
        <f t="shared" si="3"/>
        <v>44354</v>
      </c>
      <c r="X19" s="1">
        <f t="shared" si="3"/>
        <v>44355</v>
      </c>
      <c r="Y19" s="1">
        <f t="shared" si="3"/>
        <v>44356</v>
      </c>
      <c r="Z19" s="1">
        <f t="shared" si="3"/>
        <v>44357</v>
      </c>
    </row>
    <row r="20" spans="1:26" x14ac:dyDescent="0.25">
      <c r="A20" s="2" t="s">
        <v>55</v>
      </c>
      <c r="B20">
        <f>ROUNDDOWN((B5-ROUNDUP(B5*0.1,2)-ROUNDUP(B5*0.05,2))*0.8,2)</f>
        <v>10.56</v>
      </c>
      <c r="C20">
        <f t="shared" ref="C20:L20" si="4">ROUNDDOWN((C5-ROUNDUP(C5*0.1,2)-ROUNDUP(C5*0.05,2))*0.8,2)</f>
        <v>10.36</v>
      </c>
      <c r="D20">
        <f t="shared" si="4"/>
        <v>10.73</v>
      </c>
      <c r="E20">
        <f t="shared" si="4"/>
        <v>10.199999999999999</v>
      </c>
      <c r="F20">
        <f t="shared" si="4"/>
        <v>10.74</v>
      </c>
      <c r="G20">
        <f t="shared" si="4"/>
        <v>10.51</v>
      </c>
      <c r="H20">
        <f t="shared" si="4"/>
        <v>10.43</v>
      </c>
      <c r="I20">
        <f t="shared" si="4"/>
        <v>10.52</v>
      </c>
      <c r="J20">
        <f t="shared" si="4"/>
        <v>10.33</v>
      </c>
      <c r="K20">
        <f t="shared" si="4"/>
        <v>9.85</v>
      </c>
      <c r="L20">
        <f t="shared" si="4"/>
        <v>10.52</v>
      </c>
      <c r="M20">
        <f t="shared" ref="M20:Z20" si="5">ROUNDDOWN((M5-ROUNDUP(M5*0.1,2)-ROUNDUP(M5*0.05,2))*0.8,2)</f>
        <v>9.9600000000000009</v>
      </c>
      <c r="N20">
        <f t="shared" si="5"/>
        <v>9.56</v>
      </c>
      <c r="O20">
        <f t="shared" si="5"/>
        <v>9.9499999999999993</v>
      </c>
      <c r="P20">
        <f t="shared" si="5"/>
        <v>10.119999999999999</v>
      </c>
      <c r="Q20">
        <f t="shared" si="5"/>
        <v>10.119999999999999</v>
      </c>
      <c r="R20">
        <f t="shared" si="5"/>
        <v>10.4</v>
      </c>
      <c r="S20">
        <f t="shared" si="5"/>
        <v>10.49</v>
      </c>
      <c r="T20">
        <f t="shared" si="5"/>
        <v>9.85</v>
      </c>
      <c r="U20">
        <f t="shared" si="5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</row>
    <row r="21" spans="1:26" x14ac:dyDescent="0.25">
      <c r="A21" s="2" t="s">
        <v>56</v>
      </c>
      <c r="B21">
        <f t="shared" ref="B21:L23" si="6">ROUNDDOWN((B6-ROUNDUP(B6*0.1,2)-ROUNDUP(B6*0.05,2))*0.8,2)</f>
        <v>14.94</v>
      </c>
      <c r="C21">
        <f t="shared" si="6"/>
        <v>14.3</v>
      </c>
      <c r="D21">
        <f t="shared" si="6"/>
        <v>14.04</v>
      </c>
      <c r="E21">
        <f t="shared" si="6"/>
        <v>13.46</v>
      </c>
      <c r="F21">
        <f t="shared" si="6"/>
        <v>14.41</v>
      </c>
      <c r="G21">
        <f t="shared" si="6"/>
        <v>14.48</v>
      </c>
      <c r="H21">
        <f t="shared" si="6"/>
        <v>14.44</v>
      </c>
      <c r="I21">
        <f t="shared" si="6"/>
        <v>14.31</v>
      </c>
      <c r="J21">
        <f t="shared" si="6"/>
        <v>13.87</v>
      </c>
      <c r="K21">
        <f t="shared" si="6"/>
        <v>13.6</v>
      </c>
      <c r="L21">
        <f t="shared" si="6"/>
        <v>13.66</v>
      </c>
      <c r="M21">
        <f t="shared" ref="M21:Z21" si="7">ROUNDDOWN((M6-ROUNDUP(M6*0.1,2)-ROUNDUP(M6*0.05,2))*0.8,2)</f>
        <v>13.41</v>
      </c>
      <c r="N21">
        <f t="shared" si="7"/>
        <v>13.94</v>
      </c>
      <c r="O21">
        <f t="shared" si="7"/>
        <v>14.32</v>
      </c>
      <c r="P21">
        <f t="shared" si="7"/>
        <v>14.39</v>
      </c>
      <c r="Q21">
        <f t="shared" si="7"/>
        <v>14.56</v>
      </c>
      <c r="R21">
        <f t="shared" si="7"/>
        <v>13.18</v>
      </c>
      <c r="S21">
        <f t="shared" si="7"/>
        <v>13.18</v>
      </c>
      <c r="T21">
        <f t="shared" si="7"/>
        <v>14.16</v>
      </c>
      <c r="U21">
        <f t="shared" si="7"/>
        <v>0</v>
      </c>
      <c r="V21">
        <f t="shared" si="7"/>
        <v>0</v>
      </c>
      <c r="W21">
        <f t="shared" si="7"/>
        <v>0</v>
      </c>
      <c r="X21">
        <f t="shared" si="7"/>
        <v>0</v>
      </c>
      <c r="Y21">
        <f t="shared" si="7"/>
        <v>0</v>
      </c>
      <c r="Z21">
        <f t="shared" si="7"/>
        <v>0</v>
      </c>
    </row>
    <row r="22" spans="1:26" x14ac:dyDescent="0.25">
      <c r="A22" s="2" t="s">
        <v>57</v>
      </c>
      <c r="B22">
        <f t="shared" si="6"/>
        <v>24.61</v>
      </c>
      <c r="C22">
        <f t="shared" si="6"/>
        <v>23.66</v>
      </c>
      <c r="D22">
        <f t="shared" si="6"/>
        <v>22.58</v>
      </c>
      <c r="E22">
        <f t="shared" si="6"/>
        <v>22.64</v>
      </c>
      <c r="F22">
        <f t="shared" si="6"/>
        <v>23.45</v>
      </c>
      <c r="G22">
        <f t="shared" si="6"/>
        <v>22.46</v>
      </c>
      <c r="H22">
        <f t="shared" si="6"/>
        <v>21.28</v>
      </c>
      <c r="I22">
        <f t="shared" si="6"/>
        <v>22.69</v>
      </c>
      <c r="J22">
        <f t="shared" si="6"/>
        <v>22.69</v>
      </c>
      <c r="K22">
        <f t="shared" si="6"/>
        <v>22.43</v>
      </c>
      <c r="L22">
        <f t="shared" si="6"/>
        <v>21.05</v>
      </c>
      <c r="M22">
        <f t="shared" ref="M22:Z22" si="8">ROUNDDOWN((M7-ROUNDUP(M7*0.1,2)-ROUNDUP(M7*0.05,2))*0.8,2)</f>
        <v>23.38</v>
      </c>
      <c r="N22">
        <f t="shared" si="8"/>
        <v>23.18</v>
      </c>
      <c r="O22">
        <f t="shared" si="8"/>
        <v>27.95</v>
      </c>
      <c r="P22">
        <f t="shared" si="8"/>
        <v>24.65</v>
      </c>
      <c r="Q22">
        <f t="shared" si="8"/>
        <v>23.85</v>
      </c>
      <c r="R22">
        <f t="shared" si="8"/>
        <v>24.42</v>
      </c>
      <c r="S22">
        <f t="shared" si="8"/>
        <v>23.09</v>
      </c>
      <c r="T22">
        <f t="shared" si="8"/>
        <v>24.01</v>
      </c>
      <c r="U22">
        <f t="shared" si="8"/>
        <v>0</v>
      </c>
      <c r="V22">
        <f t="shared" si="8"/>
        <v>0</v>
      </c>
      <c r="W22">
        <f t="shared" si="8"/>
        <v>0</v>
      </c>
      <c r="X22">
        <f t="shared" si="8"/>
        <v>0</v>
      </c>
      <c r="Y22">
        <f t="shared" si="8"/>
        <v>0</v>
      </c>
      <c r="Z22">
        <f t="shared" si="8"/>
        <v>0</v>
      </c>
    </row>
    <row r="23" spans="1:26" x14ac:dyDescent="0.25">
      <c r="A23" s="2" t="s">
        <v>58</v>
      </c>
      <c r="B23">
        <f t="shared" si="6"/>
        <v>1.97</v>
      </c>
      <c r="C23">
        <f t="shared" si="6"/>
        <v>2.0299999999999998</v>
      </c>
      <c r="D23">
        <f t="shared" si="6"/>
        <v>1.96</v>
      </c>
      <c r="E23">
        <f t="shared" si="6"/>
        <v>1.89</v>
      </c>
      <c r="F23">
        <f t="shared" si="6"/>
        <v>1.9</v>
      </c>
      <c r="G23">
        <f t="shared" si="6"/>
        <v>1.96</v>
      </c>
      <c r="H23">
        <f t="shared" si="6"/>
        <v>1.92</v>
      </c>
      <c r="I23">
        <f t="shared" si="6"/>
        <v>1.88</v>
      </c>
      <c r="J23">
        <f t="shared" si="6"/>
        <v>1.83</v>
      </c>
      <c r="K23">
        <f t="shared" si="6"/>
        <v>1.81</v>
      </c>
      <c r="L23">
        <f t="shared" si="6"/>
        <v>1.89</v>
      </c>
      <c r="M23">
        <f t="shared" ref="M23:Z23" si="9">ROUNDDOWN((M8-ROUNDUP(M8*0.1,2)-ROUNDUP(M8*0.05,2))*0.8,2)</f>
        <v>1.72</v>
      </c>
      <c r="N23">
        <f t="shared" si="9"/>
        <v>1.78</v>
      </c>
      <c r="O23">
        <f t="shared" si="9"/>
        <v>1.88</v>
      </c>
      <c r="P23">
        <f t="shared" si="9"/>
        <v>1.69</v>
      </c>
      <c r="Q23">
        <f t="shared" si="9"/>
        <v>1.71</v>
      </c>
      <c r="R23">
        <f t="shared" si="9"/>
        <v>1.65</v>
      </c>
      <c r="S23">
        <f t="shared" si="9"/>
        <v>1.69</v>
      </c>
      <c r="T23">
        <f t="shared" si="9"/>
        <v>1.65</v>
      </c>
      <c r="U23">
        <f t="shared" si="9"/>
        <v>0</v>
      </c>
      <c r="V23">
        <f t="shared" si="9"/>
        <v>0</v>
      </c>
      <c r="W23">
        <f t="shared" si="9"/>
        <v>0</v>
      </c>
      <c r="X23">
        <f t="shared" si="9"/>
        <v>0</v>
      </c>
      <c r="Y23">
        <f t="shared" si="9"/>
        <v>0</v>
      </c>
      <c r="Z23">
        <f t="shared" si="9"/>
        <v>0</v>
      </c>
    </row>
    <row r="25" spans="1:26" x14ac:dyDescent="0.25">
      <c r="B25" s="2">
        <f>SUM(B20:B23)</f>
        <v>52.08</v>
      </c>
      <c r="C25" s="2">
        <f t="shared" ref="C25:E25" si="10">SUM(C20:C23)</f>
        <v>50.35</v>
      </c>
      <c r="D25" s="2">
        <f t="shared" si="10"/>
        <v>49.309999999999995</v>
      </c>
      <c r="E25" s="2">
        <f t="shared" si="10"/>
        <v>48.19</v>
      </c>
      <c r="F25" s="2">
        <f t="shared" ref="F25:L25" si="11">SUM(F20:F23)</f>
        <v>50.499999999999993</v>
      </c>
      <c r="G25" s="2">
        <f t="shared" si="11"/>
        <v>49.410000000000004</v>
      </c>
      <c r="H25" s="2">
        <f t="shared" si="11"/>
        <v>48.07</v>
      </c>
      <c r="I25" s="2">
        <f t="shared" si="11"/>
        <v>49.4</v>
      </c>
      <c r="J25" s="2">
        <f t="shared" si="11"/>
        <v>48.72</v>
      </c>
      <c r="K25" s="2">
        <f t="shared" si="11"/>
        <v>47.69</v>
      </c>
      <c r="L25" s="2">
        <f t="shared" si="11"/>
        <v>47.120000000000005</v>
      </c>
      <c r="M25" s="2">
        <f t="shared" ref="M25:Z25" si="12">SUM(M20:M23)</f>
        <v>48.47</v>
      </c>
      <c r="N25" s="2">
        <f t="shared" si="12"/>
        <v>48.46</v>
      </c>
      <c r="O25" s="2">
        <f t="shared" si="12"/>
        <v>54.1</v>
      </c>
      <c r="P25" s="2">
        <f t="shared" si="12"/>
        <v>50.849999999999994</v>
      </c>
      <c r="Q25" s="2">
        <f t="shared" si="12"/>
        <v>50.24</v>
      </c>
      <c r="R25" s="2">
        <f t="shared" si="12"/>
        <v>49.65</v>
      </c>
      <c r="S25" s="2">
        <f t="shared" si="12"/>
        <v>48.45</v>
      </c>
      <c r="T25" s="2">
        <f t="shared" si="12"/>
        <v>49.669999999999995</v>
      </c>
      <c r="U25" s="2">
        <f t="shared" si="12"/>
        <v>0</v>
      </c>
      <c r="V25" s="2">
        <f t="shared" si="12"/>
        <v>0</v>
      </c>
      <c r="W25" s="2">
        <f t="shared" si="12"/>
        <v>0</v>
      </c>
      <c r="X25" s="2">
        <f t="shared" si="12"/>
        <v>0</v>
      </c>
      <c r="Y25" s="2">
        <f t="shared" si="12"/>
        <v>0</v>
      </c>
      <c r="Z25" s="2">
        <f t="shared" si="12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018E-4586-44D4-87BE-4BE0DA446686}">
  <dimension ref="A1:Z27"/>
  <sheetViews>
    <sheetView zoomScale="80" zoomScaleNormal="80" workbookViewId="0">
      <pane xSplit="1" topLeftCell="L1" activePane="topRight" state="frozen"/>
      <selection pane="topRight" activeCell="T10" sqref="T10"/>
    </sheetView>
  </sheetViews>
  <sheetFormatPr defaultRowHeight="15" x14ac:dyDescent="0.25"/>
  <cols>
    <col min="1" max="1" width="27.85546875" customWidth="1"/>
    <col min="2" max="46" width="12" customWidth="1"/>
  </cols>
  <sheetData>
    <row r="1" spans="1:26" ht="31.5" x14ac:dyDescent="0.5">
      <c r="A1" s="4" t="s">
        <v>59</v>
      </c>
    </row>
    <row r="3" spans="1:26" x14ac:dyDescent="0.25">
      <c r="A3" t="s">
        <v>12</v>
      </c>
    </row>
    <row r="4" spans="1:26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</row>
    <row r="5" spans="1:26" x14ac:dyDescent="0.25">
      <c r="A5" s="2" t="s">
        <v>60</v>
      </c>
      <c r="B5">
        <v>18.21</v>
      </c>
      <c r="C5">
        <v>18.21</v>
      </c>
      <c r="D5">
        <v>18.36</v>
      </c>
      <c r="E5">
        <v>18.21</v>
      </c>
      <c r="F5">
        <v>18.2</v>
      </c>
      <c r="G5">
        <v>18.899999999999999</v>
      </c>
      <c r="H5">
        <v>17.899999999999999</v>
      </c>
      <c r="I5">
        <v>18.010000000000002</v>
      </c>
      <c r="J5">
        <v>18.05</v>
      </c>
      <c r="K5">
        <v>18.100000000000001</v>
      </c>
      <c r="L5">
        <v>18.11</v>
      </c>
      <c r="M5">
        <v>17.559999999999999</v>
      </c>
      <c r="N5">
        <v>18.05</v>
      </c>
      <c r="O5">
        <v>17.829999999999998</v>
      </c>
      <c r="P5">
        <v>17.53</v>
      </c>
      <c r="Q5">
        <v>17.329999999999998</v>
      </c>
      <c r="R5">
        <v>17.55</v>
      </c>
      <c r="S5">
        <v>17.43</v>
      </c>
      <c r="T5">
        <v>17.559999999999999</v>
      </c>
    </row>
    <row r="6" spans="1:26" x14ac:dyDescent="0.25">
      <c r="A6" s="2" t="s">
        <v>61</v>
      </c>
      <c r="B6">
        <v>192.99</v>
      </c>
      <c r="C6">
        <v>203.36</v>
      </c>
      <c r="D6">
        <v>210.82</v>
      </c>
      <c r="E6">
        <v>201.42</v>
      </c>
      <c r="F6">
        <v>212.4</v>
      </c>
      <c r="G6">
        <v>197.46</v>
      </c>
      <c r="H6">
        <v>200.73</v>
      </c>
      <c r="I6">
        <v>207.88</v>
      </c>
      <c r="J6">
        <v>194.84</v>
      </c>
      <c r="K6">
        <v>215.86</v>
      </c>
      <c r="L6">
        <v>215.62</v>
      </c>
      <c r="M6">
        <v>213.15</v>
      </c>
      <c r="N6">
        <v>195.27</v>
      </c>
      <c r="O6">
        <v>206.84</v>
      </c>
      <c r="P6">
        <v>206.2</v>
      </c>
      <c r="Q6">
        <v>217.85</v>
      </c>
      <c r="R6">
        <v>214.41</v>
      </c>
      <c r="S6">
        <v>219.34</v>
      </c>
      <c r="T6">
        <v>226.95</v>
      </c>
    </row>
    <row r="7" spans="1:26" x14ac:dyDescent="0.25">
      <c r="A7" s="2" t="s">
        <v>62</v>
      </c>
      <c r="B7">
        <v>62.15</v>
      </c>
      <c r="C7">
        <v>61.77</v>
      </c>
      <c r="D7">
        <v>62.83</v>
      </c>
      <c r="E7">
        <v>62.69</v>
      </c>
      <c r="F7">
        <v>59.41</v>
      </c>
      <c r="G7">
        <v>62.97</v>
      </c>
      <c r="H7">
        <v>61.22</v>
      </c>
      <c r="I7">
        <v>59.28</v>
      </c>
      <c r="J7">
        <v>60</v>
      </c>
      <c r="K7">
        <v>61.12</v>
      </c>
      <c r="L7">
        <v>60.26</v>
      </c>
      <c r="M7">
        <v>60.03</v>
      </c>
      <c r="N7">
        <v>60.1</v>
      </c>
      <c r="O7">
        <v>61.83</v>
      </c>
      <c r="P7">
        <v>63.61</v>
      </c>
      <c r="Q7">
        <v>59.98</v>
      </c>
      <c r="R7">
        <v>60.1</v>
      </c>
      <c r="S7">
        <v>61.21</v>
      </c>
      <c r="T7">
        <v>60.3</v>
      </c>
    </row>
    <row r="8" spans="1:26" x14ac:dyDescent="0.25">
      <c r="A8" s="2" t="s">
        <v>63</v>
      </c>
      <c r="B8">
        <v>37.770000000000003</v>
      </c>
      <c r="C8">
        <v>40.4</v>
      </c>
      <c r="D8">
        <v>39.340000000000003</v>
      </c>
      <c r="E8">
        <v>38.5</v>
      </c>
      <c r="F8">
        <v>40.049999999999997</v>
      </c>
      <c r="G8">
        <v>39.93</v>
      </c>
      <c r="H8">
        <v>38.409999999999997</v>
      </c>
      <c r="I8">
        <v>38.11</v>
      </c>
      <c r="J8">
        <v>37.81</v>
      </c>
      <c r="K8">
        <v>37.83</v>
      </c>
      <c r="L8">
        <v>39.6</v>
      </c>
      <c r="M8">
        <v>39.72</v>
      </c>
      <c r="N8">
        <v>39.450000000000003</v>
      </c>
      <c r="O8">
        <v>35.369999999999997</v>
      </c>
      <c r="P8">
        <v>38.56</v>
      </c>
      <c r="Q8">
        <v>37.049999999999997</v>
      </c>
      <c r="R8">
        <v>38.83</v>
      </c>
      <c r="S8">
        <v>39.65</v>
      </c>
      <c r="T8">
        <v>35.33</v>
      </c>
    </row>
    <row r="9" spans="1:26" x14ac:dyDescent="0.25">
      <c r="A9" s="2" t="s">
        <v>64</v>
      </c>
      <c r="B9">
        <v>26.57</v>
      </c>
      <c r="C9">
        <v>27.42</v>
      </c>
      <c r="D9">
        <v>27.83</v>
      </c>
      <c r="E9">
        <v>27.26</v>
      </c>
      <c r="F9">
        <v>25.67</v>
      </c>
      <c r="G9">
        <v>25.26</v>
      </c>
      <c r="H9">
        <v>25.26</v>
      </c>
      <c r="I9">
        <v>25.88</v>
      </c>
      <c r="J9">
        <v>26.82</v>
      </c>
      <c r="K9">
        <v>25.54</v>
      </c>
      <c r="L9">
        <v>24.7</v>
      </c>
      <c r="M9">
        <v>25.46</v>
      </c>
      <c r="N9">
        <v>25.22</v>
      </c>
      <c r="O9">
        <v>25.89</v>
      </c>
      <c r="P9">
        <v>25.22</v>
      </c>
      <c r="Q9">
        <v>27.19</v>
      </c>
      <c r="R9">
        <v>26.35</v>
      </c>
      <c r="S9">
        <v>26</v>
      </c>
      <c r="T9">
        <v>25.71</v>
      </c>
    </row>
    <row r="10" spans="1:26" x14ac:dyDescent="0.25">
      <c r="A10" s="2" t="s">
        <v>65</v>
      </c>
      <c r="B10">
        <v>47.51</v>
      </c>
      <c r="C10">
        <v>47.17</v>
      </c>
      <c r="D10">
        <v>49.37</v>
      </c>
      <c r="E10">
        <v>48.37</v>
      </c>
      <c r="F10">
        <v>46.08</v>
      </c>
      <c r="G10">
        <v>44.96</v>
      </c>
      <c r="H10">
        <v>46.07</v>
      </c>
      <c r="I10">
        <v>45.89</v>
      </c>
      <c r="J10">
        <v>44.94</v>
      </c>
      <c r="K10">
        <v>45.49</v>
      </c>
      <c r="L10">
        <v>46.09</v>
      </c>
      <c r="M10">
        <v>45.74</v>
      </c>
      <c r="N10">
        <v>45.73</v>
      </c>
      <c r="O10">
        <v>44.74</v>
      </c>
      <c r="P10">
        <v>44.91</v>
      </c>
      <c r="Q10">
        <v>46.13</v>
      </c>
      <c r="R10">
        <v>46.46</v>
      </c>
      <c r="S10">
        <v>45.58</v>
      </c>
      <c r="T10">
        <v>45.39</v>
      </c>
    </row>
    <row r="12" spans="1:26" x14ac:dyDescent="0.25">
      <c r="B12" s="2">
        <f>SUM(B5:B10)</f>
        <v>385.2</v>
      </c>
      <c r="C12" s="2">
        <f t="shared" ref="C12:L12" si="0">SUM(C5:C10)</f>
        <v>398.33000000000004</v>
      </c>
      <c r="D12" s="2">
        <f t="shared" si="0"/>
        <v>408.55</v>
      </c>
      <c r="E12" s="2">
        <f t="shared" si="0"/>
        <v>396.45</v>
      </c>
      <c r="F12" s="2">
        <f t="shared" si="0"/>
        <v>401.81</v>
      </c>
      <c r="G12" s="2">
        <f t="shared" si="0"/>
        <v>389.48</v>
      </c>
      <c r="H12" s="2">
        <f t="shared" si="0"/>
        <v>389.59</v>
      </c>
      <c r="I12" s="2">
        <f t="shared" si="0"/>
        <v>395.04999999999995</v>
      </c>
      <c r="J12" s="2">
        <f t="shared" si="0"/>
        <v>382.46</v>
      </c>
      <c r="K12" s="2">
        <f t="shared" si="0"/>
        <v>403.94</v>
      </c>
      <c r="L12" s="2">
        <f t="shared" si="0"/>
        <v>404.38</v>
      </c>
      <c r="M12" s="2">
        <f t="shared" ref="M12:Z12" si="1">SUM(M5:M10)</f>
        <v>401.66</v>
      </c>
      <c r="N12" s="2">
        <f t="shared" si="1"/>
        <v>383.82000000000005</v>
      </c>
      <c r="O12" s="2">
        <f t="shared" si="1"/>
        <v>392.5</v>
      </c>
      <c r="P12" s="2">
        <f t="shared" si="1"/>
        <v>396.03</v>
      </c>
      <c r="Q12" s="2">
        <f t="shared" si="1"/>
        <v>405.53000000000003</v>
      </c>
      <c r="R12" s="2">
        <f t="shared" si="1"/>
        <v>403.7</v>
      </c>
      <c r="S12" s="2">
        <f t="shared" si="1"/>
        <v>409.21</v>
      </c>
      <c r="T12" s="2">
        <f t="shared" si="1"/>
        <v>411.23999999999995</v>
      </c>
      <c r="U12" s="2">
        <f t="shared" si="1"/>
        <v>0</v>
      </c>
      <c r="V12" s="2">
        <f t="shared" si="1"/>
        <v>0</v>
      </c>
      <c r="W12" s="2">
        <f t="shared" si="1"/>
        <v>0</v>
      </c>
      <c r="X12" s="2">
        <f t="shared" si="1"/>
        <v>0</v>
      </c>
      <c r="Y12" s="2">
        <f t="shared" si="1"/>
        <v>0</v>
      </c>
      <c r="Z12" s="2">
        <f t="shared" si="1"/>
        <v>0</v>
      </c>
    </row>
    <row r="16" spans="1:26" ht="21" x14ac:dyDescent="0.35">
      <c r="A16" s="5" t="s">
        <v>33</v>
      </c>
    </row>
    <row r="18" spans="1:26" x14ac:dyDescent="0.25">
      <c r="A18" t="s">
        <v>12</v>
      </c>
    </row>
    <row r="19" spans="1:26" x14ac:dyDescent="0.25">
      <c r="B19" s="1">
        <f>B4</f>
        <v>44331</v>
      </c>
      <c r="C19" s="1">
        <f t="shared" ref="C19:L19" si="2">C4</f>
        <v>44332</v>
      </c>
      <c r="D19" s="1">
        <f t="shared" si="2"/>
        <v>44334</v>
      </c>
      <c r="E19" s="1">
        <f t="shared" si="2"/>
        <v>44336</v>
      </c>
      <c r="F19" s="1">
        <f t="shared" si="2"/>
        <v>44337</v>
      </c>
      <c r="G19" s="1">
        <f t="shared" si="2"/>
        <v>44338</v>
      </c>
      <c r="H19" s="1">
        <f t="shared" si="2"/>
        <v>44339</v>
      </c>
      <c r="I19" s="1">
        <f t="shared" si="2"/>
        <v>44340</v>
      </c>
      <c r="J19" s="1">
        <f t="shared" si="2"/>
        <v>44341</v>
      </c>
      <c r="K19" s="1">
        <f t="shared" si="2"/>
        <v>44342</v>
      </c>
      <c r="L19" s="1">
        <f t="shared" si="2"/>
        <v>44343</v>
      </c>
      <c r="M19" s="1">
        <f t="shared" ref="M19:Z19" si="3">M4</f>
        <v>44344</v>
      </c>
      <c r="N19" s="1">
        <f t="shared" si="3"/>
        <v>44345</v>
      </c>
      <c r="O19" s="1">
        <f t="shared" si="3"/>
        <v>44346</v>
      </c>
      <c r="P19" s="1">
        <f t="shared" si="3"/>
        <v>44347</v>
      </c>
      <c r="Q19" s="1">
        <f t="shared" si="3"/>
        <v>44348</v>
      </c>
      <c r="R19" s="1">
        <f t="shared" si="3"/>
        <v>44349</v>
      </c>
      <c r="S19" s="1">
        <f t="shared" si="3"/>
        <v>44350</v>
      </c>
      <c r="T19" s="1">
        <f t="shared" si="3"/>
        <v>44351</v>
      </c>
      <c r="U19" s="1">
        <f t="shared" si="3"/>
        <v>44352</v>
      </c>
      <c r="V19" s="1">
        <f t="shared" si="3"/>
        <v>44353</v>
      </c>
      <c r="W19" s="1">
        <f t="shared" si="3"/>
        <v>44354</v>
      </c>
      <c r="X19" s="1">
        <f t="shared" si="3"/>
        <v>44355</v>
      </c>
      <c r="Y19" s="1">
        <f t="shared" si="3"/>
        <v>44356</v>
      </c>
      <c r="Z19" s="1">
        <f t="shared" si="3"/>
        <v>44357</v>
      </c>
    </row>
    <row r="20" spans="1:26" x14ac:dyDescent="0.25">
      <c r="A20" s="2" t="s">
        <v>60</v>
      </c>
      <c r="B20">
        <f>ROUNDDOWN((B5-ROUNDUP(B5*0.1,2)-ROUNDUP(B5*0.05,2))*0.8,2)</f>
        <v>12.36</v>
      </c>
      <c r="C20">
        <f t="shared" ref="C20:L20" si="4">ROUNDDOWN((C5-ROUNDUP(C5*0.1,2)-ROUNDUP(C5*0.05,2))*0.8,2)</f>
        <v>12.36</v>
      </c>
      <c r="D20">
        <f t="shared" si="4"/>
        <v>12.48</v>
      </c>
      <c r="E20">
        <f t="shared" si="4"/>
        <v>12.36</v>
      </c>
      <c r="F20">
        <f t="shared" si="4"/>
        <v>12.37</v>
      </c>
      <c r="G20">
        <f t="shared" si="4"/>
        <v>12.84</v>
      </c>
      <c r="H20">
        <f t="shared" si="4"/>
        <v>12.16</v>
      </c>
      <c r="I20">
        <f t="shared" si="4"/>
        <v>12.23</v>
      </c>
      <c r="J20">
        <f t="shared" si="4"/>
        <v>12.26</v>
      </c>
      <c r="K20">
        <f t="shared" si="4"/>
        <v>12.3</v>
      </c>
      <c r="L20">
        <f t="shared" si="4"/>
        <v>12.3</v>
      </c>
      <c r="M20">
        <f t="shared" ref="M20:Z20" si="5">ROUNDDOWN((M5-ROUNDUP(M5*0.1,2)-ROUNDUP(M5*0.05,2))*0.8,2)</f>
        <v>11.93</v>
      </c>
      <c r="N20">
        <f t="shared" si="5"/>
        <v>12.26</v>
      </c>
      <c r="O20">
        <f t="shared" si="5"/>
        <v>12.11</v>
      </c>
      <c r="P20">
        <f t="shared" si="5"/>
        <v>11.91</v>
      </c>
      <c r="Q20">
        <f t="shared" si="5"/>
        <v>11.77</v>
      </c>
      <c r="R20">
        <f t="shared" si="5"/>
        <v>11.92</v>
      </c>
      <c r="S20">
        <f t="shared" si="5"/>
        <v>11.84</v>
      </c>
      <c r="T20">
        <f t="shared" si="5"/>
        <v>11.93</v>
      </c>
      <c r="U20">
        <f t="shared" si="5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</row>
    <row r="21" spans="1:26" x14ac:dyDescent="0.25">
      <c r="A21" s="2" t="s">
        <v>61</v>
      </c>
      <c r="B21">
        <f t="shared" ref="B21:L25" si="6">ROUNDDOWN((B6-ROUNDUP(B6*0.1,2)-ROUNDUP(B6*0.05,2))*0.8,2)</f>
        <v>131.22999999999999</v>
      </c>
      <c r="C21">
        <f t="shared" si="6"/>
        <v>138.28</v>
      </c>
      <c r="D21">
        <f t="shared" si="6"/>
        <v>143.34</v>
      </c>
      <c r="E21">
        <f t="shared" si="6"/>
        <v>136.94999999999999</v>
      </c>
      <c r="F21">
        <f t="shared" si="6"/>
        <v>144.43</v>
      </c>
      <c r="G21">
        <f t="shared" si="6"/>
        <v>134.26</v>
      </c>
      <c r="H21">
        <f t="shared" si="6"/>
        <v>136.47999999999999</v>
      </c>
      <c r="I21">
        <f t="shared" si="6"/>
        <v>141.35</v>
      </c>
      <c r="J21">
        <f t="shared" si="6"/>
        <v>132.47999999999999</v>
      </c>
      <c r="K21">
        <f t="shared" si="6"/>
        <v>146.77000000000001</v>
      </c>
      <c r="L21">
        <f t="shared" si="6"/>
        <v>146.6</v>
      </c>
      <c r="M21">
        <f t="shared" ref="M21:Z21" si="7">ROUNDDOWN((M6-ROUNDUP(M6*0.1,2)-ROUNDUP(M6*0.05,2))*0.8,2)</f>
        <v>144.93</v>
      </c>
      <c r="N21">
        <f t="shared" si="7"/>
        <v>132.77000000000001</v>
      </c>
      <c r="O21">
        <f t="shared" si="7"/>
        <v>140.63999999999999</v>
      </c>
      <c r="P21">
        <f t="shared" si="7"/>
        <v>140.21</v>
      </c>
      <c r="Q21">
        <f t="shared" si="7"/>
        <v>148.12</v>
      </c>
      <c r="R21">
        <f t="shared" si="7"/>
        <v>145.78</v>
      </c>
      <c r="S21">
        <f t="shared" si="7"/>
        <v>149.13999999999999</v>
      </c>
      <c r="T21">
        <f t="shared" si="7"/>
        <v>154.32</v>
      </c>
      <c r="U21">
        <f t="shared" si="7"/>
        <v>0</v>
      </c>
      <c r="V21">
        <f t="shared" si="7"/>
        <v>0</v>
      </c>
      <c r="W21">
        <f t="shared" si="7"/>
        <v>0</v>
      </c>
      <c r="X21">
        <f t="shared" si="7"/>
        <v>0</v>
      </c>
      <c r="Y21">
        <f t="shared" si="7"/>
        <v>0</v>
      </c>
      <c r="Z21">
        <f t="shared" si="7"/>
        <v>0</v>
      </c>
    </row>
    <row r="22" spans="1:26" x14ac:dyDescent="0.25">
      <c r="A22" s="2" t="s">
        <v>62</v>
      </c>
      <c r="B22">
        <f t="shared" si="6"/>
        <v>42.25</v>
      </c>
      <c r="C22">
        <f t="shared" si="6"/>
        <v>42</v>
      </c>
      <c r="D22">
        <f t="shared" si="6"/>
        <v>42.71</v>
      </c>
      <c r="E22">
        <f t="shared" si="6"/>
        <v>42.62</v>
      </c>
      <c r="F22">
        <f t="shared" si="6"/>
        <v>40.380000000000003</v>
      </c>
      <c r="G22">
        <f t="shared" si="6"/>
        <v>42.81</v>
      </c>
      <c r="H22">
        <f t="shared" si="6"/>
        <v>41.61</v>
      </c>
      <c r="I22">
        <f t="shared" si="6"/>
        <v>40.299999999999997</v>
      </c>
      <c r="J22">
        <f t="shared" si="6"/>
        <v>40.799999999999997</v>
      </c>
      <c r="K22">
        <f t="shared" si="6"/>
        <v>41.55</v>
      </c>
      <c r="L22">
        <f t="shared" si="6"/>
        <v>40.96</v>
      </c>
      <c r="M22">
        <f t="shared" ref="M22:Z22" si="8">ROUNDDOWN((M7-ROUNDUP(M7*0.1,2)-ROUNDUP(M7*0.05,2))*0.8,2)</f>
        <v>40.799999999999997</v>
      </c>
      <c r="N22">
        <f t="shared" si="8"/>
        <v>40.86</v>
      </c>
      <c r="O22">
        <f t="shared" si="8"/>
        <v>42.03</v>
      </c>
      <c r="P22">
        <f t="shared" si="8"/>
        <v>43.24</v>
      </c>
      <c r="Q22">
        <f t="shared" si="8"/>
        <v>40.78</v>
      </c>
      <c r="R22">
        <f t="shared" si="8"/>
        <v>40.86</v>
      </c>
      <c r="S22">
        <f t="shared" si="8"/>
        <v>41.6</v>
      </c>
      <c r="T22">
        <f t="shared" si="8"/>
        <v>41</v>
      </c>
      <c r="U22">
        <f t="shared" si="8"/>
        <v>0</v>
      </c>
      <c r="V22">
        <f t="shared" si="8"/>
        <v>0</v>
      </c>
      <c r="W22">
        <f t="shared" si="8"/>
        <v>0</v>
      </c>
      <c r="X22">
        <f t="shared" si="8"/>
        <v>0</v>
      </c>
      <c r="Y22">
        <f t="shared" si="8"/>
        <v>0</v>
      </c>
      <c r="Z22">
        <f t="shared" si="8"/>
        <v>0</v>
      </c>
    </row>
    <row r="23" spans="1:26" x14ac:dyDescent="0.25">
      <c r="A23" s="2" t="s">
        <v>63</v>
      </c>
      <c r="B23">
        <f t="shared" si="6"/>
        <v>25.68</v>
      </c>
      <c r="C23">
        <f t="shared" si="6"/>
        <v>27.47</v>
      </c>
      <c r="D23">
        <f t="shared" si="6"/>
        <v>26.74</v>
      </c>
      <c r="E23">
        <f t="shared" si="6"/>
        <v>26.17</v>
      </c>
      <c r="F23">
        <f t="shared" si="6"/>
        <v>27.22</v>
      </c>
      <c r="G23">
        <f t="shared" si="6"/>
        <v>27.14</v>
      </c>
      <c r="H23">
        <f t="shared" si="6"/>
        <v>26.1</v>
      </c>
      <c r="I23">
        <f t="shared" si="6"/>
        <v>25.9</v>
      </c>
      <c r="J23">
        <f t="shared" si="6"/>
        <v>25.69</v>
      </c>
      <c r="K23">
        <f t="shared" si="6"/>
        <v>25.71</v>
      </c>
      <c r="L23">
        <f t="shared" si="6"/>
        <v>26.92</v>
      </c>
      <c r="M23">
        <f t="shared" ref="M23:Z23" si="9">ROUNDDOWN((M8-ROUNDUP(M8*0.1,2)-ROUNDUP(M8*0.05,2))*0.8,2)</f>
        <v>27</v>
      </c>
      <c r="N23">
        <f t="shared" si="9"/>
        <v>26.81</v>
      </c>
      <c r="O23">
        <f t="shared" si="9"/>
        <v>24.04</v>
      </c>
      <c r="P23">
        <f t="shared" si="9"/>
        <v>26.21</v>
      </c>
      <c r="Q23">
        <f t="shared" si="9"/>
        <v>25.18</v>
      </c>
      <c r="R23">
        <f t="shared" si="9"/>
        <v>26.39</v>
      </c>
      <c r="S23">
        <f t="shared" si="9"/>
        <v>26.95</v>
      </c>
      <c r="T23">
        <f t="shared" si="9"/>
        <v>24.01</v>
      </c>
      <c r="U23">
        <f t="shared" si="9"/>
        <v>0</v>
      </c>
      <c r="V23">
        <f t="shared" si="9"/>
        <v>0</v>
      </c>
      <c r="W23">
        <f t="shared" si="9"/>
        <v>0</v>
      </c>
      <c r="X23">
        <f t="shared" si="9"/>
        <v>0</v>
      </c>
      <c r="Y23">
        <f t="shared" si="9"/>
        <v>0</v>
      </c>
      <c r="Z23">
        <f t="shared" si="9"/>
        <v>0</v>
      </c>
    </row>
    <row r="24" spans="1:26" x14ac:dyDescent="0.25">
      <c r="A24" s="2" t="s">
        <v>64</v>
      </c>
      <c r="B24">
        <f t="shared" si="6"/>
        <v>18.059999999999999</v>
      </c>
      <c r="C24">
        <f t="shared" si="6"/>
        <v>18.63</v>
      </c>
      <c r="D24">
        <f t="shared" si="6"/>
        <v>18.91</v>
      </c>
      <c r="E24">
        <f t="shared" si="6"/>
        <v>18.52</v>
      </c>
      <c r="F24">
        <f t="shared" si="6"/>
        <v>17.440000000000001</v>
      </c>
      <c r="G24">
        <f t="shared" si="6"/>
        <v>17.16</v>
      </c>
      <c r="H24">
        <f t="shared" si="6"/>
        <v>17.16</v>
      </c>
      <c r="I24">
        <f t="shared" si="6"/>
        <v>17.59</v>
      </c>
      <c r="J24">
        <f t="shared" si="6"/>
        <v>18.22</v>
      </c>
      <c r="K24">
        <f t="shared" si="6"/>
        <v>17.36</v>
      </c>
      <c r="L24">
        <f t="shared" si="6"/>
        <v>16.79</v>
      </c>
      <c r="M24">
        <f t="shared" ref="M24:Z24" si="10">ROUNDDOWN((M9-ROUNDUP(M9*0.1,2)-ROUNDUP(M9*0.05,2))*0.8,2)</f>
        <v>17.3</v>
      </c>
      <c r="N24">
        <f t="shared" si="10"/>
        <v>17.13</v>
      </c>
      <c r="O24">
        <f t="shared" si="10"/>
        <v>17.600000000000001</v>
      </c>
      <c r="P24">
        <f t="shared" si="10"/>
        <v>17.13</v>
      </c>
      <c r="Q24">
        <f t="shared" si="10"/>
        <v>18.48</v>
      </c>
      <c r="R24">
        <f t="shared" si="10"/>
        <v>17.91</v>
      </c>
      <c r="S24">
        <f t="shared" si="10"/>
        <v>17.68</v>
      </c>
      <c r="T24">
        <f t="shared" si="10"/>
        <v>17.47</v>
      </c>
      <c r="U24">
        <f t="shared" si="10"/>
        <v>0</v>
      </c>
      <c r="V24">
        <f t="shared" si="10"/>
        <v>0</v>
      </c>
      <c r="W24">
        <f t="shared" si="10"/>
        <v>0</v>
      </c>
      <c r="X24">
        <f t="shared" si="10"/>
        <v>0</v>
      </c>
      <c r="Y24">
        <f t="shared" si="10"/>
        <v>0</v>
      </c>
      <c r="Z24">
        <f t="shared" si="10"/>
        <v>0</v>
      </c>
    </row>
    <row r="25" spans="1:26" x14ac:dyDescent="0.25">
      <c r="A25" s="2" t="s">
        <v>65</v>
      </c>
      <c r="B25">
        <f t="shared" si="6"/>
        <v>32.29</v>
      </c>
      <c r="C25">
        <f t="shared" si="6"/>
        <v>32.07</v>
      </c>
      <c r="D25">
        <f t="shared" si="6"/>
        <v>33.56</v>
      </c>
      <c r="E25">
        <f t="shared" si="6"/>
        <v>32.880000000000003</v>
      </c>
      <c r="F25">
        <f t="shared" si="6"/>
        <v>31.32</v>
      </c>
      <c r="G25">
        <f t="shared" si="6"/>
        <v>30.56</v>
      </c>
      <c r="H25">
        <f t="shared" si="6"/>
        <v>31.32</v>
      </c>
      <c r="I25">
        <f t="shared" si="6"/>
        <v>31.2</v>
      </c>
      <c r="J25">
        <f t="shared" si="6"/>
        <v>30.55</v>
      </c>
      <c r="K25">
        <f t="shared" si="6"/>
        <v>30.92</v>
      </c>
      <c r="L25">
        <f t="shared" si="6"/>
        <v>31.33</v>
      </c>
      <c r="M25">
        <f t="shared" ref="M25:Z25" si="11">ROUNDDOWN((M10-ROUNDUP(M10*0.1,2)-ROUNDUP(M10*0.05,2))*0.8,2)</f>
        <v>31.09</v>
      </c>
      <c r="N25">
        <f t="shared" si="11"/>
        <v>31.08</v>
      </c>
      <c r="O25">
        <f t="shared" si="11"/>
        <v>30.41</v>
      </c>
      <c r="P25">
        <f t="shared" si="11"/>
        <v>30.52</v>
      </c>
      <c r="Q25">
        <f t="shared" si="11"/>
        <v>31.36</v>
      </c>
      <c r="R25">
        <f t="shared" si="11"/>
        <v>31.58</v>
      </c>
      <c r="S25">
        <f t="shared" si="11"/>
        <v>30.99</v>
      </c>
      <c r="T25">
        <f t="shared" si="11"/>
        <v>30.86</v>
      </c>
      <c r="U25">
        <f t="shared" si="11"/>
        <v>0</v>
      </c>
      <c r="V25">
        <f t="shared" si="11"/>
        <v>0</v>
      </c>
      <c r="W25">
        <f t="shared" si="11"/>
        <v>0</v>
      </c>
      <c r="X25">
        <f t="shared" si="11"/>
        <v>0</v>
      </c>
      <c r="Y25">
        <f t="shared" si="11"/>
        <v>0</v>
      </c>
      <c r="Z25">
        <f t="shared" si="11"/>
        <v>0</v>
      </c>
    </row>
    <row r="27" spans="1:26" x14ac:dyDescent="0.25">
      <c r="B27" s="2">
        <f>SUM(B20:B25)</f>
        <v>261.87</v>
      </c>
      <c r="C27" s="2">
        <f t="shared" ref="C27:E27" si="12">SUM(C20:C25)</f>
        <v>270.81</v>
      </c>
      <c r="D27" s="2">
        <f t="shared" si="12"/>
        <v>277.74</v>
      </c>
      <c r="E27" s="2">
        <f t="shared" si="12"/>
        <v>269.50000000000006</v>
      </c>
      <c r="F27" s="2">
        <f t="shared" ref="F27:L27" si="13">SUM(F20:F25)</f>
        <v>273.16000000000003</v>
      </c>
      <c r="G27" s="2">
        <f t="shared" si="13"/>
        <v>264.77</v>
      </c>
      <c r="H27" s="2">
        <f t="shared" si="13"/>
        <v>264.83</v>
      </c>
      <c r="I27" s="2">
        <f t="shared" si="13"/>
        <v>268.57</v>
      </c>
      <c r="J27" s="2">
        <f t="shared" si="13"/>
        <v>259.99999999999994</v>
      </c>
      <c r="K27" s="2">
        <f t="shared" si="13"/>
        <v>274.61</v>
      </c>
      <c r="L27" s="2">
        <f t="shared" si="13"/>
        <v>274.90000000000003</v>
      </c>
      <c r="M27" s="2">
        <f t="shared" ref="M27:Z27" si="14">SUM(M20:M25)</f>
        <v>273.05</v>
      </c>
      <c r="N27" s="2">
        <f t="shared" si="14"/>
        <v>260.90999999999997</v>
      </c>
      <c r="O27" s="2">
        <f t="shared" si="14"/>
        <v>266.83</v>
      </c>
      <c r="P27" s="2">
        <f t="shared" si="14"/>
        <v>269.22000000000003</v>
      </c>
      <c r="Q27" s="2">
        <f t="shared" si="14"/>
        <v>275.69</v>
      </c>
      <c r="R27" s="2">
        <f t="shared" si="14"/>
        <v>274.44</v>
      </c>
      <c r="S27" s="2">
        <f t="shared" si="14"/>
        <v>278.2</v>
      </c>
      <c r="T27" s="2">
        <f t="shared" si="14"/>
        <v>279.58999999999997</v>
      </c>
      <c r="U27" s="2">
        <f t="shared" si="14"/>
        <v>0</v>
      </c>
      <c r="V27" s="2">
        <f t="shared" si="14"/>
        <v>0</v>
      </c>
      <c r="W27" s="2">
        <f t="shared" si="14"/>
        <v>0</v>
      </c>
      <c r="X27" s="2">
        <f t="shared" si="14"/>
        <v>0</v>
      </c>
      <c r="Y27" s="2">
        <f t="shared" si="14"/>
        <v>0</v>
      </c>
      <c r="Z27" s="2">
        <f t="shared" si="14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C0677-C76D-4C59-BC1D-910D8DD5D35F}">
  <dimension ref="A1:Z43"/>
  <sheetViews>
    <sheetView zoomScale="80" zoomScaleNormal="80" workbookViewId="0">
      <pane xSplit="1" topLeftCell="N1" activePane="topRight" state="frozen"/>
      <selection activeCell="A4" sqref="A4"/>
      <selection pane="topRight" activeCell="T19" sqref="T19"/>
    </sheetView>
  </sheetViews>
  <sheetFormatPr defaultRowHeight="15" x14ac:dyDescent="0.25"/>
  <cols>
    <col min="1" max="1" width="34.28515625" customWidth="1"/>
    <col min="2" max="46" width="12" customWidth="1"/>
  </cols>
  <sheetData>
    <row r="1" spans="1:26" ht="31.5" x14ac:dyDescent="0.5">
      <c r="A1" s="4" t="s">
        <v>7</v>
      </c>
    </row>
    <row r="3" spans="1:26" x14ac:dyDescent="0.25">
      <c r="A3" t="s">
        <v>12</v>
      </c>
    </row>
    <row r="4" spans="1:26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</row>
    <row r="5" spans="1:26" x14ac:dyDescent="0.25">
      <c r="A5" s="2" t="s">
        <v>66</v>
      </c>
      <c r="B5">
        <v>1.46</v>
      </c>
      <c r="C5">
        <v>1.44</v>
      </c>
      <c r="D5">
        <v>1.44</v>
      </c>
      <c r="E5">
        <v>1.39</v>
      </c>
      <c r="F5">
        <v>1.47</v>
      </c>
      <c r="G5">
        <v>1.44</v>
      </c>
      <c r="H5">
        <v>1.43</v>
      </c>
      <c r="I5">
        <v>1.39</v>
      </c>
      <c r="J5">
        <v>1.43</v>
      </c>
      <c r="K5">
        <v>1.53</v>
      </c>
      <c r="L5">
        <v>1.54</v>
      </c>
      <c r="M5">
        <v>1.57</v>
      </c>
      <c r="N5">
        <v>1.65</v>
      </c>
      <c r="O5">
        <v>1.61</v>
      </c>
      <c r="P5">
        <v>1.61</v>
      </c>
      <c r="Q5">
        <v>1.65</v>
      </c>
      <c r="R5">
        <v>1.58</v>
      </c>
      <c r="S5">
        <v>1.49</v>
      </c>
      <c r="T5">
        <v>1.46</v>
      </c>
    </row>
    <row r="6" spans="1:26" x14ac:dyDescent="0.25">
      <c r="A6" s="2" t="s">
        <v>67</v>
      </c>
      <c r="B6">
        <v>8.36</v>
      </c>
      <c r="C6">
        <v>8.0500000000000007</v>
      </c>
      <c r="D6">
        <v>7.84</v>
      </c>
      <c r="E6">
        <v>8.07</v>
      </c>
      <c r="F6">
        <v>8.6999999999999993</v>
      </c>
      <c r="G6">
        <v>8.58</v>
      </c>
      <c r="H6">
        <v>8.42</v>
      </c>
      <c r="I6">
        <v>7.84</v>
      </c>
      <c r="J6">
        <v>8.1</v>
      </c>
      <c r="K6">
        <v>7.68</v>
      </c>
      <c r="L6">
        <v>8.07</v>
      </c>
      <c r="M6">
        <v>8.23</v>
      </c>
      <c r="N6">
        <v>8.7799999999999994</v>
      </c>
      <c r="O6">
        <v>7.94</v>
      </c>
      <c r="P6">
        <v>8.4600000000000009</v>
      </c>
      <c r="Q6">
        <v>8.58</v>
      </c>
      <c r="R6">
        <v>7.98</v>
      </c>
      <c r="S6">
        <v>8.35</v>
      </c>
      <c r="T6">
        <v>8.6300000000000008</v>
      </c>
    </row>
    <row r="7" spans="1:26" x14ac:dyDescent="0.25">
      <c r="A7" s="2" t="s">
        <v>68</v>
      </c>
      <c r="B7">
        <v>1.73</v>
      </c>
      <c r="C7">
        <v>1.74</v>
      </c>
      <c r="D7">
        <v>1.61</v>
      </c>
      <c r="E7">
        <v>1.72</v>
      </c>
      <c r="F7">
        <v>1.73</v>
      </c>
      <c r="G7">
        <v>1.65</v>
      </c>
      <c r="H7">
        <v>1.69</v>
      </c>
      <c r="I7">
        <v>1.75</v>
      </c>
      <c r="J7">
        <v>2.09</v>
      </c>
      <c r="K7">
        <v>1.77</v>
      </c>
      <c r="L7">
        <v>1.72</v>
      </c>
      <c r="M7">
        <v>1.69</v>
      </c>
      <c r="N7">
        <v>1.63</v>
      </c>
      <c r="O7">
        <v>1.49</v>
      </c>
      <c r="P7">
        <v>1.75</v>
      </c>
      <c r="Q7">
        <v>1.7</v>
      </c>
      <c r="R7">
        <v>1.69</v>
      </c>
      <c r="S7">
        <v>1.69</v>
      </c>
      <c r="T7">
        <v>1.72</v>
      </c>
    </row>
    <row r="8" spans="1:26" x14ac:dyDescent="0.25">
      <c r="A8" s="2" t="s">
        <v>69</v>
      </c>
      <c r="B8">
        <v>4.41</v>
      </c>
      <c r="C8">
        <v>4.16</v>
      </c>
      <c r="D8">
        <v>4.37</v>
      </c>
      <c r="E8">
        <v>4.34</v>
      </c>
      <c r="F8">
        <v>3.77</v>
      </c>
      <c r="G8">
        <v>4.34</v>
      </c>
      <c r="H8">
        <v>3.96</v>
      </c>
      <c r="I8">
        <v>4.2699999999999996</v>
      </c>
      <c r="J8">
        <v>4.05</v>
      </c>
      <c r="K8">
        <v>3.79</v>
      </c>
      <c r="L8">
        <v>3.93</v>
      </c>
      <c r="M8">
        <v>3.88</v>
      </c>
      <c r="N8">
        <v>4.2300000000000004</v>
      </c>
      <c r="O8">
        <v>3.91</v>
      </c>
      <c r="P8">
        <v>4.33</v>
      </c>
      <c r="Q8">
        <v>3.93</v>
      </c>
      <c r="R8">
        <v>4.08</v>
      </c>
      <c r="S8">
        <v>3.75</v>
      </c>
      <c r="T8">
        <v>4.1900000000000004</v>
      </c>
    </row>
    <row r="9" spans="1:26" x14ac:dyDescent="0.25">
      <c r="A9" s="2" t="s">
        <v>147</v>
      </c>
      <c r="B9">
        <v>5.33</v>
      </c>
      <c r="C9">
        <v>5.67</v>
      </c>
      <c r="D9">
        <v>5.86</v>
      </c>
      <c r="E9">
        <v>5.63</v>
      </c>
      <c r="F9">
        <v>5.79</v>
      </c>
      <c r="G9">
        <v>5.22</v>
      </c>
      <c r="H9">
        <v>5.4</v>
      </c>
      <c r="I9">
        <v>5.59</v>
      </c>
      <c r="J9">
        <v>5.26</v>
      </c>
      <c r="K9">
        <v>6.57</v>
      </c>
      <c r="L9">
        <v>5.89</v>
      </c>
      <c r="M9">
        <v>5.25</v>
      </c>
      <c r="N9">
        <v>5.48</v>
      </c>
      <c r="O9">
        <v>5.58</v>
      </c>
      <c r="P9">
        <v>5.88</v>
      </c>
      <c r="Q9">
        <v>5.53</v>
      </c>
      <c r="R9">
        <v>5.66</v>
      </c>
      <c r="S9">
        <v>5.03</v>
      </c>
      <c r="T9">
        <v>5.91</v>
      </c>
    </row>
    <row r="10" spans="1:26" x14ac:dyDescent="0.25">
      <c r="A10" s="2" t="s">
        <v>70</v>
      </c>
      <c r="B10">
        <v>3.63</v>
      </c>
      <c r="C10">
        <v>3.61</v>
      </c>
      <c r="D10">
        <v>3.63</v>
      </c>
      <c r="E10">
        <v>3.49</v>
      </c>
      <c r="F10">
        <v>3.84</v>
      </c>
      <c r="G10">
        <v>3.54</v>
      </c>
      <c r="H10">
        <v>3.57</v>
      </c>
      <c r="I10">
        <v>3.54</v>
      </c>
      <c r="J10">
        <v>3.75</v>
      </c>
      <c r="K10">
        <v>3.79</v>
      </c>
      <c r="L10">
        <v>3.49</v>
      </c>
      <c r="M10">
        <v>3.61</v>
      </c>
      <c r="N10">
        <v>3.39</v>
      </c>
      <c r="O10">
        <v>3.53</v>
      </c>
      <c r="P10">
        <v>3.4</v>
      </c>
      <c r="Q10">
        <v>3.49</v>
      </c>
      <c r="R10">
        <v>3.41</v>
      </c>
      <c r="S10">
        <v>3.64</v>
      </c>
      <c r="T10">
        <v>3.64</v>
      </c>
    </row>
    <row r="11" spans="1:26" x14ac:dyDescent="0.25">
      <c r="A11" s="2" t="s">
        <v>71</v>
      </c>
      <c r="B11">
        <v>7.79</v>
      </c>
      <c r="C11">
        <v>8.19</v>
      </c>
      <c r="D11">
        <v>7.47</v>
      </c>
      <c r="E11">
        <v>7.59</v>
      </c>
      <c r="F11">
        <v>7.85</v>
      </c>
      <c r="G11">
        <v>7.68</v>
      </c>
      <c r="H11">
        <v>7.31</v>
      </c>
      <c r="I11">
        <v>7.53</v>
      </c>
      <c r="J11">
        <v>7.43</v>
      </c>
      <c r="K11">
        <v>7.4</v>
      </c>
      <c r="L11">
        <v>7.98</v>
      </c>
      <c r="M11">
        <v>7.1</v>
      </c>
      <c r="N11">
        <v>7.31</v>
      </c>
      <c r="O11">
        <v>7.64</v>
      </c>
      <c r="P11">
        <v>7.47</v>
      </c>
      <c r="Q11">
        <v>7.42</v>
      </c>
      <c r="R11">
        <v>7.47</v>
      </c>
      <c r="S11">
        <v>7.62</v>
      </c>
      <c r="T11">
        <v>7.9</v>
      </c>
    </row>
    <row r="12" spans="1:26" x14ac:dyDescent="0.25">
      <c r="A12" s="2" t="s">
        <v>72</v>
      </c>
      <c r="B12">
        <v>22.48</v>
      </c>
      <c r="C12">
        <v>23.47</v>
      </c>
      <c r="D12">
        <v>20.71</v>
      </c>
      <c r="E12">
        <v>19.8</v>
      </c>
      <c r="F12">
        <v>21.98</v>
      </c>
      <c r="G12">
        <v>23.47</v>
      </c>
      <c r="H12">
        <v>23.57</v>
      </c>
      <c r="I12">
        <v>22.65</v>
      </c>
      <c r="J12">
        <v>23.03</v>
      </c>
      <c r="K12">
        <v>23.07</v>
      </c>
      <c r="L12">
        <v>22.67</v>
      </c>
      <c r="M12">
        <v>22.71</v>
      </c>
      <c r="N12">
        <v>21.96</v>
      </c>
      <c r="O12">
        <v>21.29</v>
      </c>
      <c r="P12">
        <v>22.8</v>
      </c>
      <c r="Q12">
        <v>22.7</v>
      </c>
      <c r="R12">
        <v>22.81</v>
      </c>
      <c r="S12">
        <v>22.88</v>
      </c>
      <c r="T12">
        <v>21.67</v>
      </c>
    </row>
    <row r="13" spans="1:26" x14ac:dyDescent="0.25">
      <c r="A13" s="2" t="s">
        <v>73</v>
      </c>
      <c r="B13">
        <v>0.52</v>
      </c>
      <c r="C13">
        <v>0.48</v>
      </c>
      <c r="D13">
        <v>0.54</v>
      </c>
      <c r="E13">
        <v>0.55000000000000004</v>
      </c>
      <c r="F13">
        <v>0.53</v>
      </c>
      <c r="G13">
        <v>0.61</v>
      </c>
      <c r="H13">
        <v>0.76</v>
      </c>
      <c r="I13">
        <v>0.78</v>
      </c>
      <c r="J13">
        <v>0.83</v>
      </c>
      <c r="K13">
        <v>1.06</v>
      </c>
      <c r="L13">
        <v>1.29</v>
      </c>
      <c r="M13">
        <v>1.21</v>
      </c>
      <c r="N13">
        <v>1.0900000000000001</v>
      </c>
      <c r="O13">
        <v>1.04</v>
      </c>
      <c r="P13">
        <v>0.98</v>
      </c>
      <c r="Q13">
        <v>0.93</v>
      </c>
      <c r="R13">
        <v>1.01</v>
      </c>
      <c r="S13">
        <v>1.08</v>
      </c>
      <c r="T13">
        <v>1.23</v>
      </c>
    </row>
    <row r="14" spans="1:26" x14ac:dyDescent="0.25">
      <c r="A14" s="2" t="s">
        <v>74</v>
      </c>
      <c r="B14">
        <v>1.5</v>
      </c>
      <c r="C14">
        <v>1.45</v>
      </c>
      <c r="D14">
        <v>1.4</v>
      </c>
      <c r="E14">
        <v>1.39</v>
      </c>
      <c r="F14">
        <v>1.51</v>
      </c>
      <c r="G14">
        <v>1.54</v>
      </c>
      <c r="H14">
        <v>1.46</v>
      </c>
      <c r="I14">
        <v>1.55</v>
      </c>
      <c r="J14">
        <v>1.55</v>
      </c>
      <c r="K14">
        <v>1.51</v>
      </c>
      <c r="L14">
        <v>1.49</v>
      </c>
      <c r="M14">
        <v>1.5</v>
      </c>
      <c r="N14">
        <v>1.51</v>
      </c>
      <c r="O14">
        <v>1.54</v>
      </c>
      <c r="P14">
        <v>1.54</v>
      </c>
      <c r="Q14">
        <v>1.55</v>
      </c>
      <c r="R14">
        <v>1.56</v>
      </c>
      <c r="S14">
        <v>1.52</v>
      </c>
      <c r="T14">
        <v>1.46</v>
      </c>
    </row>
    <row r="15" spans="1:26" x14ac:dyDescent="0.25">
      <c r="A15" s="2" t="s">
        <v>75</v>
      </c>
      <c r="B15">
        <v>1.46</v>
      </c>
      <c r="C15">
        <v>1.44</v>
      </c>
      <c r="D15">
        <v>1.49</v>
      </c>
      <c r="E15">
        <v>1.46</v>
      </c>
      <c r="F15">
        <v>1.53</v>
      </c>
      <c r="G15">
        <v>1.53</v>
      </c>
      <c r="H15">
        <v>1.45</v>
      </c>
      <c r="I15">
        <v>1.53</v>
      </c>
      <c r="J15">
        <v>1.46</v>
      </c>
      <c r="K15">
        <v>1.49</v>
      </c>
      <c r="L15">
        <v>1.52</v>
      </c>
      <c r="M15">
        <v>1.51</v>
      </c>
      <c r="N15">
        <v>1.56</v>
      </c>
      <c r="O15">
        <v>1.54</v>
      </c>
      <c r="P15">
        <v>1.41</v>
      </c>
      <c r="Q15">
        <v>1.51</v>
      </c>
      <c r="R15">
        <v>1.45</v>
      </c>
      <c r="S15">
        <v>1.51</v>
      </c>
      <c r="T15">
        <v>1.41</v>
      </c>
    </row>
    <row r="16" spans="1:26" x14ac:dyDescent="0.25">
      <c r="A16" s="2" t="s">
        <v>76</v>
      </c>
      <c r="B16">
        <v>6.38</v>
      </c>
      <c r="C16">
        <v>5.63</v>
      </c>
      <c r="D16">
        <v>5.7</v>
      </c>
      <c r="E16">
        <v>5.94</v>
      </c>
      <c r="F16">
        <v>5.87</v>
      </c>
      <c r="G16">
        <v>6.21</v>
      </c>
      <c r="H16">
        <v>5.92</v>
      </c>
      <c r="I16">
        <v>6.18</v>
      </c>
      <c r="J16">
        <v>5.84</v>
      </c>
      <c r="K16">
        <v>5.87</v>
      </c>
      <c r="L16">
        <v>6.07</v>
      </c>
      <c r="M16">
        <v>5.77</v>
      </c>
      <c r="N16">
        <v>5.94</v>
      </c>
      <c r="O16">
        <v>5.78</v>
      </c>
      <c r="P16">
        <v>6.27</v>
      </c>
      <c r="Q16">
        <v>6.04</v>
      </c>
      <c r="R16">
        <v>6.14</v>
      </c>
      <c r="S16">
        <v>5.75</v>
      </c>
      <c r="T16">
        <v>5.92</v>
      </c>
    </row>
    <row r="17" spans="1:26" x14ac:dyDescent="0.25">
      <c r="A17" s="2" t="s">
        <v>77</v>
      </c>
      <c r="B17">
        <v>1.1000000000000001</v>
      </c>
      <c r="C17">
        <v>1.04</v>
      </c>
      <c r="D17">
        <v>0.98</v>
      </c>
      <c r="E17">
        <v>0.93</v>
      </c>
      <c r="F17">
        <v>0.88</v>
      </c>
      <c r="G17">
        <v>0.98</v>
      </c>
      <c r="H17">
        <v>0.94</v>
      </c>
      <c r="I17">
        <v>0.93</v>
      </c>
      <c r="J17">
        <v>0.96</v>
      </c>
      <c r="K17">
        <v>0.93</v>
      </c>
      <c r="L17">
        <v>0.98</v>
      </c>
      <c r="M17">
        <v>0.98</v>
      </c>
      <c r="N17">
        <v>0.88</v>
      </c>
      <c r="O17">
        <v>0.87</v>
      </c>
      <c r="P17">
        <v>0.85</v>
      </c>
      <c r="Q17">
        <v>0.84</v>
      </c>
      <c r="R17">
        <v>0.92</v>
      </c>
      <c r="S17">
        <v>0.86</v>
      </c>
      <c r="T17">
        <v>0.89</v>
      </c>
    </row>
    <row r="18" spans="1:26" x14ac:dyDescent="0.25">
      <c r="A18" s="2" t="s">
        <v>78</v>
      </c>
      <c r="B18">
        <v>0.8</v>
      </c>
      <c r="C18">
        <v>0.83</v>
      </c>
      <c r="D18">
        <v>0.82</v>
      </c>
      <c r="E18">
        <v>0.76</v>
      </c>
      <c r="F18">
        <v>0.82</v>
      </c>
      <c r="G18">
        <v>0.83</v>
      </c>
      <c r="H18">
        <v>0.84</v>
      </c>
      <c r="I18">
        <v>0.84</v>
      </c>
      <c r="J18">
        <v>0.84</v>
      </c>
      <c r="K18">
        <v>0.83</v>
      </c>
      <c r="L18">
        <v>0.85</v>
      </c>
      <c r="M18">
        <v>0.85</v>
      </c>
      <c r="N18">
        <v>0.87</v>
      </c>
      <c r="O18">
        <v>0.85</v>
      </c>
      <c r="P18">
        <v>0.83</v>
      </c>
      <c r="Q18">
        <v>0.84</v>
      </c>
      <c r="R18">
        <v>0.83</v>
      </c>
      <c r="S18">
        <v>0.75</v>
      </c>
      <c r="T18">
        <v>0.81</v>
      </c>
    </row>
    <row r="20" spans="1:26" x14ac:dyDescent="0.25">
      <c r="B20" s="2">
        <f>SUM(B5:B18)</f>
        <v>66.949999999999989</v>
      </c>
      <c r="C20" s="2">
        <f t="shared" ref="C20:L20" si="0">SUM(C5:C18)</f>
        <v>67.2</v>
      </c>
      <c r="D20" s="2">
        <f t="shared" si="0"/>
        <v>63.86</v>
      </c>
      <c r="E20" s="2">
        <f t="shared" si="0"/>
        <v>63.059999999999995</v>
      </c>
      <c r="F20" s="2">
        <f t="shared" si="0"/>
        <v>66.269999999999982</v>
      </c>
      <c r="G20" s="2">
        <f t="shared" si="0"/>
        <v>67.61999999999999</v>
      </c>
      <c r="H20" s="2">
        <f t="shared" si="0"/>
        <v>66.72</v>
      </c>
      <c r="I20" s="2">
        <f t="shared" si="0"/>
        <v>66.37</v>
      </c>
      <c r="J20" s="2">
        <f t="shared" si="0"/>
        <v>66.61999999999999</v>
      </c>
      <c r="K20" s="2">
        <f t="shared" si="0"/>
        <v>67.290000000000006</v>
      </c>
      <c r="L20" s="2">
        <f t="shared" si="0"/>
        <v>67.490000000000009</v>
      </c>
      <c r="M20" s="2">
        <f t="shared" ref="M20:Z20" si="1">SUM(M5:M18)</f>
        <v>65.86</v>
      </c>
      <c r="N20" s="2">
        <f t="shared" si="1"/>
        <v>66.28</v>
      </c>
      <c r="O20" s="2">
        <f t="shared" si="1"/>
        <v>64.61</v>
      </c>
      <c r="P20" s="2">
        <f t="shared" si="1"/>
        <v>67.579999999999984</v>
      </c>
      <c r="Q20" s="2">
        <f t="shared" si="1"/>
        <v>66.710000000000008</v>
      </c>
      <c r="R20" s="2">
        <f t="shared" si="1"/>
        <v>66.59</v>
      </c>
      <c r="S20" s="2">
        <f t="shared" si="1"/>
        <v>65.92</v>
      </c>
      <c r="T20" s="2">
        <f t="shared" si="1"/>
        <v>66.84</v>
      </c>
      <c r="U20" s="2">
        <f t="shared" si="1"/>
        <v>0</v>
      </c>
      <c r="V20" s="2">
        <f t="shared" si="1"/>
        <v>0</v>
      </c>
      <c r="W20" s="2">
        <f t="shared" si="1"/>
        <v>0</v>
      </c>
      <c r="X20" s="2">
        <f t="shared" si="1"/>
        <v>0</v>
      </c>
      <c r="Y20" s="2">
        <f t="shared" si="1"/>
        <v>0</v>
      </c>
      <c r="Z20" s="2">
        <f t="shared" si="1"/>
        <v>0</v>
      </c>
    </row>
    <row r="24" spans="1:26" ht="21" x14ac:dyDescent="0.35">
      <c r="A24" s="5" t="s">
        <v>33</v>
      </c>
    </row>
    <row r="26" spans="1:26" x14ac:dyDescent="0.25">
      <c r="A26" t="s">
        <v>12</v>
      </c>
    </row>
    <row r="27" spans="1:26" x14ac:dyDescent="0.25">
      <c r="B27" s="1">
        <f>B4</f>
        <v>44331</v>
      </c>
      <c r="C27" s="1">
        <f t="shared" ref="C27:L27" si="2">C4</f>
        <v>44332</v>
      </c>
      <c r="D27" s="1">
        <f t="shared" si="2"/>
        <v>44334</v>
      </c>
      <c r="E27" s="1">
        <f t="shared" si="2"/>
        <v>44336</v>
      </c>
      <c r="F27" s="1">
        <f t="shared" si="2"/>
        <v>44337</v>
      </c>
      <c r="G27" s="1">
        <f t="shared" si="2"/>
        <v>44338</v>
      </c>
      <c r="H27" s="1">
        <f t="shared" si="2"/>
        <v>44339</v>
      </c>
      <c r="I27" s="1">
        <f t="shared" si="2"/>
        <v>44340</v>
      </c>
      <c r="J27" s="1">
        <f t="shared" si="2"/>
        <v>44341</v>
      </c>
      <c r="K27" s="1">
        <f t="shared" si="2"/>
        <v>44342</v>
      </c>
      <c r="L27" s="1">
        <f t="shared" si="2"/>
        <v>44343</v>
      </c>
      <c r="M27" s="1">
        <f t="shared" ref="M27:Z27" si="3">M4</f>
        <v>44344</v>
      </c>
      <c r="N27" s="1">
        <f t="shared" si="3"/>
        <v>44345</v>
      </c>
      <c r="O27" s="1">
        <f t="shared" si="3"/>
        <v>44346</v>
      </c>
      <c r="P27" s="1">
        <f t="shared" si="3"/>
        <v>44347</v>
      </c>
      <c r="Q27" s="1">
        <f t="shared" si="3"/>
        <v>44348</v>
      </c>
      <c r="R27" s="1">
        <f t="shared" si="3"/>
        <v>44349</v>
      </c>
      <c r="S27" s="1">
        <f t="shared" si="3"/>
        <v>44350</v>
      </c>
      <c r="T27" s="1">
        <f t="shared" si="3"/>
        <v>44351</v>
      </c>
      <c r="U27" s="1">
        <f t="shared" si="3"/>
        <v>44352</v>
      </c>
      <c r="V27" s="1">
        <f t="shared" si="3"/>
        <v>44353</v>
      </c>
      <c r="W27" s="1">
        <f t="shared" si="3"/>
        <v>44354</v>
      </c>
      <c r="X27" s="1">
        <f t="shared" si="3"/>
        <v>44355</v>
      </c>
      <c r="Y27" s="1">
        <f t="shared" si="3"/>
        <v>44356</v>
      </c>
      <c r="Z27" s="1">
        <f t="shared" si="3"/>
        <v>44357</v>
      </c>
    </row>
    <row r="28" spans="1:26" x14ac:dyDescent="0.25">
      <c r="A28" s="2" t="s">
        <v>66</v>
      </c>
      <c r="B28">
        <f>ROUNDDOWN((B5-ROUNDUP(B5*0.1,2)-ROUNDUP(B5*0.05,2))*0.8,2)</f>
        <v>0.98</v>
      </c>
      <c r="C28">
        <f t="shared" ref="C28:L28" si="4">ROUNDDOWN((C5-ROUNDUP(C5*0.1,2)-ROUNDUP(C5*0.05,2))*0.8,2)</f>
        <v>0.96</v>
      </c>
      <c r="D28">
        <f t="shared" si="4"/>
        <v>0.96</v>
      </c>
      <c r="E28">
        <f t="shared" si="4"/>
        <v>0.94</v>
      </c>
      <c r="F28">
        <f t="shared" si="4"/>
        <v>0.99</v>
      </c>
      <c r="G28">
        <f t="shared" si="4"/>
        <v>0.96</v>
      </c>
      <c r="H28">
        <f t="shared" si="4"/>
        <v>0.96</v>
      </c>
      <c r="I28">
        <f t="shared" si="4"/>
        <v>0.94</v>
      </c>
      <c r="J28">
        <f t="shared" si="4"/>
        <v>0.96</v>
      </c>
      <c r="K28">
        <f t="shared" si="4"/>
        <v>1.03</v>
      </c>
      <c r="L28">
        <f t="shared" si="4"/>
        <v>1.04</v>
      </c>
      <c r="M28">
        <f t="shared" ref="M28:Z28" si="5">ROUNDDOWN((M5-ROUNDUP(M5*0.1,2)-ROUNDUP(M5*0.05,2))*0.8,2)</f>
        <v>1.06</v>
      </c>
      <c r="N28">
        <f t="shared" si="5"/>
        <v>1.1100000000000001</v>
      </c>
      <c r="O28">
        <f t="shared" si="5"/>
        <v>1.08</v>
      </c>
      <c r="P28">
        <f t="shared" si="5"/>
        <v>1.08</v>
      </c>
      <c r="Q28">
        <f t="shared" si="5"/>
        <v>1.1100000000000001</v>
      </c>
      <c r="R28">
        <f t="shared" si="5"/>
        <v>1.07</v>
      </c>
      <c r="S28">
        <f t="shared" si="5"/>
        <v>1</v>
      </c>
      <c r="T28">
        <f t="shared" si="5"/>
        <v>0.98</v>
      </c>
      <c r="U28">
        <f t="shared" si="5"/>
        <v>0</v>
      </c>
      <c r="V28">
        <f t="shared" si="5"/>
        <v>0</v>
      </c>
      <c r="W28">
        <f t="shared" si="5"/>
        <v>0</v>
      </c>
      <c r="X28">
        <f t="shared" si="5"/>
        <v>0</v>
      </c>
      <c r="Y28">
        <f t="shared" si="5"/>
        <v>0</v>
      </c>
      <c r="Z28">
        <f t="shared" si="5"/>
        <v>0</v>
      </c>
    </row>
    <row r="29" spans="1:26" x14ac:dyDescent="0.25">
      <c r="A29" s="2" t="s">
        <v>67</v>
      </c>
      <c r="B29">
        <f t="shared" ref="B29:L41" si="6">ROUNDDOWN((B6-ROUNDUP(B6*0.1,2)-ROUNDUP(B6*0.05,2))*0.8,2)</f>
        <v>5.68</v>
      </c>
      <c r="C29">
        <f t="shared" si="6"/>
        <v>5.46</v>
      </c>
      <c r="D29">
        <f t="shared" si="6"/>
        <v>5.32</v>
      </c>
      <c r="E29">
        <f t="shared" si="6"/>
        <v>5.48</v>
      </c>
      <c r="F29">
        <f t="shared" si="6"/>
        <v>5.91</v>
      </c>
      <c r="G29">
        <f t="shared" si="6"/>
        <v>5.83</v>
      </c>
      <c r="H29">
        <f t="shared" si="6"/>
        <v>5.71</v>
      </c>
      <c r="I29">
        <f t="shared" si="6"/>
        <v>5.32</v>
      </c>
      <c r="J29">
        <f t="shared" si="6"/>
        <v>5.5</v>
      </c>
      <c r="K29">
        <f t="shared" si="6"/>
        <v>5.21</v>
      </c>
      <c r="L29">
        <f t="shared" si="6"/>
        <v>5.48</v>
      </c>
      <c r="M29">
        <f t="shared" ref="M29:Z29" si="7">ROUNDDOWN((M6-ROUNDUP(M6*0.1,2)-ROUNDUP(M6*0.05,2))*0.8,2)</f>
        <v>5.58</v>
      </c>
      <c r="N29">
        <f t="shared" si="7"/>
        <v>5.96</v>
      </c>
      <c r="O29">
        <f t="shared" si="7"/>
        <v>5.39</v>
      </c>
      <c r="P29">
        <f t="shared" si="7"/>
        <v>5.74</v>
      </c>
      <c r="Q29">
        <f t="shared" si="7"/>
        <v>5.83</v>
      </c>
      <c r="R29">
        <f t="shared" si="7"/>
        <v>5.42</v>
      </c>
      <c r="S29">
        <f t="shared" si="7"/>
        <v>5.67</v>
      </c>
      <c r="T29">
        <f t="shared" si="7"/>
        <v>5.85</v>
      </c>
      <c r="U29">
        <f t="shared" si="7"/>
        <v>0</v>
      </c>
      <c r="V29">
        <f t="shared" si="7"/>
        <v>0</v>
      </c>
      <c r="W29">
        <f t="shared" si="7"/>
        <v>0</v>
      </c>
      <c r="X29">
        <f t="shared" si="7"/>
        <v>0</v>
      </c>
      <c r="Y29">
        <f t="shared" si="7"/>
        <v>0</v>
      </c>
      <c r="Z29">
        <f t="shared" si="7"/>
        <v>0</v>
      </c>
    </row>
    <row r="30" spans="1:26" x14ac:dyDescent="0.25">
      <c r="A30" s="2" t="s">
        <v>68</v>
      </c>
      <c r="B30">
        <f t="shared" si="6"/>
        <v>1.1599999999999999</v>
      </c>
      <c r="C30">
        <f t="shared" si="6"/>
        <v>1.17</v>
      </c>
      <c r="D30">
        <f t="shared" si="6"/>
        <v>1.08</v>
      </c>
      <c r="E30">
        <f t="shared" si="6"/>
        <v>1.1599999999999999</v>
      </c>
      <c r="F30">
        <f t="shared" si="6"/>
        <v>1.1599999999999999</v>
      </c>
      <c r="G30">
        <f t="shared" si="6"/>
        <v>1.1100000000000001</v>
      </c>
      <c r="H30">
        <f t="shared" si="6"/>
        <v>1.1399999999999999</v>
      </c>
      <c r="I30">
        <f t="shared" si="6"/>
        <v>1.18</v>
      </c>
      <c r="J30">
        <f t="shared" si="6"/>
        <v>1.41</v>
      </c>
      <c r="K30">
        <f t="shared" si="6"/>
        <v>1.2</v>
      </c>
      <c r="L30">
        <f t="shared" si="6"/>
        <v>1.1599999999999999</v>
      </c>
      <c r="M30">
        <f t="shared" ref="M30:Z30" si="8">ROUNDDOWN((M7-ROUNDUP(M7*0.1,2)-ROUNDUP(M7*0.05,2))*0.8,2)</f>
        <v>1.1399999999999999</v>
      </c>
      <c r="N30">
        <f t="shared" si="8"/>
        <v>1.0900000000000001</v>
      </c>
      <c r="O30">
        <f t="shared" si="8"/>
        <v>1</v>
      </c>
      <c r="P30">
        <f t="shared" si="8"/>
        <v>1.18</v>
      </c>
      <c r="Q30">
        <f t="shared" si="8"/>
        <v>1.1499999999999999</v>
      </c>
      <c r="R30">
        <f t="shared" si="8"/>
        <v>1.1399999999999999</v>
      </c>
      <c r="S30">
        <f t="shared" si="8"/>
        <v>1.1399999999999999</v>
      </c>
      <c r="T30">
        <f t="shared" si="8"/>
        <v>1.1599999999999999</v>
      </c>
      <c r="U30">
        <f t="shared" si="8"/>
        <v>0</v>
      </c>
      <c r="V30">
        <f t="shared" si="8"/>
        <v>0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</row>
    <row r="31" spans="1:26" x14ac:dyDescent="0.25">
      <c r="A31" s="2" t="s">
        <v>69</v>
      </c>
      <c r="B31">
        <f t="shared" si="6"/>
        <v>2.98</v>
      </c>
      <c r="C31">
        <f t="shared" si="6"/>
        <v>2.82</v>
      </c>
      <c r="D31">
        <f t="shared" si="6"/>
        <v>2.96</v>
      </c>
      <c r="E31">
        <f t="shared" si="6"/>
        <v>2.94</v>
      </c>
      <c r="F31">
        <f t="shared" si="6"/>
        <v>2.56</v>
      </c>
      <c r="G31">
        <f t="shared" si="6"/>
        <v>2.94</v>
      </c>
      <c r="H31">
        <f t="shared" si="6"/>
        <v>2.68</v>
      </c>
      <c r="I31">
        <f t="shared" si="6"/>
        <v>2.89</v>
      </c>
      <c r="J31">
        <f t="shared" si="6"/>
        <v>2.74</v>
      </c>
      <c r="K31">
        <f t="shared" si="6"/>
        <v>2.57</v>
      </c>
      <c r="L31">
        <f t="shared" si="6"/>
        <v>2.66</v>
      </c>
      <c r="M31">
        <f t="shared" ref="M31:Z31" si="9">ROUNDDOWN((M8-ROUNDUP(M8*0.1,2)-ROUNDUP(M8*0.05,2))*0.8,2)</f>
        <v>2.63</v>
      </c>
      <c r="N31">
        <f t="shared" si="9"/>
        <v>2.86</v>
      </c>
      <c r="O31">
        <f t="shared" si="9"/>
        <v>2.64</v>
      </c>
      <c r="P31">
        <f t="shared" si="9"/>
        <v>2.93</v>
      </c>
      <c r="Q31">
        <f t="shared" si="9"/>
        <v>2.66</v>
      </c>
      <c r="R31">
        <f t="shared" si="9"/>
        <v>2.76</v>
      </c>
      <c r="S31">
        <f t="shared" si="9"/>
        <v>2.54</v>
      </c>
      <c r="T31">
        <f t="shared" si="9"/>
        <v>2.84</v>
      </c>
      <c r="U31">
        <f t="shared" si="9"/>
        <v>0</v>
      </c>
      <c r="V31">
        <f t="shared" si="9"/>
        <v>0</v>
      </c>
      <c r="W31">
        <f t="shared" si="9"/>
        <v>0</v>
      </c>
      <c r="X31">
        <f t="shared" si="9"/>
        <v>0</v>
      </c>
      <c r="Y31">
        <f t="shared" si="9"/>
        <v>0</v>
      </c>
      <c r="Z31">
        <f t="shared" si="9"/>
        <v>0</v>
      </c>
    </row>
    <row r="32" spans="1:26" x14ac:dyDescent="0.25">
      <c r="A32" s="2" t="s">
        <v>147</v>
      </c>
      <c r="B32">
        <f t="shared" si="6"/>
        <v>3.61</v>
      </c>
      <c r="C32">
        <f t="shared" si="6"/>
        <v>3.84</v>
      </c>
      <c r="D32">
        <f t="shared" si="6"/>
        <v>3.97</v>
      </c>
      <c r="E32">
        <f t="shared" si="6"/>
        <v>3.81</v>
      </c>
      <c r="F32">
        <f t="shared" si="6"/>
        <v>3.93</v>
      </c>
      <c r="G32">
        <f t="shared" si="6"/>
        <v>3.53</v>
      </c>
      <c r="H32">
        <f t="shared" si="6"/>
        <v>3.67</v>
      </c>
      <c r="I32">
        <f t="shared" si="6"/>
        <v>3.8</v>
      </c>
      <c r="J32">
        <f t="shared" si="6"/>
        <v>3.56</v>
      </c>
      <c r="K32">
        <f t="shared" si="6"/>
        <v>4.46</v>
      </c>
      <c r="L32">
        <f t="shared" si="6"/>
        <v>4</v>
      </c>
      <c r="M32">
        <f t="shared" ref="M32:Z32" si="10">ROUNDDOWN((M9-ROUNDUP(M9*0.1,2)-ROUNDUP(M9*0.05,2))*0.8,2)</f>
        <v>3.56</v>
      </c>
      <c r="N32">
        <f t="shared" si="10"/>
        <v>3.72</v>
      </c>
      <c r="O32">
        <f t="shared" si="10"/>
        <v>3.79</v>
      </c>
      <c r="P32">
        <f t="shared" si="10"/>
        <v>3.99</v>
      </c>
      <c r="Q32">
        <f t="shared" si="10"/>
        <v>3.75</v>
      </c>
      <c r="R32">
        <f t="shared" si="10"/>
        <v>3.84</v>
      </c>
      <c r="S32">
        <f t="shared" si="10"/>
        <v>3.4</v>
      </c>
      <c r="T32">
        <f t="shared" si="10"/>
        <v>4</v>
      </c>
      <c r="U32">
        <f t="shared" si="10"/>
        <v>0</v>
      </c>
      <c r="V32">
        <f t="shared" si="10"/>
        <v>0</v>
      </c>
      <c r="W32">
        <f t="shared" si="10"/>
        <v>0</v>
      </c>
      <c r="X32">
        <f t="shared" si="10"/>
        <v>0</v>
      </c>
      <c r="Y32">
        <f t="shared" si="10"/>
        <v>0</v>
      </c>
      <c r="Z32">
        <f t="shared" si="10"/>
        <v>0</v>
      </c>
    </row>
    <row r="33" spans="1:26" x14ac:dyDescent="0.25">
      <c r="A33" s="2" t="s">
        <v>70</v>
      </c>
      <c r="B33">
        <f t="shared" si="6"/>
        <v>2.4500000000000002</v>
      </c>
      <c r="C33">
        <f t="shared" si="6"/>
        <v>2.44</v>
      </c>
      <c r="D33">
        <f t="shared" si="6"/>
        <v>2.4500000000000002</v>
      </c>
      <c r="E33">
        <f t="shared" si="6"/>
        <v>2.36</v>
      </c>
      <c r="F33">
        <f t="shared" si="6"/>
        <v>2.6</v>
      </c>
      <c r="G33">
        <f t="shared" si="6"/>
        <v>2.4</v>
      </c>
      <c r="H33">
        <f t="shared" si="6"/>
        <v>2.42</v>
      </c>
      <c r="I33">
        <f t="shared" si="6"/>
        <v>2.4</v>
      </c>
      <c r="J33">
        <f t="shared" si="6"/>
        <v>2.54</v>
      </c>
      <c r="K33">
        <f t="shared" si="6"/>
        <v>2.57</v>
      </c>
      <c r="L33">
        <f t="shared" si="6"/>
        <v>2.36</v>
      </c>
      <c r="M33">
        <f t="shared" ref="M33:Z33" si="11">ROUNDDOWN((M10-ROUNDUP(M10*0.1,2)-ROUNDUP(M10*0.05,2))*0.8,2)</f>
        <v>2.44</v>
      </c>
      <c r="N33">
        <f t="shared" si="11"/>
        <v>2.2999999999999998</v>
      </c>
      <c r="O33">
        <f t="shared" si="11"/>
        <v>2.39</v>
      </c>
      <c r="P33">
        <f t="shared" si="11"/>
        <v>2.31</v>
      </c>
      <c r="Q33">
        <f t="shared" si="11"/>
        <v>2.36</v>
      </c>
      <c r="R33">
        <f t="shared" si="11"/>
        <v>2.2999999999999998</v>
      </c>
      <c r="S33">
        <f t="shared" si="11"/>
        <v>2.46</v>
      </c>
      <c r="T33">
        <f t="shared" si="11"/>
        <v>2.46</v>
      </c>
      <c r="U33">
        <f t="shared" si="11"/>
        <v>0</v>
      </c>
      <c r="V33">
        <f t="shared" si="11"/>
        <v>0</v>
      </c>
      <c r="W33">
        <f t="shared" si="11"/>
        <v>0</v>
      </c>
      <c r="X33">
        <f t="shared" si="11"/>
        <v>0</v>
      </c>
      <c r="Y33">
        <f t="shared" si="11"/>
        <v>0</v>
      </c>
      <c r="Z33">
        <f t="shared" si="11"/>
        <v>0</v>
      </c>
    </row>
    <row r="34" spans="1:26" x14ac:dyDescent="0.25">
      <c r="A34" s="2" t="s">
        <v>71</v>
      </c>
      <c r="B34">
        <f t="shared" si="6"/>
        <v>5.29</v>
      </c>
      <c r="C34">
        <f t="shared" si="6"/>
        <v>5.56</v>
      </c>
      <c r="D34">
        <f t="shared" si="6"/>
        <v>5.07</v>
      </c>
      <c r="E34">
        <f t="shared" si="6"/>
        <v>5.16</v>
      </c>
      <c r="F34">
        <f t="shared" si="6"/>
        <v>5.32</v>
      </c>
      <c r="G34">
        <f t="shared" si="6"/>
        <v>5.21</v>
      </c>
      <c r="H34">
        <f t="shared" si="6"/>
        <v>4.96</v>
      </c>
      <c r="I34">
        <f t="shared" si="6"/>
        <v>5.1100000000000003</v>
      </c>
      <c r="J34">
        <f t="shared" si="6"/>
        <v>5.04</v>
      </c>
      <c r="K34">
        <f t="shared" si="6"/>
        <v>5.03</v>
      </c>
      <c r="L34">
        <f t="shared" si="6"/>
        <v>5.42</v>
      </c>
      <c r="M34">
        <f t="shared" ref="M34:Z34" si="12">ROUNDDOWN((M11-ROUNDUP(M11*0.1,2)-ROUNDUP(M11*0.05,2))*0.8,2)</f>
        <v>4.82</v>
      </c>
      <c r="N34">
        <f t="shared" si="12"/>
        <v>4.96</v>
      </c>
      <c r="O34">
        <f t="shared" si="12"/>
        <v>5.18</v>
      </c>
      <c r="P34">
        <f t="shared" si="12"/>
        <v>5.07</v>
      </c>
      <c r="Q34">
        <f t="shared" si="12"/>
        <v>5.03</v>
      </c>
      <c r="R34">
        <f t="shared" si="12"/>
        <v>5.07</v>
      </c>
      <c r="S34">
        <f t="shared" si="12"/>
        <v>5.16</v>
      </c>
      <c r="T34">
        <f t="shared" si="12"/>
        <v>5.36</v>
      </c>
      <c r="U34">
        <f t="shared" si="12"/>
        <v>0</v>
      </c>
      <c r="V34">
        <f t="shared" si="12"/>
        <v>0</v>
      </c>
      <c r="W34">
        <f t="shared" si="12"/>
        <v>0</v>
      </c>
      <c r="X34">
        <f t="shared" si="12"/>
        <v>0</v>
      </c>
      <c r="Y34">
        <f t="shared" si="12"/>
        <v>0</v>
      </c>
      <c r="Z34">
        <f t="shared" si="12"/>
        <v>0</v>
      </c>
    </row>
    <row r="35" spans="1:26" x14ac:dyDescent="0.25">
      <c r="A35" s="2" t="s">
        <v>72</v>
      </c>
      <c r="B35">
        <f t="shared" si="6"/>
        <v>15.28</v>
      </c>
      <c r="C35">
        <f t="shared" si="6"/>
        <v>15.95</v>
      </c>
      <c r="D35">
        <f t="shared" si="6"/>
        <v>14.07</v>
      </c>
      <c r="E35">
        <f t="shared" si="6"/>
        <v>13.46</v>
      </c>
      <c r="F35">
        <f t="shared" si="6"/>
        <v>14.94</v>
      </c>
      <c r="G35">
        <f t="shared" si="6"/>
        <v>15.95</v>
      </c>
      <c r="H35">
        <f t="shared" si="6"/>
        <v>16.02</v>
      </c>
      <c r="I35">
        <f t="shared" si="6"/>
        <v>15.39</v>
      </c>
      <c r="J35">
        <f t="shared" si="6"/>
        <v>15.64</v>
      </c>
      <c r="K35">
        <f t="shared" si="6"/>
        <v>15.68</v>
      </c>
      <c r="L35">
        <f t="shared" si="6"/>
        <v>15.4</v>
      </c>
      <c r="M35">
        <f t="shared" ref="M35:Z35" si="13">ROUNDDOWN((M12-ROUNDUP(M12*0.1,2)-ROUNDUP(M12*0.05,2))*0.8,2)</f>
        <v>15.43</v>
      </c>
      <c r="N35">
        <f t="shared" si="13"/>
        <v>14.92</v>
      </c>
      <c r="O35">
        <f t="shared" si="13"/>
        <v>14.47</v>
      </c>
      <c r="P35">
        <f t="shared" si="13"/>
        <v>15.5</v>
      </c>
      <c r="Q35">
        <f t="shared" si="13"/>
        <v>15.43</v>
      </c>
      <c r="R35">
        <f t="shared" si="13"/>
        <v>15.49</v>
      </c>
      <c r="S35">
        <f t="shared" si="13"/>
        <v>15.55</v>
      </c>
      <c r="T35">
        <f t="shared" si="13"/>
        <v>14.72</v>
      </c>
      <c r="U35">
        <f t="shared" si="13"/>
        <v>0</v>
      </c>
      <c r="V35">
        <f t="shared" si="13"/>
        <v>0</v>
      </c>
      <c r="W35">
        <f t="shared" si="13"/>
        <v>0</v>
      </c>
      <c r="X35">
        <f t="shared" si="13"/>
        <v>0</v>
      </c>
      <c r="Y35">
        <f t="shared" si="13"/>
        <v>0</v>
      </c>
      <c r="Z35">
        <f t="shared" si="13"/>
        <v>0</v>
      </c>
    </row>
    <row r="36" spans="1:26" x14ac:dyDescent="0.25">
      <c r="A36" s="2" t="s">
        <v>73</v>
      </c>
      <c r="B36">
        <f t="shared" si="6"/>
        <v>0.34</v>
      </c>
      <c r="C36">
        <f t="shared" si="6"/>
        <v>0.32</v>
      </c>
      <c r="D36">
        <f t="shared" si="6"/>
        <v>0.36</v>
      </c>
      <c r="E36">
        <f t="shared" si="6"/>
        <v>0.36</v>
      </c>
      <c r="F36">
        <f t="shared" si="6"/>
        <v>0.35</v>
      </c>
      <c r="G36">
        <f t="shared" si="6"/>
        <v>0.4</v>
      </c>
      <c r="H36">
        <f t="shared" si="6"/>
        <v>0.51</v>
      </c>
      <c r="I36">
        <f t="shared" si="6"/>
        <v>0.52</v>
      </c>
      <c r="J36">
        <f t="shared" si="6"/>
        <v>0.55000000000000004</v>
      </c>
      <c r="K36">
        <f t="shared" si="6"/>
        <v>0.71</v>
      </c>
      <c r="L36">
        <f t="shared" si="6"/>
        <v>0.87</v>
      </c>
      <c r="M36">
        <f t="shared" ref="M36:Z36" si="14">ROUNDDOWN((M13-ROUNDUP(M13*0.1,2)-ROUNDUP(M13*0.05,2))*0.8,2)</f>
        <v>0.8</v>
      </c>
      <c r="N36">
        <f t="shared" si="14"/>
        <v>0.73</v>
      </c>
      <c r="O36">
        <f t="shared" si="14"/>
        <v>0.69</v>
      </c>
      <c r="P36">
        <f t="shared" si="14"/>
        <v>0.66</v>
      </c>
      <c r="Q36">
        <f t="shared" si="14"/>
        <v>0.62</v>
      </c>
      <c r="R36">
        <f t="shared" si="14"/>
        <v>0.67</v>
      </c>
      <c r="S36">
        <f t="shared" si="14"/>
        <v>0.72</v>
      </c>
      <c r="T36">
        <f t="shared" si="14"/>
        <v>0.82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</row>
    <row r="37" spans="1:26" x14ac:dyDescent="0.25">
      <c r="A37" s="2" t="s">
        <v>74</v>
      </c>
      <c r="B37">
        <f t="shared" si="6"/>
        <v>1.01</v>
      </c>
      <c r="C37">
        <f t="shared" si="6"/>
        <v>0.97</v>
      </c>
      <c r="D37">
        <f t="shared" si="6"/>
        <v>0.95</v>
      </c>
      <c r="E37">
        <f t="shared" si="6"/>
        <v>0.94</v>
      </c>
      <c r="F37">
        <f t="shared" si="6"/>
        <v>1.01</v>
      </c>
      <c r="G37">
        <f t="shared" si="6"/>
        <v>1.04</v>
      </c>
      <c r="H37">
        <f t="shared" si="6"/>
        <v>0.98</v>
      </c>
      <c r="I37">
        <f t="shared" si="6"/>
        <v>1.04</v>
      </c>
      <c r="J37">
        <f t="shared" si="6"/>
        <v>1.04</v>
      </c>
      <c r="K37">
        <f t="shared" si="6"/>
        <v>1.01</v>
      </c>
      <c r="L37">
        <f t="shared" si="6"/>
        <v>1</v>
      </c>
      <c r="M37">
        <f t="shared" ref="M37:Z37" si="15">ROUNDDOWN((M14-ROUNDUP(M14*0.1,2)-ROUNDUP(M14*0.05,2))*0.8,2)</f>
        <v>1.01</v>
      </c>
      <c r="N37">
        <f t="shared" si="15"/>
        <v>1.01</v>
      </c>
      <c r="O37">
        <f t="shared" si="15"/>
        <v>1.04</v>
      </c>
      <c r="P37">
        <f t="shared" si="15"/>
        <v>1.04</v>
      </c>
      <c r="Q37">
        <f t="shared" si="15"/>
        <v>1.04</v>
      </c>
      <c r="R37">
        <f t="shared" si="15"/>
        <v>1.05</v>
      </c>
      <c r="S37">
        <f t="shared" si="15"/>
        <v>1.02</v>
      </c>
      <c r="T37">
        <f t="shared" si="15"/>
        <v>0.98</v>
      </c>
      <c r="U37">
        <f t="shared" si="15"/>
        <v>0</v>
      </c>
      <c r="V37">
        <f t="shared" si="15"/>
        <v>0</v>
      </c>
      <c r="W37">
        <f t="shared" si="15"/>
        <v>0</v>
      </c>
      <c r="X37">
        <f t="shared" si="15"/>
        <v>0</v>
      </c>
      <c r="Y37">
        <f t="shared" si="15"/>
        <v>0</v>
      </c>
      <c r="Z37">
        <f t="shared" si="15"/>
        <v>0</v>
      </c>
    </row>
    <row r="38" spans="1:26" x14ac:dyDescent="0.25">
      <c r="A38" s="2" t="s">
        <v>75</v>
      </c>
      <c r="B38">
        <f t="shared" si="6"/>
        <v>0.98</v>
      </c>
      <c r="C38">
        <f t="shared" si="6"/>
        <v>0.96</v>
      </c>
      <c r="D38">
        <f t="shared" si="6"/>
        <v>1</v>
      </c>
      <c r="E38">
        <f t="shared" si="6"/>
        <v>0.98</v>
      </c>
      <c r="F38">
        <f t="shared" si="6"/>
        <v>1.03</v>
      </c>
      <c r="G38">
        <f t="shared" si="6"/>
        <v>1.03</v>
      </c>
      <c r="H38">
        <f t="shared" si="6"/>
        <v>0.97</v>
      </c>
      <c r="I38">
        <f t="shared" si="6"/>
        <v>1.03</v>
      </c>
      <c r="J38">
        <f t="shared" si="6"/>
        <v>0.98</v>
      </c>
      <c r="K38">
        <f t="shared" si="6"/>
        <v>1</v>
      </c>
      <c r="L38">
        <f t="shared" si="6"/>
        <v>1.02</v>
      </c>
      <c r="M38">
        <f t="shared" ref="M38:Z38" si="16">ROUNDDOWN((M15-ROUNDUP(M15*0.1,2)-ROUNDUP(M15*0.05,2))*0.8,2)</f>
        <v>1.01</v>
      </c>
      <c r="N38">
        <f t="shared" si="16"/>
        <v>1.05</v>
      </c>
      <c r="O38">
        <f t="shared" si="16"/>
        <v>1.04</v>
      </c>
      <c r="P38">
        <f t="shared" si="16"/>
        <v>0.94</v>
      </c>
      <c r="Q38">
        <f t="shared" si="16"/>
        <v>1.01</v>
      </c>
      <c r="R38">
        <f t="shared" si="16"/>
        <v>0.97</v>
      </c>
      <c r="S38">
        <f t="shared" si="16"/>
        <v>1.01</v>
      </c>
      <c r="T38">
        <f t="shared" si="16"/>
        <v>0.94</v>
      </c>
      <c r="U38">
        <f t="shared" si="16"/>
        <v>0</v>
      </c>
      <c r="V38">
        <f t="shared" si="16"/>
        <v>0</v>
      </c>
      <c r="W38">
        <f t="shared" si="16"/>
        <v>0</v>
      </c>
      <c r="X38">
        <f t="shared" si="16"/>
        <v>0</v>
      </c>
      <c r="Y38">
        <f t="shared" si="16"/>
        <v>0</v>
      </c>
      <c r="Z38">
        <f t="shared" si="16"/>
        <v>0</v>
      </c>
    </row>
    <row r="39" spans="1:26" x14ac:dyDescent="0.25">
      <c r="A39" s="2" t="s">
        <v>76</v>
      </c>
      <c r="B39">
        <f t="shared" si="6"/>
        <v>4.33</v>
      </c>
      <c r="C39">
        <f t="shared" si="6"/>
        <v>3.81</v>
      </c>
      <c r="D39">
        <f t="shared" si="6"/>
        <v>3.87</v>
      </c>
      <c r="E39">
        <f t="shared" si="6"/>
        <v>4.03</v>
      </c>
      <c r="F39">
        <f t="shared" si="6"/>
        <v>3.98</v>
      </c>
      <c r="G39">
        <f t="shared" si="6"/>
        <v>4.2</v>
      </c>
      <c r="H39">
        <f t="shared" si="6"/>
        <v>4.01</v>
      </c>
      <c r="I39">
        <f t="shared" si="6"/>
        <v>4.2</v>
      </c>
      <c r="J39">
        <f t="shared" si="6"/>
        <v>3.96</v>
      </c>
      <c r="K39">
        <f t="shared" si="6"/>
        <v>3.98</v>
      </c>
      <c r="L39">
        <f t="shared" si="6"/>
        <v>4.12</v>
      </c>
      <c r="M39">
        <f t="shared" ref="M39:Z39" si="17">ROUNDDOWN((M16-ROUNDUP(M16*0.1,2)-ROUNDUP(M16*0.05,2))*0.8,2)</f>
        <v>3.92</v>
      </c>
      <c r="N39">
        <f t="shared" si="17"/>
        <v>4.03</v>
      </c>
      <c r="O39">
        <f t="shared" si="17"/>
        <v>3.92</v>
      </c>
      <c r="P39">
        <f t="shared" si="17"/>
        <v>4.25</v>
      </c>
      <c r="Q39">
        <f t="shared" si="17"/>
        <v>4.09</v>
      </c>
      <c r="R39">
        <f t="shared" si="17"/>
        <v>4.16</v>
      </c>
      <c r="S39">
        <f t="shared" si="17"/>
        <v>3.9</v>
      </c>
      <c r="T39">
        <f t="shared" si="17"/>
        <v>4.01</v>
      </c>
      <c r="U39">
        <f t="shared" si="17"/>
        <v>0</v>
      </c>
      <c r="V39">
        <f t="shared" si="17"/>
        <v>0</v>
      </c>
      <c r="W39">
        <f t="shared" si="17"/>
        <v>0</v>
      </c>
      <c r="X39">
        <f t="shared" si="17"/>
        <v>0</v>
      </c>
      <c r="Y39">
        <f t="shared" si="17"/>
        <v>0</v>
      </c>
      <c r="Z39">
        <f t="shared" si="17"/>
        <v>0</v>
      </c>
    </row>
    <row r="40" spans="1:26" x14ac:dyDescent="0.25">
      <c r="A40" s="2" t="s">
        <v>77</v>
      </c>
      <c r="B40">
        <f t="shared" si="6"/>
        <v>0.74</v>
      </c>
      <c r="C40">
        <f t="shared" si="6"/>
        <v>0.69</v>
      </c>
      <c r="D40">
        <f t="shared" si="6"/>
        <v>0.66</v>
      </c>
      <c r="E40">
        <f t="shared" si="6"/>
        <v>0.62</v>
      </c>
      <c r="F40">
        <f t="shared" si="6"/>
        <v>0.59</v>
      </c>
      <c r="G40">
        <f t="shared" si="6"/>
        <v>0.66</v>
      </c>
      <c r="H40">
        <f t="shared" si="6"/>
        <v>0.63</v>
      </c>
      <c r="I40">
        <f t="shared" si="6"/>
        <v>0.62</v>
      </c>
      <c r="J40">
        <f t="shared" si="6"/>
        <v>0.64</v>
      </c>
      <c r="K40">
        <f t="shared" si="6"/>
        <v>0.62</v>
      </c>
      <c r="L40">
        <f t="shared" si="6"/>
        <v>0.66</v>
      </c>
      <c r="M40">
        <f t="shared" ref="M40:Z40" si="18">ROUNDDOWN((M17-ROUNDUP(M17*0.1,2)-ROUNDUP(M17*0.05,2))*0.8,2)</f>
        <v>0.66</v>
      </c>
      <c r="N40">
        <f t="shared" si="18"/>
        <v>0.59</v>
      </c>
      <c r="O40">
        <f t="shared" si="18"/>
        <v>0.57999999999999996</v>
      </c>
      <c r="P40">
        <f t="shared" si="18"/>
        <v>0.56000000000000005</v>
      </c>
      <c r="Q40">
        <f t="shared" si="18"/>
        <v>0.56000000000000005</v>
      </c>
      <c r="R40">
        <f t="shared" si="18"/>
        <v>0.61</v>
      </c>
      <c r="S40">
        <f t="shared" si="18"/>
        <v>0.56999999999999995</v>
      </c>
      <c r="T40">
        <f t="shared" si="18"/>
        <v>0.6</v>
      </c>
      <c r="U40">
        <f t="shared" si="18"/>
        <v>0</v>
      </c>
      <c r="V40">
        <f t="shared" si="18"/>
        <v>0</v>
      </c>
      <c r="W40">
        <f t="shared" si="18"/>
        <v>0</v>
      </c>
      <c r="X40">
        <f t="shared" si="18"/>
        <v>0</v>
      </c>
      <c r="Y40">
        <f t="shared" si="18"/>
        <v>0</v>
      </c>
      <c r="Z40">
        <f t="shared" si="18"/>
        <v>0</v>
      </c>
    </row>
    <row r="41" spans="1:26" x14ac:dyDescent="0.25">
      <c r="A41" s="2" t="s">
        <v>78</v>
      </c>
      <c r="B41">
        <f t="shared" si="6"/>
        <v>0.54</v>
      </c>
      <c r="C41">
        <f t="shared" si="6"/>
        <v>0.55000000000000004</v>
      </c>
      <c r="D41">
        <f t="shared" si="6"/>
        <v>0.54</v>
      </c>
      <c r="E41">
        <f t="shared" si="6"/>
        <v>0.51</v>
      </c>
      <c r="F41">
        <f t="shared" si="6"/>
        <v>0.54</v>
      </c>
      <c r="G41">
        <f t="shared" si="6"/>
        <v>0.55000000000000004</v>
      </c>
      <c r="H41">
        <f t="shared" si="6"/>
        <v>0.56000000000000005</v>
      </c>
      <c r="I41">
        <f t="shared" si="6"/>
        <v>0.56000000000000005</v>
      </c>
      <c r="J41">
        <f t="shared" si="6"/>
        <v>0.56000000000000005</v>
      </c>
      <c r="K41">
        <f t="shared" si="6"/>
        <v>0.55000000000000004</v>
      </c>
      <c r="L41">
        <f t="shared" si="6"/>
        <v>0.56000000000000005</v>
      </c>
      <c r="M41">
        <f t="shared" ref="M41:Z41" si="19">ROUNDDOWN((M18-ROUNDUP(M18*0.1,2)-ROUNDUP(M18*0.05,2))*0.8,2)</f>
        <v>0.56000000000000005</v>
      </c>
      <c r="N41">
        <f t="shared" si="19"/>
        <v>0.57999999999999996</v>
      </c>
      <c r="O41">
        <f t="shared" si="19"/>
        <v>0.56000000000000005</v>
      </c>
      <c r="P41">
        <f t="shared" si="19"/>
        <v>0.55000000000000004</v>
      </c>
      <c r="Q41">
        <f t="shared" si="19"/>
        <v>0.56000000000000005</v>
      </c>
      <c r="R41">
        <f t="shared" si="19"/>
        <v>0.55000000000000004</v>
      </c>
      <c r="S41">
        <f t="shared" si="19"/>
        <v>0.5</v>
      </c>
      <c r="T41">
        <f t="shared" si="19"/>
        <v>0.53</v>
      </c>
      <c r="U41">
        <f t="shared" si="19"/>
        <v>0</v>
      </c>
      <c r="V41">
        <f t="shared" si="19"/>
        <v>0</v>
      </c>
      <c r="W41">
        <f t="shared" si="19"/>
        <v>0</v>
      </c>
      <c r="X41">
        <f t="shared" si="19"/>
        <v>0</v>
      </c>
      <c r="Y41">
        <f t="shared" si="19"/>
        <v>0</v>
      </c>
      <c r="Z41">
        <f t="shared" si="19"/>
        <v>0</v>
      </c>
    </row>
    <row r="43" spans="1:26" x14ac:dyDescent="0.25">
      <c r="B43" s="2">
        <f>SUM(B28:B41)</f>
        <v>45.37</v>
      </c>
      <c r="C43" s="2">
        <f t="shared" ref="C43:E43" si="20">SUM(C28:C41)</f>
        <v>45.5</v>
      </c>
      <c r="D43" s="2">
        <f t="shared" si="20"/>
        <v>43.26</v>
      </c>
      <c r="E43" s="2">
        <f t="shared" si="20"/>
        <v>42.749999999999993</v>
      </c>
      <c r="F43" s="2">
        <f t="shared" ref="F43:L43" si="21">SUM(F28:F41)</f>
        <v>44.910000000000004</v>
      </c>
      <c r="G43" s="2">
        <f t="shared" si="21"/>
        <v>45.809999999999995</v>
      </c>
      <c r="H43" s="2">
        <f t="shared" si="21"/>
        <v>45.22</v>
      </c>
      <c r="I43" s="2">
        <f t="shared" si="21"/>
        <v>45.000000000000007</v>
      </c>
      <c r="J43" s="2">
        <f t="shared" si="21"/>
        <v>45.12</v>
      </c>
      <c r="K43" s="2">
        <f t="shared" si="21"/>
        <v>45.61999999999999</v>
      </c>
      <c r="L43" s="2">
        <f t="shared" si="21"/>
        <v>45.749999999999993</v>
      </c>
      <c r="M43" s="2">
        <f t="shared" ref="M43:Z43" si="22">SUM(M28:M41)</f>
        <v>44.61999999999999</v>
      </c>
      <c r="N43" s="2">
        <f t="shared" si="22"/>
        <v>44.91</v>
      </c>
      <c r="O43" s="2">
        <f t="shared" si="22"/>
        <v>43.769999999999996</v>
      </c>
      <c r="P43" s="2">
        <f t="shared" si="22"/>
        <v>45.79999999999999</v>
      </c>
      <c r="Q43" s="2">
        <f t="shared" si="22"/>
        <v>45.2</v>
      </c>
      <c r="R43" s="2">
        <f t="shared" si="22"/>
        <v>45.099999999999994</v>
      </c>
      <c r="S43" s="2">
        <f t="shared" si="22"/>
        <v>44.64</v>
      </c>
      <c r="T43" s="2">
        <f t="shared" si="22"/>
        <v>45.249999999999993</v>
      </c>
      <c r="U43" s="2">
        <f t="shared" si="22"/>
        <v>0</v>
      </c>
      <c r="V43" s="2">
        <f t="shared" si="22"/>
        <v>0</v>
      </c>
      <c r="W43" s="2">
        <f t="shared" si="22"/>
        <v>0</v>
      </c>
      <c r="X43" s="2">
        <f t="shared" si="22"/>
        <v>0</v>
      </c>
      <c r="Y43" s="2">
        <f t="shared" si="22"/>
        <v>0</v>
      </c>
      <c r="Z43" s="2">
        <f t="shared" si="22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FF73-1AF2-418B-82A5-A93421F980E4}">
  <dimension ref="A1:AB43"/>
  <sheetViews>
    <sheetView zoomScale="80" zoomScaleNormal="80" workbookViewId="0">
      <pane xSplit="1" topLeftCell="M1" activePane="topRight" state="frozen"/>
      <selection pane="topRight" activeCell="T6" sqref="T6"/>
    </sheetView>
  </sheetViews>
  <sheetFormatPr defaultRowHeight="15" x14ac:dyDescent="0.25"/>
  <cols>
    <col min="1" max="1" width="34.140625" customWidth="1"/>
    <col min="2" max="46" width="12" customWidth="1"/>
  </cols>
  <sheetData>
    <row r="1" spans="1:28" ht="31.5" x14ac:dyDescent="0.5">
      <c r="A1" s="4" t="s">
        <v>8</v>
      </c>
    </row>
    <row r="3" spans="1:28" x14ac:dyDescent="0.25">
      <c r="A3" t="s">
        <v>12</v>
      </c>
    </row>
    <row r="4" spans="1:28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/>
      <c r="AB4" s="1"/>
    </row>
    <row r="5" spans="1:28" x14ac:dyDescent="0.25">
      <c r="A5" s="2" t="s">
        <v>79</v>
      </c>
      <c r="B5">
        <v>0.88</v>
      </c>
      <c r="C5">
        <v>0.93</v>
      </c>
      <c r="D5">
        <v>0.94</v>
      </c>
      <c r="E5">
        <v>0.89</v>
      </c>
      <c r="F5">
        <v>0.92</v>
      </c>
      <c r="G5">
        <v>0.93</v>
      </c>
      <c r="H5">
        <v>0.93</v>
      </c>
      <c r="I5">
        <v>0.96</v>
      </c>
      <c r="J5">
        <v>0.97</v>
      </c>
      <c r="K5">
        <v>0.97</v>
      </c>
      <c r="L5">
        <v>1.03</v>
      </c>
      <c r="M5">
        <v>1.04</v>
      </c>
      <c r="N5">
        <v>0.97</v>
      </c>
      <c r="O5">
        <v>0.93</v>
      </c>
      <c r="P5">
        <v>0.95</v>
      </c>
      <c r="Q5">
        <v>0.84</v>
      </c>
      <c r="R5">
        <v>0.87</v>
      </c>
      <c r="S5">
        <v>0.95</v>
      </c>
      <c r="T5">
        <v>0.93</v>
      </c>
    </row>
    <row r="6" spans="1:28" x14ac:dyDescent="0.25">
      <c r="A6" s="2" t="s">
        <v>80</v>
      </c>
      <c r="B6">
        <v>5.92</v>
      </c>
      <c r="C6">
        <v>5.49</v>
      </c>
      <c r="D6">
        <v>5.64</v>
      </c>
      <c r="E6">
        <v>5.75</v>
      </c>
      <c r="F6">
        <v>5.59</v>
      </c>
      <c r="G6">
        <v>5.93</v>
      </c>
      <c r="H6">
        <v>5.7</v>
      </c>
      <c r="I6">
        <v>5.9</v>
      </c>
      <c r="J6">
        <v>5.59</v>
      </c>
      <c r="K6">
        <v>5.82</v>
      </c>
      <c r="L6">
        <v>5.41</v>
      </c>
      <c r="M6">
        <v>5.44</v>
      </c>
      <c r="N6">
        <v>5.83</v>
      </c>
      <c r="O6">
        <v>5.8</v>
      </c>
      <c r="P6">
        <v>5.9</v>
      </c>
      <c r="Q6">
        <v>5.9</v>
      </c>
      <c r="R6">
        <v>6.17</v>
      </c>
      <c r="S6">
        <v>5.99</v>
      </c>
      <c r="T6">
        <v>6.35</v>
      </c>
    </row>
    <row r="7" spans="1:28" x14ac:dyDescent="0.25">
      <c r="A7" s="2" t="s">
        <v>81</v>
      </c>
      <c r="B7">
        <v>3.12</v>
      </c>
      <c r="C7">
        <v>2.89</v>
      </c>
      <c r="D7">
        <v>2.5</v>
      </c>
      <c r="E7">
        <v>2.6</v>
      </c>
      <c r="F7">
        <v>2.8</v>
      </c>
      <c r="G7">
        <v>3.02</v>
      </c>
      <c r="H7">
        <v>2.69</v>
      </c>
      <c r="I7">
        <v>2.81</v>
      </c>
      <c r="J7">
        <v>2.8</v>
      </c>
      <c r="K7">
        <v>2.84</v>
      </c>
      <c r="L7">
        <v>2.82</v>
      </c>
      <c r="M7">
        <v>2.83</v>
      </c>
      <c r="N7">
        <v>2.82</v>
      </c>
      <c r="O7">
        <v>2.91</v>
      </c>
      <c r="P7">
        <v>2.93</v>
      </c>
      <c r="Q7">
        <v>2.91</v>
      </c>
      <c r="R7">
        <v>3</v>
      </c>
      <c r="S7">
        <v>2.76</v>
      </c>
      <c r="T7">
        <v>3</v>
      </c>
    </row>
    <row r="8" spans="1:28" x14ac:dyDescent="0.25">
      <c r="A8" s="2" t="s">
        <v>82</v>
      </c>
      <c r="B8">
        <v>7.22</v>
      </c>
      <c r="C8">
        <v>7.74</v>
      </c>
      <c r="D8">
        <v>6.67</v>
      </c>
      <c r="E8">
        <v>6.74</v>
      </c>
      <c r="F8">
        <v>6.72</v>
      </c>
      <c r="G8">
        <v>6.86</v>
      </c>
      <c r="H8">
        <v>6.36</v>
      </c>
      <c r="I8">
        <v>7.02</v>
      </c>
      <c r="J8">
        <v>7.16</v>
      </c>
      <c r="K8">
        <v>7.02</v>
      </c>
      <c r="L8">
        <v>7.25</v>
      </c>
      <c r="M8">
        <v>7.31</v>
      </c>
      <c r="N8">
        <v>7.05</v>
      </c>
      <c r="O8">
        <v>6.58</v>
      </c>
      <c r="P8">
        <v>6.44</v>
      </c>
      <c r="Q8">
        <v>7.54</v>
      </c>
      <c r="R8">
        <v>7.54</v>
      </c>
      <c r="S8">
        <v>7.63</v>
      </c>
      <c r="T8">
        <v>7.36</v>
      </c>
    </row>
    <row r="9" spans="1:28" x14ac:dyDescent="0.25">
      <c r="A9" s="2" t="s">
        <v>83</v>
      </c>
      <c r="B9">
        <v>0.36</v>
      </c>
      <c r="C9">
        <v>0.34</v>
      </c>
      <c r="D9">
        <v>0.35</v>
      </c>
      <c r="E9">
        <v>0.32</v>
      </c>
      <c r="F9">
        <v>0.35</v>
      </c>
      <c r="G9">
        <v>0.32</v>
      </c>
      <c r="H9">
        <v>0.32</v>
      </c>
      <c r="I9">
        <v>0.34</v>
      </c>
      <c r="J9">
        <v>0.38</v>
      </c>
      <c r="K9">
        <v>0.35</v>
      </c>
      <c r="L9">
        <v>0.35</v>
      </c>
      <c r="M9">
        <v>0.35</v>
      </c>
      <c r="N9">
        <v>0.32</v>
      </c>
      <c r="O9">
        <v>0.35</v>
      </c>
      <c r="P9">
        <v>0.3</v>
      </c>
      <c r="Q9">
        <v>0.32</v>
      </c>
      <c r="R9">
        <v>0.35</v>
      </c>
      <c r="S9">
        <v>0.35</v>
      </c>
      <c r="T9">
        <v>0.31</v>
      </c>
    </row>
    <row r="10" spans="1:28" x14ac:dyDescent="0.25">
      <c r="A10" s="2" t="s">
        <v>84</v>
      </c>
      <c r="B10">
        <v>0.82</v>
      </c>
      <c r="C10">
        <v>0.77</v>
      </c>
      <c r="D10">
        <v>0.8</v>
      </c>
      <c r="E10">
        <v>0.78</v>
      </c>
      <c r="F10">
        <v>0.76</v>
      </c>
      <c r="G10">
        <v>0.76</v>
      </c>
      <c r="H10">
        <v>0.78</v>
      </c>
      <c r="I10">
        <v>0.73</v>
      </c>
      <c r="J10">
        <v>0.75</v>
      </c>
      <c r="K10">
        <v>0.74</v>
      </c>
      <c r="L10">
        <v>0.77</v>
      </c>
      <c r="M10">
        <v>0.78</v>
      </c>
      <c r="N10">
        <v>0.84</v>
      </c>
      <c r="O10">
        <v>0.83</v>
      </c>
      <c r="P10">
        <v>0.92</v>
      </c>
      <c r="Q10">
        <v>0.83</v>
      </c>
      <c r="R10">
        <v>0.85</v>
      </c>
      <c r="S10">
        <v>0.82</v>
      </c>
      <c r="T10">
        <v>0.8</v>
      </c>
    </row>
    <row r="11" spans="1:28" x14ac:dyDescent="0.25">
      <c r="A11" s="2" t="s">
        <v>85</v>
      </c>
      <c r="B11">
        <v>0.35</v>
      </c>
      <c r="C11">
        <v>0.34</v>
      </c>
      <c r="D11">
        <v>0.34</v>
      </c>
      <c r="E11">
        <v>0.34</v>
      </c>
      <c r="F11">
        <v>0.31</v>
      </c>
      <c r="G11">
        <v>0.3</v>
      </c>
      <c r="H11">
        <v>0.3</v>
      </c>
      <c r="I11">
        <v>0.31</v>
      </c>
      <c r="J11">
        <v>0.34</v>
      </c>
      <c r="K11">
        <v>0.34</v>
      </c>
      <c r="L11">
        <v>0.32</v>
      </c>
      <c r="M11">
        <v>0.31</v>
      </c>
      <c r="N11">
        <v>0.31</v>
      </c>
      <c r="O11">
        <v>0.31</v>
      </c>
      <c r="P11">
        <v>0.32</v>
      </c>
      <c r="Q11">
        <v>0.3</v>
      </c>
      <c r="R11">
        <v>0.31</v>
      </c>
      <c r="S11">
        <v>0.32</v>
      </c>
      <c r="T11">
        <v>0.3</v>
      </c>
    </row>
    <row r="12" spans="1:28" x14ac:dyDescent="0.25">
      <c r="A12" s="2" t="s">
        <v>86</v>
      </c>
      <c r="B12">
        <v>3.61</v>
      </c>
      <c r="C12">
        <v>3.49</v>
      </c>
      <c r="D12">
        <v>3.47</v>
      </c>
      <c r="E12">
        <v>3.92</v>
      </c>
      <c r="F12">
        <v>3.58</v>
      </c>
      <c r="G12">
        <v>3.49</v>
      </c>
      <c r="H12">
        <v>3.49</v>
      </c>
      <c r="I12">
        <v>3.49</v>
      </c>
      <c r="J12">
        <v>3.05</v>
      </c>
      <c r="K12">
        <v>3.46</v>
      </c>
      <c r="L12">
        <v>3.46</v>
      </c>
      <c r="M12">
        <v>4.21</v>
      </c>
      <c r="N12">
        <v>3.94</v>
      </c>
      <c r="O12">
        <v>3.62</v>
      </c>
      <c r="P12">
        <v>3.86</v>
      </c>
      <c r="Q12">
        <v>3.8</v>
      </c>
      <c r="R12">
        <v>3.8</v>
      </c>
      <c r="S12">
        <v>3.72</v>
      </c>
      <c r="T12">
        <v>3.1</v>
      </c>
    </row>
    <row r="13" spans="1:28" x14ac:dyDescent="0.25">
      <c r="A13" s="2" t="s">
        <v>87</v>
      </c>
      <c r="B13">
        <v>0.3</v>
      </c>
      <c r="C13">
        <v>0.3</v>
      </c>
      <c r="D13">
        <v>0.34</v>
      </c>
      <c r="E13">
        <v>0.34</v>
      </c>
      <c r="F13">
        <v>0.32</v>
      </c>
      <c r="G13">
        <v>0.36</v>
      </c>
      <c r="H13">
        <v>0.34</v>
      </c>
      <c r="I13">
        <v>0.3</v>
      </c>
      <c r="J13">
        <v>0.34</v>
      </c>
      <c r="K13">
        <v>0.32</v>
      </c>
      <c r="L13">
        <v>0.34</v>
      </c>
      <c r="M13">
        <v>0.3</v>
      </c>
      <c r="N13">
        <v>0.31</v>
      </c>
      <c r="O13">
        <v>0.32</v>
      </c>
      <c r="P13">
        <v>0.3</v>
      </c>
      <c r="Q13">
        <v>0.32</v>
      </c>
      <c r="R13">
        <v>0.32</v>
      </c>
      <c r="S13">
        <v>0.28999999999999998</v>
      </c>
      <c r="T13">
        <v>0.28999999999999998</v>
      </c>
    </row>
    <row r="14" spans="1:28" x14ac:dyDescent="0.25">
      <c r="A14" s="2" t="s">
        <v>88</v>
      </c>
      <c r="B14">
        <v>0.89</v>
      </c>
      <c r="C14">
        <v>0.88</v>
      </c>
      <c r="D14">
        <v>0.96</v>
      </c>
      <c r="E14">
        <v>0.92</v>
      </c>
      <c r="F14">
        <v>0.87</v>
      </c>
      <c r="G14">
        <v>0.92</v>
      </c>
      <c r="H14">
        <v>0.86</v>
      </c>
      <c r="I14">
        <v>0.87</v>
      </c>
      <c r="J14">
        <v>0.88</v>
      </c>
      <c r="K14">
        <v>0.94</v>
      </c>
      <c r="L14">
        <v>0.93</v>
      </c>
      <c r="M14">
        <v>0.84</v>
      </c>
      <c r="N14">
        <v>0.87</v>
      </c>
      <c r="O14">
        <v>0.86</v>
      </c>
      <c r="P14">
        <v>0.93</v>
      </c>
      <c r="Q14">
        <v>0.82</v>
      </c>
      <c r="R14">
        <v>0.88</v>
      </c>
      <c r="S14">
        <v>0.77</v>
      </c>
      <c r="T14">
        <v>0.89</v>
      </c>
    </row>
    <row r="15" spans="1:28" x14ac:dyDescent="0.25">
      <c r="A15" s="2"/>
    </row>
    <row r="16" spans="1:28" x14ac:dyDescent="0.25">
      <c r="A16" s="2"/>
      <c r="B16" s="2">
        <f>SUM(B5:B14)</f>
        <v>23.470000000000002</v>
      </c>
      <c r="C16" s="2">
        <f t="shared" ref="C16:L16" si="0">SUM(C5:C14)</f>
        <v>23.17</v>
      </c>
      <c r="D16" s="2">
        <f t="shared" si="0"/>
        <v>22.01</v>
      </c>
      <c r="E16" s="2">
        <f t="shared" si="0"/>
        <v>22.600000000000005</v>
      </c>
      <c r="F16" s="2">
        <f t="shared" si="0"/>
        <v>22.220000000000002</v>
      </c>
      <c r="G16" s="2">
        <f t="shared" si="0"/>
        <v>22.89</v>
      </c>
      <c r="H16" s="2">
        <f t="shared" si="0"/>
        <v>21.77</v>
      </c>
      <c r="I16" s="2">
        <f t="shared" si="0"/>
        <v>22.729999999999997</v>
      </c>
      <c r="J16" s="2">
        <f t="shared" si="0"/>
        <v>22.259999999999998</v>
      </c>
      <c r="K16" s="2">
        <f t="shared" si="0"/>
        <v>22.8</v>
      </c>
      <c r="L16" s="2">
        <f t="shared" si="0"/>
        <v>22.68</v>
      </c>
      <c r="M16" s="2">
        <f t="shared" ref="M16:Z16" si="1">SUM(M5:M14)</f>
        <v>23.410000000000004</v>
      </c>
      <c r="N16" s="2">
        <f t="shared" si="1"/>
        <v>23.259999999999998</v>
      </c>
      <c r="O16" s="2">
        <f t="shared" si="1"/>
        <v>22.509999999999998</v>
      </c>
      <c r="P16" s="2">
        <f t="shared" si="1"/>
        <v>22.850000000000005</v>
      </c>
      <c r="Q16" s="2">
        <f t="shared" si="1"/>
        <v>23.580000000000002</v>
      </c>
      <c r="R16" s="2">
        <f t="shared" si="1"/>
        <v>24.09</v>
      </c>
      <c r="S16" s="2">
        <f t="shared" si="1"/>
        <v>23.599999999999998</v>
      </c>
      <c r="T16" s="2">
        <f t="shared" si="1"/>
        <v>23.330000000000002</v>
      </c>
      <c r="U16" s="2">
        <f t="shared" si="1"/>
        <v>0</v>
      </c>
      <c r="V16" s="2">
        <f t="shared" si="1"/>
        <v>0</v>
      </c>
      <c r="W16" s="2">
        <f t="shared" si="1"/>
        <v>0</v>
      </c>
      <c r="X16" s="2">
        <f t="shared" si="1"/>
        <v>0</v>
      </c>
      <c r="Y16" s="2">
        <f t="shared" si="1"/>
        <v>0</v>
      </c>
      <c r="Z16" s="2">
        <f t="shared" si="1"/>
        <v>0</v>
      </c>
    </row>
    <row r="17" spans="1:26" x14ac:dyDescent="0.25">
      <c r="A17" s="2"/>
    </row>
    <row r="18" spans="1:26" x14ac:dyDescent="0.25">
      <c r="A18" s="2"/>
    </row>
    <row r="20" spans="1:26" ht="21" x14ac:dyDescent="0.35">
      <c r="A20" s="5" t="s">
        <v>33</v>
      </c>
      <c r="B20" s="2"/>
      <c r="C20" s="2"/>
      <c r="D20" s="2"/>
      <c r="E20" s="2"/>
    </row>
    <row r="22" spans="1:26" x14ac:dyDescent="0.25">
      <c r="A22" t="s">
        <v>12</v>
      </c>
    </row>
    <row r="23" spans="1:26" x14ac:dyDescent="0.25">
      <c r="B23" s="1">
        <f>B4</f>
        <v>44331</v>
      </c>
      <c r="C23" s="1">
        <f t="shared" ref="C23:L23" si="2">C4</f>
        <v>44332</v>
      </c>
      <c r="D23" s="1">
        <f t="shared" si="2"/>
        <v>44334</v>
      </c>
      <c r="E23" s="1">
        <f t="shared" si="2"/>
        <v>44336</v>
      </c>
      <c r="F23" s="1">
        <f t="shared" si="2"/>
        <v>44337</v>
      </c>
      <c r="G23" s="1">
        <f t="shared" si="2"/>
        <v>44338</v>
      </c>
      <c r="H23" s="1">
        <f t="shared" si="2"/>
        <v>44339</v>
      </c>
      <c r="I23" s="1">
        <f t="shared" si="2"/>
        <v>44340</v>
      </c>
      <c r="J23" s="1">
        <f t="shared" si="2"/>
        <v>44341</v>
      </c>
      <c r="K23" s="1">
        <f t="shared" si="2"/>
        <v>44342</v>
      </c>
      <c r="L23" s="1">
        <f t="shared" si="2"/>
        <v>44343</v>
      </c>
      <c r="M23" s="1">
        <f t="shared" ref="M23:Z23" si="3">M4</f>
        <v>44344</v>
      </c>
      <c r="N23" s="1">
        <f t="shared" si="3"/>
        <v>44345</v>
      </c>
      <c r="O23" s="1">
        <f t="shared" si="3"/>
        <v>44346</v>
      </c>
      <c r="P23" s="1">
        <f t="shared" si="3"/>
        <v>44347</v>
      </c>
      <c r="Q23" s="1">
        <f t="shared" si="3"/>
        <v>44348</v>
      </c>
      <c r="R23" s="1">
        <f t="shared" si="3"/>
        <v>44349</v>
      </c>
      <c r="S23" s="1">
        <f t="shared" si="3"/>
        <v>44350</v>
      </c>
      <c r="T23" s="1">
        <f t="shared" si="3"/>
        <v>44351</v>
      </c>
      <c r="U23" s="1">
        <f t="shared" si="3"/>
        <v>44352</v>
      </c>
      <c r="V23" s="1">
        <f t="shared" si="3"/>
        <v>44353</v>
      </c>
      <c r="W23" s="1">
        <f t="shared" si="3"/>
        <v>44354</v>
      </c>
      <c r="X23" s="1">
        <f t="shared" si="3"/>
        <v>44355</v>
      </c>
      <c r="Y23" s="1">
        <f t="shared" si="3"/>
        <v>44356</v>
      </c>
      <c r="Z23" s="1">
        <f t="shared" si="3"/>
        <v>44357</v>
      </c>
    </row>
    <row r="24" spans="1:26" x14ac:dyDescent="0.25">
      <c r="A24" s="2" t="s">
        <v>79</v>
      </c>
      <c r="B24">
        <f>ROUNDDOWN((B5-ROUNDUP(B5*0.1,2)-ROUNDUP(B5*0.05,2))*0.8,2)</f>
        <v>0.59</v>
      </c>
      <c r="C24">
        <f t="shared" ref="C24:L24" si="4">ROUNDDOWN((C5-ROUNDUP(C5*0.1,2)-ROUNDUP(C5*0.05,2))*0.8,2)</f>
        <v>0.62</v>
      </c>
      <c r="D24">
        <f t="shared" si="4"/>
        <v>0.63</v>
      </c>
      <c r="E24">
        <f t="shared" si="4"/>
        <v>0.6</v>
      </c>
      <c r="F24">
        <f t="shared" si="4"/>
        <v>0.61</v>
      </c>
      <c r="G24">
        <f t="shared" si="4"/>
        <v>0.62</v>
      </c>
      <c r="H24">
        <f t="shared" si="4"/>
        <v>0.62</v>
      </c>
      <c r="I24">
        <f t="shared" si="4"/>
        <v>0.64</v>
      </c>
      <c r="J24">
        <f t="shared" si="4"/>
        <v>0.65</v>
      </c>
      <c r="K24">
        <f t="shared" si="4"/>
        <v>0.65</v>
      </c>
      <c r="L24">
        <f t="shared" si="4"/>
        <v>0.68</v>
      </c>
      <c r="M24">
        <f t="shared" ref="M24:Z24" si="5">ROUNDDOWN((M5-ROUNDUP(M5*0.1,2)-ROUNDUP(M5*0.05,2))*0.8,2)</f>
        <v>0.69</v>
      </c>
      <c r="N24">
        <f t="shared" si="5"/>
        <v>0.65</v>
      </c>
      <c r="O24">
        <f t="shared" si="5"/>
        <v>0.62</v>
      </c>
      <c r="P24">
        <f t="shared" si="5"/>
        <v>0.64</v>
      </c>
      <c r="Q24">
        <f t="shared" si="5"/>
        <v>0.56000000000000005</v>
      </c>
      <c r="R24">
        <f t="shared" si="5"/>
        <v>0.57999999999999996</v>
      </c>
      <c r="S24">
        <f t="shared" si="5"/>
        <v>0.64</v>
      </c>
      <c r="T24">
        <f t="shared" si="5"/>
        <v>0.62</v>
      </c>
      <c r="U24">
        <f t="shared" si="5"/>
        <v>0</v>
      </c>
      <c r="V24">
        <f t="shared" si="5"/>
        <v>0</v>
      </c>
      <c r="W24">
        <f t="shared" si="5"/>
        <v>0</v>
      </c>
      <c r="X24">
        <f t="shared" si="5"/>
        <v>0</v>
      </c>
      <c r="Y24">
        <f t="shared" si="5"/>
        <v>0</v>
      </c>
      <c r="Z24">
        <f t="shared" si="5"/>
        <v>0</v>
      </c>
    </row>
    <row r="25" spans="1:26" x14ac:dyDescent="0.25">
      <c r="A25" s="2" t="s">
        <v>80</v>
      </c>
      <c r="B25">
        <f t="shared" ref="B25:L33" si="6">ROUNDDOWN((B6-ROUNDUP(B6*0.1,2)-ROUNDUP(B6*0.05,2))*0.8,2)</f>
        <v>4.01</v>
      </c>
      <c r="C25">
        <f t="shared" si="6"/>
        <v>3.72</v>
      </c>
      <c r="D25">
        <f t="shared" si="6"/>
        <v>3.82</v>
      </c>
      <c r="E25">
        <f t="shared" si="6"/>
        <v>3.9</v>
      </c>
      <c r="F25">
        <f t="shared" si="6"/>
        <v>3.8</v>
      </c>
      <c r="G25">
        <f t="shared" si="6"/>
        <v>4.0199999999999996</v>
      </c>
      <c r="H25">
        <f t="shared" si="6"/>
        <v>3.87</v>
      </c>
      <c r="I25">
        <f t="shared" si="6"/>
        <v>4</v>
      </c>
      <c r="J25">
        <f t="shared" si="6"/>
        <v>3.8</v>
      </c>
      <c r="K25">
        <f t="shared" si="6"/>
        <v>3.94</v>
      </c>
      <c r="L25">
        <f t="shared" si="6"/>
        <v>3.66</v>
      </c>
      <c r="M25">
        <f t="shared" ref="M25:Z25" si="7">ROUNDDOWN((M6-ROUNDUP(M6*0.1,2)-ROUNDUP(M6*0.05,2))*0.8,2)</f>
        <v>3.68</v>
      </c>
      <c r="N25">
        <f t="shared" si="7"/>
        <v>3.95</v>
      </c>
      <c r="O25">
        <f t="shared" si="7"/>
        <v>3.94</v>
      </c>
      <c r="P25">
        <f t="shared" si="7"/>
        <v>4</v>
      </c>
      <c r="Q25">
        <f t="shared" si="7"/>
        <v>4</v>
      </c>
      <c r="R25">
        <f t="shared" si="7"/>
        <v>4.1900000000000004</v>
      </c>
      <c r="S25">
        <f t="shared" si="7"/>
        <v>4.07</v>
      </c>
      <c r="T25">
        <f t="shared" si="7"/>
        <v>4.3099999999999996</v>
      </c>
      <c r="U25">
        <f t="shared" si="7"/>
        <v>0</v>
      </c>
      <c r="V25">
        <f t="shared" si="7"/>
        <v>0</v>
      </c>
      <c r="W25">
        <f t="shared" si="7"/>
        <v>0</v>
      </c>
      <c r="X25">
        <f t="shared" si="7"/>
        <v>0</v>
      </c>
      <c r="Y25">
        <f t="shared" si="7"/>
        <v>0</v>
      </c>
      <c r="Z25">
        <f t="shared" si="7"/>
        <v>0</v>
      </c>
    </row>
    <row r="26" spans="1:26" x14ac:dyDescent="0.25">
      <c r="A26" s="2" t="s">
        <v>81</v>
      </c>
      <c r="B26">
        <f t="shared" si="6"/>
        <v>2.11</v>
      </c>
      <c r="C26">
        <f t="shared" si="6"/>
        <v>1.96</v>
      </c>
      <c r="D26">
        <f t="shared" si="6"/>
        <v>1.69</v>
      </c>
      <c r="E26">
        <f t="shared" si="6"/>
        <v>1.76</v>
      </c>
      <c r="F26">
        <f t="shared" si="6"/>
        <v>1.9</v>
      </c>
      <c r="G26">
        <f t="shared" si="6"/>
        <v>2.04</v>
      </c>
      <c r="H26">
        <f t="shared" si="6"/>
        <v>1.82</v>
      </c>
      <c r="I26">
        <f t="shared" si="6"/>
        <v>1.89</v>
      </c>
      <c r="J26">
        <f t="shared" si="6"/>
        <v>1.9</v>
      </c>
      <c r="K26">
        <f t="shared" si="6"/>
        <v>1.92</v>
      </c>
      <c r="L26">
        <f t="shared" si="6"/>
        <v>1.9</v>
      </c>
      <c r="M26">
        <f t="shared" ref="M26:Z26" si="8">ROUNDDOWN((M7-ROUNDUP(M7*0.1,2)-ROUNDUP(M7*0.05,2))*0.8,2)</f>
        <v>1.91</v>
      </c>
      <c r="N26">
        <f t="shared" si="8"/>
        <v>1.9</v>
      </c>
      <c r="O26">
        <f t="shared" si="8"/>
        <v>1.96</v>
      </c>
      <c r="P26">
        <f t="shared" si="8"/>
        <v>1.98</v>
      </c>
      <c r="Q26">
        <f t="shared" si="8"/>
        <v>1.96</v>
      </c>
      <c r="R26">
        <f t="shared" si="8"/>
        <v>2.04</v>
      </c>
      <c r="S26">
        <f t="shared" si="8"/>
        <v>1.87</v>
      </c>
      <c r="T26">
        <f t="shared" si="8"/>
        <v>2.04</v>
      </c>
      <c r="U26">
        <f t="shared" si="8"/>
        <v>0</v>
      </c>
      <c r="V26">
        <f t="shared" si="8"/>
        <v>0</v>
      </c>
      <c r="W26">
        <f t="shared" si="8"/>
        <v>0</v>
      </c>
      <c r="X26">
        <f t="shared" si="8"/>
        <v>0</v>
      </c>
      <c r="Y26">
        <f t="shared" si="8"/>
        <v>0</v>
      </c>
      <c r="Z26">
        <f t="shared" si="8"/>
        <v>0</v>
      </c>
    </row>
    <row r="27" spans="1:26" x14ac:dyDescent="0.25">
      <c r="A27" s="2" t="s">
        <v>82</v>
      </c>
      <c r="B27">
        <f t="shared" si="6"/>
        <v>4.8899999999999997</v>
      </c>
      <c r="C27">
        <f t="shared" si="6"/>
        <v>5.25</v>
      </c>
      <c r="D27">
        <f t="shared" si="6"/>
        <v>4.5199999999999996</v>
      </c>
      <c r="E27">
        <f t="shared" si="6"/>
        <v>4.57</v>
      </c>
      <c r="F27">
        <f t="shared" si="6"/>
        <v>4.5599999999999996</v>
      </c>
      <c r="G27">
        <f t="shared" si="6"/>
        <v>4.6500000000000004</v>
      </c>
      <c r="H27">
        <f t="shared" si="6"/>
        <v>4.32</v>
      </c>
      <c r="I27">
        <f t="shared" si="6"/>
        <v>4.76</v>
      </c>
      <c r="J27">
        <f t="shared" si="6"/>
        <v>4.8600000000000003</v>
      </c>
      <c r="K27">
        <f t="shared" si="6"/>
        <v>4.76</v>
      </c>
      <c r="L27">
        <f t="shared" si="6"/>
        <v>4.92</v>
      </c>
      <c r="M27">
        <f t="shared" ref="M27:Z27" si="9">ROUNDDOWN((M8-ROUNDUP(M8*0.1,2)-ROUNDUP(M8*0.05,2))*0.8,2)</f>
        <v>4.96</v>
      </c>
      <c r="N27">
        <f t="shared" si="9"/>
        <v>4.78</v>
      </c>
      <c r="O27">
        <f t="shared" si="9"/>
        <v>4.47</v>
      </c>
      <c r="P27">
        <f t="shared" si="9"/>
        <v>4.3600000000000003</v>
      </c>
      <c r="Q27">
        <f t="shared" si="9"/>
        <v>5.12</v>
      </c>
      <c r="R27">
        <f t="shared" si="9"/>
        <v>5.12</v>
      </c>
      <c r="S27">
        <f t="shared" si="9"/>
        <v>5.17</v>
      </c>
      <c r="T27">
        <f t="shared" si="9"/>
        <v>5</v>
      </c>
      <c r="U27">
        <f t="shared" si="9"/>
        <v>0</v>
      </c>
      <c r="V27">
        <f t="shared" si="9"/>
        <v>0</v>
      </c>
      <c r="W27">
        <f t="shared" si="9"/>
        <v>0</v>
      </c>
      <c r="X27">
        <f t="shared" si="9"/>
        <v>0</v>
      </c>
      <c r="Y27">
        <f t="shared" si="9"/>
        <v>0</v>
      </c>
      <c r="Z27">
        <f t="shared" si="9"/>
        <v>0</v>
      </c>
    </row>
    <row r="28" spans="1:26" x14ac:dyDescent="0.25">
      <c r="A28" s="2" t="s">
        <v>83</v>
      </c>
      <c r="B28">
        <f t="shared" si="6"/>
        <v>0.24</v>
      </c>
      <c r="C28">
        <f t="shared" si="6"/>
        <v>0.22</v>
      </c>
      <c r="D28">
        <f t="shared" si="6"/>
        <v>0.23</v>
      </c>
      <c r="E28">
        <f t="shared" si="6"/>
        <v>0.2</v>
      </c>
      <c r="F28">
        <f t="shared" si="6"/>
        <v>0.23</v>
      </c>
      <c r="G28">
        <f t="shared" si="6"/>
        <v>0.2</v>
      </c>
      <c r="H28">
        <f t="shared" si="6"/>
        <v>0.2</v>
      </c>
      <c r="I28">
        <f t="shared" si="6"/>
        <v>0.22</v>
      </c>
      <c r="J28">
        <f t="shared" si="6"/>
        <v>0.25</v>
      </c>
      <c r="K28">
        <f t="shared" si="6"/>
        <v>0.23</v>
      </c>
      <c r="L28">
        <f t="shared" si="6"/>
        <v>0.23</v>
      </c>
      <c r="M28">
        <f t="shared" ref="M28:Z28" si="10">ROUNDDOWN((M9-ROUNDUP(M9*0.1,2)-ROUNDUP(M9*0.05,2))*0.8,2)</f>
        <v>0.23</v>
      </c>
      <c r="N28">
        <f t="shared" si="10"/>
        <v>0.2</v>
      </c>
      <c r="O28">
        <f t="shared" si="10"/>
        <v>0.23</v>
      </c>
      <c r="P28">
        <f t="shared" si="10"/>
        <v>0.2</v>
      </c>
      <c r="Q28">
        <f t="shared" si="10"/>
        <v>0.2</v>
      </c>
      <c r="R28">
        <f t="shared" si="10"/>
        <v>0.23</v>
      </c>
      <c r="S28">
        <f t="shared" si="10"/>
        <v>0.23</v>
      </c>
      <c r="T28">
        <f t="shared" si="10"/>
        <v>0.2</v>
      </c>
      <c r="U28">
        <f t="shared" si="10"/>
        <v>0</v>
      </c>
      <c r="V28">
        <f t="shared" si="10"/>
        <v>0</v>
      </c>
      <c r="W28">
        <f t="shared" si="10"/>
        <v>0</v>
      </c>
      <c r="X28">
        <f t="shared" si="10"/>
        <v>0</v>
      </c>
      <c r="Y28">
        <f t="shared" si="10"/>
        <v>0</v>
      </c>
      <c r="Z28">
        <f t="shared" si="10"/>
        <v>0</v>
      </c>
    </row>
    <row r="29" spans="1:26" x14ac:dyDescent="0.25">
      <c r="A29" s="2" t="s">
        <v>84</v>
      </c>
      <c r="B29">
        <f t="shared" si="6"/>
        <v>0.54</v>
      </c>
      <c r="C29">
        <f t="shared" si="6"/>
        <v>0.52</v>
      </c>
      <c r="D29">
        <f t="shared" si="6"/>
        <v>0.54</v>
      </c>
      <c r="E29">
        <f t="shared" si="6"/>
        <v>0.52</v>
      </c>
      <c r="F29">
        <f t="shared" si="6"/>
        <v>0.51</v>
      </c>
      <c r="G29">
        <f t="shared" si="6"/>
        <v>0.51</v>
      </c>
      <c r="H29">
        <f t="shared" si="6"/>
        <v>0.52</v>
      </c>
      <c r="I29">
        <f t="shared" si="6"/>
        <v>0.48</v>
      </c>
      <c r="J29">
        <f t="shared" si="6"/>
        <v>0.5</v>
      </c>
      <c r="K29">
        <f t="shared" si="6"/>
        <v>0.49</v>
      </c>
      <c r="L29">
        <f t="shared" si="6"/>
        <v>0.52</v>
      </c>
      <c r="M29">
        <f t="shared" ref="M29:Z29" si="11">ROUNDDOWN((M10-ROUNDUP(M10*0.1,2)-ROUNDUP(M10*0.05,2))*0.8,2)</f>
        <v>0.52</v>
      </c>
      <c r="N29">
        <f t="shared" si="11"/>
        <v>0.56000000000000005</v>
      </c>
      <c r="O29">
        <f t="shared" si="11"/>
        <v>0.55000000000000004</v>
      </c>
      <c r="P29">
        <f t="shared" si="11"/>
        <v>0.61</v>
      </c>
      <c r="Q29">
        <f t="shared" si="11"/>
        <v>0.55000000000000004</v>
      </c>
      <c r="R29">
        <f t="shared" si="11"/>
        <v>0.56000000000000005</v>
      </c>
      <c r="S29">
        <f t="shared" si="11"/>
        <v>0.54</v>
      </c>
      <c r="T29">
        <f t="shared" si="11"/>
        <v>0.54</v>
      </c>
      <c r="U29">
        <f t="shared" si="11"/>
        <v>0</v>
      </c>
      <c r="V29">
        <f t="shared" si="11"/>
        <v>0</v>
      </c>
      <c r="W29">
        <f t="shared" si="11"/>
        <v>0</v>
      </c>
      <c r="X29">
        <f t="shared" si="11"/>
        <v>0</v>
      </c>
      <c r="Y29">
        <f t="shared" si="11"/>
        <v>0</v>
      </c>
      <c r="Z29">
        <f t="shared" si="11"/>
        <v>0</v>
      </c>
    </row>
    <row r="30" spans="1:26" x14ac:dyDescent="0.25">
      <c r="A30" s="2" t="s">
        <v>85</v>
      </c>
      <c r="B30">
        <f t="shared" si="6"/>
        <v>0.23</v>
      </c>
      <c r="C30">
        <f t="shared" si="6"/>
        <v>0.22</v>
      </c>
      <c r="D30">
        <f t="shared" si="6"/>
        <v>0.22</v>
      </c>
      <c r="E30">
        <f t="shared" si="6"/>
        <v>0.22</v>
      </c>
      <c r="F30">
        <f t="shared" si="6"/>
        <v>0.2</v>
      </c>
      <c r="G30">
        <f t="shared" si="6"/>
        <v>0.2</v>
      </c>
      <c r="H30">
        <f t="shared" si="6"/>
        <v>0.2</v>
      </c>
      <c r="I30">
        <f t="shared" si="6"/>
        <v>0.2</v>
      </c>
      <c r="J30">
        <f t="shared" si="6"/>
        <v>0.22</v>
      </c>
      <c r="K30">
        <f t="shared" si="6"/>
        <v>0.22</v>
      </c>
      <c r="L30">
        <f t="shared" si="6"/>
        <v>0.2</v>
      </c>
      <c r="M30">
        <f t="shared" ref="M30:Z30" si="12">ROUNDDOWN((M11-ROUNDUP(M11*0.1,2)-ROUNDUP(M11*0.05,2))*0.8,2)</f>
        <v>0.2</v>
      </c>
      <c r="N30">
        <f t="shared" si="12"/>
        <v>0.2</v>
      </c>
      <c r="O30">
        <f t="shared" si="12"/>
        <v>0.2</v>
      </c>
      <c r="P30">
        <f t="shared" si="12"/>
        <v>0.2</v>
      </c>
      <c r="Q30">
        <f t="shared" si="12"/>
        <v>0.2</v>
      </c>
      <c r="R30">
        <f t="shared" si="12"/>
        <v>0.2</v>
      </c>
      <c r="S30">
        <f t="shared" si="12"/>
        <v>0.2</v>
      </c>
      <c r="T30">
        <f t="shared" si="12"/>
        <v>0.2</v>
      </c>
      <c r="U30">
        <f t="shared" si="12"/>
        <v>0</v>
      </c>
      <c r="V30">
        <f t="shared" si="12"/>
        <v>0</v>
      </c>
      <c r="W30">
        <f t="shared" si="12"/>
        <v>0</v>
      </c>
      <c r="X30">
        <f t="shared" si="12"/>
        <v>0</v>
      </c>
      <c r="Y30">
        <f t="shared" si="12"/>
        <v>0</v>
      </c>
      <c r="Z30">
        <f t="shared" si="12"/>
        <v>0</v>
      </c>
    </row>
    <row r="31" spans="1:26" x14ac:dyDescent="0.25">
      <c r="A31" s="2" t="s">
        <v>86</v>
      </c>
      <c r="B31">
        <f t="shared" si="6"/>
        <v>2.44</v>
      </c>
      <c r="C31">
        <f t="shared" si="6"/>
        <v>2.36</v>
      </c>
      <c r="D31">
        <f t="shared" si="6"/>
        <v>2.35</v>
      </c>
      <c r="E31">
        <f t="shared" si="6"/>
        <v>2.65</v>
      </c>
      <c r="F31">
        <f t="shared" si="6"/>
        <v>2.4300000000000002</v>
      </c>
      <c r="G31">
        <f t="shared" si="6"/>
        <v>2.36</v>
      </c>
      <c r="H31">
        <f t="shared" si="6"/>
        <v>2.36</v>
      </c>
      <c r="I31">
        <f t="shared" si="6"/>
        <v>2.36</v>
      </c>
      <c r="J31">
        <f t="shared" si="6"/>
        <v>2.06</v>
      </c>
      <c r="K31">
        <f t="shared" si="6"/>
        <v>2.34</v>
      </c>
      <c r="L31">
        <f t="shared" si="6"/>
        <v>2.34</v>
      </c>
      <c r="M31">
        <f t="shared" ref="M31:Z31" si="13">ROUNDDOWN((M12-ROUNDUP(M12*0.1,2)-ROUNDUP(M12*0.05,2))*0.8,2)</f>
        <v>2.84</v>
      </c>
      <c r="N31">
        <f t="shared" si="13"/>
        <v>2.67</v>
      </c>
      <c r="O31">
        <f t="shared" si="13"/>
        <v>2.44</v>
      </c>
      <c r="P31">
        <f t="shared" si="13"/>
        <v>2.61</v>
      </c>
      <c r="Q31">
        <f t="shared" si="13"/>
        <v>2.58</v>
      </c>
      <c r="R31">
        <f t="shared" si="13"/>
        <v>2.58</v>
      </c>
      <c r="S31">
        <f t="shared" si="13"/>
        <v>2.52</v>
      </c>
      <c r="T31">
        <f t="shared" si="13"/>
        <v>2.1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</row>
    <row r="32" spans="1:26" x14ac:dyDescent="0.25">
      <c r="A32" s="2" t="s">
        <v>87</v>
      </c>
      <c r="B32">
        <f t="shared" si="6"/>
        <v>0.2</v>
      </c>
      <c r="C32">
        <f t="shared" si="6"/>
        <v>0.2</v>
      </c>
      <c r="D32">
        <f t="shared" si="6"/>
        <v>0.22</v>
      </c>
      <c r="E32">
        <f t="shared" si="6"/>
        <v>0.22</v>
      </c>
      <c r="F32">
        <f t="shared" si="6"/>
        <v>0.2</v>
      </c>
      <c r="G32">
        <f t="shared" si="6"/>
        <v>0.24</v>
      </c>
      <c r="H32">
        <f t="shared" si="6"/>
        <v>0.22</v>
      </c>
      <c r="I32">
        <f t="shared" si="6"/>
        <v>0.2</v>
      </c>
      <c r="J32">
        <f t="shared" si="6"/>
        <v>0.22</v>
      </c>
      <c r="K32">
        <f t="shared" si="6"/>
        <v>0.2</v>
      </c>
      <c r="L32">
        <f t="shared" si="6"/>
        <v>0.22</v>
      </c>
      <c r="M32">
        <f t="shared" ref="M32:Z32" si="14">ROUNDDOWN((M13-ROUNDUP(M13*0.1,2)-ROUNDUP(M13*0.05,2))*0.8,2)</f>
        <v>0.2</v>
      </c>
      <c r="N32">
        <f t="shared" si="14"/>
        <v>0.2</v>
      </c>
      <c r="O32">
        <f t="shared" si="14"/>
        <v>0.2</v>
      </c>
      <c r="P32">
        <f t="shared" si="14"/>
        <v>0.2</v>
      </c>
      <c r="Q32">
        <f t="shared" si="14"/>
        <v>0.2</v>
      </c>
      <c r="R32">
        <f t="shared" si="14"/>
        <v>0.2</v>
      </c>
      <c r="S32">
        <f t="shared" si="14"/>
        <v>0.19</v>
      </c>
      <c r="T32">
        <f t="shared" si="14"/>
        <v>0.19</v>
      </c>
      <c r="U32">
        <f t="shared" si="14"/>
        <v>0</v>
      </c>
      <c r="V32">
        <f t="shared" si="14"/>
        <v>0</v>
      </c>
      <c r="W32">
        <f t="shared" si="14"/>
        <v>0</v>
      </c>
      <c r="X32">
        <f t="shared" si="14"/>
        <v>0</v>
      </c>
      <c r="Y32">
        <f t="shared" si="14"/>
        <v>0</v>
      </c>
      <c r="Z32">
        <f t="shared" si="14"/>
        <v>0</v>
      </c>
    </row>
    <row r="33" spans="1:26" x14ac:dyDescent="0.25">
      <c r="A33" s="2" t="s">
        <v>88</v>
      </c>
      <c r="B33">
        <f t="shared" si="6"/>
        <v>0.6</v>
      </c>
      <c r="C33">
        <f t="shared" si="6"/>
        <v>0.59</v>
      </c>
      <c r="D33">
        <f t="shared" si="6"/>
        <v>0.64</v>
      </c>
      <c r="E33">
        <f t="shared" si="6"/>
        <v>0.61</v>
      </c>
      <c r="F33">
        <f t="shared" si="6"/>
        <v>0.57999999999999996</v>
      </c>
      <c r="G33">
        <f t="shared" si="6"/>
        <v>0.61</v>
      </c>
      <c r="H33">
        <f t="shared" si="6"/>
        <v>0.56999999999999995</v>
      </c>
      <c r="I33">
        <f t="shared" si="6"/>
        <v>0.57999999999999996</v>
      </c>
      <c r="J33">
        <f t="shared" si="6"/>
        <v>0.59</v>
      </c>
      <c r="K33">
        <f t="shared" si="6"/>
        <v>0.63</v>
      </c>
      <c r="L33">
        <f t="shared" si="6"/>
        <v>0.62</v>
      </c>
      <c r="M33">
        <f t="shared" ref="M33:Z33" si="15">ROUNDDOWN((M14-ROUNDUP(M14*0.1,2)-ROUNDUP(M14*0.05,2))*0.8,2)</f>
        <v>0.56000000000000005</v>
      </c>
      <c r="N33">
        <f t="shared" si="15"/>
        <v>0.57999999999999996</v>
      </c>
      <c r="O33">
        <f t="shared" si="15"/>
        <v>0.56999999999999995</v>
      </c>
      <c r="P33">
        <f t="shared" si="15"/>
        <v>0.62</v>
      </c>
      <c r="Q33">
        <f t="shared" si="15"/>
        <v>0.54</v>
      </c>
      <c r="R33">
        <f t="shared" si="15"/>
        <v>0.59</v>
      </c>
      <c r="S33">
        <f t="shared" si="15"/>
        <v>0.52</v>
      </c>
      <c r="T33">
        <f t="shared" si="15"/>
        <v>0.6</v>
      </c>
      <c r="U33">
        <f t="shared" si="15"/>
        <v>0</v>
      </c>
      <c r="V33">
        <f t="shared" si="15"/>
        <v>0</v>
      </c>
      <c r="W33">
        <f t="shared" si="15"/>
        <v>0</v>
      </c>
      <c r="X33">
        <f t="shared" si="15"/>
        <v>0</v>
      </c>
      <c r="Y33">
        <f t="shared" si="15"/>
        <v>0</v>
      </c>
      <c r="Z33">
        <f t="shared" si="15"/>
        <v>0</v>
      </c>
    </row>
    <row r="34" spans="1:26" x14ac:dyDescent="0.25">
      <c r="A34" s="2"/>
    </row>
    <row r="35" spans="1:26" x14ac:dyDescent="0.25">
      <c r="A35" s="2"/>
      <c r="B35" s="2">
        <f>SUM(B24:B33)</f>
        <v>15.849999999999998</v>
      </c>
      <c r="C35" s="2">
        <f t="shared" ref="C35:E35" si="16">SUM(C24:C33)</f>
        <v>15.66</v>
      </c>
      <c r="D35" s="2">
        <f t="shared" si="16"/>
        <v>14.860000000000001</v>
      </c>
      <c r="E35" s="2">
        <f t="shared" si="16"/>
        <v>15.25</v>
      </c>
      <c r="F35" s="2">
        <f t="shared" ref="F35:L35" si="17">SUM(F24:F33)</f>
        <v>15.02</v>
      </c>
      <c r="G35" s="2">
        <f t="shared" si="17"/>
        <v>15.449999999999998</v>
      </c>
      <c r="H35" s="2">
        <f t="shared" si="17"/>
        <v>14.7</v>
      </c>
      <c r="I35" s="2">
        <f t="shared" si="17"/>
        <v>15.329999999999998</v>
      </c>
      <c r="J35" s="2">
        <f t="shared" si="17"/>
        <v>15.050000000000002</v>
      </c>
      <c r="K35" s="2">
        <f t="shared" si="17"/>
        <v>15.38</v>
      </c>
      <c r="L35" s="2">
        <f t="shared" si="17"/>
        <v>15.29</v>
      </c>
      <c r="M35" s="2">
        <f t="shared" ref="M35:Z35" si="18">SUM(M24:M33)</f>
        <v>15.79</v>
      </c>
      <c r="N35" s="2">
        <f t="shared" si="18"/>
        <v>15.69</v>
      </c>
      <c r="O35" s="2">
        <f t="shared" si="18"/>
        <v>15.179999999999998</v>
      </c>
      <c r="P35" s="2">
        <f t="shared" si="18"/>
        <v>15.419999999999996</v>
      </c>
      <c r="Q35" s="2">
        <f t="shared" si="18"/>
        <v>15.91</v>
      </c>
      <c r="R35" s="2">
        <f t="shared" si="18"/>
        <v>16.29</v>
      </c>
      <c r="S35" s="2">
        <f t="shared" si="18"/>
        <v>15.949999999999998</v>
      </c>
      <c r="T35" s="2">
        <f t="shared" si="18"/>
        <v>15.799999999999995</v>
      </c>
      <c r="U35" s="2">
        <f t="shared" si="18"/>
        <v>0</v>
      </c>
      <c r="V35" s="2">
        <f t="shared" si="18"/>
        <v>0</v>
      </c>
      <c r="W35" s="2">
        <f t="shared" si="18"/>
        <v>0</v>
      </c>
      <c r="X35" s="2">
        <f t="shared" si="18"/>
        <v>0</v>
      </c>
      <c r="Y35" s="2">
        <f t="shared" si="18"/>
        <v>0</v>
      </c>
      <c r="Z35" s="2">
        <f t="shared" si="18"/>
        <v>0</v>
      </c>
    </row>
    <row r="36" spans="1:26" x14ac:dyDescent="0.25">
      <c r="A36" s="2"/>
    </row>
    <row r="37" spans="1:26" x14ac:dyDescent="0.25">
      <c r="A37" s="2"/>
    </row>
    <row r="38" spans="1:26" x14ac:dyDescent="0.25">
      <c r="A38" s="2"/>
    </row>
    <row r="39" spans="1:26" x14ac:dyDescent="0.25">
      <c r="A39" s="2"/>
    </row>
    <row r="40" spans="1:26" x14ac:dyDescent="0.25">
      <c r="A40" s="2"/>
    </row>
    <row r="41" spans="1:26" x14ac:dyDescent="0.25">
      <c r="A41" s="2"/>
    </row>
    <row r="43" spans="1:26" x14ac:dyDescent="0.25">
      <c r="B43" s="2"/>
      <c r="C43" s="2"/>
      <c r="D43" s="2"/>
      <c r="E43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29BF-66DB-45E6-8F7F-85368306AC7F}">
  <dimension ref="A1:AA77"/>
  <sheetViews>
    <sheetView zoomScale="80" zoomScaleNormal="80" workbookViewId="0">
      <pane xSplit="1" topLeftCell="N1" activePane="topRight" state="frozen"/>
      <selection pane="topRight" activeCell="T39" sqref="T39"/>
    </sheetView>
  </sheetViews>
  <sheetFormatPr defaultRowHeight="15" x14ac:dyDescent="0.25"/>
  <cols>
    <col min="1" max="1" width="41.42578125" customWidth="1"/>
    <col min="2" max="46" width="12" customWidth="1"/>
  </cols>
  <sheetData>
    <row r="1" spans="1:26" ht="31.5" x14ac:dyDescent="0.5">
      <c r="A1" s="4" t="s">
        <v>89</v>
      </c>
    </row>
    <row r="3" spans="1:26" x14ac:dyDescent="0.25">
      <c r="A3" t="s">
        <v>12</v>
      </c>
    </row>
    <row r="4" spans="1:26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</row>
    <row r="5" spans="1:26" x14ac:dyDescent="0.25">
      <c r="A5" s="2" t="s">
        <v>90</v>
      </c>
      <c r="B5">
        <v>46.88</v>
      </c>
      <c r="C5">
        <v>48.26</v>
      </c>
      <c r="D5">
        <v>46.04</v>
      </c>
      <c r="E5">
        <v>44.75</v>
      </c>
      <c r="F5">
        <v>44.89</v>
      </c>
      <c r="G5">
        <v>46.63</v>
      </c>
      <c r="H5">
        <v>46.07</v>
      </c>
      <c r="I5">
        <v>41.4</v>
      </c>
      <c r="J5">
        <v>44.41</v>
      </c>
      <c r="K5">
        <v>43.55</v>
      </c>
      <c r="L5">
        <v>43.89</v>
      </c>
      <c r="M5">
        <v>43.72</v>
      </c>
      <c r="N5">
        <v>42.45</v>
      </c>
      <c r="O5">
        <v>41.71</v>
      </c>
      <c r="P5">
        <v>40.94</v>
      </c>
      <c r="Q5">
        <v>42.79</v>
      </c>
      <c r="R5">
        <v>43.88</v>
      </c>
      <c r="S5">
        <v>44.86</v>
      </c>
      <c r="T5">
        <v>44.24</v>
      </c>
    </row>
    <row r="6" spans="1:26" x14ac:dyDescent="0.25">
      <c r="A6" s="2" t="s">
        <v>91</v>
      </c>
      <c r="B6">
        <v>1.38</v>
      </c>
      <c r="C6">
        <v>1.3</v>
      </c>
      <c r="D6">
        <v>1.39</v>
      </c>
      <c r="E6">
        <v>1.44</v>
      </c>
      <c r="F6">
        <v>1.38</v>
      </c>
      <c r="G6">
        <v>1.38</v>
      </c>
      <c r="H6">
        <v>1.4</v>
      </c>
      <c r="I6">
        <v>1.4</v>
      </c>
      <c r="J6">
        <v>1.42</v>
      </c>
      <c r="K6">
        <v>1.4</v>
      </c>
      <c r="L6">
        <v>1.4</v>
      </c>
      <c r="M6">
        <v>1.38</v>
      </c>
      <c r="N6">
        <v>1.35</v>
      </c>
      <c r="O6">
        <v>1.34</v>
      </c>
      <c r="P6">
        <v>1.34</v>
      </c>
      <c r="Q6">
        <v>1.32</v>
      </c>
      <c r="R6">
        <v>1.38</v>
      </c>
      <c r="S6">
        <v>1.29</v>
      </c>
      <c r="T6">
        <v>1.27</v>
      </c>
    </row>
    <row r="7" spans="1:26" x14ac:dyDescent="0.25">
      <c r="A7" s="2" t="s">
        <v>92</v>
      </c>
      <c r="B7">
        <v>5.4</v>
      </c>
      <c r="C7">
        <v>5.52</v>
      </c>
      <c r="D7">
        <v>5.41</v>
      </c>
      <c r="E7">
        <v>5.54</v>
      </c>
      <c r="F7">
        <v>5.48</v>
      </c>
      <c r="G7">
        <v>5.47</v>
      </c>
      <c r="H7">
        <v>4.96</v>
      </c>
      <c r="I7">
        <v>4.8</v>
      </c>
      <c r="J7">
        <v>5.32</v>
      </c>
      <c r="K7">
        <v>5.24</v>
      </c>
      <c r="L7">
        <v>5.22</v>
      </c>
      <c r="M7">
        <v>5.29</v>
      </c>
      <c r="N7">
        <v>5.25</v>
      </c>
      <c r="O7">
        <v>4.92</v>
      </c>
      <c r="P7">
        <v>5.42</v>
      </c>
      <c r="Q7">
        <v>5.47</v>
      </c>
      <c r="R7">
        <v>5.4</v>
      </c>
      <c r="S7">
        <v>5.45</v>
      </c>
      <c r="T7">
        <v>5.29</v>
      </c>
    </row>
    <row r="8" spans="1:26" x14ac:dyDescent="0.25">
      <c r="A8" s="2" t="s">
        <v>93</v>
      </c>
      <c r="B8">
        <v>2.67</v>
      </c>
      <c r="C8">
        <v>2.73</v>
      </c>
      <c r="D8">
        <v>2.62</v>
      </c>
      <c r="E8">
        <v>2.64</v>
      </c>
      <c r="F8">
        <v>2.54</v>
      </c>
      <c r="G8">
        <v>2.58</v>
      </c>
      <c r="H8">
        <v>2.7</v>
      </c>
      <c r="I8">
        <v>2.69</v>
      </c>
      <c r="J8">
        <v>2.58</v>
      </c>
      <c r="K8">
        <v>2.4900000000000002</v>
      </c>
      <c r="L8">
        <v>2.37</v>
      </c>
      <c r="M8">
        <v>2.38</v>
      </c>
      <c r="N8">
        <v>2.46</v>
      </c>
      <c r="O8">
        <v>2.36</v>
      </c>
      <c r="P8">
        <v>2.39</v>
      </c>
      <c r="Q8">
        <v>2.31</v>
      </c>
      <c r="R8">
        <v>2.31</v>
      </c>
      <c r="S8">
        <v>2.33</v>
      </c>
      <c r="T8">
        <v>2.4300000000000002</v>
      </c>
    </row>
    <row r="9" spans="1:26" x14ac:dyDescent="0.25">
      <c r="A9" s="2" t="s">
        <v>94</v>
      </c>
      <c r="B9">
        <v>16.010000000000002</v>
      </c>
      <c r="C9">
        <v>16.03</v>
      </c>
      <c r="D9">
        <v>16.510000000000002</v>
      </c>
      <c r="E9">
        <v>16.36</v>
      </c>
      <c r="F9">
        <v>15.72</v>
      </c>
      <c r="G9">
        <v>15.47</v>
      </c>
      <c r="H9">
        <v>15.88</v>
      </c>
      <c r="I9">
        <v>16.75</v>
      </c>
      <c r="J9">
        <v>16.04</v>
      </c>
      <c r="K9">
        <v>16.07</v>
      </c>
      <c r="L9">
        <v>14.58</v>
      </c>
      <c r="M9">
        <v>15.18</v>
      </c>
      <c r="N9">
        <v>15.49</v>
      </c>
      <c r="O9">
        <v>14.85</v>
      </c>
      <c r="P9">
        <v>15.68</v>
      </c>
      <c r="Q9">
        <v>15.71</v>
      </c>
      <c r="R9">
        <v>15.94</v>
      </c>
      <c r="S9">
        <v>15.37</v>
      </c>
      <c r="T9">
        <v>15.2</v>
      </c>
    </row>
    <row r="10" spans="1:26" x14ac:dyDescent="0.25">
      <c r="A10" s="2" t="s">
        <v>95</v>
      </c>
      <c r="B10">
        <v>4.22</v>
      </c>
      <c r="C10">
        <v>3.94</v>
      </c>
      <c r="D10">
        <v>3.84</v>
      </c>
      <c r="E10">
        <v>4.1500000000000004</v>
      </c>
      <c r="F10">
        <v>4.0599999999999996</v>
      </c>
      <c r="G10">
        <v>4.2</v>
      </c>
      <c r="H10">
        <v>4.1399999999999997</v>
      </c>
      <c r="I10">
        <v>4.1900000000000004</v>
      </c>
      <c r="J10">
        <v>4.07</v>
      </c>
      <c r="K10">
        <v>4.0599999999999996</v>
      </c>
      <c r="L10">
        <v>3.93</v>
      </c>
      <c r="M10">
        <v>3.99</v>
      </c>
      <c r="N10">
        <v>4.16</v>
      </c>
      <c r="O10">
        <v>3.68</v>
      </c>
      <c r="P10">
        <v>4.07</v>
      </c>
      <c r="Q10">
        <v>4.1100000000000003</v>
      </c>
      <c r="R10">
        <v>4.08</v>
      </c>
      <c r="S10">
        <v>4.0599999999999996</v>
      </c>
      <c r="T10">
        <v>3.81</v>
      </c>
    </row>
    <row r="11" spans="1:26" x14ac:dyDescent="0.25">
      <c r="A11" s="2" t="s">
        <v>96</v>
      </c>
      <c r="B11">
        <v>1.89</v>
      </c>
      <c r="C11">
        <v>1.96</v>
      </c>
      <c r="D11">
        <v>2.02</v>
      </c>
      <c r="E11">
        <v>1.95</v>
      </c>
      <c r="F11">
        <v>1.84</v>
      </c>
      <c r="G11">
        <v>1.97</v>
      </c>
      <c r="H11">
        <v>1.89</v>
      </c>
      <c r="I11">
        <v>1.87</v>
      </c>
      <c r="J11">
        <v>1.74</v>
      </c>
      <c r="K11">
        <v>1.88</v>
      </c>
      <c r="L11">
        <v>1.87</v>
      </c>
      <c r="M11">
        <v>1.79</v>
      </c>
      <c r="N11">
        <v>1.76</v>
      </c>
      <c r="O11">
        <v>1.76</v>
      </c>
      <c r="P11">
        <v>1.76</v>
      </c>
      <c r="Q11">
        <v>1.72</v>
      </c>
      <c r="R11">
        <v>1.74</v>
      </c>
      <c r="S11">
        <v>1.58</v>
      </c>
      <c r="T11">
        <v>1.73</v>
      </c>
    </row>
    <row r="12" spans="1:26" x14ac:dyDescent="0.25">
      <c r="A12" s="2" t="s">
        <v>97</v>
      </c>
      <c r="B12">
        <v>0.64</v>
      </c>
      <c r="C12">
        <v>0.62</v>
      </c>
      <c r="D12">
        <v>0.65</v>
      </c>
      <c r="E12">
        <v>0.61</v>
      </c>
      <c r="F12">
        <v>0.62</v>
      </c>
      <c r="G12">
        <v>0.66</v>
      </c>
      <c r="H12">
        <v>0.71</v>
      </c>
      <c r="I12">
        <v>0.69</v>
      </c>
      <c r="J12">
        <v>0.7</v>
      </c>
      <c r="K12">
        <v>0.66</v>
      </c>
      <c r="L12">
        <v>0.62</v>
      </c>
      <c r="M12">
        <v>0.65</v>
      </c>
      <c r="N12">
        <v>0.63</v>
      </c>
      <c r="O12">
        <v>0.63</v>
      </c>
      <c r="P12">
        <v>0.6</v>
      </c>
      <c r="Q12">
        <v>0.6</v>
      </c>
      <c r="R12">
        <v>0.55000000000000004</v>
      </c>
      <c r="S12">
        <v>0.6</v>
      </c>
      <c r="T12">
        <v>0.6</v>
      </c>
    </row>
    <row r="13" spans="1:26" x14ac:dyDescent="0.25">
      <c r="A13" s="2" t="s">
        <v>98</v>
      </c>
      <c r="B13">
        <v>12.57</v>
      </c>
      <c r="C13">
        <v>10.7</v>
      </c>
      <c r="D13">
        <v>12.88</v>
      </c>
      <c r="E13">
        <v>12.64</v>
      </c>
      <c r="F13">
        <v>12.69</v>
      </c>
      <c r="G13">
        <v>13.17</v>
      </c>
      <c r="H13">
        <v>13.28</v>
      </c>
      <c r="I13">
        <v>13.14</v>
      </c>
      <c r="J13">
        <v>12.09</v>
      </c>
      <c r="K13">
        <v>13.02</v>
      </c>
      <c r="L13">
        <v>12.56</v>
      </c>
      <c r="M13">
        <v>12.68</v>
      </c>
      <c r="N13">
        <v>12.15</v>
      </c>
      <c r="O13">
        <v>12.04</v>
      </c>
      <c r="P13">
        <v>11.22</v>
      </c>
      <c r="Q13">
        <v>12.26</v>
      </c>
      <c r="R13">
        <v>11.7</v>
      </c>
      <c r="S13">
        <v>11.22</v>
      </c>
      <c r="T13">
        <v>12.11</v>
      </c>
    </row>
    <row r="14" spans="1:26" x14ac:dyDescent="0.25">
      <c r="A14" s="2" t="s">
        <v>99</v>
      </c>
      <c r="B14">
        <v>1.39</v>
      </c>
      <c r="C14">
        <v>1.46</v>
      </c>
      <c r="D14">
        <v>1.35</v>
      </c>
      <c r="E14">
        <v>1.38</v>
      </c>
      <c r="F14">
        <v>1.39</v>
      </c>
      <c r="G14">
        <v>1.35</v>
      </c>
      <c r="H14">
        <v>1.43</v>
      </c>
      <c r="I14">
        <v>1.42</v>
      </c>
      <c r="J14">
        <v>1.35</v>
      </c>
      <c r="K14">
        <v>1.45</v>
      </c>
      <c r="L14">
        <v>1.43</v>
      </c>
      <c r="M14">
        <v>1.32</v>
      </c>
      <c r="N14">
        <v>1.38</v>
      </c>
      <c r="O14">
        <v>1.44</v>
      </c>
      <c r="P14">
        <v>1.33</v>
      </c>
      <c r="Q14">
        <v>1.46</v>
      </c>
      <c r="R14">
        <v>1.42</v>
      </c>
      <c r="S14">
        <v>1.44</v>
      </c>
      <c r="T14">
        <v>1.45</v>
      </c>
    </row>
    <row r="15" spans="1:26" x14ac:dyDescent="0.25">
      <c r="A15" s="2" t="s">
        <v>100</v>
      </c>
      <c r="B15">
        <v>12.25</v>
      </c>
      <c r="C15">
        <v>13.38</v>
      </c>
      <c r="D15">
        <v>12.8</v>
      </c>
      <c r="E15">
        <v>13.84</v>
      </c>
      <c r="F15">
        <v>13.63</v>
      </c>
      <c r="G15">
        <v>13.45</v>
      </c>
      <c r="H15">
        <v>12.42</v>
      </c>
      <c r="I15">
        <v>13.28</v>
      </c>
      <c r="J15">
        <v>13.28</v>
      </c>
      <c r="K15">
        <v>13.01</v>
      </c>
      <c r="L15">
        <v>12.76</v>
      </c>
      <c r="M15">
        <v>11.82</v>
      </c>
      <c r="N15">
        <v>13.23</v>
      </c>
      <c r="O15">
        <v>13.37</v>
      </c>
      <c r="P15">
        <v>12.95</v>
      </c>
      <c r="Q15">
        <v>13.49</v>
      </c>
      <c r="R15">
        <v>13.24</v>
      </c>
      <c r="S15">
        <v>12.62</v>
      </c>
      <c r="T15">
        <v>13.16</v>
      </c>
    </row>
    <row r="16" spans="1:26" x14ac:dyDescent="0.25">
      <c r="A16" s="2" t="s">
        <v>101</v>
      </c>
      <c r="B16">
        <v>2.57</v>
      </c>
      <c r="C16">
        <v>2.5</v>
      </c>
      <c r="D16">
        <v>2.68</v>
      </c>
      <c r="E16">
        <v>2.4300000000000002</v>
      </c>
      <c r="F16">
        <v>2.61</v>
      </c>
      <c r="G16">
        <v>2.62</v>
      </c>
      <c r="H16">
        <v>2.66</v>
      </c>
      <c r="I16">
        <v>2.67</v>
      </c>
      <c r="J16">
        <v>2.58</v>
      </c>
      <c r="K16">
        <v>2.81</v>
      </c>
      <c r="L16">
        <v>2.78</v>
      </c>
      <c r="M16">
        <v>2.82</v>
      </c>
      <c r="N16">
        <v>2.93</v>
      </c>
      <c r="O16">
        <v>2.42</v>
      </c>
      <c r="P16">
        <v>2.65</v>
      </c>
      <c r="Q16">
        <v>2.7</v>
      </c>
      <c r="R16">
        <v>2.5299999999999998</v>
      </c>
      <c r="S16">
        <v>2.44</v>
      </c>
      <c r="T16">
        <v>2.5299999999999998</v>
      </c>
    </row>
    <row r="17" spans="1:20" x14ac:dyDescent="0.25">
      <c r="A17" s="2" t="s">
        <v>102</v>
      </c>
      <c r="B17">
        <v>4.9000000000000004</v>
      </c>
      <c r="C17">
        <v>4.72</v>
      </c>
      <c r="D17">
        <v>4.97</v>
      </c>
      <c r="E17">
        <v>4.68</v>
      </c>
      <c r="F17">
        <v>4.68</v>
      </c>
      <c r="G17">
        <v>4.83</v>
      </c>
      <c r="H17">
        <v>4.7699999999999996</v>
      </c>
      <c r="I17">
        <v>4.92</v>
      </c>
      <c r="J17">
        <v>4.55</v>
      </c>
      <c r="K17">
        <v>4.4800000000000004</v>
      </c>
      <c r="L17">
        <v>4.9000000000000004</v>
      </c>
      <c r="M17">
        <v>4.76</v>
      </c>
      <c r="N17">
        <v>4.92</v>
      </c>
      <c r="O17">
        <v>4.67</v>
      </c>
      <c r="P17">
        <v>4.7300000000000004</v>
      </c>
      <c r="Q17">
        <v>4.76</v>
      </c>
      <c r="R17">
        <v>4.6900000000000004</v>
      </c>
      <c r="S17">
        <v>4.21</v>
      </c>
      <c r="T17">
        <v>4.8</v>
      </c>
    </row>
    <row r="18" spans="1:20" x14ac:dyDescent="0.25">
      <c r="A18" s="2" t="s">
        <v>103</v>
      </c>
      <c r="B18">
        <v>2.42</v>
      </c>
      <c r="C18">
        <v>2.35</v>
      </c>
      <c r="D18">
        <v>2.31</v>
      </c>
      <c r="E18">
        <v>2.4300000000000002</v>
      </c>
      <c r="F18">
        <v>2.42</v>
      </c>
      <c r="G18">
        <v>2.33</v>
      </c>
      <c r="H18">
        <v>2.37</v>
      </c>
      <c r="I18">
        <v>2.39</v>
      </c>
      <c r="J18">
        <v>2.2599999999999998</v>
      </c>
      <c r="K18">
        <v>2.3199999999999998</v>
      </c>
      <c r="L18">
        <v>2.35</v>
      </c>
      <c r="M18">
        <v>2.38</v>
      </c>
      <c r="N18">
        <v>2.36</v>
      </c>
      <c r="O18">
        <v>2.41</v>
      </c>
      <c r="P18">
        <v>2.37</v>
      </c>
      <c r="Q18">
        <v>2.4900000000000002</v>
      </c>
      <c r="R18">
        <v>2.5</v>
      </c>
      <c r="S18">
        <v>2.39</v>
      </c>
      <c r="T18">
        <v>2.34</v>
      </c>
    </row>
    <row r="19" spans="1:20" x14ac:dyDescent="0.25">
      <c r="A19" s="2" t="s">
        <v>104</v>
      </c>
      <c r="B19">
        <v>1.29</v>
      </c>
      <c r="C19">
        <v>1.19</v>
      </c>
      <c r="D19">
        <v>1.1000000000000001</v>
      </c>
      <c r="E19">
        <v>1.1100000000000001</v>
      </c>
      <c r="F19">
        <v>1.08</v>
      </c>
      <c r="G19">
        <v>1.1000000000000001</v>
      </c>
      <c r="H19">
        <v>1.08</v>
      </c>
      <c r="I19">
        <v>1.05</v>
      </c>
      <c r="J19">
        <v>1.1000000000000001</v>
      </c>
      <c r="K19">
        <v>1.1200000000000001</v>
      </c>
      <c r="L19">
        <v>1.19</v>
      </c>
      <c r="M19">
        <v>1.28</v>
      </c>
      <c r="N19">
        <v>1.26</v>
      </c>
      <c r="O19">
        <v>1.23</v>
      </c>
      <c r="P19">
        <v>1.1599999999999999</v>
      </c>
      <c r="Q19">
        <v>1.17</v>
      </c>
      <c r="R19">
        <v>1.19</v>
      </c>
      <c r="S19">
        <v>1.1100000000000001</v>
      </c>
      <c r="T19">
        <v>0.97</v>
      </c>
    </row>
    <row r="20" spans="1:20" x14ac:dyDescent="0.25">
      <c r="A20" s="2" t="s">
        <v>105</v>
      </c>
      <c r="B20">
        <v>17.53</v>
      </c>
      <c r="C20">
        <v>16.38</v>
      </c>
      <c r="D20">
        <v>17.649999999999999</v>
      </c>
      <c r="E20">
        <v>17.399999999999999</v>
      </c>
      <c r="F20">
        <v>17.13</v>
      </c>
      <c r="G20">
        <v>16.739999999999998</v>
      </c>
      <c r="H20">
        <v>15.07</v>
      </c>
      <c r="I20">
        <v>14.85</v>
      </c>
      <c r="J20">
        <v>16.37</v>
      </c>
      <c r="K20">
        <v>17.66</v>
      </c>
      <c r="L20">
        <v>16.45</v>
      </c>
      <c r="M20">
        <v>17.079999999999998</v>
      </c>
      <c r="N20">
        <v>16.27</v>
      </c>
      <c r="O20">
        <v>16.46</v>
      </c>
      <c r="P20">
        <v>16.46</v>
      </c>
      <c r="Q20">
        <v>17.079999999999998</v>
      </c>
      <c r="R20">
        <v>16.57</v>
      </c>
      <c r="S20">
        <v>15.41</v>
      </c>
      <c r="T20">
        <v>14.93</v>
      </c>
    </row>
    <row r="21" spans="1:20" x14ac:dyDescent="0.25">
      <c r="A21" s="2" t="s">
        <v>106</v>
      </c>
      <c r="B21">
        <v>6.46</v>
      </c>
      <c r="C21">
        <v>6.58</v>
      </c>
      <c r="D21">
        <v>6.48</v>
      </c>
      <c r="E21">
        <v>6.32</v>
      </c>
      <c r="F21">
        <v>6.23</v>
      </c>
      <c r="G21">
        <v>6.23</v>
      </c>
      <c r="H21">
        <v>5.76</v>
      </c>
      <c r="I21">
        <v>6.23</v>
      </c>
      <c r="J21">
        <v>6.01</v>
      </c>
      <c r="K21">
        <v>5.99</v>
      </c>
      <c r="L21">
        <v>6.03</v>
      </c>
      <c r="M21">
        <v>5.56</v>
      </c>
      <c r="N21">
        <v>5.61</v>
      </c>
      <c r="O21">
        <v>5.63</v>
      </c>
      <c r="P21">
        <v>5.84</v>
      </c>
      <c r="Q21">
        <v>5.91</v>
      </c>
      <c r="R21">
        <v>5.9</v>
      </c>
      <c r="S21">
        <v>5.86</v>
      </c>
      <c r="T21">
        <v>5.78</v>
      </c>
    </row>
    <row r="22" spans="1:20" x14ac:dyDescent="0.25">
      <c r="A22" s="2" t="s">
        <v>107</v>
      </c>
      <c r="B22">
        <v>6.58</v>
      </c>
      <c r="C22">
        <v>6.29</v>
      </c>
      <c r="D22">
        <v>5.78</v>
      </c>
      <c r="E22">
        <v>6.4</v>
      </c>
      <c r="F22">
        <v>5.82</v>
      </c>
      <c r="G22">
        <v>6.3</v>
      </c>
      <c r="H22">
        <v>6.49</v>
      </c>
      <c r="I22">
        <v>6.12</v>
      </c>
      <c r="J22">
        <v>6.3</v>
      </c>
      <c r="K22">
        <v>5.63</v>
      </c>
      <c r="L22">
        <v>6.03</v>
      </c>
      <c r="M22">
        <v>5.79</v>
      </c>
      <c r="N22">
        <v>5.86</v>
      </c>
      <c r="O22">
        <v>5.79</v>
      </c>
      <c r="P22">
        <v>5.99</v>
      </c>
      <c r="Q22">
        <v>6.33</v>
      </c>
      <c r="R22">
        <v>6.14</v>
      </c>
      <c r="S22">
        <v>5.9</v>
      </c>
      <c r="T22">
        <v>6.32</v>
      </c>
    </row>
    <row r="23" spans="1:20" x14ac:dyDescent="0.25">
      <c r="A23" s="2" t="s">
        <v>108</v>
      </c>
      <c r="B23">
        <v>5.71</v>
      </c>
      <c r="C23">
        <v>5.43</v>
      </c>
      <c r="D23">
        <v>5.45</v>
      </c>
      <c r="E23">
        <v>5.13</v>
      </c>
      <c r="F23">
        <v>5.22</v>
      </c>
      <c r="G23">
        <v>5.48</v>
      </c>
      <c r="H23">
        <v>5.37</v>
      </c>
      <c r="I23">
        <v>5.14</v>
      </c>
      <c r="J23">
        <v>5.09</v>
      </c>
      <c r="K23">
        <v>5.0199999999999996</v>
      </c>
      <c r="L23">
        <v>5.34</v>
      </c>
      <c r="M23">
        <v>5.22</v>
      </c>
      <c r="N23">
        <v>5.2</v>
      </c>
      <c r="O23">
        <v>5.12</v>
      </c>
      <c r="P23">
        <v>5.36</v>
      </c>
      <c r="Q23">
        <v>5.36</v>
      </c>
      <c r="R23">
        <v>5.25</v>
      </c>
      <c r="S23">
        <v>5.24</v>
      </c>
      <c r="T23">
        <v>5.17</v>
      </c>
    </row>
    <row r="24" spans="1:20" x14ac:dyDescent="0.25">
      <c r="A24" s="2" t="s">
        <v>109</v>
      </c>
      <c r="B24">
        <v>28.06</v>
      </c>
      <c r="C24">
        <v>29.75</v>
      </c>
      <c r="D24">
        <v>27.86</v>
      </c>
      <c r="E24">
        <v>30.97</v>
      </c>
      <c r="F24">
        <v>30.52</v>
      </c>
      <c r="G24">
        <v>30.5</v>
      </c>
      <c r="H24">
        <v>30.94</v>
      </c>
      <c r="I24">
        <v>27.91</v>
      </c>
      <c r="J24">
        <v>30.48</v>
      </c>
      <c r="K24">
        <v>29.22</v>
      </c>
      <c r="L24">
        <v>29.8</v>
      </c>
      <c r="M24">
        <v>30.17</v>
      </c>
      <c r="N24">
        <v>30.2</v>
      </c>
      <c r="O24">
        <v>29.95</v>
      </c>
      <c r="P24">
        <v>26.76</v>
      </c>
      <c r="Q24">
        <v>30.71</v>
      </c>
      <c r="R24">
        <v>29.38</v>
      </c>
      <c r="S24">
        <v>29.53</v>
      </c>
      <c r="T24">
        <v>29.01</v>
      </c>
    </row>
    <row r="25" spans="1:20" x14ac:dyDescent="0.25">
      <c r="A25" s="2" t="s">
        <v>110</v>
      </c>
      <c r="B25">
        <v>3.87</v>
      </c>
      <c r="C25">
        <v>3.61</v>
      </c>
      <c r="D25">
        <v>3.62</v>
      </c>
      <c r="E25">
        <v>3.61</v>
      </c>
      <c r="F25">
        <v>3.63</v>
      </c>
      <c r="G25">
        <v>3.45</v>
      </c>
      <c r="H25">
        <v>3.74</v>
      </c>
      <c r="I25">
        <v>3.52</v>
      </c>
      <c r="J25">
        <v>3.49</v>
      </c>
      <c r="K25">
        <v>3.53</v>
      </c>
      <c r="L25">
        <v>3.64</v>
      </c>
      <c r="M25">
        <v>3.59</v>
      </c>
      <c r="N25">
        <v>3.47</v>
      </c>
      <c r="O25">
        <v>3.56</v>
      </c>
      <c r="P25">
        <v>3.65</v>
      </c>
      <c r="Q25">
        <v>3.82</v>
      </c>
      <c r="R25">
        <v>3.62</v>
      </c>
      <c r="S25">
        <v>3.6</v>
      </c>
      <c r="T25">
        <v>3.61</v>
      </c>
    </row>
    <row r="26" spans="1:20" x14ac:dyDescent="0.25">
      <c r="A26" s="2" t="s">
        <v>111</v>
      </c>
      <c r="B26">
        <v>87.76</v>
      </c>
      <c r="C26">
        <v>84.47</v>
      </c>
      <c r="D26">
        <v>88.51</v>
      </c>
      <c r="E26">
        <v>88.5</v>
      </c>
      <c r="F26">
        <v>88.5</v>
      </c>
      <c r="G26">
        <v>88.29</v>
      </c>
      <c r="H26">
        <v>91.5</v>
      </c>
      <c r="I26">
        <v>91.5</v>
      </c>
      <c r="J26">
        <v>90.9</v>
      </c>
      <c r="K26">
        <v>91.34</v>
      </c>
      <c r="L26">
        <v>85.86</v>
      </c>
      <c r="M26">
        <v>91.67</v>
      </c>
      <c r="N26">
        <v>87.76</v>
      </c>
      <c r="O26">
        <v>91.7</v>
      </c>
      <c r="P26">
        <v>90.34</v>
      </c>
      <c r="Q26">
        <v>94.85</v>
      </c>
      <c r="R26">
        <v>98.14</v>
      </c>
      <c r="S26">
        <v>95.29</v>
      </c>
      <c r="T26">
        <v>95.73</v>
      </c>
    </row>
    <row r="27" spans="1:20" x14ac:dyDescent="0.25">
      <c r="A27" s="2" t="s">
        <v>112</v>
      </c>
      <c r="B27">
        <v>42.81</v>
      </c>
      <c r="C27">
        <v>40.6</v>
      </c>
      <c r="D27">
        <v>40.6</v>
      </c>
      <c r="E27">
        <v>43.52</v>
      </c>
      <c r="F27">
        <v>41.78</v>
      </c>
      <c r="G27">
        <v>40.51</v>
      </c>
      <c r="H27">
        <v>42.18</v>
      </c>
      <c r="I27">
        <v>43.36</v>
      </c>
      <c r="J27">
        <v>43.28</v>
      </c>
      <c r="K27">
        <v>42.82</v>
      </c>
      <c r="L27">
        <v>40.64</v>
      </c>
      <c r="M27">
        <v>41.72</v>
      </c>
      <c r="N27">
        <v>39.479999999999997</v>
      </c>
      <c r="O27">
        <v>40.479999999999997</v>
      </c>
      <c r="P27">
        <v>40.97</v>
      </c>
      <c r="Q27">
        <v>39.799999999999997</v>
      </c>
      <c r="R27">
        <v>43.95</v>
      </c>
      <c r="S27">
        <v>44.02</v>
      </c>
      <c r="T27">
        <v>40.28</v>
      </c>
    </row>
    <row r="28" spans="1:20" x14ac:dyDescent="0.25">
      <c r="A28" s="2" t="s">
        <v>113</v>
      </c>
      <c r="B28">
        <v>1.86</v>
      </c>
      <c r="C28">
        <v>1.84</v>
      </c>
      <c r="D28">
        <v>1.65</v>
      </c>
      <c r="E28">
        <v>1.79</v>
      </c>
      <c r="F28">
        <v>1.79</v>
      </c>
      <c r="G28">
        <v>1.8</v>
      </c>
      <c r="H28">
        <v>1.72</v>
      </c>
      <c r="I28">
        <v>1.75</v>
      </c>
      <c r="J28">
        <v>1.64</v>
      </c>
      <c r="K28">
        <v>1.75</v>
      </c>
      <c r="L28">
        <v>1.67</v>
      </c>
      <c r="M28">
        <v>1.65</v>
      </c>
      <c r="N28">
        <v>1.64</v>
      </c>
      <c r="O28">
        <v>1.55</v>
      </c>
      <c r="P28">
        <v>1.63</v>
      </c>
      <c r="Q28">
        <v>1.64</v>
      </c>
      <c r="R28">
        <v>1.54</v>
      </c>
      <c r="S28">
        <v>1.62</v>
      </c>
      <c r="T28">
        <v>1.63</v>
      </c>
    </row>
    <row r="29" spans="1:20" x14ac:dyDescent="0.25">
      <c r="A29" s="2" t="s">
        <v>114</v>
      </c>
      <c r="B29">
        <v>2.2599999999999998</v>
      </c>
      <c r="C29">
        <v>2.1</v>
      </c>
      <c r="D29">
        <v>2.2000000000000002</v>
      </c>
      <c r="E29">
        <v>2.25</v>
      </c>
      <c r="F29">
        <v>2.11</v>
      </c>
      <c r="G29">
        <v>2.21</v>
      </c>
      <c r="H29">
        <v>2.16</v>
      </c>
      <c r="I29">
        <v>2.2200000000000002</v>
      </c>
      <c r="J29">
        <v>2.27</v>
      </c>
      <c r="K29">
        <v>2.31</v>
      </c>
      <c r="L29">
        <v>2.2200000000000002</v>
      </c>
      <c r="M29">
        <v>2.2400000000000002</v>
      </c>
      <c r="N29">
        <v>2.14</v>
      </c>
      <c r="O29">
        <v>2.1</v>
      </c>
      <c r="P29">
        <v>1.97</v>
      </c>
      <c r="Q29">
        <v>2.09</v>
      </c>
      <c r="R29">
        <v>2.09</v>
      </c>
      <c r="S29">
        <v>2.23</v>
      </c>
      <c r="T29">
        <v>2.19</v>
      </c>
    </row>
    <row r="30" spans="1:20" x14ac:dyDescent="0.25">
      <c r="A30" s="2" t="s">
        <v>115</v>
      </c>
      <c r="B30">
        <v>0.41</v>
      </c>
      <c r="C30">
        <v>0.43</v>
      </c>
      <c r="D30">
        <v>0.41</v>
      </c>
      <c r="E30">
        <v>0.41</v>
      </c>
      <c r="F30">
        <v>0.46</v>
      </c>
      <c r="G30">
        <v>0.49</v>
      </c>
      <c r="H30">
        <v>0.53</v>
      </c>
      <c r="I30">
        <v>0.54</v>
      </c>
      <c r="J30">
        <v>0.6</v>
      </c>
      <c r="K30">
        <v>0.6</v>
      </c>
      <c r="L30">
        <v>0.81</v>
      </c>
      <c r="M30">
        <v>0.78</v>
      </c>
      <c r="N30">
        <v>0.71</v>
      </c>
      <c r="O30">
        <v>0.65</v>
      </c>
      <c r="P30">
        <v>0.61</v>
      </c>
      <c r="Q30">
        <v>0.56999999999999995</v>
      </c>
      <c r="R30">
        <v>0.55000000000000004</v>
      </c>
      <c r="S30">
        <v>0.62</v>
      </c>
      <c r="T30">
        <v>0.64</v>
      </c>
    </row>
    <row r="31" spans="1:20" x14ac:dyDescent="0.25">
      <c r="A31" s="2" t="s">
        <v>116</v>
      </c>
      <c r="B31">
        <v>9.14</v>
      </c>
      <c r="C31">
        <v>9.0399999999999991</v>
      </c>
      <c r="D31">
        <v>8.65</v>
      </c>
      <c r="E31">
        <v>9.56</v>
      </c>
      <c r="F31">
        <v>9.01</v>
      </c>
      <c r="G31">
        <v>10.08</v>
      </c>
      <c r="H31">
        <v>9.1</v>
      </c>
      <c r="I31">
        <v>9.6</v>
      </c>
      <c r="J31">
        <v>9.58</v>
      </c>
      <c r="K31">
        <v>9.48</v>
      </c>
      <c r="L31">
        <v>11.35</v>
      </c>
      <c r="M31">
        <v>12.34</v>
      </c>
      <c r="N31">
        <v>12.21</v>
      </c>
      <c r="O31">
        <v>11.98</v>
      </c>
      <c r="P31">
        <v>12.07</v>
      </c>
      <c r="Q31">
        <v>11.78</v>
      </c>
      <c r="R31">
        <v>12.2</v>
      </c>
      <c r="S31">
        <v>12.1</v>
      </c>
      <c r="T31">
        <v>13.7</v>
      </c>
    </row>
    <row r="32" spans="1:20" x14ac:dyDescent="0.25">
      <c r="A32" s="2" t="s">
        <v>117</v>
      </c>
      <c r="B32">
        <v>11.4</v>
      </c>
      <c r="C32">
        <v>11.35</v>
      </c>
      <c r="D32">
        <v>11.04</v>
      </c>
      <c r="E32">
        <v>12.32</v>
      </c>
      <c r="F32">
        <v>12.32</v>
      </c>
      <c r="G32">
        <v>12.34</v>
      </c>
      <c r="H32">
        <v>14.23</v>
      </c>
      <c r="I32">
        <v>18.350000000000001</v>
      </c>
      <c r="J32">
        <v>19.45</v>
      </c>
      <c r="K32">
        <v>25.73</v>
      </c>
      <c r="L32">
        <v>30.27</v>
      </c>
      <c r="M32">
        <v>24.72</v>
      </c>
      <c r="N32">
        <v>29.14</v>
      </c>
      <c r="O32">
        <v>26.94</v>
      </c>
      <c r="P32">
        <v>26.19</v>
      </c>
      <c r="Q32">
        <v>26.24</v>
      </c>
      <c r="R32">
        <v>26.29</v>
      </c>
      <c r="S32">
        <v>36.42</v>
      </c>
      <c r="T32">
        <v>38.909999999999997</v>
      </c>
    </row>
    <row r="33" spans="1:27" x14ac:dyDescent="0.25">
      <c r="A33" s="2" t="s">
        <v>118</v>
      </c>
      <c r="B33">
        <v>0.73</v>
      </c>
      <c r="C33">
        <v>0.73</v>
      </c>
      <c r="D33">
        <v>0.74</v>
      </c>
      <c r="E33">
        <v>0.82</v>
      </c>
      <c r="F33">
        <v>0.82</v>
      </c>
      <c r="G33">
        <v>0.82</v>
      </c>
      <c r="H33">
        <v>0.81</v>
      </c>
      <c r="I33">
        <v>0.8</v>
      </c>
      <c r="J33">
        <v>0.82</v>
      </c>
      <c r="K33">
        <v>0.81</v>
      </c>
      <c r="L33">
        <v>0.82</v>
      </c>
      <c r="M33">
        <v>0.82</v>
      </c>
      <c r="N33">
        <v>0.82</v>
      </c>
      <c r="O33">
        <v>0.81</v>
      </c>
      <c r="P33">
        <v>0.84</v>
      </c>
      <c r="Q33">
        <v>0.78</v>
      </c>
      <c r="R33">
        <v>0.85</v>
      </c>
      <c r="S33">
        <v>0.81</v>
      </c>
      <c r="T33">
        <v>0.84</v>
      </c>
    </row>
    <row r="34" spans="1:27" x14ac:dyDescent="0.25">
      <c r="A34" s="2" t="s">
        <v>119</v>
      </c>
      <c r="B34">
        <v>4.6399999999999997</v>
      </c>
      <c r="C34">
        <v>4.57</v>
      </c>
      <c r="D34">
        <v>4.4400000000000004</v>
      </c>
      <c r="E34">
        <v>4.05</v>
      </c>
      <c r="F34">
        <v>4.3</v>
      </c>
      <c r="G34">
        <v>4.1900000000000004</v>
      </c>
      <c r="H34">
        <v>4.6500000000000004</v>
      </c>
      <c r="I34">
        <v>4.22</v>
      </c>
      <c r="J34">
        <v>4.38</v>
      </c>
      <c r="K34">
        <v>4.42</v>
      </c>
      <c r="L34">
        <v>4.26</v>
      </c>
      <c r="M34">
        <v>4.3099999999999996</v>
      </c>
      <c r="N34">
        <v>4.22</v>
      </c>
      <c r="O34">
        <v>4.29</v>
      </c>
      <c r="P34">
        <v>4.33</v>
      </c>
      <c r="Q34">
        <v>4.34</v>
      </c>
      <c r="R34">
        <v>4.29</v>
      </c>
      <c r="S34">
        <v>4.34</v>
      </c>
      <c r="T34">
        <v>4.0999999999999996</v>
      </c>
    </row>
    <row r="35" spans="1:27" x14ac:dyDescent="0.25">
      <c r="A35" s="2" t="s">
        <v>120</v>
      </c>
      <c r="B35">
        <v>0.92</v>
      </c>
      <c r="C35">
        <v>0.85</v>
      </c>
      <c r="D35">
        <v>0.87</v>
      </c>
      <c r="E35">
        <v>0.93</v>
      </c>
      <c r="F35">
        <v>0.92</v>
      </c>
      <c r="G35">
        <v>0.93</v>
      </c>
      <c r="H35">
        <v>0.86</v>
      </c>
      <c r="I35">
        <v>0.97</v>
      </c>
      <c r="J35">
        <v>0.85</v>
      </c>
      <c r="K35">
        <v>0.94</v>
      </c>
      <c r="L35">
        <v>0.93</v>
      </c>
      <c r="M35">
        <v>0.84</v>
      </c>
      <c r="N35">
        <v>0.86</v>
      </c>
      <c r="O35">
        <v>0.86</v>
      </c>
      <c r="P35">
        <v>0.88</v>
      </c>
      <c r="Q35">
        <v>0.88</v>
      </c>
      <c r="R35">
        <v>0.87</v>
      </c>
      <c r="S35">
        <v>0.88</v>
      </c>
      <c r="T35">
        <v>0.85</v>
      </c>
    </row>
    <row r="37" spans="1:27" x14ac:dyDescent="0.25">
      <c r="B37" s="2">
        <f>SUM(B5:B35)</f>
        <v>346.62000000000006</v>
      </c>
      <c r="C37" s="2">
        <f t="shared" ref="C37:L37" si="0">SUM(C5:C35)</f>
        <v>340.68000000000012</v>
      </c>
      <c r="D37" s="2">
        <f t="shared" si="0"/>
        <v>342.52</v>
      </c>
      <c r="E37" s="2">
        <f t="shared" si="0"/>
        <v>349.93</v>
      </c>
      <c r="F37" s="2">
        <f t="shared" si="0"/>
        <v>345.59000000000003</v>
      </c>
      <c r="G37" s="2">
        <f>SUM(G5:G35)</f>
        <v>347.56999999999994</v>
      </c>
      <c r="H37" s="2">
        <f t="shared" si="0"/>
        <v>350.87000000000006</v>
      </c>
      <c r="I37" s="2">
        <f t="shared" si="0"/>
        <v>349.74000000000012</v>
      </c>
      <c r="J37" s="2">
        <f t="shared" si="0"/>
        <v>354.99999999999994</v>
      </c>
      <c r="K37" s="2">
        <f t="shared" si="0"/>
        <v>360.81000000000012</v>
      </c>
      <c r="L37" s="2">
        <f t="shared" si="0"/>
        <v>357.97</v>
      </c>
      <c r="M37" s="2">
        <f t="shared" ref="M37:Z37" si="1">SUM(M5:M35)</f>
        <v>359.93999999999988</v>
      </c>
      <c r="N37" s="2">
        <f t="shared" si="1"/>
        <v>357.37</v>
      </c>
      <c r="O37" s="2">
        <f t="shared" si="1"/>
        <v>356.7000000000001</v>
      </c>
      <c r="P37" s="2">
        <f t="shared" si="1"/>
        <v>352.5</v>
      </c>
      <c r="Q37" s="2">
        <f t="shared" si="1"/>
        <v>364.53999999999991</v>
      </c>
      <c r="R37" s="2">
        <f t="shared" si="1"/>
        <v>370.18000000000006</v>
      </c>
      <c r="S37" s="2">
        <f t="shared" si="1"/>
        <v>374.84000000000003</v>
      </c>
      <c r="T37" s="2">
        <f t="shared" si="1"/>
        <v>375.61999999999995</v>
      </c>
      <c r="U37" s="2">
        <f t="shared" si="1"/>
        <v>0</v>
      </c>
      <c r="V37" s="2">
        <f t="shared" si="1"/>
        <v>0</v>
      </c>
      <c r="W37" s="2">
        <f t="shared" si="1"/>
        <v>0</v>
      </c>
      <c r="X37" s="2">
        <f t="shared" si="1"/>
        <v>0</v>
      </c>
      <c r="Y37" s="2">
        <f t="shared" si="1"/>
        <v>0</v>
      </c>
      <c r="Z37" s="2">
        <f t="shared" si="1"/>
        <v>0</v>
      </c>
      <c r="AA37" s="2"/>
    </row>
    <row r="41" spans="1:27" ht="21" x14ac:dyDescent="0.35">
      <c r="A41" s="5" t="s">
        <v>33</v>
      </c>
      <c r="B41" s="2"/>
      <c r="C41" s="2"/>
      <c r="D41" s="2"/>
      <c r="E41" s="2"/>
    </row>
    <row r="43" spans="1:27" x14ac:dyDescent="0.25">
      <c r="A43" t="s">
        <v>12</v>
      </c>
    </row>
    <row r="44" spans="1:27" x14ac:dyDescent="0.25">
      <c r="B44" s="1">
        <f t="shared" ref="B44:L44" si="2">B4</f>
        <v>44331</v>
      </c>
      <c r="C44" s="1">
        <f t="shared" si="2"/>
        <v>44332</v>
      </c>
      <c r="D44" s="1">
        <f t="shared" si="2"/>
        <v>44334</v>
      </c>
      <c r="E44" s="1">
        <f t="shared" si="2"/>
        <v>44336</v>
      </c>
      <c r="F44" s="1">
        <f t="shared" si="2"/>
        <v>44337</v>
      </c>
      <c r="G44" s="1">
        <f t="shared" si="2"/>
        <v>44338</v>
      </c>
      <c r="H44" s="1">
        <f t="shared" si="2"/>
        <v>44339</v>
      </c>
      <c r="I44" s="1">
        <f t="shared" si="2"/>
        <v>44340</v>
      </c>
      <c r="J44" s="1">
        <f t="shared" si="2"/>
        <v>44341</v>
      </c>
      <c r="K44" s="1">
        <f t="shared" si="2"/>
        <v>44342</v>
      </c>
      <c r="L44" s="1">
        <f t="shared" si="2"/>
        <v>44343</v>
      </c>
      <c r="M44" s="1">
        <f t="shared" ref="M44:Z44" si="3">M4</f>
        <v>44344</v>
      </c>
      <c r="N44" s="1">
        <f t="shared" si="3"/>
        <v>44345</v>
      </c>
      <c r="O44" s="1">
        <f t="shared" si="3"/>
        <v>44346</v>
      </c>
      <c r="P44" s="1">
        <f t="shared" si="3"/>
        <v>44347</v>
      </c>
      <c r="Q44" s="1">
        <f t="shared" si="3"/>
        <v>44348</v>
      </c>
      <c r="R44" s="1">
        <f t="shared" si="3"/>
        <v>44349</v>
      </c>
      <c r="S44" s="1">
        <f t="shared" si="3"/>
        <v>44350</v>
      </c>
      <c r="T44" s="1">
        <f t="shared" si="3"/>
        <v>44351</v>
      </c>
      <c r="U44" s="1">
        <f t="shared" si="3"/>
        <v>44352</v>
      </c>
      <c r="V44" s="1">
        <f t="shared" si="3"/>
        <v>44353</v>
      </c>
      <c r="W44" s="1">
        <f t="shared" si="3"/>
        <v>44354</v>
      </c>
      <c r="X44" s="1">
        <f t="shared" si="3"/>
        <v>44355</v>
      </c>
      <c r="Y44" s="1">
        <f t="shared" si="3"/>
        <v>44356</v>
      </c>
      <c r="Z44" s="1">
        <f t="shared" si="3"/>
        <v>44357</v>
      </c>
      <c r="AA44" s="1"/>
    </row>
    <row r="45" spans="1:27" x14ac:dyDescent="0.25">
      <c r="A45" s="2" t="s">
        <v>90</v>
      </c>
      <c r="B45">
        <f>ROUNDDOWN((B5-ROUNDUP(B5*0.1,2)-ROUNDUP(B5*0.05,2))*0.8,2)</f>
        <v>31.87</v>
      </c>
      <c r="C45">
        <f t="shared" ref="C45:L45" si="4">ROUNDDOWN((C5-ROUNDUP(C5*0.1,2)-ROUNDUP(C5*0.05,2))*0.8,2)</f>
        <v>32.799999999999997</v>
      </c>
      <c r="D45">
        <f t="shared" si="4"/>
        <v>31.29</v>
      </c>
      <c r="E45">
        <f t="shared" si="4"/>
        <v>30.42</v>
      </c>
      <c r="F45">
        <f t="shared" si="4"/>
        <v>30.52</v>
      </c>
      <c r="G45">
        <f t="shared" si="4"/>
        <v>31.69</v>
      </c>
      <c r="H45">
        <f t="shared" si="4"/>
        <v>31.32</v>
      </c>
      <c r="I45">
        <f t="shared" si="4"/>
        <v>28.15</v>
      </c>
      <c r="J45">
        <f t="shared" si="4"/>
        <v>30.18</v>
      </c>
      <c r="K45">
        <f t="shared" si="4"/>
        <v>29.6</v>
      </c>
      <c r="L45">
        <f t="shared" si="4"/>
        <v>29.84</v>
      </c>
      <c r="M45">
        <f t="shared" ref="M45:Z60" si="5">ROUNDDOWN((M5-ROUNDUP(M5*0.1,2)-ROUNDUP(M5*0.05,2))*0.8,2)</f>
        <v>29.72</v>
      </c>
      <c r="N45">
        <f t="shared" si="5"/>
        <v>28.85</v>
      </c>
      <c r="O45">
        <f t="shared" si="5"/>
        <v>28.35</v>
      </c>
      <c r="P45">
        <f t="shared" si="5"/>
        <v>27.83</v>
      </c>
      <c r="Q45">
        <f t="shared" si="5"/>
        <v>29.09</v>
      </c>
      <c r="R45">
        <f t="shared" si="5"/>
        <v>29.83</v>
      </c>
      <c r="S45">
        <f t="shared" si="5"/>
        <v>30.49</v>
      </c>
      <c r="T45">
        <f t="shared" si="5"/>
        <v>30.07</v>
      </c>
      <c r="U45">
        <f t="shared" si="5"/>
        <v>0</v>
      </c>
      <c r="V45">
        <f t="shared" si="5"/>
        <v>0</v>
      </c>
      <c r="W45">
        <f t="shared" si="5"/>
        <v>0</v>
      </c>
      <c r="X45">
        <f t="shared" si="5"/>
        <v>0</v>
      </c>
      <c r="Y45">
        <f t="shared" si="5"/>
        <v>0</v>
      </c>
      <c r="Z45">
        <f t="shared" si="5"/>
        <v>0</v>
      </c>
    </row>
    <row r="46" spans="1:27" x14ac:dyDescent="0.25">
      <c r="A46" s="2" t="s">
        <v>91</v>
      </c>
      <c r="B46">
        <f t="shared" ref="B46:L75" si="6">ROUNDDOWN((B6-ROUNDUP(B6*0.1,2)-ROUNDUP(B6*0.05,2))*0.8,2)</f>
        <v>0.93</v>
      </c>
      <c r="C46">
        <f t="shared" si="6"/>
        <v>0.88</v>
      </c>
      <c r="D46">
        <f t="shared" si="6"/>
        <v>0.94</v>
      </c>
      <c r="E46">
        <f t="shared" si="6"/>
        <v>0.96</v>
      </c>
      <c r="F46">
        <f t="shared" si="6"/>
        <v>0.93</v>
      </c>
      <c r="G46">
        <f t="shared" si="6"/>
        <v>0.93</v>
      </c>
      <c r="H46">
        <f t="shared" si="6"/>
        <v>0.95</v>
      </c>
      <c r="I46">
        <f t="shared" si="6"/>
        <v>0.95</v>
      </c>
      <c r="J46">
        <f t="shared" si="6"/>
        <v>0.95</v>
      </c>
      <c r="K46">
        <f t="shared" si="6"/>
        <v>0.95</v>
      </c>
      <c r="L46">
        <f t="shared" si="6"/>
        <v>0.95</v>
      </c>
      <c r="M46">
        <f t="shared" si="5"/>
        <v>0.93</v>
      </c>
      <c r="N46">
        <f t="shared" si="5"/>
        <v>0.91</v>
      </c>
      <c r="O46">
        <f t="shared" si="5"/>
        <v>0.9</v>
      </c>
      <c r="P46">
        <f t="shared" si="5"/>
        <v>0.9</v>
      </c>
      <c r="Q46">
        <f t="shared" si="5"/>
        <v>0.88</v>
      </c>
      <c r="R46">
        <f t="shared" si="5"/>
        <v>0.93</v>
      </c>
      <c r="S46">
        <f t="shared" si="5"/>
        <v>0.87</v>
      </c>
      <c r="T46">
        <f t="shared" si="5"/>
        <v>0.85</v>
      </c>
      <c r="U46">
        <f t="shared" si="5"/>
        <v>0</v>
      </c>
      <c r="V46">
        <f t="shared" si="5"/>
        <v>0</v>
      </c>
      <c r="W46">
        <f t="shared" si="5"/>
        <v>0</v>
      </c>
      <c r="X46">
        <f t="shared" si="5"/>
        <v>0</v>
      </c>
      <c r="Y46">
        <f t="shared" si="5"/>
        <v>0</v>
      </c>
      <c r="Z46">
        <f t="shared" si="5"/>
        <v>0</v>
      </c>
    </row>
    <row r="47" spans="1:27" x14ac:dyDescent="0.25">
      <c r="A47" s="2" t="s">
        <v>92</v>
      </c>
      <c r="B47">
        <f t="shared" si="6"/>
        <v>3.67</v>
      </c>
      <c r="C47">
        <f t="shared" si="6"/>
        <v>3.74</v>
      </c>
      <c r="D47">
        <f t="shared" si="6"/>
        <v>3.66</v>
      </c>
      <c r="E47">
        <f t="shared" si="6"/>
        <v>3.76</v>
      </c>
      <c r="F47">
        <f t="shared" si="6"/>
        <v>3.72</v>
      </c>
      <c r="G47">
        <f t="shared" si="6"/>
        <v>3.71</v>
      </c>
      <c r="H47">
        <f t="shared" si="6"/>
        <v>3.36</v>
      </c>
      <c r="I47">
        <f t="shared" si="6"/>
        <v>3.26</v>
      </c>
      <c r="J47">
        <f t="shared" si="6"/>
        <v>3.6</v>
      </c>
      <c r="K47">
        <f t="shared" si="6"/>
        <v>3.55</v>
      </c>
      <c r="L47">
        <f t="shared" si="6"/>
        <v>3.53</v>
      </c>
      <c r="M47">
        <f t="shared" si="5"/>
        <v>3.59</v>
      </c>
      <c r="N47">
        <f t="shared" si="5"/>
        <v>3.56</v>
      </c>
      <c r="O47">
        <f t="shared" si="5"/>
        <v>3.33</v>
      </c>
      <c r="P47">
        <f t="shared" si="5"/>
        <v>3.67</v>
      </c>
      <c r="Q47">
        <f t="shared" si="5"/>
        <v>3.71</v>
      </c>
      <c r="R47">
        <f t="shared" si="5"/>
        <v>3.67</v>
      </c>
      <c r="S47">
        <f t="shared" si="5"/>
        <v>3.69</v>
      </c>
      <c r="T47">
        <f t="shared" si="5"/>
        <v>3.59</v>
      </c>
      <c r="U47">
        <f t="shared" si="5"/>
        <v>0</v>
      </c>
      <c r="V47">
        <f t="shared" si="5"/>
        <v>0</v>
      </c>
      <c r="W47">
        <f t="shared" si="5"/>
        <v>0</v>
      </c>
      <c r="X47">
        <f t="shared" si="5"/>
        <v>0</v>
      </c>
      <c r="Y47">
        <f t="shared" si="5"/>
        <v>0</v>
      </c>
      <c r="Z47">
        <f t="shared" si="5"/>
        <v>0</v>
      </c>
    </row>
    <row r="48" spans="1:27" x14ac:dyDescent="0.25">
      <c r="A48" s="2" t="s">
        <v>93</v>
      </c>
      <c r="B48">
        <f t="shared" si="6"/>
        <v>1.8</v>
      </c>
      <c r="C48">
        <f t="shared" si="6"/>
        <v>1.84</v>
      </c>
      <c r="D48">
        <f t="shared" si="6"/>
        <v>1.76</v>
      </c>
      <c r="E48">
        <f t="shared" si="6"/>
        <v>1.78</v>
      </c>
      <c r="F48">
        <f t="shared" si="6"/>
        <v>1.72</v>
      </c>
      <c r="G48">
        <f t="shared" si="6"/>
        <v>1.75</v>
      </c>
      <c r="H48">
        <f t="shared" si="6"/>
        <v>1.83</v>
      </c>
      <c r="I48">
        <f t="shared" si="6"/>
        <v>1.82</v>
      </c>
      <c r="J48">
        <f t="shared" si="6"/>
        <v>1.75</v>
      </c>
      <c r="K48">
        <f t="shared" si="6"/>
        <v>1.68</v>
      </c>
      <c r="L48">
        <f t="shared" si="6"/>
        <v>1.6</v>
      </c>
      <c r="M48">
        <f t="shared" si="5"/>
        <v>1.61</v>
      </c>
      <c r="N48">
        <f t="shared" si="5"/>
        <v>1.66</v>
      </c>
      <c r="O48">
        <f t="shared" si="5"/>
        <v>1.6</v>
      </c>
      <c r="P48">
        <f t="shared" si="5"/>
        <v>1.62</v>
      </c>
      <c r="Q48">
        <f t="shared" si="5"/>
        <v>1.56</v>
      </c>
      <c r="R48">
        <f t="shared" si="5"/>
        <v>1.56</v>
      </c>
      <c r="S48">
        <f t="shared" si="5"/>
        <v>1.57</v>
      </c>
      <c r="T48">
        <f t="shared" si="5"/>
        <v>1.64</v>
      </c>
      <c r="U48">
        <f t="shared" si="5"/>
        <v>0</v>
      </c>
      <c r="V48">
        <f t="shared" si="5"/>
        <v>0</v>
      </c>
      <c r="W48">
        <f t="shared" si="5"/>
        <v>0</v>
      </c>
      <c r="X48">
        <f t="shared" si="5"/>
        <v>0</v>
      </c>
      <c r="Y48">
        <f t="shared" si="5"/>
        <v>0</v>
      </c>
      <c r="Z48">
        <f t="shared" si="5"/>
        <v>0</v>
      </c>
    </row>
    <row r="49" spans="1:26" x14ac:dyDescent="0.25">
      <c r="A49" s="2" t="s">
        <v>94</v>
      </c>
      <c r="B49">
        <f t="shared" si="6"/>
        <v>10.87</v>
      </c>
      <c r="C49">
        <f t="shared" si="6"/>
        <v>10.88</v>
      </c>
      <c r="D49">
        <f t="shared" si="6"/>
        <v>11.21</v>
      </c>
      <c r="E49">
        <f t="shared" si="6"/>
        <v>11.12</v>
      </c>
      <c r="F49">
        <f t="shared" si="6"/>
        <v>10.68</v>
      </c>
      <c r="G49">
        <f t="shared" si="6"/>
        <v>10.51</v>
      </c>
      <c r="H49">
        <f t="shared" si="6"/>
        <v>10.79</v>
      </c>
      <c r="I49">
        <f t="shared" si="6"/>
        <v>11.38</v>
      </c>
      <c r="J49">
        <f t="shared" si="6"/>
        <v>10.89</v>
      </c>
      <c r="K49">
        <f t="shared" si="6"/>
        <v>10.92</v>
      </c>
      <c r="L49">
        <f t="shared" si="6"/>
        <v>9.91</v>
      </c>
      <c r="M49">
        <f t="shared" si="5"/>
        <v>10.32</v>
      </c>
      <c r="N49">
        <f t="shared" si="5"/>
        <v>10.52</v>
      </c>
      <c r="O49">
        <f t="shared" si="5"/>
        <v>10.08</v>
      </c>
      <c r="P49">
        <f t="shared" si="5"/>
        <v>10.65</v>
      </c>
      <c r="Q49">
        <f t="shared" si="5"/>
        <v>10.67</v>
      </c>
      <c r="R49">
        <f t="shared" si="5"/>
        <v>10.83</v>
      </c>
      <c r="S49">
        <f t="shared" si="5"/>
        <v>10.44</v>
      </c>
      <c r="T49">
        <f t="shared" si="5"/>
        <v>10.33</v>
      </c>
      <c r="U49">
        <f t="shared" si="5"/>
        <v>0</v>
      </c>
      <c r="V49">
        <f t="shared" si="5"/>
        <v>0</v>
      </c>
      <c r="W49">
        <f t="shared" si="5"/>
        <v>0</v>
      </c>
      <c r="X49">
        <f t="shared" si="5"/>
        <v>0</v>
      </c>
      <c r="Y49">
        <f t="shared" si="5"/>
        <v>0</v>
      </c>
      <c r="Z49">
        <f t="shared" si="5"/>
        <v>0</v>
      </c>
    </row>
    <row r="50" spans="1:26" x14ac:dyDescent="0.25">
      <c r="A50" s="2" t="s">
        <v>95</v>
      </c>
      <c r="B50">
        <f t="shared" si="6"/>
        <v>2.85</v>
      </c>
      <c r="C50">
        <f t="shared" si="6"/>
        <v>2.67</v>
      </c>
      <c r="D50">
        <f t="shared" si="6"/>
        <v>2.6</v>
      </c>
      <c r="E50">
        <f t="shared" si="6"/>
        <v>2.81</v>
      </c>
      <c r="F50">
        <f t="shared" si="6"/>
        <v>2.75</v>
      </c>
      <c r="G50">
        <f t="shared" si="6"/>
        <v>2.85</v>
      </c>
      <c r="H50">
        <f t="shared" si="6"/>
        <v>2.8</v>
      </c>
      <c r="I50">
        <f t="shared" si="6"/>
        <v>2.84</v>
      </c>
      <c r="J50">
        <f t="shared" si="6"/>
        <v>2.76</v>
      </c>
      <c r="K50">
        <f t="shared" si="6"/>
        <v>2.75</v>
      </c>
      <c r="L50">
        <f t="shared" si="6"/>
        <v>2.66</v>
      </c>
      <c r="M50">
        <f t="shared" si="5"/>
        <v>2.71</v>
      </c>
      <c r="N50">
        <f t="shared" si="5"/>
        <v>2.82</v>
      </c>
      <c r="O50">
        <f t="shared" si="5"/>
        <v>2.4900000000000002</v>
      </c>
      <c r="P50">
        <f t="shared" si="5"/>
        <v>2.76</v>
      </c>
      <c r="Q50">
        <f t="shared" si="5"/>
        <v>2.78</v>
      </c>
      <c r="R50">
        <f t="shared" si="5"/>
        <v>2.76</v>
      </c>
      <c r="S50">
        <f t="shared" si="5"/>
        <v>2.75</v>
      </c>
      <c r="T50">
        <f t="shared" si="5"/>
        <v>2.57</v>
      </c>
      <c r="U50">
        <f t="shared" si="5"/>
        <v>0</v>
      </c>
      <c r="V50">
        <f t="shared" si="5"/>
        <v>0</v>
      </c>
      <c r="W50">
        <f t="shared" si="5"/>
        <v>0</v>
      </c>
      <c r="X50">
        <f t="shared" si="5"/>
        <v>0</v>
      </c>
      <c r="Y50">
        <f t="shared" si="5"/>
        <v>0</v>
      </c>
      <c r="Z50">
        <f t="shared" si="5"/>
        <v>0</v>
      </c>
    </row>
    <row r="51" spans="1:26" x14ac:dyDescent="0.25">
      <c r="A51" s="2" t="s">
        <v>96</v>
      </c>
      <c r="B51">
        <f t="shared" si="6"/>
        <v>1.28</v>
      </c>
      <c r="C51">
        <f t="shared" si="6"/>
        <v>1.32</v>
      </c>
      <c r="D51">
        <f t="shared" si="6"/>
        <v>1.36</v>
      </c>
      <c r="E51">
        <f t="shared" si="6"/>
        <v>1.32</v>
      </c>
      <c r="F51">
        <f t="shared" si="6"/>
        <v>1.24</v>
      </c>
      <c r="G51">
        <f t="shared" si="6"/>
        <v>1.33</v>
      </c>
      <c r="H51">
        <f t="shared" si="6"/>
        <v>1.28</v>
      </c>
      <c r="I51">
        <f t="shared" si="6"/>
        <v>1.26</v>
      </c>
      <c r="J51">
        <f t="shared" si="6"/>
        <v>1.17</v>
      </c>
      <c r="K51">
        <f t="shared" si="6"/>
        <v>1.27</v>
      </c>
      <c r="L51">
        <f t="shared" si="6"/>
        <v>1.26</v>
      </c>
      <c r="M51">
        <f t="shared" si="5"/>
        <v>1.21</v>
      </c>
      <c r="N51">
        <f t="shared" si="5"/>
        <v>1.19</v>
      </c>
      <c r="O51">
        <f t="shared" si="5"/>
        <v>1.19</v>
      </c>
      <c r="P51">
        <f t="shared" si="5"/>
        <v>1.19</v>
      </c>
      <c r="Q51">
        <f t="shared" si="5"/>
        <v>1.1599999999999999</v>
      </c>
      <c r="R51">
        <f t="shared" si="5"/>
        <v>1.17</v>
      </c>
      <c r="S51">
        <f t="shared" si="5"/>
        <v>1.07</v>
      </c>
      <c r="T51">
        <f t="shared" si="5"/>
        <v>1.1599999999999999</v>
      </c>
      <c r="U51">
        <f t="shared" si="5"/>
        <v>0</v>
      </c>
      <c r="V51">
        <f t="shared" si="5"/>
        <v>0</v>
      </c>
      <c r="W51">
        <f t="shared" si="5"/>
        <v>0</v>
      </c>
      <c r="X51">
        <f t="shared" si="5"/>
        <v>0</v>
      </c>
      <c r="Y51">
        <f t="shared" si="5"/>
        <v>0</v>
      </c>
      <c r="Z51">
        <f t="shared" si="5"/>
        <v>0</v>
      </c>
    </row>
    <row r="52" spans="1:26" x14ac:dyDescent="0.25">
      <c r="A52" s="2" t="s">
        <v>97</v>
      </c>
      <c r="B52">
        <f t="shared" si="6"/>
        <v>0.42</v>
      </c>
      <c r="C52">
        <f t="shared" si="6"/>
        <v>0.4</v>
      </c>
      <c r="D52">
        <f t="shared" si="6"/>
        <v>0.43</v>
      </c>
      <c r="E52">
        <f t="shared" si="6"/>
        <v>0.4</v>
      </c>
      <c r="F52">
        <f t="shared" si="6"/>
        <v>0.4</v>
      </c>
      <c r="G52">
        <f t="shared" si="6"/>
        <v>0.44</v>
      </c>
      <c r="H52">
        <f t="shared" si="6"/>
        <v>0.47</v>
      </c>
      <c r="I52">
        <f t="shared" si="6"/>
        <v>0.46</v>
      </c>
      <c r="J52">
        <f t="shared" si="6"/>
        <v>0.47</v>
      </c>
      <c r="K52">
        <f t="shared" si="6"/>
        <v>0.44</v>
      </c>
      <c r="L52">
        <f t="shared" si="6"/>
        <v>0.4</v>
      </c>
      <c r="M52">
        <f t="shared" si="5"/>
        <v>0.43</v>
      </c>
      <c r="N52">
        <f t="shared" si="5"/>
        <v>0.41</v>
      </c>
      <c r="O52">
        <f t="shared" si="5"/>
        <v>0.41</v>
      </c>
      <c r="P52">
        <f t="shared" si="5"/>
        <v>0.4</v>
      </c>
      <c r="Q52">
        <f t="shared" si="5"/>
        <v>0.4</v>
      </c>
      <c r="R52">
        <f t="shared" si="5"/>
        <v>0.36</v>
      </c>
      <c r="S52">
        <f t="shared" si="5"/>
        <v>0.4</v>
      </c>
      <c r="T52">
        <f t="shared" si="5"/>
        <v>0.4</v>
      </c>
      <c r="U52">
        <f t="shared" si="5"/>
        <v>0</v>
      </c>
      <c r="V52">
        <f t="shared" si="5"/>
        <v>0</v>
      </c>
      <c r="W52">
        <f t="shared" si="5"/>
        <v>0</v>
      </c>
      <c r="X52">
        <f t="shared" si="5"/>
        <v>0</v>
      </c>
      <c r="Y52">
        <f t="shared" si="5"/>
        <v>0</v>
      </c>
      <c r="Z52">
        <f t="shared" si="5"/>
        <v>0</v>
      </c>
    </row>
    <row r="53" spans="1:26" x14ac:dyDescent="0.25">
      <c r="A53" s="2" t="s">
        <v>98</v>
      </c>
      <c r="B53">
        <f t="shared" si="6"/>
        <v>8.5399999999999991</v>
      </c>
      <c r="C53">
        <f t="shared" si="6"/>
        <v>7.27</v>
      </c>
      <c r="D53">
        <f t="shared" si="6"/>
        <v>8.75</v>
      </c>
      <c r="E53">
        <f t="shared" si="6"/>
        <v>8.58</v>
      </c>
      <c r="F53">
        <f t="shared" si="6"/>
        <v>8.6199999999999992</v>
      </c>
      <c r="G53">
        <f t="shared" si="6"/>
        <v>8.9499999999999993</v>
      </c>
      <c r="H53">
        <f t="shared" si="6"/>
        <v>9.02</v>
      </c>
      <c r="I53">
        <f t="shared" si="6"/>
        <v>8.92</v>
      </c>
      <c r="J53">
        <f t="shared" si="6"/>
        <v>8.2100000000000009</v>
      </c>
      <c r="K53">
        <f t="shared" si="6"/>
        <v>8.84</v>
      </c>
      <c r="L53">
        <f t="shared" si="6"/>
        <v>8.5299999999999994</v>
      </c>
      <c r="M53">
        <f t="shared" si="5"/>
        <v>8.61</v>
      </c>
      <c r="N53">
        <f t="shared" si="5"/>
        <v>8.25</v>
      </c>
      <c r="O53">
        <f t="shared" si="5"/>
        <v>8.17</v>
      </c>
      <c r="P53">
        <f t="shared" si="5"/>
        <v>7.61</v>
      </c>
      <c r="Q53">
        <f t="shared" si="5"/>
        <v>8.32</v>
      </c>
      <c r="R53">
        <f t="shared" si="5"/>
        <v>7.95</v>
      </c>
      <c r="S53">
        <f t="shared" si="5"/>
        <v>7.61</v>
      </c>
      <c r="T53">
        <f t="shared" si="5"/>
        <v>8.2200000000000006</v>
      </c>
      <c r="U53">
        <f t="shared" si="5"/>
        <v>0</v>
      </c>
      <c r="V53">
        <f t="shared" si="5"/>
        <v>0</v>
      </c>
      <c r="W53">
        <f t="shared" si="5"/>
        <v>0</v>
      </c>
      <c r="X53">
        <f t="shared" si="5"/>
        <v>0</v>
      </c>
      <c r="Y53">
        <f t="shared" si="5"/>
        <v>0</v>
      </c>
      <c r="Z53">
        <f t="shared" si="5"/>
        <v>0</v>
      </c>
    </row>
    <row r="54" spans="1:26" x14ac:dyDescent="0.25">
      <c r="A54" s="2" t="s">
        <v>99</v>
      </c>
      <c r="B54">
        <f t="shared" si="6"/>
        <v>0.94</v>
      </c>
      <c r="C54">
        <f t="shared" si="6"/>
        <v>0.98</v>
      </c>
      <c r="D54">
        <f t="shared" si="6"/>
        <v>0.91</v>
      </c>
      <c r="E54">
        <f t="shared" si="6"/>
        <v>0.93</v>
      </c>
      <c r="F54">
        <f t="shared" si="6"/>
        <v>0.94</v>
      </c>
      <c r="G54">
        <f t="shared" si="6"/>
        <v>0.91</v>
      </c>
      <c r="H54">
        <f t="shared" si="6"/>
        <v>0.96</v>
      </c>
      <c r="I54">
        <f t="shared" si="6"/>
        <v>0.95</v>
      </c>
      <c r="J54">
        <f t="shared" si="6"/>
        <v>0.91</v>
      </c>
      <c r="K54">
        <f t="shared" si="6"/>
        <v>0.97</v>
      </c>
      <c r="L54">
        <f t="shared" si="6"/>
        <v>0.96</v>
      </c>
      <c r="M54">
        <f t="shared" si="5"/>
        <v>0.88</v>
      </c>
      <c r="N54">
        <f t="shared" si="5"/>
        <v>0.93</v>
      </c>
      <c r="O54">
        <f t="shared" si="5"/>
        <v>0.96</v>
      </c>
      <c r="P54">
        <f t="shared" si="5"/>
        <v>0.89</v>
      </c>
      <c r="Q54">
        <f t="shared" si="5"/>
        <v>0.98</v>
      </c>
      <c r="R54">
        <f t="shared" si="5"/>
        <v>0.95</v>
      </c>
      <c r="S54">
        <f t="shared" si="5"/>
        <v>0.96</v>
      </c>
      <c r="T54">
        <f t="shared" si="5"/>
        <v>0.97</v>
      </c>
      <c r="U54">
        <f t="shared" si="5"/>
        <v>0</v>
      </c>
      <c r="V54">
        <f t="shared" si="5"/>
        <v>0</v>
      </c>
      <c r="W54">
        <f t="shared" si="5"/>
        <v>0</v>
      </c>
      <c r="X54">
        <f t="shared" si="5"/>
        <v>0</v>
      </c>
      <c r="Y54">
        <f t="shared" si="5"/>
        <v>0</v>
      </c>
      <c r="Z54">
        <f t="shared" si="5"/>
        <v>0</v>
      </c>
    </row>
    <row r="55" spans="1:26" x14ac:dyDescent="0.25">
      <c r="A55" s="2" t="s">
        <v>100</v>
      </c>
      <c r="B55">
        <f t="shared" si="6"/>
        <v>8.32</v>
      </c>
      <c r="C55">
        <f t="shared" si="6"/>
        <v>9.09</v>
      </c>
      <c r="D55">
        <f t="shared" si="6"/>
        <v>8.6999999999999993</v>
      </c>
      <c r="E55">
        <f t="shared" si="6"/>
        <v>9.4</v>
      </c>
      <c r="F55">
        <f t="shared" si="6"/>
        <v>9.25</v>
      </c>
      <c r="G55">
        <f t="shared" si="6"/>
        <v>9.1300000000000008</v>
      </c>
      <c r="H55">
        <f t="shared" si="6"/>
        <v>8.43</v>
      </c>
      <c r="I55">
        <f t="shared" si="6"/>
        <v>9.02</v>
      </c>
      <c r="J55">
        <f t="shared" si="6"/>
        <v>9.02</v>
      </c>
      <c r="K55">
        <f t="shared" si="6"/>
        <v>8.83</v>
      </c>
      <c r="L55">
        <f t="shared" si="6"/>
        <v>8.67</v>
      </c>
      <c r="M55">
        <f t="shared" si="5"/>
        <v>8.02</v>
      </c>
      <c r="N55">
        <f t="shared" si="5"/>
        <v>8.98</v>
      </c>
      <c r="O55">
        <f t="shared" si="5"/>
        <v>9.08</v>
      </c>
      <c r="P55">
        <f t="shared" si="5"/>
        <v>8.8000000000000007</v>
      </c>
      <c r="Q55">
        <f t="shared" si="5"/>
        <v>9.16</v>
      </c>
      <c r="R55">
        <f t="shared" si="5"/>
        <v>8.99</v>
      </c>
      <c r="S55">
        <f t="shared" si="5"/>
        <v>8.56</v>
      </c>
      <c r="T55">
        <f t="shared" si="5"/>
        <v>8.94</v>
      </c>
      <c r="U55">
        <f t="shared" si="5"/>
        <v>0</v>
      </c>
      <c r="V55">
        <f t="shared" si="5"/>
        <v>0</v>
      </c>
      <c r="W55">
        <f t="shared" si="5"/>
        <v>0</v>
      </c>
      <c r="X55">
        <f t="shared" si="5"/>
        <v>0</v>
      </c>
      <c r="Y55">
        <f t="shared" si="5"/>
        <v>0</v>
      </c>
      <c r="Z55">
        <f t="shared" si="5"/>
        <v>0</v>
      </c>
    </row>
    <row r="56" spans="1:26" x14ac:dyDescent="0.25">
      <c r="A56" s="2" t="s">
        <v>101</v>
      </c>
      <c r="B56">
        <f t="shared" si="6"/>
        <v>1.74</v>
      </c>
      <c r="C56">
        <f t="shared" si="6"/>
        <v>1.69</v>
      </c>
      <c r="D56">
        <f t="shared" si="6"/>
        <v>1.81</v>
      </c>
      <c r="E56">
        <f t="shared" si="6"/>
        <v>1.64</v>
      </c>
      <c r="F56">
        <f t="shared" si="6"/>
        <v>1.76</v>
      </c>
      <c r="G56">
        <f t="shared" si="6"/>
        <v>1.76</v>
      </c>
      <c r="H56">
        <f t="shared" si="6"/>
        <v>1.8</v>
      </c>
      <c r="I56">
        <f t="shared" si="6"/>
        <v>1.8</v>
      </c>
      <c r="J56">
        <f t="shared" si="6"/>
        <v>1.75</v>
      </c>
      <c r="K56">
        <f t="shared" si="6"/>
        <v>1.89</v>
      </c>
      <c r="L56">
        <f t="shared" si="6"/>
        <v>1.88</v>
      </c>
      <c r="M56">
        <f t="shared" si="5"/>
        <v>1.9</v>
      </c>
      <c r="N56">
        <f t="shared" si="5"/>
        <v>1.98</v>
      </c>
      <c r="O56">
        <f t="shared" si="5"/>
        <v>1.63</v>
      </c>
      <c r="P56">
        <f t="shared" si="5"/>
        <v>1.79</v>
      </c>
      <c r="Q56">
        <f t="shared" si="5"/>
        <v>1.83</v>
      </c>
      <c r="R56">
        <f t="shared" si="5"/>
        <v>1.71</v>
      </c>
      <c r="S56">
        <f t="shared" si="5"/>
        <v>1.64</v>
      </c>
      <c r="T56">
        <f t="shared" si="5"/>
        <v>1.71</v>
      </c>
      <c r="U56">
        <f t="shared" si="5"/>
        <v>0</v>
      </c>
      <c r="V56">
        <f t="shared" si="5"/>
        <v>0</v>
      </c>
      <c r="W56">
        <f t="shared" si="5"/>
        <v>0</v>
      </c>
      <c r="X56">
        <f t="shared" si="5"/>
        <v>0</v>
      </c>
      <c r="Y56">
        <f t="shared" si="5"/>
        <v>0</v>
      </c>
      <c r="Z56">
        <f t="shared" si="5"/>
        <v>0</v>
      </c>
    </row>
    <row r="57" spans="1:26" x14ac:dyDescent="0.25">
      <c r="A57" s="2" t="s">
        <v>102</v>
      </c>
      <c r="B57">
        <f t="shared" si="6"/>
        <v>3.32</v>
      </c>
      <c r="C57">
        <f t="shared" si="6"/>
        <v>3.2</v>
      </c>
      <c r="D57">
        <f t="shared" si="6"/>
        <v>3.37</v>
      </c>
      <c r="E57">
        <f t="shared" si="6"/>
        <v>3.17</v>
      </c>
      <c r="F57">
        <f t="shared" si="6"/>
        <v>3.17</v>
      </c>
      <c r="G57">
        <f t="shared" si="6"/>
        <v>3.27</v>
      </c>
      <c r="H57">
        <f t="shared" si="6"/>
        <v>3.24</v>
      </c>
      <c r="I57">
        <f t="shared" si="6"/>
        <v>3.33</v>
      </c>
      <c r="J57">
        <f t="shared" si="6"/>
        <v>3.08</v>
      </c>
      <c r="K57">
        <f t="shared" si="6"/>
        <v>3.04</v>
      </c>
      <c r="L57">
        <f t="shared" si="6"/>
        <v>3.32</v>
      </c>
      <c r="M57">
        <f t="shared" si="5"/>
        <v>3.23</v>
      </c>
      <c r="N57">
        <f t="shared" si="5"/>
        <v>3.33</v>
      </c>
      <c r="O57">
        <f t="shared" si="5"/>
        <v>3.16</v>
      </c>
      <c r="P57">
        <f t="shared" si="5"/>
        <v>3.2</v>
      </c>
      <c r="Q57">
        <f t="shared" si="5"/>
        <v>3.23</v>
      </c>
      <c r="R57">
        <f t="shared" si="5"/>
        <v>3.18</v>
      </c>
      <c r="S57">
        <f t="shared" si="5"/>
        <v>2.84</v>
      </c>
      <c r="T57">
        <f t="shared" si="5"/>
        <v>3.26</v>
      </c>
      <c r="U57">
        <f t="shared" si="5"/>
        <v>0</v>
      </c>
      <c r="V57">
        <f t="shared" si="5"/>
        <v>0</v>
      </c>
      <c r="W57">
        <f t="shared" si="5"/>
        <v>0</v>
      </c>
      <c r="X57">
        <f t="shared" si="5"/>
        <v>0</v>
      </c>
      <c r="Y57">
        <f t="shared" si="5"/>
        <v>0</v>
      </c>
      <c r="Z57">
        <f t="shared" si="5"/>
        <v>0</v>
      </c>
    </row>
    <row r="58" spans="1:26" x14ac:dyDescent="0.25">
      <c r="A58" s="2" t="s">
        <v>103</v>
      </c>
      <c r="B58">
        <f t="shared" si="6"/>
        <v>1.63</v>
      </c>
      <c r="C58">
        <f t="shared" si="6"/>
        <v>1.59</v>
      </c>
      <c r="D58">
        <f t="shared" si="6"/>
        <v>1.56</v>
      </c>
      <c r="E58">
        <f t="shared" si="6"/>
        <v>1.64</v>
      </c>
      <c r="F58">
        <f t="shared" si="6"/>
        <v>1.63</v>
      </c>
      <c r="G58">
        <f t="shared" si="6"/>
        <v>1.57</v>
      </c>
      <c r="H58">
        <f t="shared" si="6"/>
        <v>1.6</v>
      </c>
      <c r="I58">
        <f t="shared" si="6"/>
        <v>1.62</v>
      </c>
      <c r="J58">
        <f t="shared" si="6"/>
        <v>1.52</v>
      </c>
      <c r="K58">
        <f t="shared" si="6"/>
        <v>1.56</v>
      </c>
      <c r="L58">
        <f t="shared" si="6"/>
        <v>1.59</v>
      </c>
      <c r="M58">
        <f t="shared" si="5"/>
        <v>1.61</v>
      </c>
      <c r="N58">
        <f t="shared" si="5"/>
        <v>1.6</v>
      </c>
      <c r="O58">
        <f t="shared" si="5"/>
        <v>1.62</v>
      </c>
      <c r="P58">
        <f t="shared" si="5"/>
        <v>1.6</v>
      </c>
      <c r="Q58">
        <f t="shared" si="5"/>
        <v>1.68</v>
      </c>
      <c r="R58">
        <f t="shared" si="5"/>
        <v>1.69</v>
      </c>
      <c r="S58">
        <f t="shared" si="5"/>
        <v>1.62</v>
      </c>
      <c r="T58">
        <f t="shared" si="5"/>
        <v>1.58</v>
      </c>
      <c r="U58">
        <f t="shared" si="5"/>
        <v>0</v>
      </c>
      <c r="V58">
        <f t="shared" si="5"/>
        <v>0</v>
      </c>
      <c r="W58">
        <f t="shared" si="5"/>
        <v>0</v>
      </c>
      <c r="X58">
        <f t="shared" si="5"/>
        <v>0</v>
      </c>
      <c r="Y58">
        <f t="shared" si="5"/>
        <v>0</v>
      </c>
      <c r="Z58">
        <f t="shared" si="5"/>
        <v>0</v>
      </c>
    </row>
    <row r="59" spans="1:26" x14ac:dyDescent="0.25">
      <c r="A59" s="2" t="s">
        <v>104</v>
      </c>
      <c r="B59">
        <f t="shared" si="6"/>
        <v>0.87</v>
      </c>
      <c r="C59">
        <f t="shared" si="6"/>
        <v>0.8</v>
      </c>
      <c r="D59">
        <f t="shared" si="6"/>
        <v>0.74</v>
      </c>
      <c r="E59">
        <f t="shared" si="6"/>
        <v>0.74</v>
      </c>
      <c r="F59">
        <f t="shared" si="6"/>
        <v>0.72</v>
      </c>
      <c r="G59">
        <f t="shared" si="6"/>
        <v>0.74</v>
      </c>
      <c r="H59">
        <f t="shared" si="6"/>
        <v>0.72</v>
      </c>
      <c r="I59">
        <f t="shared" si="6"/>
        <v>0.7</v>
      </c>
      <c r="J59">
        <f t="shared" si="6"/>
        <v>0.74</v>
      </c>
      <c r="K59">
        <f t="shared" si="6"/>
        <v>0.75</v>
      </c>
      <c r="L59">
        <f t="shared" si="6"/>
        <v>0.8</v>
      </c>
      <c r="M59">
        <f t="shared" si="5"/>
        <v>0.86</v>
      </c>
      <c r="N59">
        <f t="shared" si="5"/>
        <v>0.84</v>
      </c>
      <c r="O59">
        <f t="shared" si="5"/>
        <v>0.82</v>
      </c>
      <c r="P59">
        <f t="shared" si="5"/>
        <v>0.78</v>
      </c>
      <c r="Q59">
        <f t="shared" si="5"/>
        <v>0.79</v>
      </c>
      <c r="R59">
        <f t="shared" si="5"/>
        <v>0.8</v>
      </c>
      <c r="S59">
        <f t="shared" si="5"/>
        <v>0.74</v>
      </c>
      <c r="T59">
        <f t="shared" si="5"/>
        <v>0.65</v>
      </c>
      <c r="U59">
        <f t="shared" si="5"/>
        <v>0</v>
      </c>
      <c r="V59">
        <f t="shared" si="5"/>
        <v>0</v>
      </c>
      <c r="W59">
        <f t="shared" si="5"/>
        <v>0</v>
      </c>
      <c r="X59">
        <f t="shared" si="5"/>
        <v>0</v>
      </c>
      <c r="Y59">
        <f t="shared" si="5"/>
        <v>0</v>
      </c>
      <c r="Z59">
        <f t="shared" si="5"/>
        <v>0</v>
      </c>
    </row>
    <row r="60" spans="1:26" x14ac:dyDescent="0.25">
      <c r="A60" s="2" t="s">
        <v>105</v>
      </c>
      <c r="B60">
        <f t="shared" si="6"/>
        <v>11.91</v>
      </c>
      <c r="C60">
        <f t="shared" si="6"/>
        <v>11.13</v>
      </c>
      <c r="D60">
        <f t="shared" si="6"/>
        <v>11.99</v>
      </c>
      <c r="E60">
        <f t="shared" si="6"/>
        <v>11.83</v>
      </c>
      <c r="F60">
        <f t="shared" si="6"/>
        <v>11.64</v>
      </c>
      <c r="G60">
        <f t="shared" si="6"/>
        <v>11.37</v>
      </c>
      <c r="H60">
        <f t="shared" si="6"/>
        <v>10.24</v>
      </c>
      <c r="I60">
        <f t="shared" si="6"/>
        <v>10.08</v>
      </c>
      <c r="J60">
        <f t="shared" si="6"/>
        <v>11.12</v>
      </c>
      <c r="K60">
        <f t="shared" si="6"/>
        <v>12</v>
      </c>
      <c r="L60">
        <f t="shared" si="6"/>
        <v>11.17</v>
      </c>
      <c r="M60">
        <f t="shared" si="5"/>
        <v>11.6</v>
      </c>
      <c r="N60">
        <f t="shared" si="5"/>
        <v>11.05</v>
      </c>
      <c r="O60">
        <f t="shared" si="5"/>
        <v>11.18</v>
      </c>
      <c r="P60">
        <f t="shared" si="5"/>
        <v>11.18</v>
      </c>
      <c r="Q60">
        <f t="shared" si="5"/>
        <v>11.6</v>
      </c>
      <c r="R60">
        <f t="shared" si="5"/>
        <v>11.26</v>
      </c>
      <c r="S60">
        <f t="shared" si="5"/>
        <v>10.46</v>
      </c>
      <c r="T60">
        <f t="shared" si="5"/>
        <v>10.14</v>
      </c>
      <c r="U60">
        <f t="shared" si="5"/>
        <v>0</v>
      </c>
      <c r="V60">
        <f t="shared" si="5"/>
        <v>0</v>
      </c>
      <c r="W60">
        <f t="shared" si="5"/>
        <v>0</v>
      </c>
      <c r="X60">
        <f t="shared" si="5"/>
        <v>0</v>
      </c>
      <c r="Y60">
        <f t="shared" si="5"/>
        <v>0</v>
      </c>
      <c r="Z60">
        <f t="shared" si="5"/>
        <v>0</v>
      </c>
    </row>
    <row r="61" spans="1:26" x14ac:dyDescent="0.25">
      <c r="A61" s="2" t="s">
        <v>106</v>
      </c>
      <c r="B61">
        <f t="shared" si="6"/>
        <v>4.38</v>
      </c>
      <c r="C61">
        <f t="shared" si="6"/>
        <v>4.47</v>
      </c>
      <c r="D61">
        <f t="shared" si="6"/>
        <v>4.4000000000000004</v>
      </c>
      <c r="E61">
        <f t="shared" si="6"/>
        <v>4.28</v>
      </c>
      <c r="F61">
        <f t="shared" si="6"/>
        <v>4.22</v>
      </c>
      <c r="G61">
        <f t="shared" si="6"/>
        <v>4.22</v>
      </c>
      <c r="H61">
        <f t="shared" si="6"/>
        <v>3.91</v>
      </c>
      <c r="I61">
        <f t="shared" si="6"/>
        <v>4.22</v>
      </c>
      <c r="J61">
        <f t="shared" si="6"/>
        <v>4.07</v>
      </c>
      <c r="K61">
        <f t="shared" si="6"/>
        <v>4.07</v>
      </c>
      <c r="L61">
        <f t="shared" si="6"/>
        <v>4.08</v>
      </c>
      <c r="M61">
        <f t="shared" ref="M61:Z67" si="7">ROUNDDOWN((M21-ROUNDUP(M21*0.1,2)-ROUNDUP(M21*0.05,2))*0.8,2)</f>
        <v>3.77</v>
      </c>
      <c r="N61">
        <f t="shared" si="7"/>
        <v>3.8</v>
      </c>
      <c r="O61">
        <f t="shared" si="7"/>
        <v>3.81</v>
      </c>
      <c r="P61">
        <f t="shared" si="7"/>
        <v>3.96</v>
      </c>
      <c r="Q61">
        <f t="shared" si="7"/>
        <v>4</v>
      </c>
      <c r="R61">
        <f t="shared" si="7"/>
        <v>4</v>
      </c>
      <c r="S61">
        <f t="shared" si="7"/>
        <v>3.97</v>
      </c>
      <c r="T61">
        <f t="shared" si="7"/>
        <v>3.92</v>
      </c>
      <c r="U61">
        <f t="shared" si="7"/>
        <v>0</v>
      </c>
      <c r="V61">
        <f t="shared" si="7"/>
        <v>0</v>
      </c>
      <c r="W61">
        <f t="shared" si="7"/>
        <v>0</v>
      </c>
      <c r="X61">
        <f t="shared" si="7"/>
        <v>0</v>
      </c>
      <c r="Y61">
        <f t="shared" si="7"/>
        <v>0</v>
      </c>
      <c r="Z61">
        <f t="shared" si="7"/>
        <v>0</v>
      </c>
    </row>
    <row r="62" spans="1:26" x14ac:dyDescent="0.25">
      <c r="A62" s="2" t="s">
        <v>107</v>
      </c>
      <c r="B62">
        <f t="shared" si="6"/>
        <v>4.47</v>
      </c>
      <c r="C62">
        <f t="shared" si="6"/>
        <v>4.2699999999999996</v>
      </c>
      <c r="D62">
        <f t="shared" si="6"/>
        <v>3.92</v>
      </c>
      <c r="E62">
        <f t="shared" si="6"/>
        <v>4.3499999999999996</v>
      </c>
      <c r="F62">
        <f t="shared" si="6"/>
        <v>3.94</v>
      </c>
      <c r="G62">
        <f t="shared" si="6"/>
        <v>4.28</v>
      </c>
      <c r="H62">
        <f t="shared" si="6"/>
        <v>4.4000000000000004</v>
      </c>
      <c r="I62">
        <f t="shared" si="6"/>
        <v>4.1500000000000004</v>
      </c>
      <c r="J62">
        <f t="shared" si="6"/>
        <v>4.28</v>
      </c>
      <c r="K62">
        <f t="shared" si="6"/>
        <v>3.81</v>
      </c>
      <c r="L62">
        <f t="shared" si="6"/>
        <v>4.08</v>
      </c>
      <c r="M62">
        <f t="shared" si="7"/>
        <v>3.93</v>
      </c>
      <c r="N62">
        <f t="shared" si="7"/>
        <v>3.97</v>
      </c>
      <c r="O62">
        <f t="shared" si="7"/>
        <v>3.93</v>
      </c>
      <c r="P62">
        <f t="shared" si="7"/>
        <v>4.07</v>
      </c>
      <c r="Q62">
        <f t="shared" si="7"/>
        <v>4.29</v>
      </c>
      <c r="R62">
        <f t="shared" si="7"/>
        <v>4.16</v>
      </c>
      <c r="S62">
        <f t="shared" si="7"/>
        <v>4</v>
      </c>
      <c r="T62">
        <f t="shared" si="7"/>
        <v>4.28</v>
      </c>
      <c r="U62">
        <f t="shared" si="7"/>
        <v>0</v>
      </c>
      <c r="V62">
        <f t="shared" si="7"/>
        <v>0</v>
      </c>
      <c r="W62">
        <f t="shared" si="7"/>
        <v>0</v>
      </c>
      <c r="X62">
        <f t="shared" si="7"/>
        <v>0</v>
      </c>
      <c r="Y62">
        <f t="shared" si="7"/>
        <v>0</v>
      </c>
      <c r="Z62">
        <f t="shared" si="7"/>
        <v>0</v>
      </c>
    </row>
    <row r="63" spans="1:26" x14ac:dyDescent="0.25">
      <c r="A63" s="2" t="s">
        <v>108</v>
      </c>
      <c r="B63">
        <f t="shared" si="6"/>
        <v>3.87</v>
      </c>
      <c r="C63">
        <f t="shared" si="6"/>
        <v>3.68</v>
      </c>
      <c r="D63">
        <f t="shared" si="6"/>
        <v>3.69</v>
      </c>
      <c r="E63">
        <f t="shared" si="6"/>
        <v>3.48</v>
      </c>
      <c r="F63">
        <f t="shared" si="6"/>
        <v>3.53</v>
      </c>
      <c r="G63">
        <f t="shared" si="6"/>
        <v>3.72</v>
      </c>
      <c r="H63">
        <f t="shared" si="6"/>
        <v>3.64</v>
      </c>
      <c r="I63">
        <f t="shared" si="6"/>
        <v>3.48</v>
      </c>
      <c r="J63">
        <f t="shared" si="6"/>
        <v>3.45</v>
      </c>
      <c r="K63">
        <f t="shared" si="6"/>
        <v>3.4</v>
      </c>
      <c r="L63">
        <f t="shared" si="6"/>
        <v>3.62</v>
      </c>
      <c r="M63">
        <f t="shared" si="7"/>
        <v>3.53</v>
      </c>
      <c r="N63">
        <f t="shared" si="7"/>
        <v>3.53</v>
      </c>
      <c r="O63">
        <f t="shared" si="7"/>
        <v>3.47</v>
      </c>
      <c r="P63">
        <f t="shared" si="7"/>
        <v>3.64</v>
      </c>
      <c r="Q63">
        <f t="shared" si="7"/>
        <v>3.64</v>
      </c>
      <c r="R63">
        <f t="shared" si="7"/>
        <v>3.56</v>
      </c>
      <c r="S63">
        <f t="shared" si="7"/>
        <v>3.55</v>
      </c>
      <c r="T63">
        <f t="shared" si="7"/>
        <v>3.51</v>
      </c>
      <c r="U63">
        <f t="shared" si="7"/>
        <v>0</v>
      </c>
      <c r="V63">
        <f t="shared" si="7"/>
        <v>0</v>
      </c>
      <c r="W63">
        <f t="shared" si="7"/>
        <v>0</v>
      </c>
      <c r="X63">
        <f t="shared" si="7"/>
        <v>0</v>
      </c>
      <c r="Y63">
        <f t="shared" si="7"/>
        <v>0</v>
      </c>
      <c r="Z63">
        <f t="shared" si="7"/>
        <v>0</v>
      </c>
    </row>
    <row r="64" spans="1:26" x14ac:dyDescent="0.25">
      <c r="A64" s="2" t="s">
        <v>109</v>
      </c>
      <c r="B64">
        <f t="shared" si="6"/>
        <v>19.07</v>
      </c>
      <c r="C64">
        <f t="shared" si="6"/>
        <v>20.22</v>
      </c>
      <c r="D64">
        <f t="shared" si="6"/>
        <v>18.93</v>
      </c>
      <c r="E64">
        <f t="shared" si="6"/>
        <v>21.05</v>
      </c>
      <c r="F64">
        <f t="shared" si="6"/>
        <v>20.74</v>
      </c>
      <c r="G64">
        <f t="shared" si="6"/>
        <v>20.73</v>
      </c>
      <c r="H64">
        <f t="shared" si="6"/>
        <v>21.03</v>
      </c>
      <c r="I64">
        <f t="shared" si="6"/>
        <v>18.96</v>
      </c>
      <c r="J64">
        <f t="shared" si="6"/>
        <v>20.72</v>
      </c>
      <c r="K64">
        <f t="shared" si="6"/>
        <v>19.850000000000001</v>
      </c>
      <c r="L64">
        <f t="shared" si="6"/>
        <v>20.260000000000002</v>
      </c>
      <c r="M64">
        <f t="shared" si="7"/>
        <v>20.51</v>
      </c>
      <c r="N64">
        <f t="shared" si="7"/>
        <v>20.53</v>
      </c>
      <c r="O64">
        <f t="shared" si="7"/>
        <v>20.36</v>
      </c>
      <c r="P64">
        <f t="shared" si="7"/>
        <v>18.190000000000001</v>
      </c>
      <c r="Q64">
        <f t="shared" si="7"/>
        <v>20.87</v>
      </c>
      <c r="R64">
        <f t="shared" si="7"/>
        <v>19.97</v>
      </c>
      <c r="S64">
        <f t="shared" si="7"/>
        <v>20.07</v>
      </c>
      <c r="T64">
        <f t="shared" si="7"/>
        <v>19.71</v>
      </c>
      <c r="U64">
        <f t="shared" si="7"/>
        <v>0</v>
      </c>
      <c r="V64">
        <f t="shared" si="7"/>
        <v>0</v>
      </c>
      <c r="W64">
        <f t="shared" si="7"/>
        <v>0</v>
      </c>
      <c r="X64">
        <f t="shared" si="7"/>
        <v>0</v>
      </c>
      <c r="Y64">
        <f t="shared" si="7"/>
        <v>0</v>
      </c>
      <c r="Z64">
        <f t="shared" si="7"/>
        <v>0</v>
      </c>
    </row>
    <row r="65" spans="1:27" x14ac:dyDescent="0.25">
      <c r="A65" s="2" t="s">
        <v>110</v>
      </c>
      <c r="B65">
        <f t="shared" si="6"/>
        <v>2.62</v>
      </c>
      <c r="C65">
        <f t="shared" si="6"/>
        <v>2.44</v>
      </c>
      <c r="D65">
        <f t="shared" si="6"/>
        <v>2.44</v>
      </c>
      <c r="E65">
        <f t="shared" si="6"/>
        <v>2.44</v>
      </c>
      <c r="F65">
        <f t="shared" si="6"/>
        <v>2.4500000000000002</v>
      </c>
      <c r="G65">
        <f t="shared" si="6"/>
        <v>2.33</v>
      </c>
      <c r="H65">
        <f t="shared" si="6"/>
        <v>2.5299999999999998</v>
      </c>
      <c r="I65">
        <f t="shared" si="6"/>
        <v>2.38</v>
      </c>
      <c r="J65">
        <f t="shared" si="6"/>
        <v>2.36</v>
      </c>
      <c r="K65">
        <f t="shared" si="6"/>
        <v>2.39</v>
      </c>
      <c r="L65">
        <f t="shared" si="6"/>
        <v>2.46</v>
      </c>
      <c r="M65">
        <f t="shared" si="7"/>
        <v>2.44</v>
      </c>
      <c r="N65">
        <f t="shared" si="7"/>
        <v>2.35</v>
      </c>
      <c r="O65">
        <f t="shared" si="7"/>
        <v>2.41</v>
      </c>
      <c r="P65">
        <f t="shared" si="7"/>
        <v>2.4700000000000002</v>
      </c>
      <c r="Q65">
        <f t="shared" si="7"/>
        <v>2.58</v>
      </c>
      <c r="R65">
        <f t="shared" si="7"/>
        <v>2.44</v>
      </c>
      <c r="S65">
        <f t="shared" si="7"/>
        <v>2.44</v>
      </c>
      <c r="T65">
        <f t="shared" si="7"/>
        <v>2.44</v>
      </c>
      <c r="U65">
        <f t="shared" si="7"/>
        <v>0</v>
      </c>
      <c r="V65">
        <f t="shared" si="7"/>
        <v>0</v>
      </c>
      <c r="W65">
        <f t="shared" si="7"/>
        <v>0</v>
      </c>
      <c r="X65">
        <f t="shared" si="7"/>
        <v>0</v>
      </c>
      <c r="Y65">
        <f t="shared" si="7"/>
        <v>0</v>
      </c>
      <c r="Z65">
        <f t="shared" si="7"/>
        <v>0</v>
      </c>
    </row>
    <row r="66" spans="1:27" x14ac:dyDescent="0.25">
      <c r="A66" s="2" t="s">
        <v>111</v>
      </c>
      <c r="B66">
        <f t="shared" si="6"/>
        <v>59.67</v>
      </c>
      <c r="C66">
        <f t="shared" si="6"/>
        <v>57.43</v>
      </c>
      <c r="D66">
        <f t="shared" si="6"/>
        <v>60.17</v>
      </c>
      <c r="E66">
        <f t="shared" si="6"/>
        <v>60.17</v>
      </c>
      <c r="F66">
        <f t="shared" si="6"/>
        <v>60.17</v>
      </c>
      <c r="G66">
        <f t="shared" si="6"/>
        <v>60.03</v>
      </c>
      <c r="H66">
        <f t="shared" si="6"/>
        <v>62.21</v>
      </c>
      <c r="I66">
        <f t="shared" si="6"/>
        <v>62.21</v>
      </c>
      <c r="J66">
        <f t="shared" si="6"/>
        <v>61.8</v>
      </c>
      <c r="K66">
        <f t="shared" si="6"/>
        <v>62.1</v>
      </c>
      <c r="L66">
        <f t="shared" si="6"/>
        <v>58.37</v>
      </c>
      <c r="M66">
        <f t="shared" si="7"/>
        <v>62.32</v>
      </c>
      <c r="N66">
        <f t="shared" si="7"/>
        <v>59.67</v>
      </c>
      <c r="O66">
        <f t="shared" si="7"/>
        <v>62.35</v>
      </c>
      <c r="P66">
        <f t="shared" si="7"/>
        <v>61.42</v>
      </c>
      <c r="Q66">
        <f t="shared" si="7"/>
        <v>64.48</v>
      </c>
      <c r="R66">
        <f t="shared" si="7"/>
        <v>66.72</v>
      </c>
      <c r="S66">
        <f t="shared" si="7"/>
        <v>64.790000000000006</v>
      </c>
      <c r="T66">
        <f t="shared" si="7"/>
        <v>65.08</v>
      </c>
      <c r="U66">
        <f t="shared" si="7"/>
        <v>0</v>
      </c>
      <c r="V66">
        <f t="shared" si="7"/>
        <v>0</v>
      </c>
      <c r="W66">
        <f t="shared" si="7"/>
        <v>0</v>
      </c>
      <c r="X66">
        <f t="shared" si="7"/>
        <v>0</v>
      </c>
      <c r="Y66">
        <f t="shared" si="7"/>
        <v>0</v>
      </c>
      <c r="Z66">
        <f t="shared" si="7"/>
        <v>0</v>
      </c>
    </row>
    <row r="67" spans="1:27" x14ac:dyDescent="0.25">
      <c r="A67" s="2" t="s">
        <v>112</v>
      </c>
      <c r="B67">
        <f t="shared" si="6"/>
        <v>29.09</v>
      </c>
      <c r="C67">
        <f t="shared" si="6"/>
        <v>27.6</v>
      </c>
      <c r="D67">
        <f t="shared" si="6"/>
        <v>27.6</v>
      </c>
      <c r="E67">
        <f t="shared" si="6"/>
        <v>29.58</v>
      </c>
      <c r="F67">
        <f t="shared" si="6"/>
        <v>28.4</v>
      </c>
      <c r="G67">
        <f t="shared" si="6"/>
        <v>27.53</v>
      </c>
      <c r="H67">
        <f t="shared" si="6"/>
        <v>28.68</v>
      </c>
      <c r="I67">
        <f t="shared" si="6"/>
        <v>29.48</v>
      </c>
      <c r="J67">
        <f t="shared" si="6"/>
        <v>29.42</v>
      </c>
      <c r="K67">
        <f t="shared" si="6"/>
        <v>29.1</v>
      </c>
      <c r="L67">
        <f t="shared" si="6"/>
        <v>27.62</v>
      </c>
      <c r="M67">
        <f t="shared" si="7"/>
        <v>28.36</v>
      </c>
      <c r="N67">
        <f t="shared" si="7"/>
        <v>26.84</v>
      </c>
      <c r="O67">
        <f t="shared" si="7"/>
        <v>27.52</v>
      </c>
      <c r="P67">
        <f t="shared" si="7"/>
        <v>27.85</v>
      </c>
      <c r="Q67">
        <f t="shared" si="7"/>
        <v>27.06</v>
      </c>
      <c r="R67">
        <f t="shared" si="7"/>
        <v>29.88</v>
      </c>
      <c r="S67">
        <f t="shared" si="7"/>
        <v>29.92</v>
      </c>
      <c r="T67">
        <f t="shared" si="7"/>
        <v>27.38</v>
      </c>
      <c r="U67">
        <f t="shared" si="7"/>
        <v>0</v>
      </c>
      <c r="V67">
        <f t="shared" si="7"/>
        <v>0</v>
      </c>
      <c r="W67">
        <f t="shared" si="7"/>
        <v>0</v>
      </c>
      <c r="X67">
        <f t="shared" si="7"/>
        <v>0</v>
      </c>
      <c r="Y67">
        <f t="shared" si="7"/>
        <v>0</v>
      </c>
      <c r="Z67">
        <f t="shared" si="7"/>
        <v>0</v>
      </c>
    </row>
    <row r="68" spans="1:27" x14ac:dyDescent="0.25">
      <c r="A68" s="2" t="s">
        <v>113</v>
      </c>
      <c r="B68">
        <f t="shared" si="6"/>
        <v>1.25</v>
      </c>
      <c r="C68">
        <f t="shared" si="6"/>
        <v>1.24</v>
      </c>
      <c r="D68">
        <f t="shared" si="6"/>
        <v>1.1100000000000001</v>
      </c>
      <c r="E68">
        <f t="shared" si="6"/>
        <v>1.21</v>
      </c>
      <c r="F68">
        <f t="shared" si="6"/>
        <v>1.21</v>
      </c>
      <c r="G68">
        <f t="shared" si="6"/>
        <v>1.22</v>
      </c>
      <c r="H68">
        <f t="shared" ref="C68:L75" si="8">ROUNDDOWN((H28-ROUNDUP(H28*0.1,2)-ROUNDUP(H28*0.05,2))*0.8,2)</f>
        <v>1.1599999999999999</v>
      </c>
      <c r="I68">
        <f t="shared" si="8"/>
        <v>1.18</v>
      </c>
      <c r="J68">
        <f t="shared" si="8"/>
        <v>1.1000000000000001</v>
      </c>
      <c r="K68">
        <f t="shared" si="8"/>
        <v>1.18</v>
      </c>
      <c r="L68">
        <f t="shared" si="8"/>
        <v>1.1200000000000001</v>
      </c>
      <c r="M68">
        <f t="shared" ref="M68:Z68" si="9">ROUNDDOWN((M28-ROUNDUP(M28*0.1,2)-ROUNDUP(M28*0.05,2))*0.8,2)</f>
        <v>1.1100000000000001</v>
      </c>
      <c r="N68">
        <f t="shared" si="9"/>
        <v>1.1000000000000001</v>
      </c>
      <c r="O68">
        <f t="shared" si="9"/>
        <v>1.04</v>
      </c>
      <c r="P68">
        <f t="shared" si="9"/>
        <v>1.0900000000000001</v>
      </c>
      <c r="Q68">
        <f t="shared" si="9"/>
        <v>1.1000000000000001</v>
      </c>
      <c r="R68">
        <f t="shared" si="9"/>
        <v>1.04</v>
      </c>
      <c r="S68">
        <f t="shared" si="9"/>
        <v>1.08</v>
      </c>
      <c r="T68">
        <f t="shared" si="9"/>
        <v>1.0900000000000001</v>
      </c>
      <c r="U68">
        <f t="shared" si="9"/>
        <v>0</v>
      </c>
      <c r="V68">
        <f t="shared" si="9"/>
        <v>0</v>
      </c>
      <c r="W68">
        <f t="shared" si="9"/>
        <v>0</v>
      </c>
      <c r="X68">
        <f t="shared" si="9"/>
        <v>0</v>
      </c>
      <c r="Y68">
        <f t="shared" si="9"/>
        <v>0</v>
      </c>
      <c r="Z68">
        <f t="shared" si="9"/>
        <v>0</v>
      </c>
    </row>
    <row r="69" spans="1:27" x14ac:dyDescent="0.25">
      <c r="A69" s="2" t="s">
        <v>114</v>
      </c>
      <c r="B69">
        <f t="shared" si="6"/>
        <v>1.52</v>
      </c>
      <c r="C69">
        <f t="shared" si="8"/>
        <v>1.42</v>
      </c>
      <c r="D69">
        <f t="shared" si="8"/>
        <v>1.49</v>
      </c>
      <c r="E69">
        <f t="shared" si="8"/>
        <v>1.52</v>
      </c>
      <c r="F69">
        <f t="shared" si="8"/>
        <v>1.42</v>
      </c>
      <c r="G69">
        <f t="shared" si="8"/>
        <v>1.48</v>
      </c>
      <c r="H69">
        <f t="shared" si="8"/>
        <v>1.46</v>
      </c>
      <c r="I69">
        <f t="shared" si="8"/>
        <v>1.49</v>
      </c>
      <c r="J69">
        <f t="shared" si="8"/>
        <v>1.53</v>
      </c>
      <c r="K69">
        <f t="shared" si="8"/>
        <v>1.56</v>
      </c>
      <c r="L69">
        <f t="shared" si="8"/>
        <v>1.49</v>
      </c>
      <c r="M69">
        <f t="shared" ref="M69:Z69" si="10">ROUNDDOWN((M29-ROUNDUP(M29*0.1,2)-ROUNDUP(M29*0.05,2))*0.8,2)</f>
        <v>1.51</v>
      </c>
      <c r="N69">
        <f t="shared" si="10"/>
        <v>1.44</v>
      </c>
      <c r="O69">
        <f t="shared" si="10"/>
        <v>1.42</v>
      </c>
      <c r="P69">
        <f t="shared" si="10"/>
        <v>1.33</v>
      </c>
      <c r="Q69">
        <f t="shared" si="10"/>
        <v>1.41</v>
      </c>
      <c r="R69">
        <f t="shared" si="10"/>
        <v>1.41</v>
      </c>
      <c r="S69">
        <f t="shared" si="10"/>
        <v>1.5</v>
      </c>
      <c r="T69">
        <f t="shared" si="10"/>
        <v>1.48</v>
      </c>
      <c r="U69">
        <f t="shared" si="10"/>
        <v>0</v>
      </c>
      <c r="V69">
        <f t="shared" si="10"/>
        <v>0</v>
      </c>
      <c r="W69">
        <f t="shared" si="10"/>
        <v>0</v>
      </c>
      <c r="X69">
        <f t="shared" si="10"/>
        <v>0</v>
      </c>
      <c r="Y69">
        <f t="shared" si="10"/>
        <v>0</v>
      </c>
      <c r="Z69">
        <f t="shared" si="10"/>
        <v>0</v>
      </c>
    </row>
    <row r="70" spans="1:27" x14ac:dyDescent="0.25">
      <c r="A70" s="2" t="s">
        <v>115</v>
      </c>
      <c r="B70">
        <f t="shared" si="6"/>
        <v>0.26</v>
      </c>
      <c r="C70">
        <f t="shared" si="8"/>
        <v>0.28000000000000003</v>
      </c>
      <c r="D70">
        <f t="shared" si="8"/>
        <v>0.26</v>
      </c>
      <c r="E70">
        <f t="shared" si="8"/>
        <v>0.26</v>
      </c>
      <c r="F70">
        <f t="shared" si="8"/>
        <v>0.3</v>
      </c>
      <c r="G70">
        <f t="shared" si="8"/>
        <v>0.32</v>
      </c>
      <c r="H70">
        <f t="shared" si="8"/>
        <v>0.35</v>
      </c>
      <c r="I70">
        <f t="shared" si="8"/>
        <v>0.36</v>
      </c>
      <c r="J70">
        <f t="shared" si="8"/>
        <v>0.4</v>
      </c>
      <c r="K70">
        <f t="shared" si="8"/>
        <v>0.4</v>
      </c>
      <c r="L70">
        <f t="shared" si="8"/>
        <v>0.53</v>
      </c>
      <c r="M70">
        <f t="shared" ref="M70:Z70" si="11">ROUNDDOWN((M30-ROUNDUP(M30*0.1,2)-ROUNDUP(M30*0.05,2))*0.8,2)</f>
        <v>0.52</v>
      </c>
      <c r="N70">
        <f t="shared" si="11"/>
        <v>0.47</v>
      </c>
      <c r="O70">
        <f t="shared" si="11"/>
        <v>0.43</v>
      </c>
      <c r="P70">
        <f t="shared" si="11"/>
        <v>0.4</v>
      </c>
      <c r="Q70">
        <f t="shared" si="11"/>
        <v>0.38</v>
      </c>
      <c r="R70">
        <f t="shared" si="11"/>
        <v>0.36</v>
      </c>
      <c r="S70">
        <f t="shared" si="11"/>
        <v>0.4</v>
      </c>
      <c r="T70">
        <f t="shared" si="11"/>
        <v>0.42</v>
      </c>
      <c r="U70">
        <f t="shared" si="11"/>
        <v>0</v>
      </c>
      <c r="V70">
        <f t="shared" si="11"/>
        <v>0</v>
      </c>
      <c r="W70">
        <f t="shared" si="11"/>
        <v>0</v>
      </c>
      <c r="X70">
        <f t="shared" si="11"/>
        <v>0</v>
      </c>
      <c r="Y70">
        <f t="shared" si="11"/>
        <v>0</v>
      </c>
      <c r="Z70">
        <f t="shared" si="11"/>
        <v>0</v>
      </c>
    </row>
    <row r="71" spans="1:27" x14ac:dyDescent="0.25">
      <c r="A71" s="2" t="s">
        <v>116</v>
      </c>
      <c r="B71">
        <f t="shared" si="6"/>
        <v>6.2</v>
      </c>
      <c r="C71">
        <f t="shared" si="8"/>
        <v>6.13</v>
      </c>
      <c r="D71">
        <f t="shared" si="8"/>
        <v>5.87</v>
      </c>
      <c r="E71">
        <f t="shared" si="8"/>
        <v>6.49</v>
      </c>
      <c r="F71">
        <f t="shared" si="8"/>
        <v>6.11</v>
      </c>
      <c r="G71">
        <f t="shared" si="8"/>
        <v>6.84</v>
      </c>
      <c r="H71">
        <f t="shared" si="8"/>
        <v>6.18</v>
      </c>
      <c r="I71">
        <f t="shared" si="8"/>
        <v>6.52</v>
      </c>
      <c r="J71">
        <f t="shared" si="8"/>
        <v>6.51</v>
      </c>
      <c r="K71">
        <f t="shared" si="8"/>
        <v>6.44</v>
      </c>
      <c r="L71">
        <f t="shared" si="8"/>
        <v>7.71</v>
      </c>
      <c r="M71">
        <f t="shared" ref="M71:Z71" si="12">ROUNDDOWN((M31-ROUNDUP(M31*0.1,2)-ROUNDUP(M31*0.05,2))*0.8,2)</f>
        <v>8.3800000000000008</v>
      </c>
      <c r="N71">
        <f t="shared" si="12"/>
        <v>8.2799999999999994</v>
      </c>
      <c r="O71">
        <f t="shared" si="12"/>
        <v>8.14</v>
      </c>
      <c r="P71">
        <f t="shared" si="12"/>
        <v>8.1999999999999993</v>
      </c>
      <c r="Q71">
        <f t="shared" si="12"/>
        <v>8</v>
      </c>
      <c r="R71">
        <f t="shared" si="12"/>
        <v>8.2899999999999991</v>
      </c>
      <c r="S71">
        <f t="shared" si="12"/>
        <v>8.2200000000000006</v>
      </c>
      <c r="T71">
        <f t="shared" si="12"/>
        <v>9.31</v>
      </c>
      <c r="U71">
        <f t="shared" si="12"/>
        <v>0</v>
      </c>
      <c r="V71">
        <f t="shared" si="12"/>
        <v>0</v>
      </c>
      <c r="W71">
        <f t="shared" si="12"/>
        <v>0</v>
      </c>
      <c r="X71">
        <f t="shared" si="12"/>
        <v>0</v>
      </c>
      <c r="Y71">
        <f t="shared" si="12"/>
        <v>0</v>
      </c>
      <c r="Z71">
        <f t="shared" si="12"/>
        <v>0</v>
      </c>
    </row>
    <row r="72" spans="1:27" x14ac:dyDescent="0.25">
      <c r="A72" s="2" t="s">
        <v>117</v>
      </c>
      <c r="B72">
        <f t="shared" si="6"/>
        <v>7.75</v>
      </c>
      <c r="C72">
        <f t="shared" si="8"/>
        <v>7.71</v>
      </c>
      <c r="D72">
        <f t="shared" si="8"/>
        <v>7.49</v>
      </c>
      <c r="E72">
        <f t="shared" si="8"/>
        <v>8.36</v>
      </c>
      <c r="F72">
        <f t="shared" si="8"/>
        <v>8.36</v>
      </c>
      <c r="G72">
        <f t="shared" si="8"/>
        <v>8.3800000000000008</v>
      </c>
      <c r="H72">
        <f t="shared" si="8"/>
        <v>9.66</v>
      </c>
      <c r="I72">
        <f t="shared" si="8"/>
        <v>12.47</v>
      </c>
      <c r="J72">
        <f t="shared" si="8"/>
        <v>13.21</v>
      </c>
      <c r="K72">
        <f t="shared" si="8"/>
        <v>17.48</v>
      </c>
      <c r="L72">
        <f t="shared" si="8"/>
        <v>20.57</v>
      </c>
      <c r="M72">
        <f t="shared" ref="M72:Z72" si="13">ROUNDDOWN((M32-ROUNDUP(M32*0.1,2)-ROUNDUP(M32*0.05,2))*0.8,2)</f>
        <v>16.8</v>
      </c>
      <c r="N72">
        <f t="shared" si="13"/>
        <v>19.8</v>
      </c>
      <c r="O72">
        <f t="shared" si="13"/>
        <v>18.309999999999999</v>
      </c>
      <c r="P72">
        <f t="shared" si="13"/>
        <v>17.8</v>
      </c>
      <c r="Q72">
        <f t="shared" si="13"/>
        <v>17.829999999999998</v>
      </c>
      <c r="R72">
        <f t="shared" si="13"/>
        <v>17.87</v>
      </c>
      <c r="S72">
        <f t="shared" si="13"/>
        <v>24.75</v>
      </c>
      <c r="T72">
        <f t="shared" si="13"/>
        <v>26.44</v>
      </c>
      <c r="U72">
        <f t="shared" si="13"/>
        <v>0</v>
      </c>
      <c r="V72">
        <f t="shared" si="13"/>
        <v>0</v>
      </c>
      <c r="W72">
        <f t="shared" si="13"/>
        <v>0</v>
      </c>
      <c r="X72">
        <f t="shared" si="13"/>
        <v>0</v>
      </c>
      <c r="Y72">
        <f t="shared" si="13"/>
        <v>0</v>
      </c>
      <c r="Z72">
        <f t="shared" si="13"/>
        <v>0</v>
      </c>
    </row>
    <row r="73" spans="1:27" x14ac:dyDescent="0.25">
      <c r="A73" s="2" t="s">
        <v>118</v>
      </c>
      <c r="B73">
        <f t="shared" si="6"/>
        <v>0.48</v>
      </c>
      <c r="C73">
        <f t="shared" si="8"/>
        <v>0.48</v>
      </c>
      <c r="D73">
        <f t="shared" si="8"/>
        <v>0.49</v>
      </c>
      <c r="E73">
        <f t="shared" si="8"/>
        <v>0.54</v>
      </c>
      <c r="F73">
        <f t="shared" si="8"/>
        <v>0.54</v>
      </c>
      <c r="G73">
        <f t="shared" si="8"/>
        <v>0.54</v>
      </c>
      <c r="H73">
        <f t="shared" si="8"/>
        <v>0.53</v>
      </c>
      <c r="I73">
        <f t="shared" si="8"/>
        <v>0.54</v>
      </c>
      <c r="J73">
        <f t="shared" si="8"/>
        <v>0.54</v>
      </c>
      <c r="K73">
        <f t="shared" si="8"/>
        <v>0.53</v>
      </c>
      <c r="L73">
        <f t="shared" si="8"/>
        <v>0.54</v>
      </c>
      <c r="M73">
        <f t="shared" ref="M73:Z73" si="14">ROUNDDOWN((M33-ROUNDUP(M33*0.1,2)-ROUNDUP(M33*0.05,2))*0.8,2)</f>
        <v>0.54</v>
      </c>
      <c r="N73">
        <f t="shared" si="14"/>
        <v>0.54</v>
      </c>
      <c r="O73">
        <f t="shared" si="14"/>
        <v>0.53</v>
      </c>
      <c r="P73">
        <f t="shared" si="14"/>
        <v>0.56000000000000005</v>
      </c>
      <c r="Q73">
        <f t="shared" si="14"/>
        <v>0.52</v>
      </c>
      <c r="R73">
        <f t="shared" si="14"/>
        <v>0.56000000000000005</v>
      </c>
      <c r="S73">
        <f t="shared" si="14"/>
        <v>0.53</v>
      </c>
      <c r="T73">
        <f t="shared" si="14"/>
        <v>0.56000000000000005</v>
      </c>
      <c r="U73">
        <f t="shared" si="14"/>
        <v>0</v>
      </c>
      <c r="V73">
        <f t="shared" si="14"/>
        <v>0</v>
      </c>
      <c r="W73">
        <f t="shared" si="14"/>
        <v>0</v>
      </c>
      <c r="X73">
        <f t="shared" si="14"/>
        <v>0</v>
      </c>
      <c r="Y73">
        <f t="shared" si="14"/>
        <v>0</v>
      </c>
      <c r="Z73">
        <f t="shared" si="14"/>
        <v>0</v>
      </c>
    </row>
    <row r="74" spans="1:27" x14ac:dyDescent="0.25">
      <c r="A74" s="2" t="s">
        <v>119</v>
      </c>
      <c r="B74">
        <f t="shared" si="6"/>
        <v>3.14</v>
      </c>
      <c r="C74">
        <f t="shared" si="8"/>
        <v>3.1</v>
      </c>
      <c r="D74">
        <f t="shared" si="8"/>
        <v>3</v>
      </c>
      <c r="E74">
        <f t="shared" si="8"/>
        <v>2.74</v>
      </c>
      <c r="F74">
        <f t="shared" si="8"/>
        <v>2.92</v>
      </c>
      <c r="G74">
        <f t="shared" si="8"/>
        <v>2.84</v>
      </c>
      <c r="H74">
        <f t="shared" si="8"/>
        <v>3.15</v>
      </c>
      <c r="I74">
        <f t="shared" si="8"/>
        <v>2.85</v>
      </c>
      <c r="J74">
        <f t="shared" si="8"/>
        <v>2.97</v>
      </c>
      <c r="K74">
        <f t="shared" si="8"/>
        <v>2.99</v>
      </c>
      <c r="L74">
        <f t="shared" si="8"/>
        <v>2.88</v>
      </c>
      <c r="M74">
        <f t="shared" ref="M74:Z74" si="15">ROUNDDOWN((M34-ROUNDUP(M34*0.1,2)-ROUNDUP(M34*0.05,2))*0.8,2)</f>
        <v>2.92</v>
      </c>
      <c r="N74">
        <f t="shared" si="15"/>
        <v>2.85</v>
      </c>
      <c r="O74">
        <f t="shared" si="15"/>
        <v>2.91</v>
      </c>
      <c r="P74">
        <f t="shared" si="15"/>
        <v>2.93</v>
      </c>
      <c r="Q74">
        <f t="shared" si="15"/>
        <v>2.94</v>
      </c>
      <c r="R74">
        <f t="shared" si="15"/>
        <v>2.91</v>
      </c>
      <c r="S74">
        <f t="shared" si="15"/>
        <v>2.94</v>
      </c>
      <c r="T74">
        <f t="shared" si="15"/>
        <v>2.78</v>
      </c>
      <c r="U74">
        <f t="shared" si="15"/>
        <v>0</v>
      </c>
      <c r="V74">
        <f t="shared" si="15"/>
        <v>0</v>
      </c>
      <c r="W74">
        <f t="shared" si="15"/>
        <v>0</v>
      </c>
      <c r="X74">
        <f t="shared" si="15"/>
        <v>0</v>
      </c>
      <c r="Y74">
        <f t="shared" si="15"/>
        <v>0</v>
      </c>
      <c r="Z74">
        <f t="shared" si="15"/>
        <v>0</v>
      </c>
    </row>
    <row r="75" spans="1:27" x14ac:dyDescent="0.25">
      <c r="A75" s="2" t="s">
        <v>120</v>
      </c>
      <c r="B75">
        <f t="shared" si="6"/>
        <v>0.61</v>
      </c>
      <c r="C75">
        <f t="shared" si="8"/>
        <v>0.56000000000000005</v>
      </c>
      <c r="D75">
        <f t="shared" si="8"/>
        <v>0.57999999999999996</v>
      </c>
      <c r="E75">
        <f t="shared" si="8"/>
        <v>0.62</v>
      </c>
      <c r="F75">
        <f t="shared" si="8"/>
        <v>0.61</v>
      </c>
      <c r="G75">
        <f t="shared" si="8"/>
        <v>0.62</v>
      </c>
      <c r="H75">
        <f t="shared" si="8"/>
        <v>0.56999999999999995</v>
      </c>
      <c r="I75">
        <f t="shared" si="8"/>
        <v>0.65</v>
      </c>
      <c r="J75">
        <f t="shared" si="8"/>
        <v>0.56000000000000005</v>
      </c>
      <c r="K75">
        <f t="shared" si="8"/>
        <v>0.63</v>
      </c>
      <c r="L75">
        <f t="shared" si="8"/>
        <v>0.62</v>
      </c>
      <c r="M75">
        <f t="shared" ref="M75:Z75" si="16">ROUNDDOWN((M35-ROUNDUP(M35*0.1,2)-ROUNDUP(M35*0.05,2))*0.8,2)</f>
        <v>0.56000000000000005</v>
      </c>
      <c r="N75">
        <f t="shared" si="16"/>
        <v>0.56999999999999995</v>
      </c>
      <c r="O75">
        <f t="shared" si="16"/>
        <v>0.56999999999999995</v>
      </c>
      <c r="P75">
        <f t="shared" si="16"/>
        <v>0.59</v>
      </c>
      <c r="Q75">
        <f t="shared" si="16"/>
        <v>0.59</v>
      </c>
      <c r="R75">
        <f t="shared" si="16"/>
        <v>0.57999999999999996</v>
      </c>
      <c r="S75">
        <f t="shared" si="16"/>
        <v>0.59</v>
      </c>
      <c r="T75">
        <f t="shared" si="16"/>
        <v>0.56000000000000005</v>
      </c>
      <c r="U75">
        <f t="shared" si="16"/>
        <v>0</v>
      </c>
      <c r="V75">
        <f t="shared" si="16"/>
        <v>0</v>
      </c>
      <c r="W75">
        <f t="shared" si="16"/>
        <v>0</v>
      </c>
      <c r="X75">
        <f t="shared" si="16"/>
        <v>0</v>
      </c>
      <c r="Y75">
        <f t="shared" si="16"/>
        <v>0</v>
      </c>
      <c r="Z75">
        <f t="shared" si="16"/>
        <v>0</v>
      </c>
    </row>
    <row r="77" spans="1:27" x14ac:dyDescent="0.25">
      <c r="B77" s="2">
        <f>SUM(B45:B75)</f>
        <v>235.34</v>
      </c>
      <c r="C77" s="2">
        <f t="shared" ref="C77:F77" si="17">SUM(C45:C75)</f>
        <v>231.30999999999997</v>
      </c>
      <c r="D77" s="2">
        <f t="shared" si="17"/>
        <v>232.52000000000004</v>
      </c>
      <c r="E77" s="2">
        <f t="shared" si="17"/>
        <v>237.59</v>
      </c>
      <c r="F77" s="2">
        <f t="shared" si="17"/>
        <v>234.61</v>
      </c>
      <c r="G77" s="2">
        <f>SUM(G45:G75)</f>
        <v>235.98999999999995</v>
      </c>
      <c r="H77" s="2">
        <f t="shared" ref="H77:L77" si="18">SUM(H45:H75)</f>
        <v>238.26999999999998</v>
      </c>
      <c r="I77" s="2">
        <f t="shared" si="18"/>
        <v>237.48000000000005</v>
      </c>
      <c r="J77" s="2">
        <f t="shared" si="18"/>
        <v>241.04000000000002</v>
      </c>
      <c r="K77" s="2">
        <f t="shared" si="18"/>
        <v>244.97000000000003</v>
      </c>
      <c r="L77" s="2">
        <f t="shared" si="18"/>
        <v>243.01999999999998</v>
      </c>
      <c r="M77" s="2">
        <f t="shared" ref="M77:Z77" si="19">SUM(M45:M75)</f>
        <v>244.43000000000004</v>
      </c>
      <c r="N77" s="2">
        <f t="shared" si="19"/>
        <v>242.61999999999998</v>
      </c>
      <c r="O77" s="2">
        <f t="shared" si="19"/>
        <v>242.17000000000002</v>
      </c>
      <c r="P77" s="2">
        <f t="shared" si="19"/>
        <v>239.37000000000003</v>
      </c>
      <c r="Q77" s="2">
        <f t="shared" si="19"/>
        <v>247.53000000000003</v>
      </c>
      <c r="R77" s="2">
        <f t="shared" si="19"/>
        <v>251.39000000000001</v>
      </c>
      <c r="S77" s="2">
        <f t="shared" si="19"/>
        <v>254.46000000000006</v>
      </c>
      <c r="T77" s="2">
        <f t="shared" si="19"/>
        <v>255.03999999999996</v>
      </c>
      <c r="U77" s="2">
        <f t="shared" si="19"/>
        <v>0</v>
      </c>
      <c r="V77" s="2">
        <f t="shared" si="19"/>
        <v>0</v>
      </c>
      <c r="W77" s="2">
        <f t="shared" si="19"/>
        <v>0</v>
      </c>
      <c r="X77" s="2">
        <f t="shared" si="19"/>
        <v>0</v>
      </c>
      <c r="Y77" s="2">
        <f t="shared" si="19"/>
        <v>0</v>
      </c>
      <c r="Z77" s="2">
        <f t="shared" si="19"/>
        <v>0</v>
      </c>
      <c r="AA77" s="2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5255-DD8D-4D80-8290-E15BB20EBD30}">
  <dimension ref="A1:Z48"/>
  <sheetViews>
    <sheetView zoomScale="80" zoomScaleNormal="80" workbookViewId="0">
      <pane xSplit="1" topLeftCell="B1" activePane="topRight" state="frozen"/>
      <selection pane="topRight" activeCell="H26" sqref="H26"/>
    </sheetView>
  </sheetViews>
  <sheetFormatPr defaultRowHeight="15" x14ac:dyDescent="0.25"/>
  <cols>
    <col min="1" max="1" width="31.42578125" customWidth="1"/>
    <col min="2" max="31" width="12" customWidth="1"/>
  </cols>
  <sheetData>
    <row r="1" spans="1:26" ht="31.5" x14ac:dyDescent="0.5">
      <c r="A1" s="4" t="s">
        <v>129</v>
      </c>
    </row>
    <row r="3" spans="1:26" x14ac:dyDescent="0.25">
      <c r="A3" t="s">
        <v>12</v>
      </c>
    </row>
    <row r="4" spans="1:26" x14ac:dyDescent="0.25">
      <c r="B4" s="1">
        <f>Pistol!B4</f>
        <v>44331</v>
      </c>
      <c r="C4" s="1">
        <f>Pistol!C4</f>
        <v>44332</v>
      </c>
      <c r="D4" s="1">
        <f>Pistol!D4</f>
        <v>44334</v>
      </c>
      <c r="E4" s="1">
        <f>Pistol!E4</f>
        <v>44336</v>
      </c>
      <c r="F4" s="1">
        <f>Pistol!F4</f>
        <v>44337</v>
      </c>
      <c r="G4" s="1">
        <f>Pistol!G4</f>
        <v>44338</v>
      </c>
      <c r="H4" s="1">
        <f>Pistol!H4</f>
        <v>44339</v>
      </c>
      <c r="I4" s="1">
        <f>Pistol!I4</f>
        <v>44340</v>
      </c>
      <c r="J4" s="1">
        <f>Pistol!J4</f>
        <v>44341</v>
      </c>
      <c r="K4" s="1">
        <f>Pistol!K4</f>
        <v>44342</v>
      </c>
      <c r="L4" s="1">
        <f>Pistol!L4</f>
        <v>44343</v>
      </c>
      <c r="M4" s="1">
        <f>Pistol!M4</f>
        <v>44344</v>
      </c>
      <c r="N4" s="1">
        <f>Pistol!N4</f>
        <v>44345</v>
      </c>
      <c r="O4" s="1">
        <f>Pistol!O4</f>
        <v>44346</v>
      </c>
      <c r="P4" s="1">
        <f>Pistol!P4</f>
        <v>44347</v>
      </c>
      <c r="Q4" s="1">
        <f>Pistol!Q4</f>
        <v>44348</v>
      </c>
      <c r="R4" s="1">
        <f>Pistol!R4</f>
        <v>44349</v>
      </c>
      <c r="S4" s="1">
        <f>Pistol!S4</f>
        <v>44350</v>
      </c>
      <c r="T4" s="1">
        <f>Pistol!T4</f>
        <v>44351</v>
      </c>
      <c r="U4" s="1">
        <f>Pistol!U4</f>
        <v>44352</v>
      </c>
      <c r="V4" s="1">
        <f>Pistol!V4</f>
        <v>44353</v>
      </c>
      <c r="W4" s="1">
        <f>Pistol!W4</f>
        <v>44354</v>
      </c>
      <c r="X4" s="1">
        <f>Pistol!X4</f>
        <v>44355</v>
      </c>
      <c r="Y4" s="1">
        <f>Pistol!Y4</f>
        <v>44356</v>
      </c>
      <c r="Z4" s="1">
        <f>Pistol!Z4</f>
        <v>44357</v>
      </c>
    </row>
    <row r="5" spans="1:26" x14ac:dyDescent="0.25">
      <c r="A5" s="2" t="s">
        <v>130</v>
      </c>
      <c r="H5">
        <v>3.05</v>
      </c>
      <c r="I5">
        <v>3.02</v>
      </c>
      <c r="J5">
        <v>3.19</v>
      </c>
      <c r="K5">
        <v>2.91</v>
      </c>
      <c r="L5">
        <v>3.04</v>
      </c>
      <c r="M5">
        <v>3.11</v>
      </c>
      <c r="N5">
        <v>3.11</v>
      </c>
      <c r="O5">
        <v>3.07</v>
      </c>
      <c r="P5">
        <v>2.78</v>
      </c>
      <c r="Q5">
        <v>2.82</v>
      </c>
      <c r="R5">
        <v>3.1</v>
      </c>
      <c r="S5">
        <v>3.1</v>
      </c>
      <c r="T5">
        <v>2.9</v>
      </c>
    </row>
    <row r="6" spans="1:26" x14ac:dyDescent="0.25">
      <c r="A6" s="2" t="s">
        <v>131</v>
      </c>
      <c r="H6">
        <v>4.5599999999999996</v>
      </c>
      <c r="I6">
        <v>4.63</v>
      </c>
      <c r="J6">
        <v>4.3899999999999997</v>
      </c>
      <c r="K6">
        <v>4.79</v>
      </c>
      <c r="L6">
        <v>4.8</v>
      </c>
      <c r="M6">
        <v>4.8499999999999996</v>
      </c>
      <c r="N6">
        <v>4.79</v>
      </c>
      <c r="O6">
        <v>4.84</v>
      </c>
      <c r="P6">
        <v>4.53</v>
      </c>
      <c r="Q6">
        <v>4.6100000000000003</v>
      </c>
      <c r="R6">
        <v>4.75</v>
      </c>
      <c r="S6">
        <v>4.41</v>
      </c>
      <c r="T6">
        <v>4.34</v>
      </c>
    </row>
    <row r="7" spans="1:26" x14ac:dyDescent="0.25">
      <c r="A7" s="2" t="s">
        <v>146</v>
      </c>
      <c r="H7">
        <v>3.35</v>
      </c>
      <c r="I7">
        <v>3.64</v>
      </c>
      <c r="J7">
        <v>3.58</v>
      </c>
      <c r="K7">
        <v>3.53</v>
      </c>
      <c r="L7">
        <v>3.59</v>
      </c>
      <c r="M7">
        <v>3.52</v>
      </c>
      <c r="N7">
        <v>3.47</v>
      </c>
      <c r="O7">
        <v>3.36</v>
      </c>
      <c r="P7">
        <v>3.65</v>
      </c>
      <c r="Q7">
        <v>3.51</v>
      </c>
      <c r="R7">
        <v>3.6</v>
      </c>
      <c r="S7">
        <v>3.63</v>
      </c>
      <c r="T7">
        <v>3.7</v>
      </c>
    </row>
    <row r="8" spans="1:26" x14ac:dyDescent="0.25">
      <c r="A8" s="2" t="s">
        <v>132</v>
      </c>
      <c r="H8">
        <v>38.950000000000003</v>
      </c>
      <c r="I8">
        <v>36.61</v>
      </c>
      <c r="J8">
        <v>36.29</v>
      </c>
      <c r="K8">
        <v>39.28</v>
      </c>
      <c r="L8">
        <v>40.54</v>
      </c>
      <c r="M8">
        <v>39.83</v>
      </c>
      <c r="N8">
        <v>38.07</v>
      </c>
      <c r="O8">
        <v>40.049999999999997</v>
      </c>
      <c r="P8">
        <v>41</v>
      </c>
      <c r="Q8">
        <v>42.59</v>
      </c>
      <c r="R8">
        <v>41.24</v>
      </c>
      <c r="S8">
        <v>40.450000000000003</v>
      </c>
      <c r="T8">
        <v>39.5</v>
      </c>
    </row>
    <row r="9" spans="1:26" x14ac:dyDescent="0.25">
      <c r="A9" s="2" t="s">
        <v>134</v>
      </c>
      <c r="H9">
        <v>3.71</v>
      </c>
      <c r="I9">
        <v>3.54</v>
      </c>
      <c r="J9">
        <v>3.52</v>
      </c>
      <c r="K9">
        <v>3.61</v>
      </c>
      <c r="L9">
        <v>3.58</v>
      </c>
      <c r="M9">
        <v>3.65</v>
      </c>
      <c r="N9">
        <v>3.64</v>
      </c>
      <c r="O9">
        <v>3.47</v>
      </c>
      <c r="P9">
        <v>3.77</v>
      </c>
      <c r="Q9">
        <v>3.75</v>
      </c>
      <c r="R9">
        <v>3.69</v>
      </c>
      <c r="S9">
        <v>3.59</v>
      </c>
      <c r="T9">
        <v>3.48</v>
      </c>
    </row>
    <row r="10" spans="1:26" x14ac:dyDescent="0.25">
      <c r="A10" s="2" t="s">
        <v>133</v>
      </c>
      <c r="H10">
        <v>1.07</v>
      </c>
      <c r="I10">
        <v>1.17</v>
      </c>
      <c r="J10">
        <v>1.1000000000000001</v>
      </c>
      <c r="K10">
        <v>1.18</v>
      </c>
      <c r="L10">
        <v>1.1100000000000001</v>
      </c>
      <c r="M10">
        <v>1.06</v>
      </c>
      <c r="N10">
        <v>1.1100000000000001</v>
      </c>
      <c r="O10">
        <v>1.06</v>
      </c>
      <c r="P10">
        <v>1.1499999999999999</v>
      </c>
      <c r="Q10">
        <v>1.2</v>
      </c>
      <c r="R10">
        <v>1.0900000000000001</v>
      </c>
      <c r="S10">
        <v>1.1200000000000001</v>
      </c>
      <c r="T10">
        <v>1.1200000000000001</v>
      </c>
    </row>
    <row r="11" spans="1:26" x14ac:dyDescent="0.25">
      <c r="A11" s="2" t="s">
        <v>135</v>
      </c>
      <c r="H11">
        <v>6.22</v>
      </c>
      <c r="I11">
        <v>6.24</v>
      </c>
      <c r="J11">
        <v>6.41</v>
      </c>
      <c r="K11">
        <v>6.04</v>
      </c>
      <c r="L11">
        <v>6.51</v>
      </c>
      <c r="M11">
        <v>6.35</v>
      </c>
      <c r="N11">
        <v>5.89</v>
      </c>
      <c r="O11">
        <v>6.11</v>
      </c>
      <c r="P11">
        <v>6.27</v>
      </c>
      <c r="Q11">
        <v>6.52</v>
      </c>
      <c r="R11">
        <v>6.3</v>
      </c>
      <c r="S11">
        <v>6.39</v>
      </c>
      <c r="T11">
        <v>6.34</v>
      </c>
    </row>
    <row r="12" spans="1:26" x14ac:dyDescent="0.25">
      <c r="A12" s="2" t="s">
        <v>136</v>
      </c>
      <c r="H12">
        <v>10.85</v>
      </c>
      <c r="I12">
        <v>9.94</v>
      </c>
      <c r="J12">
        <v>10.85</v>
      </c>
      <c r="K12">
        <v>10.87</v>
      </c>
      <c r="L12">
        <v>10.86</v>
      </c>
      <c r="M12">
        <v>11.36</v>
      </c>
      <c r="N12">
        <v>11.61</v>
      </c>
      <c r="O12">
        <v>11.59</v>
      </c>
      <c r="P12">
        <v>11.47</v>
      </c>
      <c r="Q12">
        <v>11.23</v>
      </c>
      <c r="R12">
        <v>11.13</v>
      </c>
      <c r="S12">
        <v>11.42</v>
      </c>
      <c r="T12">
        <v>11.87</v>
      </c>
    </row>
    <row r="13" spans="1:26" x14ac:dyDescent="0.25">
      <c r="A13" s="2" t="s">
        <v>137</v>
      </c>
      <c r="H13">
        <v>3.38</v>
      </c>
      <c r="I13">
        <v>3.1</v>
      </c>
      <c r="J13">
        <v>3.23</v>
      </c>
      <c r="K13">
        <v>3.13</v>
      </c>
      <c r="L13">
        <v>3.24</v>
      </c>
      <c r="M13">
        <v>2.93</v>
      </c>
      <c r="N13">
        <v>2.76</v>
      </c>
      <c r="O13">
        <v>3.06</v>
      </c>
      <c r="P13">
        <v>2.93</v>
      </c>
      <c r="Q13">
        <v>2.79</v>
      </c>
      <c r="R13">
        <v>2.82</v>
      </c>
      <c r="S13">
        <v>2.81</v>
      </c>
      <c r="T13">
        <v>2.85</v>
      </c>
    </row>
    <row r="14" spans="1:26" x14ac:dyDescent="0.25">
      <c r="A14" s="2" t="s">
        <v>138</v>
      </c>
      <c r="H14">
        <v>18.91</v>
      </c>
      <c r="I14">
        <v>17.989999999999998</v>
      </c>
      <c r="J14">
        <v>20.02</v>
      </c>
      <c r="K14">
        <v>19.47</v>
      </c>
      <c r="L14">
        <v>19.440000000000001</v>
      </c>
      <c r="M14">
        <v>19.55</v>
      </c>
      <c r="N14">
        <v>19.579999999999998</v>
      </c>
      <c r="O14">
        <v>19.96</v>
      </c>
      <c r="P14">
        <v>18.88</v>
      </c>
      <c r="Q14">
        <v>19.25</v>
      </c>
      <c r="R14">
        <v>18.98</v>
      </c>
      <c r="S14">
        <v>18.920000000000002</v>
      </c>
      <c r="T14">
        <v>18.66</v>
      </c>
    </row>
    <row r="15" spans="1:26" x14ac:dyDescent="0.25">
      <c r="A15" s="2" t="s">
        <v>139</v>
      </c>
      <c r="H15">
        <v>1.1000000000000001</v>
      </c>
      <c r="I15">
        <v>1.1000000000000001</v>
      </c>
      <c r="J15">
        <v>1.1000000000000001</v>
      </c>
      <c r="K15">
        <v>1.52</v>
      </c>
      <c r="L15">
        <v>1.61</v>
      </c>
      <c r="M15">
        <v>1.41</v>
      </c>
      <c r="N15">
        <v>1.45</v>
      </c>
      <c r="O15">
        <v>1.42</v>
      </c>
      <c r="P15">
        <v>1.46</v>
      </c>
      <c r="Q15">
        <v>1.46</v>
      </c>
      <c r="R15">
        <v>1.44</v>
      </c>
      <c r="S15">
        <v>1.41</v>
      </c>
      <c r="T15">
        <v>1.42</v>
      </c>
    </row>
    <row r="16" spans="1:26" x14ac:dyDescent="0.25">
      <c r="A16" s="2" t="s">
        <v>140</v>
      </c>
      <c r="H16">
        <v>1.0900000000000001</v>
      </c>
      <c r="I16">
        <v>1.35</v>
      </c>
      <c r="J16">
        <v>1.28</v>
      </c>
      <c r="K16">
        <v>1.58</v>
      </c>
      <c r="L16">
        <v>1.67</v>
      </c>
      <c r="M16">
        <v>1.58</v>
      </c>
      <c r="N16">
        <v>1.53</v>
      </c>
      <c r="O16">
        <v>1.47</v>
      </c>
      <c r="P16">
        <v>1.38</v>
      </c>
      <c r="Q16">
        <v>1.4</v>
      </c>
      <c r="R16">
        <v>1.26</v>
      </c>
      <c r="S16">
        <v>1.49</v>
      </c>
      <c r="T16">
        <v>1.52</v>
      </c>
    </row>
    <row r="17" spans="1:26" x14ac:dyDescent="0.25">
      <c r="A17" s="2" t="s">
        <v>141</v>
      </c>
      <c r="H17">
        <v>1.26</v>
      </c>
      <c r="I17">
        <v>1.27</v>
      </c>
      <c r="J17">
        <v>1.26</v>
      </c>
      <c r="K17">
        <v>1.24</v>
      </c>
      <c r="L17">
        <v>1.26</v>
      </c>
      <c r="M17">
        <v>1.26</v>
      </c>
      <c r="N17">
        <v>1.26</v>
      </c>
      <c r="O17">
        <v>1.3</v>
      </c>
      <c r="P17">
        <v>1.33</v>
      </c>
      <c r="Q17">
        <v>1.43</v>
      </c>
      <c r="R17">
        <v>1.43</v>
      </c>
      <c r="S17">
        <v>1.39</v>
      </c>
      <c r="T17">
        <v>1.43</v>
      </c>
    </row>
    <row r="18" spans="1:26" x14ac:dyDescent="0.25">
      <c r="A18" s="2" t="s">
        <v>142</v>
      </c>
      <c r="H18">
        <v>3.82</v>
      </c>
      <c r="I18">
        <v>3.83</v>
      </c>
      <c r="J18">
        <v>3.77</v>
      </c>
      <c r="K18">
        <v>3.72</v>
      </c>
      <c r="L18">
        <v>3.69</v>
      </c>
      <c r="M18">
        <v>3.68</v>
      </c>
      <c r="N18">
        <v>3.68</v>
      </c>
      <c r="O18">
        <v>3.74</v>
      </c>
      <c r="P18">
        <v>3.73</v>
      </c>
      <c r="Q18">
        <v>3.64</v>
      </c>
      <c r="R18">
        <v>3.61</v>
      </c>
      <c r="S18">
        <v>3.63</v>
      </c>
      <c r="T18">
        <v>3.53</v>
      </c>
    </row>
    <row r="19" spans="1:26" x14ac:dyDescent="0.25">
      <c r="A19" s="2" t="s">
        <v>143</v>
      </c>
      <c r="H19">
        <v>0.5</v>
      </c>
      <c r="I19">
        <v>0.49</v>
      </c>
      <c r="J19">
        <v>0.5</v>
      </c>
      <c r="K19">
        <v>0.46</v>
      </c>
      <c r="L19">
        <v>0.47</v>
      </c>
      <c r="M19">
        <v>0.47</v>
      </c>
      <c r="N19">
        <v>0.5</v>
      </c>
      <c r="O19">
        <v>0.51</v>
      </c>
      <c r="P19">
        <v>0.47</v>
      </c>
      <c r="Q19">
        <v>0.46</v>
      </c>
      <c r="R19">
        <v>0.49</v>
      </c>
      <c r="S19">
        <v>0.5</v>
      </c>
      <c r="T19">
        <v>0.49</v>
      </c>
    </row>
    <row r="20" spans="1:26" x14ac:dyDescent="0.25">
      <c r="A20" s="2" t="s">
        <v>144</v>
      </c>
      <c r="H20">
        <v>0.32</v>
      </c>
      <c r="I20">
        <v>0.34</v>
      </c>
      <c r="J20">
        <v>0.32</v>
      </c>
      <c r="K20">
        <v>0.32</v>
      </c>
      <c r="L20">
        <v>0.32</v>
      </c>
      <c r="M20">
        <v>0.32</v>
      </c>
      <c r="N20">
        <v>0.3</v>
      </c>
      <c r="O20">
        <v>0.31</v>
      </c>
      <c r="P20">
        <v>0.28999999999999998</v>
      </c>
      <c r="Q20">
        <v>0.28999999999999998</v>
      </c>
      <c r="R20">
        <v>0.28000000000000003</v>
      </c>
      <c r="S20">
        <v>0.3</v>
      </c>
      <c r="T20">
        <v>0.28999999999999998</v>
      </c>
    </row>
    <row r="21" spans="1:26" x14ac:dyDescent="0.25">
      <c r="A21" s="2" t="s">
        <v>145</v>
      </c>
      <c r="H21">
        <v>0.34</v>
      </c>
      <c r="I21">
        <v>0.3</v>
      </c>
      <c r="J21">
        <v>0.32</v>
      </c>
      <c r="K21">
        <v>0.32</v>
      </c>
      <c r="L21">
        <v>0.32</v>
      </c>
      <c r="M21">
        <v>0.31</v>
      </c>
      <c r="N21">
        <v>0.3</v>
      </c>
      <c r="O21">
        <v>0.32</v>
      </c>
      <c r="P21">
        <v>0.31</v>
      </c>
      <c r="Q21">
        <v>0.31</v>
      </c>
      <c r="R21">
        <v>0.31</v>
      </c>
      <c r="S21">
        <v>0.31</v>
      </c>
      <c r="T21">
        <v>0.28999999999999998</v>
      </c>
    </row>
    <row r="23" spans="1:26" x14ac:dyDescent="0.25">
      <c r="B23">
        <f>SUM(B5:B21)</f>
        <v>0</v>
      </c>
      <c r="C23">
        <f t="shared" ref="C23:L23" si="0">SUM(C5:C21)</f>
        <v>0</v>
      </c>
      <c r="D23">
        <f t="shared" si="0"/>
        <v>0</v>
      </c>
      <c r="E23">
        <f t="shared" si="0"/>
        <v>0</v>
      </c>
      <c r="F23">
        <f t="shared" si="0"/>
        <v>0</v>
      </c>
      <c r="G23">
        <f t="shared" si="0"/>
        <v>0</v>
      </c>
      <c r="H23">
        <f t="shared" si="0"/>
        <v>102.47999999999999</v>
      </c>
      <c r="I23">
        <f>SUM(I5:I21)</f>
        <v>98.559999999999974</v>
      </c>
      <c r="J23">
        <f t="shared" si="0"/>
        <v>101.12999999999998</v>
      </c>
      <c r="K23">
        <f t="shared" si="0"/>
        <v>103.96999999999997</v>
      </c>
      <c r="L23">
        <f t="shared" si="0"/>
        <v>106.04999999999998</v>
      </c>
      <c r="M23">
        <f t="shared" ref="M23:Z23" si="1">SUM(M5:M21)</f>
        <v>105.24</v>
      </c>
      <c r="N23">
        <f t="shared" si="1"/>
        <v>103.05000000000001</v>
      </c>
      <c r="O23">
        <f t="shared" si="1"/>
        <v>105.63999999999999</v>
      </c>
      <c r="P23">
        <f t="shared" si="1"/>
        <v>105.4</v>
      </c>
      <c r="Q23">
        <f t="shared" si="1"/>
        <v>107.26000000000002</v>
      </c>
      <c r="R23">
        <f t="shared" si="1"/>
        <v>105.52</v>
      </c>
      <c r="S23">
        <f t="shared" si="1"/>
        <v>104.86999999999999</v>
      </c>
      <c r="T23">
        <f t="shared" si="1"/>
        <v>103.73</v>
      </c>
      <c r="U23">
        <f t="shared" si="1"/>
        <v>0</v>
      </c>
      <c r="V23">
        <f t="shared" si="1"/>
        <v>0</v>
      </c>
      <c r="W23">
        <f t="shared" si="1"/>
        <v>0</v>
      </c>
      <c r="X23">
        <f t="shared" si="1"/>
        <v>0</v>
      </c>
      <c r="Y23">
        <f t="shared" si="1"/>
        <v>0</v>
      </c>
      <c r="Z23">
        <f t="shared" si="1"/>
        <v>0</v>
      </c>
    </row>
    <row r="26" spans="1:26" ht="21" x14ac:dyDescent="0.35">
      <c r="A26" s="5" t="s">
        <v>33</v>
      </c>
    </row>
    <row r="28" spans="1:26" x14ac:dyDescent="0.25">
      <c r="A28" t="s">
        <v>12</v>
      </c>
    </row>
    <row r="29" spans="1:26" x14ac:dyDescent="0.25">
      <c r="B29" s="1">
        <f>B4</f>
        <v>44331</v>
      </c>
      <c r="C29" s="1">
        <f t="shared" ref="C29:L29" si="2">C4</f>
        <v>44332</v>
      </c>
      <c r="D29" s="1">
        <f t="shared" si="2"/>
        <v>44334</v>
      </c>
      <c r="E29" s="1">
        <f t="shared" si="2"/>
        <v>44336</v>
      </c>
      <c r="F29" s="1">
        <f t="shared" si="2"/>
        <v>44337</v>
      </c>
      <c r="G29" s="1">
        <f t="shared" si="2"/>
        <v>44338</v>
      </c>
      <c r="H29" s="1">
        <f t="shared" si="2"/>
        <v>44339</v>
      </c>
      <c r="I29" s="1">
        <f t="shared" si="2"/>
        <v>44340</v>
      </c>
      <c r="J29" s="1">
        <f t="shared" si="2"/>
        <v>44341</v>
      </c>
      <c r="K29" s="1">
        <f t="shared" si="2"/>
        <v>44342</v>
      </c>
      <c r="L29" s="1">
        <f t="shared" si="2"/>
        <v>44343</v>
      </c>
      <c r="M29" s="1">
        <f t="shared" ref="M29:Z29" si="3">M4</f>
        <v>44344</v>
      </c>
      <c r="N29" s="1">
        <f t="shared" si="3"/>
        <v>44345</v>
      </c>
      <c r="O29" s="1">
        <f t="shared" si="3"/>
        <v>44346</v>
      </c>
      <c r="P29" s="1">
        <f t="shared" si="3"/>
        <v>44347</v>
      </c>
      <c r="Q29" s="1">
        <f t="shared" si="3"/>
        <v>44348</v>
      </c>
      <c r="R29" s="1">
        <f t="shared" si="3"/>
        <v>44349</v>
      </c>
      <c r="S29" s="1">
        <f t="shared" si="3"/>
        <v>44350</v>
      </c>
      <c r="T29" s="1">
        <f t="shared" si="3"/>
        <v>44351</v>
      </c>
      <c r="U29" s="1">
        <f t="shared" si="3"/>
        <v>44352</v>
      </c>
      <c r="V29" s="1">
        <f t="shared" si="3"/>
        <v>44353</v>
      </c>
      <c r="W29" s="1">
        <f t="shared" si="3"/>
        <v>44354</v>
      </c>
      <c r="X29" s="1">
        <f t="shared" si="3"/>
        <v>44355</v>
      </c>
      <c r="Y29" s="1">
        <f t="shared" si="3"/>
        <v>44356</v>
      </c>
      <c r="Z29" s="1">
        <f t="shared" si="3"/>
        <v>44357</v>
      </c>
    </row>
    <row r="30" spans="1:26" x14ac:dyDescent="0.25">
      <c r="A30" s="2" t="str">
        <f>A5</f>
        <v>SCAR-20 Cardiac FT</v>
      </c>
      <c r="B30">
        <f>ROUNDDOWN((B5-ROUNDUP(B5*0.1,2)-ROUNDUP(B5*0.05,2))*0.8,2)</f>
        <v>0</v>
      </c>
      <c r="C30">
        <f t="shared" ref="C30:H30" si="4">ROUNDDOWN((C5-ROUNDUP(C5*0.1,2)-ROUNDUP(C5*0.05,2))*0.8,2)</f>
        <v>0</v>
      </c>
      <c r="D30">
        <f t="shared" si="4"/>
        <v>0</v>
      </c>
      <c r="E30">
        <f t="shared" si="4"/>
        <v>0</v>
      </c>
      <c r="F30">
        <f t="shared" si="4"/>
        <v>0</v>
      </c>
      <c r="G30">
        <f t="shared" si="4"/>
        <v>0</v>
      </c>
      <c r="H30">
        <f t="shared" si="4"/>
        <v>2.06</v>
      </c>
      <c r="I30">
        <f>ROUNDDOWN((I5-ROUNDUP(I5*0.1,2)-ROUNDUP(I5*0.05,2))*0.8,2)</f>
        <v>2.04</v>
      </c>
      <c r="J30">
        <f t="shared" ref="J30:L30" si="5">ROUNDDOWN((J5-ROUNDUP(J5*0.1,2)-ROUNDUP(J5*0.05,2))*0.8,2)</f>
        <v>2.16</v>
      </c>
      <c r="K30">
        <f t="shared" si="5"/>
        <v>1.96</v>
      </c>
      <c r="L30">
        <f t="shared" si="5"/>
        <v>2.0499999999999998</v>
      </c>
      <c r="M30">
        <f t="shared" ref="M30:Z30" si="6">ROUNDDOWN((M5-ROUNDUP(M5*0.1,2)-ROUNDUP(M5*0.05,2))*0.8,2)</f>
        <v>2.1</v>
      </c>
      <c r="N30">
        <f t="shared" si="6"/>
        <v>2.1</v>
      </c>
      <c r="O30">
        <f t="shared" si="6"/>
        <v>2.08</v>
      </c>
      <c r="P30">
        <f t="shared" si="6"/>
        <v>1.88</v>
      </c>
      <c r="Q30">
        <f t="shared" si="6"/>
        <v>1.9</v>
      </c>
      <c r="R30">
        <f t="shared" si="6"/>
        <v>2.1</v>
      </c>
      <c r="S30">
        <f t="shared" si="6"/>
        <v>2.1</v>
      </c>
      <c r="T30">
        <f t="shared" si="6"/>
        <v>1.96</v>
      </c>
      <c r="U30">
        <f t="shared" si="6"/>
        <v>0</v>
      </c>
      <c r="V30">
        <f t="shared" si="6"/>
        <v>0</v>
      </c>
      <c r="W30">
        <f t="shared" si="6"/>
        <v>0</v>
      </c>
      <c r="X30">
        <f t="shared" si="6"/>
        <v>0</v>
      </c>
      <c r="Y30">
        <f t="shared" si="6"/>
        <v>0</v>
      </c>
      <c r="Z30">
        <f t="shared" si="6"/>
        <v>0</v>
      </c>
    </row>
    <row r="31" spans="1:26" x14ac:dyDescent="0.25">
      <c r="A31" s="2" t="str">
        <f t="shared" ref="A31:A46" si="7">A6</f>
        <v>AUG Chameleon MW</v>
      </c>
      <c r="B31">
        <f t="shared" ref="B31:H46" si="8">ROUNDDOWN((B6-ROUNDUP(B6*0.1,2)-ROUNDUP(B6*0.05,2))*0.8,2)</f>
        <v>0</v>
      </c>
      <c r="C31">
        <f t="shared" si="8"/>
        <v>0</v>
      </c>
      <c r="D31">
        <f t="shared" si="8"/>
        <v>0</v>
      </c>
      <c r="E31">
        <f t="shared" si="8"/>
        <v>0</v>
      </c>
      <c r="F31">
        <f t="shared" si="8"/>
        <v>0</v>
      </c>
      <c r="G31">
        <f t="shared" si="8"/>
        <v>0</v>
      </c>
      <c r="H31">
        <f t="shared" si="8"/>
        <v>3.09</v>
      </c>
      <c r="I31">
        <f t="shared" ref="I31:L31" si="9">ROUNDDOWN((I6-ROUNDUP(I6*0.1,2)-ROUNDUP(I6*0.05,2))*0.8,2)</f>
        <v>3.13</v>
      </c>
      <c r="J31">
        <f t="shared" si="9"/>
        <v>2.98</v>
      </c>
      <c r="K31">
        <f t="shared" si="9"/>
        <v>3.25</v>
      </c>
      <c r="L31">
        <f t="shared" si="9"/>
        <v>3.26</v>
      </c>
      <c r="M31">
        <f t="shared" ref="M31:Z31" si="10">ROUNDDOWN((M6-ROUNDUP(M6*0.1,2)-ROUNDUP(M6*0.05,2))*0.8,2)</f>
        <v>3.28</v>
      </c>
      <c r="N31">
        <f t="shared" si="10"/>
        <v>3.25</v>
      </c>
      <c r="O31">
        <f t="shared" si="10"/>
        <v>3.28</v>
      </c>
      <c r="P31">
        <f t="shared" si="10"/>
        <v>3.07</v>
      </c>
      <c r="Q31">
        <f t="shared" si="10"/>
        <v>3.12</v>
      </c>
      <c r="R31">
        <f t="shared" si="10"/>
        <v>3.22</v>
      </c>
      <c r="S31">
        <f t="shared" si="10"/>
        <v>2.98</v>
      </c>
      <c r="T31">
        <f t="shared" si="10"/>
        <v>2.94</v>
      </c>
      <c r="U31">
        <f t="shared" si="10"/>
        <v>0</v>
      </c>
      <c r="V31">
        <f t="shared" si="10"/>
        <v>0</v>
      </c>
      <c r="W31">
        <f t="shared" si="10"/>
        <v>0</v>
      </c>
      <c r="X31">
        <f t="shared" si="10"/>
        <v>0</v>
      </c>
      <c r="Y31">
        <f t="shared" si="10"/>
        <v>0</v>
      </c>
      <c r="Z31">
        <f t="shared" si="10"/>
        <v>0</v>
      </c>
    </row>
    <row r="32" spans="1:26" x14ac:dyDescent="0.25">
      <c r="A32" s="2" t="str">
        <f t="shared" si="7"/>
        <v>Stattrak SG 553 Tiger Moth FT</v>
      </c>
      <c r="B32">
        <f t="shared" si="8"/>
        <v>0</v>
      </c>
      <c r="C32">
        <f t="shared" si="8"/>
        <v>0</v>
      </c>
      <c r="D32">
        <f t="shared" si="8"/>
        <v>0</v>
      </c>
      <c r="E32">
        <f t="shared" si="8"/>
        <v>0</v>
      </c>
      <c r="F32">
        <f t="shared" si="8"/>
        <v>0</v>
      </c>
      <c r="G32">
        <f t="shared" si="8"/>
        <v>0</v>
      </c>
      <c r="H32">
        <f t="shared" si="8"/>
        <v>2.27</v>
      </c>
      <c r="I32">
        <f t="shared" ref="I32:L32" si="11">ROUNDDOWN((I7-ROUNDUP(I7*0.1,2)-ROUNDUP(I7*0.05,2))*0.8,2)</f>
        <v>2.46</v>
      </c>
      <c r="J32">
        <f t="shared" si="11"/>
        <v>2.4300000000000002</v>
      </c>
      <c r="K32">
        <f t="shared" si="11"/>
        <v>2.39</v>
      </c>
      <c r="L32">
        <f t="shared" si="11"/>
        <v>2.44</v>
      </c>
      <c r="M32">
        <f t="shared" ref="M32:Z32" si="12">ROUNDDOWN((M7-ROUNDUP(M7*0.1,2)-ROUNDUP(M7*0.05,2))*0.8,2)</f>
        <v>2.38</v>
      </c>
      <c r="N32">
        <f t="shared" si="12"/>
        <v>2.35</v>
      </c>
      <c r="O32">
        <f t="shared" si="12"/>
        <v>2.2799999999999998</v>
      </c>
      <c r="P32">
        <f t="shared" si="12"/>
        <v>2.4700000000000002</v>
      </c>
      <c r="Q32">
        <f t="shared" si="12"/>
        <v>2.37</v>
      </c>
      <c r="R32">
        <f t="shared" si="12"/>
        <v>2.44</v>
      </c>
      <c r="S32">
        <f t="shared" si="12"/>
        <v>2.4500000000000002</v>
      </c>
      <c r="T32">
        <f t="shared" si="12"/>
        <v>2.5099999999999998</v>
      </c>
      <c r="U32">
        <f t="shared" si="12"/>
        <v>0</v>
      </c>
      <c r="V32">
        <f t="shared" si="12"/>
        <v>0</v>
      </c>
      <c r="W32">
        <f t="shared" si="12"/>
        <v>0</v>
      </c>
      <c r="X32">
        <f t="shared" si="12"/>
        <v>0</v>
      </c>
      <c r="Y32">
        <f t="shared" si="12"/>
        <v>0</v>
      </c>
      <c r="Z32">
        <f t="shared" si="12"/>
        <v>0</v>
      </c>
    </row>
    <row r="33" spans="1:26" x14ac:dyDescent="0.25">
      <c r="A33" s="2" t="str">
        <f t="shared" si="7"/>
        <v>SSG 08 Blood in the Water MW</v>
      </c>
      <c r="B33">
        <f t="shared" si="8"/>
        <v>0</v>
      </c>
      <c r="C33">
        <f t="shared" si="8"/>
        <v>0</v>
      </c>
      <c r="D33">
        <f t="shared" si="8"/>
        <v>0</v>
      </c>
      <c r="E33">
        <f t="shared" si="8"/>
        <v>0</v>
      </c>
      <c r="F33">
        <f t="shared" si="8"/>
        <v>0</v>
      </c>
      <c r="G33">
        <f t="shared" si="8"/>
        <v>0</v>
      </c>
      <c r="H33">
        <f t="shared" si="8"/>
        <v>26.48</v>
      </c>
      <c r="I33">
        <f t="shared" ref="I33:L33" si="13">ROUNDDOWN((I8-ROUNDUP(I8*0.1,2)-ROUNDUP(I8*0.05,2))*0.8,2)</f>
        <v>24.88</v>
      </c>
      <c r="J33">
        <f t="shared" si="13"/>
        <v>24.67</v>
      </c>
      <c r="K33">
        <f t="shared" si="13"/>
        <v>26.7</v>
      </c>
      <c r="L33">
        <f t="shared" si="13"/>
        <v>27.56</v>
      </c>
      <c r="M33">
        <f t="shared" ref="M33:Z33" si="14">ROUNDDOWN((M8-ROUNDUP(M8*0.1,2)-ROUNDUP(M8*0.05,2))*0.8,2)</f>
        <v>27.07</v>
      </c>
      <c r="N33">
        <f t="shared" si="14"/>
        <v>25.88</v>
      </c>
      <c r="O33">
        <f t="shared" si="14"/>
        <v>27.22</v>
      </c>
      <c r="P33">
        <f t="shared" si="14"/>
        <v>27.88</v>
      </c>
      <c r="Q33">
        <f t="shared" si="14"/>
        <v>28.96</v>
      </c>
      <c r="R33">
        <f t="shared" si="14"/>
        <v>28.03</v>
      </c>
      <c r="S33">
        <f t="shared" si="14"/>
        <v>27.49</v>
      </c>
      <c r="T33">
        <f t="shared" si="14"/>
        <v>26.85</v>
      </c>
      <c r="U33">
        <f t="shared" si="14"/>
        <v>0</v>
      </c>
      <c r="V33">
        <f t="shared" si="14"/>
        <v>0</v>
      </c>
      <c r="W33">
        <f t="shared" si="14"/>
        <v>0</v>
      </c>
      <c r="X33">
        <f t="shared" si="14"/>
        <v>0</v>
      </c>
      <c r="Y33">
        <f t="shared" si="14"/>
        <v>0</v>
      </c>
      <c r="Z33">
        <f t="shared" si="14"/>
        <v>0</v>
      </c>
    </row>
    <row r="34" spans="1:26" x14ac:dyDescent="0.25">
      <c r="A34" s="2" t="str">
        <f t="shared" si="7"/>
        <v>Stattrak FAMAS Valence FT</v>
      </c>
      <c r="B34">
        <f t="shared" si="8"/>
        <v>0</v>
      </c>
      <c r="C34">
        <f t="shared" si="8"/>
        <v>0</v>
      </c>
      <c r="D34">
        <f t="shared" si="8"/>
        <v>0</v>
      </c>
      <c r="E34">
        <f t="shared" si="8"/>
        <v>0</v>
      </c>
      <c r="F34">
        <f t="shared" si="8"/>
        <v>0</v>
      </c>
      <c r="G34">
        <f t="shared" si="8"/>
        <v>0</v>
      </c>
      <c r="H34">
        <f t="shared" si="8"/>
        <v>2.5099999999999998</v>
      </c>
      <c r="I34">
        <f t="shared" ref="I34:L34" si="15">ROUNDDOWN((I9-ROUNDUP(I9*0.1,2)-ROUNDUP(I9*0.05,2))*0.8,2)</f>
        <v>2.4</v>
      </c>
      <c r="J34">
        <f t="shared" si="15"/>
        <v>2.38</v>
      </c>
      <c r="K34">
        <f t="shared" si="15"/>
        <v>2.44</v>
      </c>
      <c r="L34">
        <f t="shared" si="15"/>
        <v>2.4300000000000002</v>
      </c>
      <c r="M34">
        <f t="shared" ref="M34:Z34" si="16">ROUNDDOWN((M9-ROUNDUP(M9*0.1,2)-ROUNDUP(M9*0.05,2))*0.8,2)</f>
        <v>2.4700000000000002</v>
      </c>
      <c r="N34">
        <f t="shared" si="16"/>
        <v>2.46</v>
      </c>
      <c r="O34">
        <f t="shared" si="16"/>
        <v>2.35</v>
      </c>
      <c r="P34">
        <f t="shared" si="16"/>
        <v>2.56</v>
      </c>
      <c r="Q34">
        <f t="shared" si="16"/>
        <v>2.54</v>
      </c>
      <c r="R34">
        <f t="shared" si="16"/>
        <v>2.5</v>
      </c>
      <c r="S34">
        <f t="shared" si="16"/>
        <v>2.44</v>
      </c>
      <c r="T34">
        <f t="shared" si="16"/>
        <v>2.36</v>
      </c>
      <c r="U34">
        <f t="shared" si="16"/>
        <v>0</v>
      </c>
      <c r="V34">
        <f t="shared" si="16"/>
        <v>0</v>
      </c>
      <c r="W34">
        <f t="shared" si="16"/>
        <v>0</v>
      </c>
      <c r="X34">
        <f t="shared" si="16"/>
        <v>0</v>
      </c>
      <c r="Y34">
        <f t="shared" si="16"/>
        <v>0</v>
      </c>
      <c r="Z34">
        <f t="shared" si="16"/>
        <v>0</v>
      </c>
    </row>
    <row r="35" spans="1:26" x14ac:dyDescent="0.25">
      <c r="A35" s="2" t="str">
        <f t="shared" si="7"/>
        <v>G3SG1 Stinger FN</v>
      </c>
      <c r="B35">
        <f t="shared" si="8"/>
        <v>0</v>
      </c>
      <c r="C35">
        <f t="shared" si="8"/>
        <v>0</v>
      </c>
      <c r="D35">
        <f t="shared" si="8"/>
        <v>0</v>
      </c>
      <c r="E35">
        <f t="shared" si="8"/>
        <v>0</v>
      </c>
      <c r="F35">
        <f t="shared" si="8"/>
        <v>0</v>
      </c>
      <c r="G35">
        <f t="shared" si="8"/>
        <v>0</v>
      </c>
      <c r="H35">
        <f t="shared" si="8"/>
        <v>0.72</v>
      </c>
      <c r="I35">
        <f t="shared" ref="I35:L35" si="17">ROUNDDOWN((I10-ROUNDUP(I10*0.1,2)-ROUNDUP(I10*0.05,2))*0.8,2)</f>
        <v>0.79</v>
      </c>
      <c r="J35">
        <f t="shared" si="17"/>
        <v>0.74</v>
      </c>
      <c r="K35">
        <f t="shared" si="17"/>
        <v>0.8</v>
      </c>
      <c r="L35">
        <f t="shared" si="17"/>
        <v>0.74</v>
      </c>
      <c r="M35">
        <f t="shared" ref="M35:Z35" si="18">ROUNDDOWN((M10-ROUNDUP(M10*0.1,2)-ROUNDUP(M10*0.05,2))*0.8,2)</f>
        <v>0.71</v>
      </c>
      <c r="N35">
        <f t="shared" si="18"/>
        <v>0.74</v>
      </c>
      <c r="O35">
        <f t="shared" si="18"/>
        <v>0.71</v>
      </c>
      <c r="P35">
        <f t="shared" si="18"/>
        <v>0.77</v>
      </c>
      <c r="Q35">
        <f t="shared" si="18"/>
        <v>0.81</v>
      </c>
      <c r="R35">
        <f t="shared" si="18"/>
        <v>0.73</v>
      </c>
      <c r="S35">
        <f t="shared" si="18"/>
        <v>0.75</v>
      </c>
      <c r="T35">
        <f t="shared" si="18"/>
        <v>0.75</v>
      </c>
      <c r="U35">
        <f t="shared" si="18"/>
        <v>0</v>
      </c>
      <c r="V35">
        <f t="shared" si="18"/>
        <v>0</v>
      </c>
      <c r="W35">
        <f t="shared" si="18"/>
        <v>0</v>
      </c>
      <c r="X35">
        <f t="shared" si="18"/>
        <v>0</v>
      </c>
      <c r="Y35">
        <f t="shared" si="18"/>
        <v>0</v>
      </c>
      <c r="Z35">
        <f t="shared" si="18"/>
        <v>0</v>
      </c>
    </row>
    <row r="36" spans="1:26" x14ac:dyDescent="0.25">
      <c r="A36" s="2" t="str">
        <f t="shared" si="7"/>
        <v>FAMAS Roll Cage MW</v>
      </c>
      <c r="B36">
        <f t="shared" si="8"/>
        <v>0</v>
      </c>
      <c r="C36">
        <f t="shared" si="8"/>
        <v>0</v>
      </c>
      <c r="D36">
        <f t="shared" si="8"/>
        <v>0</v>
      </c>
      <c r="E36">
        <f t="shared" si="8"/>
        <v>0</v>
      </c>
      <c r="F36">
        <f t="shared" si="8"/>
        <v>0</v>
      </c>
      <c r="G36">
        <f t="shared" si="8"/>
        <v>0</v>
      </c>
      <c r="H36">
        <f t="shared" si="8"/>
        <v>4.21</v>
      </c>
      <c r="I36">
        <f t="shared" ref="I36:L36" si="19">ROUNDDOWN((I11-ROUNDUP(I11*0.1,2)-ROUNDUP(I11*0.05,2))*0.8,2)</f>
        <v>4.2300000000000004</v>
      </c>
      <c r="J36">
        <f t="shared" si="19"/>
        <v>4.34</v>
      </c>
      <c r="K36">
        <f t="shared" si="19"/>
        <v>4.09</v>
      </c>
      <c r="L36">
        <f t="shared" si="19"/>
        <v>4.41</v>
      </c>
      <c r="M36">
        <f t="shared" ref="M36:Z36" si="20">ROUNDDOWN((M11-ROUNDUP(M11*0.1,2)-ROUNDUP(M11*0.05,2))*0.8,2)</f>
        <v>4.3099999999999996</v>
      </c>
      <c r="N36">
        <f t="shared" si="20"/>
        <v>4</v>
      </c>
      <c r="O36">
        <f t="shared" si="20"/>
        <v>4.1399999999999997</v>
      </c>
      <c r="P36">
        <f t="shared" si="20"/>
        <v>4.25</v>
      </c>
      <c r="Q36">
        <f t="shared" si="20"/>
        <v>4.42</v>
      </c>
      <c r="R36">
        <f t="shared" si="20"/>
        <v>4.28</v>
      </c>
      <c r="S36">
        <f t="shared" si="20"/>
        <v>4.34</v>
      </c>
      <c r="T36">
        <f t="shared" si="20"/>
        <v>4.3</v>
      </c>
      <c r="U36">
        <f t="shared" si="20"/>
        <v>0</v>
      </c>
      <c r="V36">
        <f t="shared" si="20"/>
        <v>0</v>
      </c>
      <c r="W36">
        <f t="shared" si="20"/>
        <v>0</v>
      </c>
      <c r="X36">
        <f t="shared" si="20"/>
        <v>0</v>
      </c>
      <c r="Y36">
        <f t="shared" si="20"/>
        <v>0</v>
      </c>
      <c r="Z36">
        <f t="shared" si="20"/>
        <v>0</v>
      </c>
    </row>
    <row r="37" spans="1:26" x14ac:dyDescent="0.25">
      <c r="A37" s="2" t="str">
        <f t="shared" si="7"/>
        <v>Stattrak SSG 08 Death's Head MW</v>
      </c>
      <c r="B37">
        <f t="shared" si="8"/>
        <v>0</v>
      </c>
      <c r="C37">
        <f t="shared" si="8"/>
        <v>0</v>
      </c>
      <c r="D37">
        <f t="shared" si="8"/>
        <v>0</v>
      </c>
      <c r="E37">
        <f t="shared" si="8"/>
        <v>0</v>
      </c>
      <c r="F37">
        <f t="shared" si="8"/>
        <v>0</v>
      </c>
      <c r="G37">
        <f t="shared" si="8"/>
        <v>0</v>
      </c>
      <c r="H37">
        <f t="shared" si="8"/>
        <v>7.36</v>
      </c>
      <c r="I37">
        <f t="shared" ref="I37:L37" si="21">ROUNDDOWN((I12-ROUNDUP(I12*0.1,2)-ROUNDUP(I12*0.05,2))*0.8,2)</f>
        <v>6.75</v>
      </c>
      <c r="J37">
        <f t="shared" si="21"/>
        <v>7.36</v>
      </c>
      <c r="K37">
        <f t="shared" si="21"/>
        <v>7.38</v>
      </c>
      <c r="L37">
        <f t="shared" si="21"/>
        <v>7.37</v>
      </c>
      <c r="M37">
        <f t="shared" ref="M37:Z37" si="22">ROUNDDOWN((M12-ROUNDUP(M12*0.1,2)-ROUNDUP(M12*0.05,2))*0.8,2)</f>
        <v>7.72</v>
      </c>
      <c r="N37">
        <f t="shared" si="22"/>
        <v>7.88</v>
      </c>
      <c r="O37">
        <f t="shared" si="22"/>
        <v>7.88</v>
      </c>
      <c r="P37">
        <f t="shared" si="22"/>
        <v>7.79</v>
      </c>
      <c r="Q37">
        <f t="shared" si="22"/>
        <v>7.62</v>
      </c>
      <c r="R37">
        <f t="shared" si="22"/>
        <v>7.56</v>
      </c>
      <c r="S37">
        <f t="shared" si="22"/>
        <v>7.75</v>
      </c>
      <c r="T37">
        <f t="shared" si="22"/>
        <v>8.06</v>
      </c>
      <c r="U37">
        <f t="shared" si="22"/>
        <v>0</v>
      </c>
      <c r="V37">
        <f t="shared" si="22"/>
        <v>0</v>
      </c>
      <c r="W37">
        <f t="shared" si="22"/>
        <v>0</v>
      </c>
      <c r="X37">
        <f t="shared" si="22"/>
        <v>0</v>
      </c>
      <c r="Y37">
        <f t="shared" si="22"/>
        <v>0</v>
      </c>
      <c r="Z37">
        <f t="shared" si="22"/>
        <v>0</v>
      </c>
    </row>
    <row r="38" spans="1:26" x14ac:dyDescent="0.25">
      <c r="A38" s="2" t="str">
        <f t="shared" si="7"/>
        <v>Stattrak Galil AR Stone Cold FT</v>
      </c>
      <c r="B38">
        <f t="shared" si="8"/>
        <v>0</v>
      </c>
      <c r="C38">
        <f t="shared" si="8"/>
        <v>0</v>
      </c>
      <c r="D38">
        <f t="shared" si="8"/>
        <v>0</v>
      </c>
      <c r="E38">
        <f t="shared" si="8"/>
        <v>0</v>
      </c>
      <c r="F38">
        <f t="shared" si="8"/>
        <v>0</v>
      </c>
      <c r="G38">
        <f t="shared" si="8"/>
        <v>0</v>
      </c>
      <c r="H38">
        <f t="shared" si="8"/>
        <v>2.29</v>
      </c>
      <c r="I38">
        <f t="shared" ref="I38:L38" si="23">ROUNDDOWN((I13-ROUNDUP(I13*0.1,2)-ROUNDUP(I13*0.05,2))*0.8,2)</f>
        <v>2.1</v>
      </c>
      <c r="J38">
        <f t="shared" si="23"/>
        <v>2.1800000000000002</v>
      </c>
      <c r="K38">
        <f t="shared" si="23"/>
        <v>2.12</v>
      </c>
      <c r="L38">
        <f t="shared" si="23"/>
        <v>2.19</v>
      </c>
      <c r="M38">
        <f t="shared" ref="M38:Z38" si="24">ROUNDDOWN((M13-ROUNDUP(M13*0.1,2)-ROUNDUP(M13*0.05,2))*0.8,2)</f>
        <v>1.98</v>
      </c>
      <c r="N38">
        <f t="shared" si="24"/>
        <v>1.87</v>
      </c>
      <c r="O38">
        <f t="shared" si="24"/>
        <v>2.0699999999999998</v>
      </c>
      <c r="P38">
        <f t="shared" si="24"/>
        <v>1.98</v>
      </c>
      <c r="Q38">
        <f t="shared" si="24"/>
        <v>1.89</v>
      </c>
      <c r="R38">
        <f t="shared" si="24"/>
        <v>1.9</v>
      </c>
      <c r="S38">
        <f t="shared" si="24"/>
        <v>1.89</v>
      </c>
      <c r="T38">
        <f t="shared" si="24"/>
        <v>1.92</v>
      </c>
      <c r="U38">
        <f t="shared" si="24"/>
        <v>0</v>
      </c>
      <c r="V38">
        <f t="shared" si="24"/>
        <v>0</v>
      </c>
      <c r="W38">
        <f t="shared" si="24"/>
        <v>0</v>
      </c>
      <c r="X38">
        <f t="shared" si="24"/>
        <v>0</v>
      </c>
      <c r="Y38">
        <f t="shared" si="24"/>
        <v>0</v>
      </c>
      <c r="Z38">
        <f t="shared" si="24"/>
        <v>0</v>
      </c>
    </row>
    <row r="39" spans="1:26" x14ac:dyDescent="0.25">
      <c r="A39" s="2" t="str">
        <f t="shared" si="7"/>
        <v>Stattrak AUG Momentum MW</v>
      </c>
      <c r="B39">
        <f t="shared" si="8"/>
        <v>0</v>
      </c>
      <c r="C39">
        <f t="shared" si="8"/>
        <v>0</v>
      </c>
      <c r="D39">
        <f t="shared" si="8"/>
        <v>0</v>
      </c>
      <c r="E39">
        <f t="shared" si="8"/>
        <v>0</v>
      </c>
      <c r="F39">
        <f t="shared" si="8"/>
        <v>0</v>
      </c>
      <c r="G39">
        <f t="shared" si="8"/>
        <v>0</v>
      </c>
      <c r="H39">
        <f t="shared" si="8"/>
        <v>12.84</v>
      </c>
      <c r="I39">
        <f t="shared" ref="I39:L39" si="25">ROUNDDOWN((I14-ROUNDUP(I14*0.1,2)-ROUNDUP(I14*0.05,2))*0.8,2)</f>
        <v>12.23</v>
      </c>
      <c r="J39">
        <f t="shared" si="25"/>
        <v>13.6</v>
      </c>
      <c r="K39">
        <f t="shared" si="25"/>
        <v>13.23</v>
      </c>
      <c r="L39">
        <f t="shared" si="25"/>
        <v>13.2</v>
      </c>
      <c r="M39">
        <f t="shared" ref="M39:Z39" si="26">ROUNDDOWN((M14-ROUNDUP(M14*0.1,2)-ROUNDUP(M14*0.05,2))*0.8,2)</f>
        <v>13.28</v>
      </c>
      <c r="N39">
        <f t="shared" si="26"/>
        <v>13.31</v>
      </c>
      <c r="O39">
        <f t="shared" si="26"/>
        <v>13.56</v>
      </c>
      <c r="P39">
        <f t="shared" si="26"/>
        <v>12.83</v>
      </c>
      <c r="Q39">
        <f t="shared" si="26"/>
        <v>13.08</v>
      </c>
      <c r="R39">
        <f t="shared" si="26"/>
        <v>12.9</v>
      </c>
      <c r="S39">
        <f t="shared" si="26"/>
        <v>12.85</v>
      </c>
      <c r="T39">
        <f t="shared" si="26"/>
        <v>12.68</v>
      </c>
      <c r="U39">
        <f t="shared" si="26"/>
        <v>0</v>
      </c>
      <c r="V39">
        <f t="shared" si="26"/>
        <v>0</v>
      </c>
      <c r="W39">
        <f t="shared" si="26"/>
        <v>0</v>
      </c>
      <c r="X39">
        <f t="shared" si="26"/>
        <v>0</v>
      </c>
      <c r="Y39">
        <f t="shared" si="26"/>
        <v>0</v>
      </c>
      <c r="Z39">
        <f t="shared" si="26"/>
        <v>0</v>
      </c>
    </row>
    <row r="40" spans="1:26" x14ac:dyDescent="0.25">
      <c r="A40" s="2" t="str">
        <f t="shared" si="7"/>
        <v>Galil AR Tornado BS</v>
      </c>
      <c r="B40">
        <f t="shared" si="8"/>
        <v>0</v>
      </c>
      <c r="C40">
        <f t="shared" si="8"/>
        <v>0</v>
      </c>
      <c r="D40">
        <f t="shared" si="8"/>
        <v>0</v>
      </c>
      <c r="E40">
        <f t="shared" si="8"/>
        <v>0</v>
      </c>
      <c r="F40">
        <f t="shared" si="8"/>
        <v>0</v>
      </c>
      <c r="G40">
        <f t="shared" si="8"/>
        <v>0</v>
      </c>
      <c r="H40">
        <f t="shared" si="8"/>
        <v>0.74</v>
      </c>
      <c r="I40">
        <f t="shared" ref="I40:L40" si="27">ROUNDDOWN((I15-ROUNDUP(I15*0.1,2)-ROUNDUP(I15*0.05,2))*0.8,2)</f>
        <v>0.74</v>
      </c>
      <c r="J40">
        <f t="shared" si="27"/>
        <v>0.74</v>
      </c>
      <c r="K40">
        <f t="shared" si="27"/>
        <v>1.02</v>
      </c>
      <c r="L40">
        <f t="shared" si="27"/>
        <v>1.08</v>
      </c>
      <c r="M40">
        <f t="shared" ref="M40:Z40" si="28">ROUNDDOWN((M15-ROUNDUP(M15*0.1,2)-ROUNDUP(M15*0.05,2))*0.8,2)</f>
        <v>0.94</v>
      </c>
      <c r="N40">
        <f t="shared" si="28"/>
        <v>0.97</v>
      </c>
      <c r="O40">
        <f t="shared" si="28"/>
        <v>0.95</v>
      </c>
      <c r="P40">
        <f t="shared" si="28"/>
        <v>0.98</v>
      </c>
      <c r="Q40">
        <f t="shared" si="28"/>
        <v>0.98</v>
      </c>
      <c r="R40">
        <f t="shared" si="28"/>
        <v>0.96</v>
      </c>
      <c r="S40">
        <f t="shared" si="28"/>
        <v>0.94</v>
      </c>
      <c r="T40">
        <f t="shared" si="28"/>
        <v>0.95</v>
      </c>
      <c r="U40">
        <f t="shared" si="28"/>
        <v>0</v>
      </c>
      <c r="V40">
        <f t="shared" si="28"/>
        <v>0</v>
      </c>
      <c r="W40">
        <f t="shared" si="28"/>
        <v>0</v>
      </c>
      <c r="X40">
        <f t="shared" si="28"/>
        <v>0</v>
      </c>
      <c r="Y40">
        <f t="shared" si="28"/>
        <v>0</v>
      </c>
      <c r="Z40">
        <f t="shared" si="28"/>
        <v>0</v>
      </c>
    </row>
    <row r="41" spans="1:26" x14ac:dyDescent="0.25">
      <c r="A41" s="2" t="str">
        <f t="shared" si="7"/>
        <v>FAMAS Night Borre FT</v>
      </c>
      <c r="B41">
        <f t="shared" si="8"/>
        <v>0</v>
      </c>
      <c r="C41">
        <f t="shared" si="8"/>
        <v>0</v>
      </c>
      <c r="D41">
        <f t="shared" si="8"/>
        <v>0</v>
      </c>
      <c r="E41">
        <f t="shared" si="8"/>
        <v>0</v>
      </c>
      <c r="F41">
        <f t="shared" si="8"/>
        <v>0</v>
      </c>
      <c r="G41">
        <f t="shared" si="8"/>
        <v>0</v>
      </c>
      <c r="H41">
        <f t="shared" si="8"/>
        <v>0.73</v>
      </c>
      <c r="I41">
        <f t="shared" ref="I41:L41" si="29">ROUNDDOWN((I16-ROUNDUP(I16*0.1,2)-ROUNDUP(I16*0.05,2))*0.8,2)</f>
        <v>0.91</v>
      </c>
      <c r="J41">
        <f t="shared" si="29"/>
        <v>0.86</v>
      </c>
      <c r="K41">
        <f t="shared" si="29"/>
        <v>1.07</v>
      </c>
      <c r="L41">
        <f t="shared" si="29"/>
        <v>1.1200000000000001</v>
      </c>
      <c r="M41">
        <f t="shared" ref="M41:Z41" si="30">ROUNDDOWN((M16-ROUNDUP(M16*0.1,2)-ROUNDUP(M16*0.05,2))*0.8,2)</f>
        <v>1.07</v>
      </c>
      <c r="N41">
        <f t="shared" si="30"/>
        <v>1.03</v>
      </c>
      <c r="O41">
        <f t="shared" si="30"/>
        <v>0.99</v>
      </c>
      <c r="P41">
        <f t="shared" si="30"/>
        <v>0.93</v>
      </c>
      <c r="Q41">
        <f t="shared" si="30"/>
        <v>0.95</v>
      </c>
      <c r="R41">
        <f t="shared" si="30"/>
        <v>0.84</v>
      </c>
      <c r="S41">
        <f t="shared" si="30"/>
        <v>1</v>
      </c>
      <c r="T41">
        <f t="shared" si="30"/>
        <v>1.02</v>
      </c>
      <c r="U41">
        <f t="shared" si="30"/>
        <v>0</v>
      </c>
      <c r="V41">
        <f t="shared" si="30"/>
        <v>0</v>
      </c>
      <c r="W41">
        <f t="shared" si="30"/>
        <v>0</v>
      </c>
      <c r="X41">
        <f t="shared" si="30"/>
        <v>0</v>
      </c>
      <c r="Y41">
        <f t="shared" si="30"/>
        <v>0</v>
      </c>
      <c r="Z41">
        <f t="shared" si="30"/>
        <v>0</v>
      </c>
    </row>
    <row r="42" spans="1:26" x14ac:dyDescent="0.25">
      <c r="A42" s="2" t="str">
        <f t="shared" si="7"/>
        <v>FAMAS Macabre MW</v>
      </c>
      <c r="B42">
        <f t="shared" si="8"/>
        <v>0</v>
      </c>
      <c r="C42">
        <f t="shared" si="8"/>
        <v>0</v>
      </c>
      <c r="D42">
        <f t="shared" si="8"/>
        <v>0</v>
      </c>
      <c r="E42">
        <f t="shared" si="8"/>
        <v>0</v>
      </c>
      <c r="F42">
        <f t="shared" si="8"/>
        <v>0</v>
      </c>
      <c r="G42">
        <f t="shared" si="8"/>
        <v>0</v>
      </c>
      <c r="H42">
        <f t="shared" si="8"/>
        <v>0.84</v>
      </c>
      <c r="I42">
        <f t="shared" ref="I42:L42" si="31">ROUNDDOWN((I17-ROUNDUP(I17*0.1,2)-ROUNDUP(I17*0.05,2))*0.8,2)</f>
        <v>0.85</v>
      </c>
      <c r="J42">
        <f t="shared" si="31"/>
        <v>0.84</v>
      </c>
      <c r="K42">
        <f t="shared" si="31"/>
        <v>0.83</v>
      </c>
      <c r="L42">
        <f t="shared" si="31"/>
        <v>0.84</v>
      </c>
      <c r="M42">
        <f t="shared" ref="M42:Z42" si="32">ROUNDDOWN((M17-ROUNDUP(M17*0.1,2)-ROUNDUP(M17*0.05,2))*0.8,2)</f>
        <v>0.84</v>
      </c>
      <c r="N42">
        <f t="shared" si="32"/>
        <v>0.84</v>
      </c>
      <c r="O42">
        <f t="shared" si="32"/>
        <v>0.88</v>
      </c>
      <c r="P42">
        <f t="shared" si="32"/>
        <v>0.89</v>
      </c>
      <c r="Q42">
        <f t="shared" si="32"/>
        <v>0.96</v>
      </c>
      <c r="R42">
        <f t="shared" si="32"/>
        <v>0.96</v>
      </c>
      <c r="S42">
        <f t="shared" si="32"/>
        <v>0.94</v>
      </c>
      <c r="T42">
        <f t="shared" si="32"/>
        <v>0.96</v>
      </c>
      <c r="U42">
        <f t="shared" si="32"/>
        <v>0</v>
      </c>
      <c r="V42">
        <f t="shared" si="32"/>
        <v>0</v>
      </c>
      <c r="W42">
        <f t="shared" si="32"/>
        <v>0</v>
      </c>
      <c r="X42">
        <f t="shared" si="32"/>
        <v>0</v>
      </c>
      <c r="Y42">
        <f t="shared" si="32"/>
        <v>0</v>
      </c>
      <c r="Z42">
        <f t="shared" si="32"/>
        <v>0</v>
      </c>
    </row>
    <row r="43" spans="1:26" x14ac:dyDescent="0.25">
      <c r="A43" s="2" t="str">
        <f t="shared" si="7"/>
        <v>Galil AR Eco FT</v>
      </c>
      <c r="B43">
        <f t="shared" si="8"/>
        <v>0</v>
      </c>
      <c r="C43">
        <f t="shared" si="8"/>
        <v>0</v>
      </c>
      <c r="D43">
        <f t="shared" si="8"/>
        <v>0</v>
      </c>
      <c r="E43">
        <f t="shared" si="8"/>
        <v>0</v>
      </c>
      <c r="F43">
        <f t="shared" si="8"/>
        <v>0</v>
      </c>
      <c r="G43">
        <f t="shared" si="8"/>
        <v>0</v>
      </c>
      <c r="H43">
        <f t="shared" si="8"/>
        <v>2.58</v>
      </c>
      <c r="I43">
        <f t="shared" ref="I43:L43" si="33">ROUNDDOWN((I18-ROUNDUP(I18*0.1,2)-ROUNDUP(I18*0.05,2))*0.8,2)</f>
        <v>2.59</v>
      </c>
      <c r="J43">
        <f t="shared" si="33"/>
        <v>2.56</v>
      </c>
      <c r="K43">
        <f t="shared" si="33"/>
        <v>2.52</v>
      </c>
      <c r="L43">
        <f t="shared" si="33"/>
        <v>2.5</v>
      </c>
      <c r="M43">
        <f t="shared" ref="M43:Z43" si="34">ROUNDDOWN((M18-ROUNDUP(M18*0.1,2)-ROUNDUP(M18*0.05,2))*0.8,2)</f>
        <v>2.4900000000000002</v>
      </c>
      <c r="N43">
        <f t="shared" si="34"/>
        <v>2.4900000000000002</v>
      </c>
      <c r="O43">
        <f t="shared" si="34"/>
        <v>2.5299999999999998</v>
      </c>
      <c r="P43">
        <f t="shared" si="34"/>
        <v>2.52</v>
      </c>
      <c r="Q43">
        <f t="shared" si="34"/>
        <v>2.46</v>
      </c>
      <c r="R43">
        <f t="shared" si="34"/>
        <v>2.44</v>
      </c>
      <c r="S43">
        <f t="shared" si="34"/>
        <v>2.4500000000000002</v>
      </c>
      <c r="T43">
        <f t="shared" si="34"/>
        <v>2.39</v>
      </c>
      <c r="U43">
        <f t="shared" si="34"/>
        <v>0</v>
      </c>
      <c r="V43">
        <f t="shared" si="34"/>
        <v>0</v>
      </c>
      <c r="W43">
        <f t="shared" si="34"/>
        <v>0</v>
      </c>
      <c r="X43">
        <f t="shared" si="34"/>
        <v>0</v>
      </c>
      <c r="Y43">
        <f t="shared" si="34"/>
        <v>0</v>
      </c>
      <c r="Z43">
        <f t="shared" si="34"/>
        <v>0</v>
      </c>
    </row>
    <row r="44" spans="1:26" x14ac:dyDescent="0.25">
      <c r="A44" s="2" t="str">
        <f t="shared" si="7"/>
        <v>SCAR-20 Powercore MW</v>
      </c>
      <c r="B44">
        <f t="shared" si="8"/>
        <v>0</v>
      </c>
      <c r="C44">
        <f t="shared" si="8"/>
        <v>0</v>
      </c>
      <c r="D44">
        <f t="shared" si="8"/>
        <v>0</v>
      </c>
      <c r="E44">
        <f t="shared" si="8"/>
        <v>0</v>
      </c>
      <c r="F44">
        <f t="shared" si="8"/>
        <v>0</v>
      </c>
      <c r="G44">
        <f t="shared" si="8"/>
        <v>0</v>
      </c>
      <c r="H44">
        <f t="shared" si="8"/>
        <v>0.33</v>
      </c>
      <c r="I44">
        <f t="shared" ref="I44:L44" si="35">ROUNDDOWN((I19-ROUNDUP(I19*0.1,2)-ROUNDUP(I19*0.05,2))*0.8,2)</f>
        <v>0.32</v>
      </c>
      <c r="J44">
        <f t="shared" si="35"/>
        <v>0.33</v>
      </c>
      <c r="K44">
        <f t="shared" si="35"/>
        <v>0.3</v>
      </c>
      <c r="L44">
        <f t="shared" si="35"/>
        <v>0.31</v>
      </c>
      <c r="M44">
        <f t="shared" ref="M44:Z44" si="36">ROUNDDOWN((M19-ROUNDUP(M19*0.1,2)-ROUNDUP(M19*0.05,2))*0.8,2)</f>
        <v>0.31</v>
      </c>
      <c r="N44">
        <f t="shared" si="36"/>
        <v>0.33</v>
      </c>
      <c r="O44">
        <f t="shared" si="36"/>
        <v>0.33</v>
      </c>
      <c r="P44">
        <f t="shared" si="36"/>
        <v>0.31</v>
      </c>
      <c r="Q44">
        <f t="shared" si="36"/>
        <v>0.3</v>
      </c>
      <c r="R44">
        <f t="shared" si="36"/>
        <v>0.32</v>
      </c>
      <c r="S44">
        <f t="shared" si="36"/>
        <v>0.33</v>
      </c>
      <c r="T44">
        <f t="shared" si="36"/>
        <v>0.32</v>
      </c>
      <c r="U44">
        <f t="shared" si="36"/>
        <v>0</v>
      </c>
      <c r="V44">
        <f t="shared" si="36"/>
        <v>0</v>
      </c>
      <c r="W44">
        <f t="shared" si="36"/>
        <v>0</v>
      </c>
      <c r="X44">
        <f t="shared" si="36"/>
        <v>0</v>
      </c>
      <c r="Y44">
        <f t="shared" si="36"/>
        <v>0</v>
      </c>
      <c r="Z44">
        <f t="shared" si="36"/>
        <v>0</v>
      </c>
    </row>
    <row r="45" spans="1:26" x14ac:dyDescent="0.25">
      <c r="A45" s="2" t="str">
        <f t="shared" si="7"/>
        <v>SG 553 Atlas FN</v>
      </c>
      <c r="B45">
        <f t="shared" si="8"/>
        <v>0</v>
      </c>
      <c r="C45">
        <f t="shared" si="8"/>
        <v>0</v>
      </c>
      <c r="D45">
        <f t="shared" si="8"/>
        <v>0</v>
      </c>
      <c r="E45">
        <f t="shared" si="8"/>
        <v>0</v>
      </c>
      <c r="F45">
        <f t="shared" si="8"/>
        <v>0</v>
      </c>
      <c r="G45">
        <f t="shared" si="8"/>
        <v>0</v>
      </c>
      <c r="H45">
        <f t="shared" si="8"/>
        <v>0.2</v>
      </c>
      <c r="I45">
        <f t="shared" ref="I45:L45" si="37">ROUNDDOWN((I20-ROUNDUP(I20*0.1,2)-ROUNDUP(I20*0.05,2))*0.8,2)</f>
        <v>0.22</v>
      </c>
      <c r="J45">
        <f t="shared" si="37"/>
        <v>0.2</v>
      </c>
      <c r="K45">
        <f t="shared" si="37"/>
        <v>0.2</v>
      </c>
      <c r="L45">
        <f t="shared" si="37"/>
        <v>0.2</v>
      </c>
      <c r="M45">
        <f t="shared" ref="M45:Z45" si="38">ROUNDDOWN((M20-ROUNDUP(M20*0.1,2)-ROUNDUP(M20*0.05,2))*0.8,2)</f>
        <v>0.2</v>
      </c>
      <c r="N45">
        <f t="shared" si="38"/>
        <v>0.2</v>
      </c>
      <c r="O45">
        <f t="shared" si="38"/>
        <v>0.2</v>
      </c>
      <c r="P45">
        <f t="shared" si="38"/>
        <v>0.19</v>
      </c>
      <c r="Q45">
        <f t="shared" si="38"/>
        <v>0.19</v>
      </c>
      <c r="R45">
        <f t="shared" si="38"/>
        <v>0.18</v>
      </c>
      <c r="S45">
        <f t="shared" si="38"/>
        <v>0.2</v>
      </c>
      <c r="T45">
        <f t="shared" si="38"/>
        <v>0.19</v>
      </c>
      <c r="U45">
        <f t="shared" si="38"/>
        <v>0</v>
      </c>
      <c r="V45">
        <f t="shared" si="38"/>
        <v>0</v>
      </c>
      <c r="W45">
        <f t="shared" si="38"/>
        <v>0</v>
      </c>
      <c r="X45">
        <f t="shared" si="38"/>
        <v>0</v>
      </c>
      <c r="Y45">
        <f t="shared" si="38"/>
        <v>0</v>
      </c>
      <c r="Z45">
        <f t="shared" si="38"/>
        <v>0</v>
      </c>
    </row>
    <row r="46" spans="1:26" x14ac:dyDescent="0.25">
      <c r="A46" s="2" t="str">
        <f t="shared" si="7"/>
        <v>SSG 08 Necropos MW</v>
      </c>
      <c r="B46">
        <f t="shared" si="8"/>
        <v>0</v>
      </c>
      <c r="C46">
        <f t="shared" si="8"/>
        <v>0</v>
      </c>
      <c r="D46">
        <f t="shared" si="8"/>
        <v>0</v>
      </c>
      <c r="E46">
        <f t="shared" si="8"/>
        <v>0</v>
      </c>
      <c r="F46">
        <f t="shared" si="8"/>
        <v>0</v>
      </c>
      <c r="G46">
        <f t="shared" si="8"/>
        <v>0</v>
      </c>
      <c r="H46">
        <f t="shared" si="8"/>
        <v>0.22</v>
      </c>
      <c r="I46">
        <f t="shared" ref="I46:L46" si="39">ROUNDDOWN((I21-ROUNDUP(I21*0.1,2)-ROUNDUP(I21*0.05,2))*0.8,2)</f>
        <v>0.2</v>
      </c>
      <c r="J46">
        <f t="shared" si="39"/>
        <v>0.2</v>
      </c>
      <c r="K46">
        <f t="shared" si="39"/>
        <v>0.2</v>
      </c>
      <c r="L46">
        <f t="shared" si="39"/>
        <v>0.2</v>
      </c>
      <c r="M46">
        <f t="shared" ref="M46:Z46" si="40">ROUNDDOWN((M21-ROUNDUP(M21*0.1,2)-ROUNDUP(M21*0.05,2))*0.8,2)</f>
        <v>0.2</v>
      </c>
      <c r="N46">
        <f t="shared" si="40"/>
        <v>0.2</v>
      </c>
      <c r="O46">
        <f t="shared" si="40"/>
        <v>0.2</v>
      </c>
      <c r="P46">
        <f t="shared" si="40"/>
        <v>0.2</v>
      </c>
      <c r="Q46">
        <f t="shared" si="40"/>
        <v>0.2</v>
      </c>
      <c r="R46">
        <f t="shared" si="40"/>
        <v>0.2</v>
      </c>
      <c r="S46">
        <f t="shared" si="40"/>
        <v>0.2</v>
      </c>
      <c r="T46">
        <f t="shared" si="40"/>
        <v>0.19</v>
      </c>
      <c r="U46">
        <f t="shared" si="40"/>
        <v>0</v>
      </c>
      <c r="V46">
        <f t="shared" si="40"/>
        <v>0</v>
      </c>
      <c r="W46">
        <f t="shared" si="40"/>
        <v>0</v>
      </c>
      <c r="X46">
        <f t="shared" si="40"/>
        <v>0</v>
      </c>
      <c r="Y46">
        <f t="shared" si="40"/>
        <v>0</v>
      </c>
      <c r="Z46">
        <f t="shared" si="40"/>
        <v>0</v>
      </c>
    </row>
    <row r="48" spans="1:26" x14ac:dyDescent="0.25">
      <c r="B48">
        <f>SUM(B30:B46)</f>
        <v>0</v>
      </c>
      <c r="C48">
        <f t="shared" ref="C48:L48" si="41">SUM(C30:C46)</f>
        <v>0</v>
      </c>
      <c r="D48">
        <f t="shared" si="41"/>
        <v>0</v>
      </c>
      <c r="E48">
        <f t="shared" si="41"/>
        <v>0</v>
      </c>
      <c r="F48">
        <f t="shared" si="41"/>
        <v>0</v>
      </c>
      <c r="G48">
        <f t="shared" si="41"/>
        <v>0</v>
      </c>
      <c r="H48">
        <f t="shared" si="41"/>
        <v>69.47</v>
      </c>
      <c r="I48">
        <f t="shared" si="41"/>
        <v>66.839999999999989</v>
      </c>
      <c r="J48">
        <f t="shared" si="41"/>
        <v>68.570000000000022</v>
      </c>
      <c r="K48">
        <f t="shared" si="41"/>
        <v>70.499999999999986</v>
      </c>
      <c r="L48">
        <f t="shared" si="41"/>
        <v>71.900000000000006</v>
      </c>
      <c r="M48">
        <f t="shared" ref="M48:Z48" si="42">SUM(M30:M46)</f>
        <v>71.349999999999994</v>
      </c>
      <c r="N48">
        <f t="shared" si="42"/>
        <v>69.900000000000006</v>
      </c>
      <c r="O48">
        <f t="shared" si="42"/>
        <v>71.650000000000006</v>
      </c>
      <c r="P48">
        <f t="shared" si="42"/>
        <v>71.500000000000014</v>
      </c>
      <c r="Q48">
        <f t="shared" si="42"/>
        <v>72.75</v>
      </c>
      <c r="R48">
        <f t="shared" si="42"/>
        <v>71.559999999999988</v>
      </c>
      <c r="S48">
        <f t="shared" si="42"/>
        <v>71.099999999999994</v>
      </c>
      <c r="T48">
        <f t="shared" si="42"/>
        <v>70.349999999999994</v>
      </c>
      <c r="U48">
        <f t="shared" si="42"/>
        <v>0</v>
      </c>
      <c r="V48">
        <f t="shared" si="42"/>
        <v>0</v>
      </c>
      <c r="W48">
        <f t="shared" si="42"/>
        <v>0</v>
      </c>
      <c r="X48">
        <f t="shared" si="42"/>
        <v>0</v>
      </c>
      <c r="Y48">
        <f t="shared" si="42"/>
        <v>0</v>
      </c>
      <c r="Z48">
        <f t="shared" si="42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Category-Details</vt:lpstr>
      <vt:lpstr>Totals</vt:lpstr>
      <vt:lpstr>Investments</vt:lpstr>
      <vt:lpstr>Knives</vt:lpstr>
      <vt:lpstr>AWP</vt:lpstr>
      <vt:lpstr>M4A4</vt:lpstr>
      <vt:lpstr>M4A1-S</vt:lpstr>
      <vt:lpstr>AK47</vt:lpstr>
      <vt:lpstr>SMG</vt:lpstr>
      <vt:lpstr>Heavy</vt:lpstr>
      <vt:lpstr>Pistol</vt:lpstr>
      <vt:lpstr>Other Rifles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Hliddal</dc:creator>
  <cp:lastModifiedBy>Oliver Hliddal</cp:lastModifiedBy>
  <dcterms:created xsi:type="dcterms:W3CDTF">2021-05-21T11:08:28Z</dcterms:created>
  <dcterms:modified xsi:type="dcterms:W3CDTF">2021-06-04T09:24:56Z</dcterms:modified>
</cp:coreProperties>
</file>