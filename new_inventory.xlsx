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98\Desktop\Privat\"/>
    </mc:Choice>
  </mc:AlternateContent>
  <xr:revisionPtr revIDLastSave="0" documentId="13_ncr:1_{70533203-997C-451F-A2DC-B40422A59959}" xr6:coauthVersionLast="47" xr6:coauthVersionMax="47" xr10:uidLastSave="{00000000-0000-0000-0000-000000000000}"/>
  <bookViews>
    <workbookView xWindow="-98" yWindow="-98" windowWidth="20715" windowHeight="13276" xr2:uid="{99086AA3-9754-4BFF-89AD-FF629D198B3D}"/>
  </bookViews>
  <sheets>
    <sheet name="Overview" sheetId="1" r:id="rId1"/>
    <sheet name="Investments" sheetId="8" r:id="rId2"/>
    <sheet name="Category" sheetId="4" r:id="rId3"/>
    <sheet name="Cases" sheetId="6" r:id="rId4"/>
    <sheet name="Skin-Investments" sheetId="7" r:id="rId5"/>
    <sheet name="Knife" sheetId="9" r:id="rId6"/>
    <sheet name="AWP" sheetId="10" r:id="rId7"/>
    <sheet name="M4A4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5" i="11" l="1"/>
  <c r="K15" i="11"/>
  <c r="L15" i="11"/>
  <c r="M15" i="11"/>
  <c r="N15" i="11"/>
  <c r="O15" i="11"/>
  <c r="P15" i="11"/>
  <c r="Q15" i="11"/>
  <c r="Q28" i="11" s="1"/>
  <c r="R15" i="11"/>
  <c r="S15" i="11"/>
  <c r="T15" i="11"/>
  <c r="U15" i="11"/>
  <c r="V15" i="11"/>
  <c r="W15" i="11"/>
  <c r="X15" i="11"/>
  <c r="Y15" i="11"/>
  <c r="Y28" i="11" s="1"/>
  <c r="Z15" i="11"/>
  <c r="AA15" i="11"/>
  <c r="AB15" i="11"/>
  <c r="AC15" i="11"/>
  <c r="AD15" i="11"/>
  <c r="AE15" i="11"/>
  <c r="AF15" i="11"/>
  <c r="AG15" i="11"/>
  <c r="AG28" i="11" s="1"/>
  <c r="AH15" i="11"/>
  <c r="AI15" i="11"/>
  <c r="AJ15" i="11"/>
  <c r="AK15" i="11"/>
  <c r="AL15" i="11"/>
  <c r="AM15" i="11"/>
  <c r="AN15" i="11"/>
  <c r="AO15" i="11"/>
  <c r="AO28" i="11" s="1"/>
  <c r="AP15" i="11"/>
  <c r="AQ15" i="11"/>
  <c r="AR15" i="11"/>
  <c r="AS15" i="11"/>
  <c r="AT15" i="11"/>
  <c r="AU15" i="11"/>
  <c r="AV15" i="11"/>
  <c r="AW15" i="11"/>
  <c r="AW28" i="11" s="1"/>
  <c r="AX15" i="11"/>
  <c r="AY15" i="11"/>
  <c r="AZ15" i="11"/>
  <c r="BA15" i="11"/>
  <c r="BB15" i="11"/>
  <c r="BC15" i="11"/>
  <c r="BD15" i="11"/>
  <c r="BE15" i="11"/>
  <c r="BE28" i="11" s="1"/>
  <c r="BF15" i="11"/>
  <c r="BG15" i="11"/>
  <c r="BH15" i="11"/>
  <c r="BI15" i="11"/>
  <c r="BJ15" i="11"/>
  <c r="BK15" i="11"/>
  <c r="BL15" i="11"/>
  <c r="BM15" i="11"/>
  <c r="BM28" i="11" s="1"/>
  <c r="BN15" i="11"/>
  <c r="BO15" i="11"/>
  <c r="BP15" i="11"/>
  <c r="BQ15" i="11"/>
  <c r="BR15" i="11"/>
  <c r="BS15" i="11"/>
  <c r="BT15" i="11"/>
  <c r="BU15" i="11"/>
  <c r="BU28" i="11" s="1"/>
  <c r="BV15" i="11"/>
  <c r="BW15" i="11"/>
  <c r="BX15" i="11"/>
  <c r="BY15" i="11"/>
  <c r="BZ15" i="11"/>
  <c r="CA15" i="11"/>
  <c r="CB15" i="11"/>
  <c r="CC15" i="11"/>
  <c r="CC28" i="11" s="1"/>
  <c r="CD15" i="11"/>
  <c r="CE15" i="11"/>
  <c r="CF15" i="11"/>
  <c r="CG15" i="11"/>
  <c r="CH15" i="11"/>
  <c r="CI15" i="11"/>
  <c r="CJ15" i="11"/>
  <c r="CK15" i="11"/>
  <c r="CK28" i="11" s="1"/>
  <c r="CL15" i="11"/>
  <c r="CM15" i="11"/>
  <c r="CN15" i="11"/>
  <c r="CO15" i="11"/>
  <c r="CP15" i="11"/>
  <c r="CQ15" i="11"/>
  <c r="CR15" i="11"/>
  <c r="CS15" i="11"/>
  <c r="CS28" i="11" s="1"/>
  <c r="CT15" i="11"/>
  <c r="CU15" i="11"/>
  <c r="CV15" i="11"/>
  <c r="CW15" i="11"/>
  <c r="CX15" i="11"/>
  <c r="CY15" i="11"/>
  <c r="CZ15" i="11"/>
  <c r="DA15" i="11"/>
  <c r="DA28" i="11" s="1"/>
  <c r="DB15" i="11"/>
  <c r="DC15" i="11"/>
  <c r="DD15" i="11"/>
  <c r="DE15" i="11"/>
  <c r="DF15" i="11"/>
  <c r="DG15" i="11"/>
  <c r="DH15" i="11"/>
  <c r="DI15" i="11"/>
  <c r="DI28" i="11" s="1"/>
  <c r="DJ15" i="11"/>
  <c r="DK15" i="11"/>
  <c r="DL15" i="11"/>
  <c r="DM15" i="11"/>
  <c r="DN15" i="11"/>
  <c r="DO15" i="11"/>
  <c r="DP15" i="11"/>
  <c r="DQ15" i="11"/>
  <c r="DQ28" i="11" s="1"/>
  <c r="DR15" i="11"/>
  <c r="DS15" i="11"/>
  <c r="DT15" i="11"/>
  <c r="DU15" i="11"/>
  <c r="DV15" i="11"/>
  <c r="DW15" i="11"/>
  <c r="DX15" i="11"/>
  <c r="DY15" i="11"/>
  <c r="DY28" i="11" s="1"/>
  <c r="DZ15" i="11"/>
  <c r="EA15" i="11"/>
  <c r="EB15" i="11"/>
  <c r="EC15" i="11"/>
  <c r="ED15" i="11"/>
  <c r="EE15" i="11"/>
  <c r="EF15" i="11"/>
  <c r="EG15" i="11"/>
  <c r="EG28" i="11" s="1"/>
  <c r="EH15" i="11"/>
  <c r="EI15" i="11"/>
  <c r="EJ15" i="11"/>
  <c r="EK15" i="11"/>
  <c r="EL15" i="11"/>
  <c r="EM15" i="11"/>
  <c r="EN15" i="11"/>
  <c r="EO15" i="11"/>
  <c r="EO28" i="11" s="1"/>
  <c r="EP15" i="11"/>
  <c r="EQ15" i="11"/>
  <c r="ER15" i="11"/>
  <c r="ES15" i="11"/>
  <c r="ET15" i="11"/>
  <c r="EU15" i="11"/>
  <c r="EV15" i="11"/>
  <c r="EW15" i="11"/>
  <c r="EW28" i="11" s="1"/>
  <c r="EX15" i="11"/>
  <c r="EY15" i="11"/>
  <c r="EZ15" i="11"/>
  <c r="FA15" i="11"/>
  <c r="FB15" i="11"/>
  <c r="FC15" i="11"/>
  <c r="FD15" i="11"/>
  <c r="FE15" i="11"/>
  <c r="FE28" i="11" s="1"/>
  <c r="FF15" i="11"/>
  <c r="FG15" i="11"/>
  <c r="FH15" i="11"/>
  <c r="FI15" i="11"/>
  <c r="FJ15" i="11"/>
  <c r="FK15" i="11"/>
  <c r="FL15" i="11"/>
  <c r="FM15" i="11"/>
  <c r="FM28" i="11" s="1"/>
  <c r="FN15" i="11"/>
  <c r="FO15" i="11"/>
  <c r="FP15" i="11"/>
  <c r="FQ15" i="11"/>
  <c r="FR15" i="11"/>
  <c r="FS15" i="11"/>
  <c r="FT15" i="11"/>
  <c r="FU15" i="11"/>
  <c r="FU28" i="11" s="1"/>
  <c r="FV15" i="11"/>
  <c r="FW15" i="11"/>
  <c r="FX15" i="11"/>
  <c r="FY15" i="11"/>
  <c r="FZ15" i="11"/>
  <c r="GA15" i="11"/>
  <c r="J16" i="11"/>
  <c r="K16" i="11"/>
  <c r="L16" i="11"/>
  <c r="M16" i="11"/>
  <c r="N16" i="11"/>
  <c r="O16" i="11"/>
  <c r="P16" i="11"/>
  <c r="Q16" i="11"/>
  <c r="R16" i="11"/>
  <c r="S16" i="11"/>
  <c r="S28" i="11" s="1"/>
  <c r="T16" i="11"/>
  <c r="U16" i="11"/>
  <c r="V16" i="11"/>
  <c r="W16" i="11"/>
  <c r="X16" i="11"/>
  <c r="Y16" i="11"/>
  <c r="Z16" i="11"/>
  <c r="AA16" i="11"/>
  <c r="AA28" i="11" s="1"/>
  <c r="AB16" i="11"/>
  <c r="AC16" i="11"/>
  <c r="AD16" i="11"/>
  <c r="AE16" i="11"/>
  <c r="AF16" i="11"/>
  <c r="AG16" i="11"/>
  <c r="AH16" i="11"/>
  <c r="AI16" i="11"/>
  <c r="AI28" i="11" s="1"/>
  <c r="AJ16" i="11"/>
  <c r="AK16" i="11"/>
  <c r="AL16" i="11"/>
  <c r="AM16" i="11"/>
  <c r="AN16" i="11"/>
  <c r="AO16" i="11"/>
  <c r="AP16" i="11"/>
  <c r="AQ16" i="11"/>
  <c r="AQ28" i="11" s="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X16" i="11"/>
  <c r="BY16" i="11"/>
  <c r="BZ16" i="11"/>
  <c r="CA16" i="11"/>
  <c r="CB16" i="11"/>
  <c r="CC16" i="11"/>
  <c r="CD16" i="11"/>
  <c r="CE16" i="11"/>
  <c r="CF16" i="11"/>
  <c r="CG16" i="11"/>
  <c r="CH16" i="11"/>
  <c r="CI16" i="11"/>
  <c r="CJ16" i="11"/>
  <c r="CK16" i="11"/>
  <c r="CL16" i="11"/>
  <c r="CM16" i="11"/>
  <c r="CN16" i="11"/>
  <c r="CO16" i="11"/>
  <c r="CP16" i="11"/>
  <c r="CQ16" i="11"/>
  <c r="CR16" i="11"/>
  <c r="CS16" i="11"/>
  <c r="CT16" i="11"/>
  <c r="CU16" i="11"/>
  <c r="CV16" i="11"/>
  <c r="CW16" i="11"/>
  <c r="CX16" i="11"/>
  <c r="CY16" i="11"/>
  <c r="CZ16" i="11"/>
  <c r="DA16" i="11"/>
  <c r="DB16" i="11"/>
  <c r="DC16" i="11"/>
  <c r="DD16" i="11"/>
  <c r="DE16" i="11"/>
  <c r="DF16" i="11"/>
  <c r="DG16" i="11"/>
  <c r="DH16" i="11"/>
  <c r="DI16" i="11"/>
  <c r="DJ16" i="11"/>
  <c r="DK16" i="11"/>
  <c r="DL16" i="11"/>
  <c r="DM16" i="11"/>
  <c r="DN16" i="11"/>
  <c r="DO16" i="11"/>
  <c r="DP16" i="11"/>
  <c r="DQ16" i="11"/>
  <c r="DR16" i="11"/>
  <c r="DS16" i="11"/>
  <c r="DT16" i="11"/>
  <c r="DU16" i="11"/>
  <c r="DV16" i="11"/>
  <c r="DW16" i="11"/>
  <c r="DX16" i="11"/>
  <c r="DY16" i="11"/>
  <c r="DZ16" i="11"/>
  <c r="EA16" i="11"/>
  <c r="EB16" i="11"/>
  <c r="EC16" i="11"/>
  <c r="ED16" i="11"/>
  <c r="EE16" i="11"/>
  <c r="EF16" i="11"/>
  <c r="EG16" i="11"/>
  <c r="EH16" i="11"/>
  <c r="EI16" i="11"/>
  <c r="EJ16" i="11"/>
  <c r="EK16" i="11"/>
  <c r="EL16" i="11"/>
  <c r="EM16" i="11"/>
  <c r="EN16" i="11"/>
  <c r="EO16" i="11"/>
  <c r="EP16" i="11"/>
  <c r="EQ16" i="11"/>
  <c r="ER16" i="11"/>
  <c r="ES16" i="11"/>
  <c r="ET16" i="11"/>
  <c r="EU16" i="11"/>
  <c r="EV16" i="11"/>
  <c r="EW16" i="11"/>
  <c r="EX16" i="11"/>
  <c r="EY16" i="11"/>
  <c r="EZ16" i="11"/>
  <c r="FA16" i="11"/>
  <c r="FB16" i="11"/>
  <c r="FC16" i="11"/>
  <c r="FD16" i="11"/>
  <c r="FE16" i="11"/>
  <c r="FF16" i="11"/>
  <c r="FG16" i="11"/>
  <c r="FH16" i="11"/>
  <c r="FI16" i="11"/>
  <c r="FJ16" i="11"/>
  <c r="FK16" i="11"/>
  <c r="FL16" i="11"/>
  <c r="FM16" i="11"/>
  <c r="FN16" i="11"/>
  <c r="FO16" i="11"/>
  <c r="FP16" i="11"/>
  <c r="FQ16" i="11"/>
  <c r="FR16" i="11"/>
  <c r="FS16" i="11"/>
  <c r="FT16" i="11"/>
  <c r="FU16" i="11"/>
  <c r="FV16" i="11"/>
  <c r="FW16" i="11"/>
  <c r="FX16" i="11"/>
  <c r="FY16" i="11"/>
  <c r="FZ16" i="11"/>
  <c r="GA16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U28" i="11" s="1"/>
  <c r="V17" i="11"/>
  <c r="W17" i="11"/>
  <c r="X17" i="11"/>
  <c r="Y17" i="11"/>
  <c r="Z17" i="11"/>
  <c r="AA17" i="11"/>
  <c r="AB17" i="11"/>
  <c r="AC17" i="11"/>
  <c r="AC28" i="11" s="1"/>
  <c r="AD17" i="11"/>
  <c r="AE17" i="11"/>
  <c r="AF17" i="11"/>
  <c r="AG17" i="11"/>
  <c r="AH17" i="11"/>
  <c r="AI17" i="11"/>
  <c r="AJ17" i="11"/>
  <c r="AK17" i="11"/>
  <c r="AK28" i="11" s="1"/>
  <c r="AL17" i="11"/>
  <c r="AM17" i="11"/>
  <c r="AN17" i="11"/>
  <c r="AO17" i="11"/>
  <c r="AP17" i="11"/>
  <c r="AQ17" i="11"/>
  <c r="AR17" i="11"/>
  <c r="AS17" i="11"/>
  <c r="AS28" i="11" s="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BX17" i="11"/>
  <c r="BY17" i="11"/>
  <c r="BZ17" i="11"/>
  <c r="CA17" i="11"/>
  <c r="CB17" i="11"/>
  <c r="CC17" i="11"/>
  <c r="CD17" i="11"/>
  <c r="CE17" i="11"/>
  <c r="CF17" i="11"/>
  <c r="CG17" i="11"/>
  <c r="CH17" i="11"/>
  <c r="CI17" i="11"/>
  <c r="CJ17" i="11"/>
  <c r="CK17" i="11"/>
  <c r="CL17" i="11"/>
  <c r="CM17" i="11"/>
  <c r="CN17" i="11"/>
  <c r="CO17" i="11"/>
  <c r="CP17" i="11"/>
  <c r="CQ17" i="11"/>
  <c r="CR17" i="11"/>
  <c r="CS17" i="11"/>
  <c r="CT17" i="11"/>
  <c r="CU17" i="11"/>
  <c r="CV17" i="11"/>
  <c r="CW17" i="11"/>
  <c r="CX17" i="11"/>
  <c r="CY17" i="11"/>
  <c r="CZ17" i="11"/>
  <c r="DA17" i="11"/>
  <c r="DB17" i="11"/>
  <c r="DC17" i="11"/>
  <c r="DD17" i="11"/>
  <c r="DE17" i="11"/>
  <c r="DF17" i="11"/>
  <c r="DG17" i="11"/>
  <c r="DH17" i="11"/>
  <c r="DI17" i="11"/>
  <c r="DJ17" i="11"/>
  <c r="DK17" i="11"/>
  <c r="DL17" i="11"/>
  <c r="DM17" i="11"/>
  <c r="DN17" i="11"/>
  <c r="DO17" i="11"/>
  <c r="DP17" i="11"/>
  <c r="DQ17" i="11"/>
  <c r="DR17" i="11"/>
  <c r="DS17" i="11"/>
  <c r="DT17" i="11"/>
  <c r="DU17" i="11"/>
  <c r="DV17" i="11"/>
  <c r="DW17" i="11"/>
  <c r="DX17" i="11"/>
  <c r="DY17" i="11"/>
  <c r="DZ17" i="11"/>
  <c r="EA17" i="11"/>
  <c r="EB17" i="11"/>
  <c r="EC17" i="11"/>
  <c r="ED17" i="11"/>
  <c r="EE17" i="11"/>
  <c r="EF17" i="11"/>
  <c r="EG17" i="11"/>
  <c r="EH17" i="11"/>
  <c r="EI17" i="11"/>
  <c r="EJ17" i="11"/>
  <c r="EK17" i="11"/>
  <c r="EL17" i="11"/>
  <c r="EM17" i="11"/>
  <c r="EN17" i="11"/>
  <c r="EO17" i="11"/>
  <c r="EP17" i="11"/>
  <c r="EQ17" i="11"/>
  <c r="ER17" i="11"/>
  <c r="ES17" i="11"/>
  <c r="ET17" i="11"/>
  <c r="EU17" i="11"/>
  <c r="EV17" i="11"/>
  <c r="EW17" i="11"/>
  <c r="EX17" i="11"/>
  <c r="EY17" i="11"/>
  <c r="EZ17" i="11"/>
  <c r="FA17" i="11"/>
  <c r="FB17" i="11"/>
  <c r="FC17" i="11"/>
  <c r="FD17" i="11"/>
  <c r="FE17" i="11"/>
  <c r="FF17" i="11"/>
  <c r="FG17" i="11"/>
  <c r="FH17" i="11"/>
  <c r="FI17" i="11"/>
  <c r="FJ17" i="11"/>
  <c r="FK17" i="11"/>
  <c r="FL17" i="11"/>
  <c r="FM17" i="11"/>
  <c r="FN17" i="11"/>
  <c r="FO17" i="11"/>
  <c r="FP17" i="11"/>
  <c r="FQ17" i="11"/>
  <c r="FR17" i="11"/>
  <c r="FS17" i="11"/>
  <c r="FT17" i="11"/>
  <c r="FU17" i="11"/>
  <c r="FV17" i="11"/>
  <c r="FW17" i="11"/>
  <c r="FX17" i="11"/>
  <c r="FY17" i="11"/>
  <c r="FZ17" i="11"/>
  <c r="GA17" i="11"/>
  <c r="J18" i="11"/>
  <c r="K18" i="11"/>
  <c r="L18" i="11"/>
  <c r="M18" i="11"/>
  <c r="N18" i="11"/>
  <c r="N28" i="11" s="1"/>
  <c r="O18" i="11"/>
  <c r="O28" i="11" s="1"/>
  <c r="P18" i="11"/>
  <c r="Q18" i="11"/>
  <c r="R18" i="11"/>
  <c r="S18" i="11"/>
  <c r="T18" i="11"/>
  <c r="U18" i="11"/>
  <c r="V18" i="11"/>
  <c r="V28" i="11" s="1"/>
  <c r="W18" i="11"/>
  <c r="W28" i="11" s="1"/>
  <c r="X18" i="11"/>
  <c r="Y18" i="11"/>
  <c r="Z18" i="11"/>
  <c r="AA18" i="11"/>
  <c r="AB18" i="11"/>
  <c r="AC18" i="11"/>
  <c r="AD18" i="11"/>
  <c r="AD28" i="11" s="1"/>
  <c r="AE18" i="11"/>
  <c r="AE28" i="11" s="1"/>
  <c r="AF18" i="11"/>
  <c r="AG18" i="11"/>
  <c r="AH18" i="11"/>
  <c r="AI18" i="11"/>
  <c r="AJ18" i="11"/>
  <c r="AK18" i="11"/>
  <c r="AL18" i="11"/>
  <c r="AL28" i="11" s="1"/>
  <c r="AM18" i="11"/>
  <c r="AM28" i="11" s="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BP18" i="11"/>
  <c r="BQ18" i="11"/>
  <c r="BR18" i="11"/>
  <c r="BS18" i="11"/>
  <c r="BT18" i="11"/>
  <c r="BU18" i="11"/>
  <c r="BV18" i="11"/>
  <c r="BW18" i="11"/>
  <c r="BX18" i="11"/>
  <c r="BY18" i="11"/>
  <c r="BZ18" i="11"/>
  <c r="CA18" i="11"/>
  <c r="CB18" i="11"/>
  <c r="CC18" i="11"/>
  <c r="CD18" i="11"/>
  <c r="CE18" i="11"/>
  <c r="CF18" i="11"/>
  <c r="CG18" i="11"/>
  <c r="CH18" i="11"/>
  <c r="CI18" i="11"/>
  <c r="CJ18" i="11"/>
  <c r="CK18" i="11"/>
  <c r="CL18" i="11"/>
  <c r="CM18" i="11"/>
  <c r="CN18" i="11"/>
  <c r="CO18" i="11"/>
  <c r="CP18" i="11"/>
  <c r="CQ18" i="11"/>
  <c r="CR18" i="11"/>
  <c r="CS18" i="11"/>
  <c r="CT18" i="11"/>
  <c r="CU18" i="11"/>
  <c r="CV18" i="11"/>
  <c r="CW18" i="11"/>
  <c r="CX18" i="11"/>
  <c r="CY18" i="11"/>
  <c r="CZ18" i="11"/>
  <c r="DA18" i="11"/>
  <c r="DB18" i="11"/>
  <c r="DC18" i="11"/>
  <c r="DD18" i="11"/>
  <c r="DE18" i="11"/>
  <c r="DF18" i="11"/>
  <c r="DG18" i="11"/>
  <c r="DH18" i="11"/>
  <c r="DI18" i="11"/>
  <c r="DJ18" i="11"/>
  <c r="DK18" i="11"/>
  <c r="DL18" i="11"/>
  <c r="DM18" i="11"/>
  <c r="DN18" i="11"/>
  <c r="DO18" i="11"/>
  <c r="DP18" i="11"/>
  <c r="DQ18" i="11"/>
  <c r="DR18" i="11"/>
  <c r="DS18" i="11"/>
  <c r="DT18" i="11"/>
  <c r="DU18" i="11"/>
  <c r="DV18" i="11"/>
  <c r="DW18" i="11"/>
  <c r="DX18" i="11"/>
  <c r="DY18" i="11"/>
  <c r="DZ18" i="11"/>
  <c r="EA18" i="11"/>
  <c r="EB18" i="11"/>
  <c r="EC18" i="11"/>
  <c r="ED18" i="11"/>
  <c r="EE18" i="11"/>
  <c r="EF18" i="11"/>
  <c r="EG18" i="11"/>
  <c r="EH18" i="11"/>
  <c r="EI18" i="11"/>
  <c r="EJ18" i="11"/>
  <c r="EK18" i="11"/>
  <c r="EL18" i="11"/>
  <c r="EM18" i="11"/>
  <c r="EN18" i="11"/>
  <c r="EO18" i="11"/>
  <c r="EP18" i="11"/>
  <c r="EQ18" i="11"/>
  <c r="ER18" i="11"/>
  <c r="ES18" i="11"/>
  <c r="ET18" i="11"/>
  <c r="EU18" i="11"/>
  <c r="EV18" i="11"/>
  <c r="EW18" i="11"/>
  <c r="EX18" i="11"/>
  <c r="EY18" i="11"/>
  <c r="EZ18" i="11"/>
  <c r="FA18" i="11"/>
  <c r="FB18" i="11"/>
  <c r="FC18" i="11"/>
  <c r="FD18" i="11"/>
  <c r="FE18" i="11"/>
  <c r="FF18" i="11"/>
  <c r="FG18" i="11"/>
  <c r="FH18" i="11"/>
  <c r="FI18" i="11"/>
  <c r="FJ18" i="11"/>
  <c r="FK18" i="11"/>
  <c r="FL18" i="11"/>
  <c r="FM18" i="11"/>
  <c r="FN18" i="11"/>
  <c r="FO18" i="11"/>
  <c r="FP18" i="11"/>
  <c r="FQ18" i="11"/>
  <c r="FR18" i="11"/>
  <c r="FS18" i="11"/>
  <c r="FT18" i="11"/>
  <c r="FU18" i="11"/>
  <c r="FV18" i="11"/>
  <c r="FW18" i="11"/>
  <c r="FX18" i="11"/>
  <c r="FY18" i="11"/>
  <c r="FZ18" i="11"/>
  <c r="GA18" i="11"/>
  <c r="J19" i="11"/>
  <c r="K19" i="11"/>
  <c r="L19" i="11"/>
  <c r="M19" i="11"/>
  <c r="N19" i="11"/>
  <c r="O19" i="11"/>
  <c r="P19" i="11"/>
  <c r="P28" i="11" s="1"/>
  <c r="Q19" i="11"/>
  <c r="R19" i="11"/>
  <c r="S19" i="11"/>
  <c r="T19" i="11"/>
  <c r="U19" i="11"/>
  <c r="V19" i="11"/>
  <c r="W19" i="11"/>
  <c r="X19" i="11"/>
  <c r="X28" i="11" s="1"/>
  <c r="Y19" i="11"/>
  <c r="Z19" i="11"/>
  <c r="AA19" i="11"/>
  <c r="AB19" i="11"/>
  <c r="AC19" i="11"/>
  <c r="AD19" i="11"/>
  <c r="AE19" i="11"/>
  <c r="AF19" i="11"/>
  <c r="AF28" i="11" s="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BG19" i="11"/>
  <c r="BH19" i="11"/>
  <c r="BI19" i="11"/>
  <c r="BJ19" i="11"/>
  <c r="BK19" i="11"/>
  <c r="BL19" i="11"/>
  <c r="BM19" i="11"/>
  <c r="BN19" i="11"/>
  <c r="BO19" i="11"/>
  <c r="BP19" i="11"/>
  <c r="BQ19" i="11"/>
  <c r="BR19" i="11"/>
  <c r="BS19" i="11"/>
  <c r="BT19" i="11"/>
  <c r="BU19" i="11"/>
  <c r="BV19" i="11"/>
  <c r="BW19" i="11"/>
  <c r="BX19" i="11"/>
  <c r="BY19" i="11"/>
  <c r="BZ19" i="11"/>
  <c r="CA19" i="11"/>
  <c r="CB19" i="11"/>
  <c r="CC19" i="11"/>
  <c r="CD19" i="11"/>
  <c r="CE19" i="11"/>
  <c r="CF19" i="11"/>
  <c r="CG19" i="11"/>
  <c r="CH19" i="11"/>
  <c r="CI19" i="11"/>
  <c r="CJ19" i="11"/>
  <c r="CK19" i="11"/>
  <c r="CL19" i="11"/>
  <c r="CM19" i="11"/>
  <c r="CN19" i="11"/>
  <c r="CO19" i="11"/>
  <c r="CP19" i="11"/>
  <c r="CQ19" i="11"/>
  <c r="CR19" i="11"/>
  <c r="CS19" i="11"/>
  <c r="CT19" i="11"/>
  <c r="CU19" i="11"/>
  <c r="CV19" i="11"/>
  <c r="CW19" i="11"/>
  <c r="CX19" i="11"/>
  <c r="CY19" i="11"/>
  <c r="CZ19" i="11"/>
  <c r="DA19" i="11"/>
  <c r="DB19" i="11"/>
  <c r="DC19" i="11"/>
  <c r="DD19" i="11"/>
  <c r="DE19" i="11"/>
  <c r="DF19" i="11"/>
  <c r="DG19" i="11"/>
  <c r="DH19" i="11"/>
  <c r="DI19" i="11"/>
  <c r="DJ19" i="11"/>
  <c r="DK19" i="11"/>
  <c r="DL19" i="11"/>
  <c r="DM19" i="11"/>
  <c r="DN19" i="11"/>
  <c r="DO19" i="11"/>
  <c r="DP19" i="11"/>
  <c r="DQ19" i="11"/>
  <c r="DR19" i="11"/>
  <c r="DS19" i="11"/>
  <c r="DT19" i="11"/>
  <c r="DU19" i="11"/>
  <c r="DV19" i="11"/>
  <c r="DW19" i="11"/>
  <c r="DX19" i="11"/>
  <c r="DY19" i="11"/>
  <c r="DZ19" i="11"/>
  <c r="EA19" i="11"/>
  <c r="EB19" i="11"/>
  <c r="EC19" i="11"/>
  <c r="ED19" i="11"/>
  <c r="EE19" i="11"/>
  <c r="EF19" i="11"/>
  <c r="EG19" i="11"/>
  <c r="EH19" i="11"/>
  <c r="EI19" i="11"/>
  <c r="EJ19" i="11"/>
  <c r="EK19" i="11"/>
  <c r="EL19" i="11"/>
  <c r="EM19" i="11"/>
  <c r="EN19" i="11"/>
  <c r="EO19" i="11"/>
  <c r="EP19" i="11"/>
  <c r="EQ19" i="11"/>
  <c r="ER19" i="11"/>
  <c r="ES19" i="11"/>
  <c r="ET19" i="11"/>
  <c r="EU19" i="11"/>
  <c r="EV19" i="11"/>
  <c r="EW19" i="11"/>
  <c r="EX19" i="11"/>
  <c r="EY19" i="11"/>
  <c r="EZ19" i="11"/>
  <c r="FA19" i="11"/>
  <c r="FB19" i="11"/>
  <c r="FC19" i="11"/>
  <c r="FD19" i="11"/>
  <c r="FE19" i="11"/>
  <c r="FF19" i="11"/>
  <c r="FG19" i="11"/>
  <c r="FH19" i="11"/>
  <c r="FI19" i="11"/>
  <c r="FJ19" i="11"/>
  <c r="FK19" i="11"/>
  <c r="FL19" i="11"/>
  <c r="FM19" i="11"/>
  <c r="FN19" i="11"/>
  <c r="FO19" i="11"/>
  <c r="FP19" i="11"/>
  <c r="FQ19" i="11"/>
  <c r="FR19" i="11"/>
  <c r="FS19" i="11"/>
  <c r="FT19" i="11"/>
  <c r="FU19" i="11"/>
  <c r="FV19" i="11"/>
  <c r="FW19" i="11"/>
  <c r="FX19" i="11"/>
  <c r="FY19" i="11"/>
  <c r="FZ19" i="11"/>
  <c r="GA19" i="11"/>
  <c r="J20" i="11"/>
  <c r="J28" i="11" s="1"/>
  <c r="K20" i="11"/>
  <c r="L20" i="11"/>
  <c r="M20" i="11"/>
  <c r="N20" i="11"/>
  <c r="O20" i="11"/>
  <c r="P20" i="11"/>
  <c r="Q20" i="11"/>
  <c r="R20" i="11"/>
  <c r="R28" i="11" s="1"/>
  <c r="S20" i="11"/>
  <c r="T20" i="11"/>
  <c r="U20" i="11"/>
  <c r="V20" i="11"/>
  <c r="W20" i="11"/>
  <c r="X20" i="11"/>
  <c r="Y20" i="11"/>
  <c r="Z20" i="11"/>
  <c r="Z28" i="11" s="1"/>
  <c r="AA20" i="11"/>
  <c r="AB20" i="11"/>
  <c r="AC20" i="11"/>
  <c r="AD20" i="11"/>
  <c r="AE20" i="11"/>
  <c r="AF20" i="11"/>
  <c r="AG20" i="11"/>
  <c r="AH20" i="11"/>
  <c r="AH28" i="11" s="1"/>
  <c r="AI20" i="11"/>
  <c r="AJ20" i="11"/>
  <c r="AK20" i="11"/>
  <c r="AL20" i="11"/>
  <c r="AM20" i="11"/>
  <c r="AN20" i="11"/>
  <c r="AO20" i="11"/>
  <c r="AP20" i="11"/>
  <c r="AP28" i="11" s="1"/>
  <c r="AQ20" i="11"/>
  <c r="AR20" i="11"/>
  <c r="AS20" i="11"/>
  <c r="AT20" i="11"/>
  <c r="AU20" i="11"/>
  <c r="AV20" i="11"/>
  <c r="AW20" i="11"/>
  <c r="AX20" i="11"/>
  <c r="AY20" i="11"/>
  <c r="AZ20" i="11"/>
  <c r="BA20" i="11"/>
  <c r="BB20" i="11"/>
  <c r="BC20" i="11"/>
  <c r="BD20" i="11"/>
  <c r="BE20" i="11"/>
  <c r="BF20" i="11"/>
  <c r="BG20" i="11"/>
  <c r="BH20" i="11"/>
  <c r="BI20" i="11"/>
  <c r="BJ20" i="11"/>
  <c r="BK20" i="11"/>
  <c r="BL20" i="11"/>
  <c r="BM20" i="11"/>
  <c r="BN20" i="11"/>
  <c r="BO20" i="11"/>
  <c r="BP20" i="11"/>
  <c r="BQ20" i="11"/>
  <c r="BR20" i="11"/>
  <c r="BS20" i="11"/>
  <c r="BT20" i="11"/>
  <c r="BU20" i="11"/>
  <c r="BV20" i="11"/>
  <c r="BW20" i="11"/>
  <c r="BX20" i="11"/>
  <c r="BY20" i="11"/>
  <c r="BZ20" i="11"/>
  <c r="CA20" i="11"/>
  <c r="CB20" i="11"/>
  <c r="CC20" i="11"/>
  <c r="CD20" i="11"/>
  <c r="CE20" i="11"/>
  <c r="CF20" i="11"/>
  <c r="CG20" i="11"/>
  <c r="CH20" i="11"/>
  <c r="CI20" i="11"/>
  <c r="CJ20" i="11"/>
  <c r="CK20" i="11"/>
  <c r="CL20" i="11"/>
  <c r="CM20" i="11"/>
  <c r="CN20" i="11"/>
  <c r="CO20" i="11"/>
  <c r="CP20" i="11"/>
  <c r="CQ20" i="11"/>
  <c r="CR20" i="11"/>
  <c r="CS20" i="11"/>
  <c r="CT20" i="11"/>
  <c r="CU20" i="11"/>
  <c r="CV20" i="11"/>
  <c r="CW20" i="11"/>
  <c r="CX20" i="11"/>
  <c r="CY20" i="11"/>
  <c r="CZ20" i="11"/>
  <c r="DA20" i="11"/>
  <c r="DB20" i="11"/>
  <c r="DC20" i="11"/>
  <c r="DD20" i="11"/>
  <c r="DE20" i="11"/>
  <c r="DF20" i="11"/>
  <c r="DG20" i="11"/>
  <c r="DH20" i="11"/>
  <c r="DI20" i="11"/>
  <c r="DJ20" i="11"/>
  <c r="DK20" i="11"/>
  <c r="DL20" i="11"/>
  <c r="DM20" i="11"/>
  <c r="DN20" i="11"/>
  <c r="DO20" i="11"/>
  <c r="DP20" i="11"/>
  <c r="DQ20" i="11"/>
  <c r="DR20" i="11"/>
  <c r="DS20" i="11"/>
  <c r="DT20" i="11"/>
  <c r="DU20" i="11"/>
  <c r="DV20" i="11"/>
  <c r="DW20" i="11"/>
  <c r="DX20" i="11"/>
  <c r="DY20" i="11"/>
  <c r="DZ20" i="11"/>
  <c r="EA20" i="11"/>
  <c r="EB20" i="11"/>
  <c r="EC20" i="11"/>
  <c r="ED20" i="11"/>
  <c r="EE20" i="11"/>
  <c r="EF20" i="11"/>
  <c r="EG20" i="11"/>
  <c r="EH20" i="11"/>
  <c r="EI20" i="11"/>
  <c r="EJ20" i="11"/>
  <c r="EK20" i="11"/>
  <c r="EL20" i="11"/>
  <c r="EM20" i="11"/>
  <c r="EN20" i="11"/>
  <c r="EO20" i="11"/>
  <c r="EP20" i="11"/>
  <c r="EQ20" i="11"/>
  <c r="ER20" i="11"/>
  <c r="ES20" i="11"/>
  <c r="ET20" i="11"/>
  <c r="EU20" i="11"/>
  <c r="EV20" i="11"/>
  <c r="EW20" i="11"/>
  <c r="EX20" i="11"/>
  <c r="EY20" i="11"/>
  <c r="EZ20" i="11"/>
  <c r="FA20" i="11"/>
  <c r="FB20" i="11"/>
  <c r="FC20" i="11"/>
  <c r="FD20" i="11"/>
  <c r="FE20" i="11"/>
  <c r="FF20" i="11"/>
  <c r="FG20" i="11"/>
  <c r="FH20" i="11"/>
  <c r="FI20" i="11"/>
  <c r="FJ20" i="11"/>
  <c r="FK20" i="11"/>
  <c r="FL20" i="11"/>
  <c r="FM20" i="11"/>
  <c r="FN20" i="11"/>
  <c r="FO20" i="11"/>
  <c r="FP20" i="11"/>
  <c r="FQ20" i="11"/>
  <c r="FR20" i="11"/>
  <c r="FS20" i="11"/>
  <c r="FT20" i="11"/>
  <c r="FU20" i="11"/>
  <c r="FV20" i="11"/>
  <c r="FW20" i="11"/>
  <c r="FX20" i="11"/>
  <c r="FY20" i="11"/>
  <c r="FZ20" i="11"/>
  <c r="GA20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A21" i="11"/>
  <c r="BB21" i="11"/>
  <c r="BC21" i="11"/>
  <c r="BD21" i="11"/>
  <c r="BE21" i="11"/>
  <c r="BF21" i="11"/>
  <c r="BG21" i="11"/>
  <c r="BH21" i="11"/>
  <c r="BI21" i="11"/>
  <c r="BJ21" i="11"/>
  <c r="BK21" i="11"/>
  <c r="BL21" i="11"/>
  <c r="BM21" i="11"/>
  <c r="BN21" i="11"/>
  <c r="BO21" i="11"/>
  <c r="BP21" i="11"/>
  <c r="BQ21" i="11"/>
  <c r="BR21" i="11"/>
  <c r="BS21" i="11"/>
  <c r="BT21" i="11"/>
  <c r="BU21" i="11"/>
  <c r="BV21" i="11"/>
  <c r="BW21" i="11"/>
  <c r="BX21" i="11"/>
  <c r="BY21" i="11"/>
  <c r="BZ21" i="11"/>
  <c r="CA21" i="11"/>
  <c r="CB21" i="11"/>
  <c r="CC21" i="11"/>
  <c r="CD21" i="11"/>
  <c r="CE21" i="11"/>
  <c r="CF21" i="11"/>
  <c r="CG21" i="11"/>
  <c r="CH21" i="11"/>
  <c r="CI21" i="11"/>
  <c r="CJ21" i="11"/>
  <c r="CK21" i="11"/>
  <c r="CL21" i="11"/>
  <c r="CM21" i="11"/>
  <c r="CN21" i="11"/>
  <c r="CO21" i="11"/>
  <c r="CP21" i="11"/>
  <c r="CQ21" i="11"/>
  <c r="CR21" i="11"/>
  <c r="CS21" i="11"/>
  <c r="CT21" i="11"/>
  <c r="CU21" i="11"/>
  <c r="CV21" i="11"/>
  <c r="CW21" i="11"/>
  <c r="CX21" i="11"/>
  <c r="CY21" i="11"/>
  <c r="CZ21" i="11"/>
  <c r="DA21" i="11"/>
  <c r="DB21" i="11"/>
  <c r="DC21" i="11"/>
  <c r="DD21" i="11"/>
  <c r="DE21" i="11"/>
  <c r="DF21" i="11"/>
  <c r="DG21" i="11"/>
  <c r="DH21" i="11"/>
  <c r="DI21" i="11"/>
  <c r="DJ21" i="11"/>
  <c r="DK21" i="11"/>
  <c r="DL21" i="11"/>
  <c r="DM21" i="11"/>
  <c r="DN21" i="11"/>
  <c r="DO21" i="11"/>
  <c r="DP21" i="11"/>
  <c r="DQ21" i="11"/>
  <c r="DR21" i="11"/>
  <c r="DS21" i="11"/>
  <c r="DT21" i="11"/>
  <c r="DU21" i="11"/>
  <c r="DV21" i="11"/>
  <c r="DW21" i="11"/>
  <c r="DX21" i="11"/>
  <c r="DY21" i="11"/>
  <c r="DZ21" i="11"/>
  <c r="EA21" i="11"/>
  <c r="EB21" i="11"/>
  <c r="EC21" i="11"/>
  <c r="ED21" i="11"/>
  <c r="EE21" i="11"/>
  <c r="EF21" i="11"/>
  <c r="EG21" i="11"/>
  <c r="EH21" i="11"/>
  <c r="EI21" i="11"/>
  <c r="EJ21" i="11"/>
  <c r="EK21" i="11"/>
  <c r="EL21" i="11"/>
  <c r="EM21" i="11"/>
  <c r="EN21" i="11"/>
  <c r="EO21" i="11"/>
  <c r="EP21" i="11"/>
  <c r="EQ21" i="11"/>
  <c r="ER21" i="11"/>
  <c r="ES21" i="11"/>
  <c r="ET21" i="11"/>
  <c r="EU21" i="11"/>
  <c r="EV21" i="11"/>
  <c r="EW21" i="11"/>
  <c r="EX21" i="11"/>
  <c r="EY21" i="11"/>
  <c r="EZ21" i="11"/>
  <c r="FA21" i="11"/>
  <c r="FB21" i="11"/>
  <c r="FC21" i="11"/>
  <c r="FD21" i="11"/>
  <c r="FE21" i="11"/>
  <c r="FF21" i="11"/>
  <c r="FG21" i="11"/>
  <c r="FH21" i="11"/>
  <c r="FI21" i="11"/>
  <c r="FJ21" i="11"/>
  <c r="FK21" i="11"/>
  <c r="FL21" i="11"/>
  <c r="FM21" i="11"/>
  <c r="FN21" i="11"/>
  <c r="FO21" i="11"/>
  <c r="FP21" i="11"/>
  <c r="FQ21" i="11"/>
  <c r="FR21" i="11"/>
  <c r="FS21" i="11"/>
  <c r="FT21" i="11"/>
  <c r="FU21" i="11"/>
  <c r="FV21" i="11"/>
  <c r="FW21" i="11"/>
  <c r="FX21" i="11"/>
  <c r="FY21" i="11"/>
  <c r="FZ21" i="11"/>
  <c r="GA21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B22" i="1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O22" i="11"/>
  <c r="BP22" i="11"/>
  <c r="BQ22" i="11"/>
  <c r="BR22" i="11"/>
  <c r="BS22" i="11"/>
  <c r="BT22" i="11"/>
  <c r="BU22" i="11"/>
  <c r="BV22" i="11"/>
  <c r="BW22" i="11"/>
  <c r="BX22" i="11"/>
  <c r="BY22" i="11"/>
  <c r="BZ22" i="11"/>
  <c r="CA22" i="11"/>
  <c r="CB22" i="11"/>
  <c r="CC22" i="11"/>
  <c r="CD22" i="11"/>
  <c r="CE22" i="11"/>
  <c r="CF22" i="11"/>
  <c r="CG22" i="11"/>
  <c r="CH22" i="11"/>
  <c r="CI22" i="11"/>
  <c r="CJ22" i="11"/>
  <c r="CK22" i="11"/>
  <c r="CL22" i="11"/>
  <c r="CM22" i="11"/>
  <c r="CN22" i="11"/>
  <c r="CO22" i="11"/>
  <c r="CP22" i="11"/>
  <c r="CQ22" i="11"/>
  <c r="CR22" i="11"/>
  <c r="CS22" i="11"/>
  <c r="CT22" i="11"/>
  <c r="CU22" i="11"/>
  <c r="CV22" i="11"/>
  <c r="CW22" i="11"/>
  <c r="CX22" i="11"/>
  <c r="CY22" i="11"/>
  <c r="CZ22" i="11"/>
  <c r="DA22" i="11"/>
  <c r="DB22" i="11"/>
  <c r="DC22" i="11"/>
  <c r="DD22" i="11"/>
  <c r="DE22" i="11"/>
  <c r="DF22" i="11"/>
  <c r="DG22" i="11"/>
  <c r="DH22" i="11"/>
  <c r="DI22" i="11"/>
  <c r="DJ22" i="11"/>
  <c r="DK22" i="11"/>
  <c r="DL22" i="11"/>
  <c r="DM22" i="11"/>
  <c r="DN22" i="11"/>
  <c r="DO22" i="11"/>
  <c r="DP22" i="11"/>
  <c r="DQ22" i="11"/>
  <c r="DR22" i="11"/>
  <c r="DS22" i="11"/>
  <c r="DT22" i="11"/>
  <c r="DU22" i="11"/>
  <c r="DV22" i="11"/>
  <c r="DW22" i="11"/>
  <c r="DX22" i="11"/>
  <c r="DY22" i="11"/>
  <c r="DZ22" i="11"/>
  <c r="EA22" i="11"/>
  <c r="EB22" i="11"/>
  <c r="EC22" i="11"/>
  <c r="ED22" i="11"/>
  <c r="EE22" i="11"/>
  <c r="EF22" i="11"/>
  <c r="EG22" i="11"/>
  <c r="EH22" i="11"/>
  <c r="EI22" i="11"/>
  <c r="EJ22" i="11"/>
  <c r="EK22" i="11"/>
  <c r="EL22" i="11"/>
  <c r="EM22" i="11"/>
  <c r="EN22" i="11"/>
  <c r="EO22" i="11"/>
  <c r="EP22" i="11"/>
  <c r="EQ22" i="11"/>
  <c r="ER22" i="11"/>
  <c r="ES22" i="11"/>
  <c r="ET22" i="11"/>
  <c r="EU22" i="11"/>
  <c r="EV22" i="11"/>
  <c r="EW22" i="11"/>
  <c r="EX22" i="11"/>
  <c r="EY22" i="11"/>
  <c r="EZ22" i="11"/>
  <c r="FA22" i="11"/>
  <c r="FB22" i="11"/>
  <c r="FC22" i="11"/>
  <c r="FD22" i="11"/>
  <c r="FE22" i="11"/>
  <c r="FF22" i="11"/>
  <c r="FG22" i="11"/>
  <c r="FH22" i="11"/>
  <c r="FI22" i="11"/>
  <c r="FJ22" i="11"/>
  <c r="FK22" i="11"/>
  <c r="FL22" i="11"/>
  <c r="FM22" i="11"/>
  <c r="FN22" i="11"/>
  <c r="FO22" i="11"/>
  <c r="FP22" i="11"/>
  <c r="FQ22" i="11"/>
  <c r="FR22" i="11"/>
  <c r="FS22" i="11"/>
  <c r="FT22" i="11"/>
  <c r="FU22" i="11"/>
  <c r="FV22" i="11"/>
  <c r="FW22" i="11"/>
  <c r="FX22" i="11"/>
  <c r="FY22" i="11"/>
  <c r="FZ22" i="11"/>
  <c r="GA22" i="11"/>
  <c r="I16" i="11"/>
  <c r="I17" i="11"/>
  <c r="I18" i="11"/>
  <c r="I19" i="11"/>
  <c r="I20" i="11"/>
  <c r="I21" i="11"/>
  <c r="I22" i="11"/>
  <c r="I28" i="11" s="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BP27" i="11"/>
  <c r="BQ27" i="11"/>
  <c r="BR27" i="11"/>
  <c r="BS27" i="11"/>
  <c r="BT27" i="11"/>
  <c r="BU27" i="11"/>
  <c r="BV27" i="11"/>
  <c r="BW27" i="11"/>
  <c r="BX27" i="11"/>
  <c r="BY27" i="11"/>
  <c r="BZ27" i="11"/>
  <c r="CA27" i="11"/>
  <c r="CB27" i="11"/>
  <c r="CC27" i="11"/>
  <c r="CD27" i="11"/>
  <c r="CE27" i="11"/>
  <c r="CF27" i="11"/>
  <c r="CG27" i="11"/>
  <c r="CH27" i="11"/>
  <c r="CI27" i="11"/>
  <c r="CJ27" i="11"/>
  <c r="CK27" i="11"/>
  <c r="CL27" i="11"/>
  <c r="CM27" i="11"/>
  <c r="CN27" i="11"/>
  <c r="CO27" i="11"/>
  <c r="CP27" i="11"/>
  <c r="CQ27" i="11"/>
  <c r="CR27" i="11"/>
  <c r="CS27" i="11"/>
  <c r="CT27" i="11"/>
  <c r="CU27" i="11"/>
  <c r="CV27" i="11"/>
  <c r="CW27" i="11"/>
  <c r="CX27" i="11"/>
  <c r="CY27" i="11"/>
  <c r="CZ27" i="11"/>
  <c r="DA27" i="11"/>
  <c r="DB27" i="11"/>
  <c r="DC27" i="11"/>
  <c r="DD27" i="11"/>
  <c r="DE27" i="11"/>
  <c r="DF27" i="11"/>
  <c r="DG27" i="11"/>
  <c r="DH27" i="11"/>
  <c r="DI27" i="11"/>
  <c r="DJ27" i="11"/>
  <c r="DK27" i="11"/>
  <c r="DL27" i="11"/>
  <c r="DM27" i="11"/>
  <c r="DN27" i="11"/>
  <c r="DO27" i="11"/>
  <c r="DP27" i="11"/>
  <c r="DQ27" i="11"/>
  <c r="DR27" i="11"/>
  <c r="DS27" i="11"/>
  <c r="DT27" i="11"/>
  <c r="DU27" i="11"/>
  <c r="DV27" i="11"/>
  <c r="DW27" i="11"/>
  <c r="DX27" i="11"/>
  <c r="DY27" i="11"/>
  <c r="DZ27" i="11"/>
  <c r="EA27" i="11"/>
  <c r="EB27" i="11"/>
  <c r="EC27" i="11"/>
  <c r="ED27" i="11"/>
  <c r="EE27" i="11"/>
  <c r="EF27" i="11"/>
  <c r="EG27" i="11"/>
  <c r="EH27" i="11"/>
  <c r="EI27" i="11"/>
  <c r="EJ27" i="11"/>
  <c r="EK27" i="11"/>
  <c r="EL27" i="11"/>
  <c r="EM27" i="11"/>
  <c r="EN27" i="11"/>
  <c r="EO27" i="11"/>
  <c r="EP27" i="11"/>
  <c r="EQ27" i="11"/>
  <c r="ER27" i="11"/>
  <c r="ES27" i="11"/>
  <c r="ET27" i="11"/>
  <c r="EU27" i="11"/>
  <c r="EV27" i="11"/>
  <c r="EW27" i="11"/>
  <c r="EX27" i="11"/>
  <c r="EY27" i="11"/>
  <c r="EZ27" i="11"/>
  <c r="FA27" i="11"/>
  <c r="FB27" i="11"/>
  <c r="FC27" i="11"/>
  <c r="FD27" i="11"/>
  <c r="FE27" i="11"/>
  <c r="FF27" i="11"/>
  <c r="FG27" i="11"/>
  <c r="FH27" i="11"/>
  <c r="FI27" i="11"/>
  <c r="FJ27" i="11"/>
  <c r="FK27" i="11"/>
  <c r="FL27" i="11"/>
  <c r="FM27" i="11"/>
  <c r="FN27" i="11"/>
  <c r="FO27" i="11"/>
  <c r="FP27" i="11"/>
  <c r="FQ27" i="11"/>
  <c r="FR27" i="11"/>
  <c r="FS27" i="11"/>
  <c r="FT27" i="11"/>
  <c r="FU27" i="11"/>
  <c r="FV27" i="11"/>
  <c r="FW27" i="11"/>
  <c r="FX27" i="11"/>
  <c r="FY27" i="11"/>
  <c r="FZ27" i="11"/>
  <c r="GA27" i="11"/>
  <c r="K28" i="11"/>
  <c r="L28" i="11"/>
  <c r="M28" i="11"/>
  <c r="T28" i="11"/>
  <c r="AB28" i="11"/>
  <c r="AJ28" i="11"/>
  <c r="AN28" i="11"/>
  <c r="AR28" i="11"/>
  <c r="AT28" i="11"/>
  <c r="AU28" i="11"/>
  <c r="AV28" i="11"/>
  <c r="AX28" i="11"/>
  <c r="AY28" i="11"/>
  <c r="AZ28" i="11"/>
  <c r="BA28" i="11"/>
  <c r="BB28" i="11"/>
  <c r="BC28" i="11"/>
  <c r="BD28" i="11"/>
  <c r="BF28" i="11"/>
  <c r="BG28" i="11"/>
  <c r="BH28" i="11"/>
  <c r="BI28" i="11"/>
  <c r="BJ28" i="11"/>
  <c r="BK28" i="11"/>
  <c r="BL28" i="11"/>
  <c r="BN28" i="11"/>
  <c r="BO28" i="11"/>
  <c r="BP28" i="11"/>
  <c r="BQ28" i="11"/>
  <c r="BR28" i="11"/>
  <c r="BS28" i="11"/>
  <c r="BT28" i="11"/>
  <c r="BV28" i="11"/>
  <c r="BW28" i="11"/>
  <c r="BX28" i="11"/>
  <c r="BY28" i="11"/>
  <c r="BZ28" i="11"/>
  <c r="CA28" i="11"/>
  <c r="CB28" i="11"/>
  <c r="CD28" i="11"/>
  <c r="CE28" i="11"/>
  <c r="CF28" i="11"/>
  <c r="CG28" i="11"/>
  <c r="CH28" i="11"/>
  <c r="CI28" i="11"/>
  <c r="CJ28" i="11"/>
  <c r="CL28" i="11"/>
  <c r="CM28" i="11"/>
  <c r="CN28" i="11"/>
  <c r="CO28" i="11"/>
  <c r="CP28" i="11"/>
  <c r="CQ28" i="11"/>
  <c r="CR28" i="11"/>
  <c r="CT28" i="11"/>
  <c r="CU28" i="11"/>
  <c r="CV28" i="11"/>
  <c r="CW28" i="11"/>
  <c r="CX28" i="11"/>
  <c r="CY28" i="11"/>
  <c r="CZ28" i="11"/>
  <c r="DB28" i="11"/>
  <c r="DC28" i="11"/>
  <c r="DD28" i="11"/>
  <c r="DE28" i="11"/>
  <c r="DF28" i="11"/>
  <c r="DG28" i="11"/>
  <c r="DH28" i="11"/>
  <c r="DJ28" i="11"/>
  <c r="DK28" i="11"/>
  <c r="DL28" i="11"/>
  <c r="DM28" i="11"/>
  <c r="DN28" i="11"/>
  <c r="DO28" i="11"/>
  <c r="DP28" i="11"/>
  <c r="DR28" i="11"/>
  <c r="DS28" i="11"/>
  <c r="DT28" i="11"/>
  <c r="DU28" i="11"/>
  <c r="DV28" i="11"/>
  <c r="DW28" i="11"/>
  <c r="DX28" i="11"/>
  <c r="DZ28" i="11"/>
  <c r="EA28" i="11"/>
  <c r="EB28" i="11"/>
  <c r="EC28" i="11"/>
  <c r="ED28" i="11"/>
  <c r="EE28" i="11"/>
  <c r="EF28" i="11"/>
  <c r="EH28" i="11"/>
  <c r="EI28" i="11"/>
  <c r="EJ28" i="11"/>
  <c r="EK28" i="11"/>
  <c r="EL28" i="11"/>
  <c r="EM28" i="11"/>
  <c r="EN28" i="11"/>
  <c r="EP28" i="11"/>
  <c r="EQ28" i="11"/>
  <c r="ER28" i="11"/>
  <c r="ES28" i="11"/>
  <c r="ET28" i="11"/>
  <c r="EU28" i="11"/>
  <c r="EV28" i="11"/>
  <c r="EX28" i="11"/>
  <c r="EY28" i="11"/>
  <c r="EZ28" i="11"/>
  <c r="FA28" i="11"/>
  <c r="FB28" i="11"/>
  <c r="FC28" i="11"/>
  <c r="FD28" i="11"/>
  <c r="FF28" i="11"/>
  <c r="FG28" i="11"/>
  <c r="FH28" i="11"/>
  <c r="FI28" i="11"/>
  <c r="FJ28" i="11"/>
  <c r="FK28" i="11"/>
  <c r="FL28" i="11"/>
  <c r="FN28" i="11"/>
  <c r="FO28" i="11"/>
  <c r="FP28" i="11"/>
  <c r="FQ28" i="11"/>
  <c r="FR28" i="11"/>
  <c r="FS28" i="11"/>
  <c r="FT28" i="11"/>
  <c r="FV28" i="11"/>
  <c r="FW28" i="11"/>
  <c r="FX28" i="11"/>
  <c r="FY28" i="11"/>
  <c r="FZ28" i="11"/>
  <c r="GA28" i="11"/>
  <c r="I27" i="11"/>
  <c r="C10" i="11" a="1"/>
  <c r="C10" i="11" s="1"/>
  <c r="D10" i="11" a="1"/>
  <c r="D10" i="11" s="1"/>
  <c r="A22" i="11"/>
  <c r="A21" i="11"/>
  <c r="A20" i="11"/>
  <c r="A19" i="11"/>
  <c r="A18" i="11"/>
  <c r="A17" i="11"/>
  <c r="A16" i="11"/>
  <c r="I15" i="11"/>
  <c r="A15" i="11"/>
  <c r="D9" i="11" a="1"/>
  <c r="D9" i="11" s="1"/>
  <c r="C9" i="11" a="1"/>
  <c r="C9" i="11" s="1"/>
  <c r="D8" i="11" a="1"/>
  <c r="D8" i="11" s="1"/>
  <c r="C8" i="11" a="1"/>
  <c r="C8" i="11" s="1"/>
  <c r="D7" i="11" a="1"/>
  <c r="D7" i="11" s="1"/>
  <c r="C7" i="11" a="1"/>
  <c r="C7" i="11" s="1"/>
  <c r="F7" i="11" s="1"/>
  <c r="D6" i="11" a="1"/>
  <c r="D6" i="11" s="1"/>
  <c r="D19" i="11" s="1"/>
  <c r="C6" i="11" a="1"/>
  <c r="C6" i="11" s="1"/>
  <c r="F6" i="11" s="1"/>
  <c r="D5" i="11" a="1"/>
  <c r="D5" i="11" s="1"/>
  <c r="C5" i="11" a="1"/>
  <c r="C5" i="11" s="1"/>
  <c r="D4" i="11" a="1"/>
  <c r="D4" i="11" s="1"/>
  <c r="C4" i="11" a="1"/>
  <c r="C4" i="11" s="1"/>
  <c r="F4" i="11" s="1"/>
  <c r="D3" i="11" a="1"/>
  <c r="D3" i="11" s="1"/>
  <c r="C3" i="11" a="1"/>
  <c r="C3" i="11" s="1"/>
  <c r="GA2" i="11"/>
  <c r="GA14" i="11" s="1"/>
  <c r="GA26" i="11" s="1"/>
  <c r="FZ2" i="11"/>
  <c r="FZ14" i="11" s="1"/>
  <c r="FZ26" i="11" s="1"/>
  <c r="FY2" i="11"/>
  <c r="FY14" i="11" s="1"/>
  <c r="FY26" i="11" s="1"/>
  <c r="FX2" i="11"/>
  <c r="FX14" i="11" s="1"/>
  <c r="FX26" i="11" s="1"/>
  <c r="FW2" i="11"/>
  <c r="FW14" i="11" s="1"/>
  <c r="FW26" i="11" s="1"/>
  <c r="FV2" i="11"/>
  <c r="FV14" i="11" s="1"/>
  <c r="FV26" i="11" s="1"/>
  <c r="FU2" i="11"/>
  <c r="FU14" i="11" s="1"/>
  <c r="FU26" i="11" s="1"/>
  <c r="FT2" i="11"/>
  <c r="FT14" i="11" s="1"/>
  <c r="FT26" i="11" s="1"/>
  <c r="FS2" i="11"/>
  <c r="FS14" i="11" s="1"/>
  <c r="FS26" i="11" s="1"/>
  <c r="FR2" i="11"/>
  <c r="FR14" i="11" s="1"/>
  <c r="FR26" i="11" s="1"/>
  <c r="FQ2" i="11"/>
  <c r="FQ14" i="11" s="1"/>
  <c r="FQ26" i="11" s="1"/>
  <c r="FP2" i="11"/>
  <c r="FP14" i="11" s="1"/>
  <c r="FP26" i="11" s="1"/>
  <c r="FO2" i="11"/>
  <c r="FO14" i="11" s="1"/>
  <c r="FO26" i="11" s="1"/>
  <c r="FN2" i="11"/>
  <c r="FN14" i="11" s="1"/>
  <c r="FN26" i="11" s="1"/>
  <c r="FM2" i="11"/>
  <c r="FM14" i="11" s="1"/>
  <c r="FM26" i="11" s="1"/>
  <c r="FL2" i="11"/>
  <c r="FL14" i="11" s="1"/>
  <c r="FL26" i="11" s="1"/>
  <c r="FK2" i="11"/>
  <c r="FK14" i="11" s="1"/>
  <c r="FK26" i="11" s="1"/>
  <c r="FJ2" i="11"/>
  <c r="FJ14" i="11" s="1"/>
  <c r="FJ26" i="11" s="1"/>
  <c r="FI2" i="11"/>
  <c r="FI14" i="11" s="1"/>
  <c r="FI26" i="11" s="1"/>
  <c r="FH2" i="11"/>
  <c r="FH14" i="11" s="1"/>
  <c r="FH26" i="11" s="1"/>
  <c r="FG2" i="11"/>
  <c r="FG14" i="11" s="1"/>
  <c r="FG26" i="11" s="1"/>
  <c r="FF2" i="11"/>
  <c r="FF14" i="11" s="1"/>
  <c r="FF26" i="11" s="1"/>
  <c r="FE2" i="11"/>
  <c r="FE14" i="11" s="1"/>
  <c r="FE26" i="11" s="1"/>
  <c r="FD2" i="11"/>
  <c r="FD14" i="11" s="1"/>
  <c r="FD26" i="11" s="1"/>
  <c r="FC2" i="11"/>
  <c r="FC14" i="11" s="1"/>
  <c r="FC26" i="11" s="1"/>
  <c r="FB2" i="11"/>
  <c r="FB14" i="11" s="1"/>
  <c r="FB26" i="11" s="1"/>
  <c r="FA2" i="11"/>
  <c r="FA14" i="11" s="1"/>
  <c r="FA26" i="11" s="1"/>
  <c r="EZ2" i="11"/>
  <c r="EZ14" i="11" s="1"/>
  <c r="EZ26" i="11" s="1"/>
  <c r="EY2" i="11"/>
  <c r="EY14" i="11" s="1"/>
  <c r="EY26" i="11" s="1"/>
  <c r="EX2" i="11"/>
  <c r="EX14" i="11" s="1"/>
  <c r="EX26" i="11" s="1"/>
  <c r="EW2" i="11"/>
  <c r="EW14" i="11" s="1"/>
  <c r="EW26" i="11" s="1"/>
  <c r="EV2" i="11"/>
  <c r="EV14" i="11" s="1"/>
  <c r="EV26" i="11" s="1"/>
  <c r="EU2" i="11"/>
  <c r="EU14" i="11" s="1"/>
  <c r="EU26" i="11" s="1"/>
  <c r="ET2" i="11"/>
  <c r="ET14" i="11" s="1"/>
  <c r="ET26" i="11" s="1"/>
  <c r="ES2" i="11"/>
  <c r="ES14" i="11" s="1"/>
  <c r="ES26" i="11" s="1"/>
  <c r="ER2" i="11"/>
  <c r="ER14" i="11" s="1"/>
  <c r="ER26" i="11" s="1"/>
  <c r="EQ2" i="11"/>
  <c r="EQ14" i="11" s="1"/>
  <c r="EQ26" i="11" s="1"/>
  <c r="EP2" i="11"/>
  <c r="EP14" i="11" s="1"/>
  <c r="EP26" i="11" s="1"/>
  <c r="EO2" i="11"/>
  <c r="EO14" i="11" s="1"/>
  <c r="EO26" i="11" s="1"/>
  <c r="EN2" i="11"/>
  <c r="EN14" i="11" s="1"/>
  <c r="EN26" i="11" s="1"/>
  <c r="EM2" i="11"/>
  <c r="EM14" i="11" s="1"/>
  <c r="EM26" i="11" s="1"/>
  <c r="EL2" i="11"/>
  <c r="EL14" i="11" s="1"/>
  <c r="EL26" i="11" s="1"/>
  <c r="EK2" i="11"/>
  <c r="EK14" i="11" s="1"/>
  <c r="EK26" i="11" s="1"/>
  <c r="EJ2" i="11"/>
  <c r="EJ14" i="11" s="1"/>
  <c r="EJ26" i="11" s="1"/>
  <c r="EI2" i="11"/>
  <c r="EI14" i="11" s="1"/>
  <c r="EI26" i="11" s="1"/>
  <c r="EH2" i="11"/>
  <c r="EH14" i="11" s="1"/>
  <c r="EH26" i="11" s="1"/>
  <c r="EG2" i="11"/>
  <c r="EG14" i="11" s="1"/>
  <c r="EG26" i="11" s="1"/>
  <c r="EF2" i="11"/>
  <c r="EF14" i="11" s="1"/>
  <c r="EF26" i="11" s="1"/>
  <c r="EE2" i="11"/>
  <c r="EE14" i="11" s="1"/>
  <c r="EE26" i="11" s="1"/>
  <c r="ED2" i="11"/>
  <c r="ED14" i="11" s="1"/>
  <c r="ED26" i="11" s="1"/>
  <c r="EC2" i="11"/>
  <c r="EC14" i="11" s="1"/>
  <c r="EC26" i="11" s="1"/>
  <c r="EB2" i="11"/>
  <c r="EB14" i="11" s="1"/>
  <c r="EB26" i="11" s="1"/>
  <c r="EA2" i="11"/>
  <c r="EA14" i="11" s="1"/>
  <c r="EA26" i="11" s="1"/>
  <c r="DZ2" i="11"/>
  <c r="DZ14" i="11" s="1"/>
  <c r="DZ26" i="11" s="1"/>
  <c r="DY2" i="11"/>
  <c r="DY14" i="11" s="1"/>
  <c r="DY26" i="11" s="1"/>
  <c r="DX2" i="11"/>
  <c r="DX14" i="11" s="1"/>
  <c r="DX26" i="11" s="1"/>
  <c r="DW2" i="11"/>
  <c r="DW14" i="11" s="1"/>
  <c r="DW26" i="11" s="1"/>
  <c r="DV2" i="11"/>
  <c r="DV14" i="11" s="1"/>
  <c r="DV26" i="11" s="1"/>
  <c r="DU2" i="11"/>
  <c r="DU14" i="11" s="1"/>
  <c r="DU26" i="11" s="1"/>
  <c r="DT2" i="11"/>
  <c r="DT14" i="11" s="1"/>
  <c r="DT26" i="11" s="1"/>
  <c r="DS2" i="11"/>
  <c r="DS14" i="11" s="1"/>
  <c r="DS26" i="11" s="1"/>
  <c r="DR2" i="11"/>
  <c r="DR14" i="11" s="1"/>
  <c r="DR26" i="11" s="1"/>
  <c r="DQ2" i="11"/>
  <c r="DQ14" i="11" s="1"/>
  <c r="DQ26" i="11" s="1"/>
  <c r="DP2" i="11"/>
  <c r="DP14" i="11" s="1"/>
  <c r="DP26" i="11" s="1"/>
  <c r="DO2" i="11"/>
  <c r="DO14" i="11" s="1"/>
  <c r="DO26" i="11" s="1"/>
  <c r="DN2" i="11"/>
  <c r="DN14" i="11" s="1"/>
  <c r="DN26" i="11" s="1"/>
  <c r="DM2" i="11"/>
  <c r="DM14" i="11" s="1"/>
  <c r="DM26" i="11" s="1"/>
  <c r="DL2" i="11"/>
  <c r="DL14" i="11" s="1"/>
  <c r="DL26" i="11" s="1"/>
  <c r="DK2" i="11"/>
  <c r="DK14" i="11" s="1"/>
  <c r="DK26" i="11" s="1"/>
  <c r="DJ2" i="11"/>
  <c r="DJ14" i="11" s="1"/>
  <c r="DJ26" i="11" s="1"/>
  <c r="DI2" i="11"/>
  <c r="DI14" i="11" s="1"/>
  <c r="DI26" i="11" s="1"/>
  <c r="DH2" i="11"/>
  <c r="DH14" i="11" s="1"/>
  <c r="DH26" i="11" s="1"/>
  <c r="DG2" i="11"/>
  <c r="DG14" i="11" s="1"/>
  <c r="DG26" i="11" s="1"/>
  <c r="DF2" i="11"/>
  <c r="DF14" i="11" s="1"/>
  <c r="DF26" i="11" s="1"/>
  <c r="DE2" i="11"/>
  <c r="DE14" i="11" s="1"/>
  <c r="DE26" i="11" s="1"/>
  <c r="DD2" i="11"/>
  <c r="DD14" i="11" s="1"/>
  <c r="DD26" i="11" s="1"/>
  <c r="DC2" i="11"/>
  <c r="DC14" i="11" s="1"/>
  <c r="DC26" i="11" s="1"/>
  <c r="DB2" i="11"/>
  <c r="DB14" i="11" s="1"/>
  <c r="DB26" i="11" s="1"/>
  <c r="DA2" i="11"/>
  <c r="DA14" i="11" s="1"/>
  <c r="DA26" i="11" s="1"/>
  <c r="CZ2" i="11"/>
  <c r="CZ14" i="11" s="1"/>
  <c r="CZ26" i="11" s="1"/>
  <c r="CY2" i="11"/>
  <c r="CY14" i="11" s="1"/>
  <c r="CY26" i="11" s="1"/>
  <c r="CX2" i="11"/>
  <c r="CX14" i="11" s="1"/>
  <c r="CX26" i="11" s="1"/>
  <c r="CW2" i="11"/>
  <c r="CW14" i="11" s="1"/>
  <c r="CW26" i="11" s="1"/>
  <c r="CV2" i="11"/>
  <c r="CV14" i="11" s="1"/>
  <c r="CV26" i="11" s="1"/>
  <c r="CU2" i="11"/>
  <c r="CU14" i="11" s="1"/>
  <c r="CU26" i="11" s="1"/>
  <c r="CT2" i="11"/>
  <c r="CT14" i="11" s="1"/>
  <c r="CT26" i="11" s="1"/>
  <c r="CS2" i="11"/>
  <c r="CS14" i="11" s="1"/>
  <c r="CS26" i="11" s="1"/>
  <c r="CR2" i="11"/>
  <c r="CR14" i="11" s="1"/>
  <c r="CR26" i="11" s="1"/>
  <c r="CQ2" i="11"/>
  <c r="CQ14" i="11" s="1"/>
  <c r="CQ26" i="11" s="1"/>
  <c r="CP2" i="11"/>
  <c r="CP14" i="11" s="1"/>
  <c r="CP26" i="11" s="1"/>
  <c r="CO2" i="11"/>
  <c r="CO14" i="11" s="1"/>
  <c r="CO26" i="11" s="1"/>
  <c r="CN2" i="11"/>
  <c r="CN14" i="11" s="1"/>
  <c r="CN26" i="11" s="1"/>
  <c r="CM2" i="11"/>
  <c r="CM14" i="11" s="1"/>
  <c r="CM26" i="11" s="1"/>
  <c r="CL2" i="11"/>
  <c r="CL14" i="11" s="1"/>
  <c r="CL26" i="11" s="1"/>
  <c r="CK2" i="11"/>
  <c r="CK14" i="11" s="1"/>
  <c r="CK26" i="11" s="1"/>
  <c r="CJ2" i="11"/>
  <c r="CJ14" i="11" s="1"/>
  <c r="CJ26" i="11" s="1"/>
  <c r="CI2" i="11"/>
  <c r="CI14" i="11" s="1"/>
  <c r="CI26" i="11" s="1"/>
  <c r="CH2" i="11"/>
  <c r="CH14" i="11" s="1"/>
  <c r="CH26" i="11" s="1"/>
  <c r="CG2" i="11"/>
  <c r="CG14" i="11" s="1"/>
  <c r="CG26" i="11" s="1"/>
  <c r="CF2" i="11"/>
  <c r="CF14" i="11" s="1"/>
  <c r="CF26" i="11" s="1"/>
  <c r="CE2" i="11"/>
  <c r="CE14" i="11" s="1"/>
  <c r="CE26" i="11" s="1"/>
  <c r="CD2" i="11"/>
  <c r="CD14" i="11" s="1"/>
  <c r="CD26" i="11" s="1"/>
  <c r="CC2" i="11"/>
  <c r="CC14" i="11" s="1"/>
  <c r="CC26" i="11" s="1"/>
  <c r="CB2" i="11"/>
  <c r="CB14" i="11" s="1"/>
  <c r="CB26" i="11" s="1"/>
  <c r="CA2" i="11"/>
  <c r="CA14" i="11" s="1"/>
  <c r="CA26" i="11" s="1"/>
  <c r="BZ2" i="11"/>
  <c r="BZ14" i="11" s="1"/>
  <c r="BZ26" i="11" s="1"/>
  <c r="BY2" i="11"/>
  <c r="BY14" i="11" s="1"/>
  <c r="BY26" i="11" s="1"/>
  <c r="BX2" i="11"/>
  <c r="BX14" i="11" s="1"/>
  <c r="BX26" i="11" s="1"/>
  <c r="BW2" i="11"/>
  <c r="BW14" i="11" s="1"/>
  <c r="BW26" i="11" s="1"/>
  <c r="BV2" i="11"/>
  <c r="BV14" i="11" s="1"/>
  <c r="BV26" i="11" s="1"/>
  <c r="BU2" i="11"/>
  <c r="BU14" i="11" s="1"/>
  <c r="BU26" i="11" s="1"/>
  <c r="BT2" i="11"/>
  <c r="BT14" i="11" s="1"/>
  <c r="BT26" i="11" s="1"/>
  <c r="BS2" i="11"/>
  <c r="BS14" i="11" s="1"/>
  <c r="BS26" i="11" s="1"/>
  <c r="BR2" i="11"/>
  <c r="BR14" i="11" s="1"/>
  <c r="BR26" i="11" s="1"/>
  <c r="BQ2" i="11"/>
  <c r="BQ14" i="11" s="1"/>
  <c r="BQ26" i="11" s="1"/>
  <c r="BP2" i="11"/>
  <c r="BP14" i="11" s="1"/>
  <c r="BP26" i="11" s="1"/>
  <c r="BO2" i="11"/>
  <c r="BO14" i="11" s="1"/>
  <c r="BO26" i="11" s="1"/>
  <c r="BN2" i="11"/>
  <c r="BN14" i="11" s="1"/>
  <c r="BN26" i="11" s="1"/>
  <c r="BM2" i="11"/>
  <c r="BM14" i="11" s="1"/>
  <c r="BM26" i="11" s="1"/>
  <c r="BL2" i="11"/>
  <c r="BL14" i="11" s="1"/>
  <c r="BL26" i="11" s="1"/>
  <c r="BK2" i="11"/>
  <c r="BK14" i="11" s="1"/>
  <c r="BK26" i="11" s="1"/>
  <c r="BJ2" i="11"/>
  <c r="BJ14" i="11" s="1"/>
  <c r="BJ26" i="11" s="1"/>
  <c r="BI2" i="11"/>
  <c r="BI14" i="11" s="1"/>
  <c r="BI26" i="11" s="1"/>
  <c r="BH2" i="11"/>
  <c r="BH14" i="11" s="1"/>
  <c r="BH26" i="11" s="1"/>
  <c r="BG2" i="11"/>
  <c r="BG14" i="11" s="1"/>
  <c r="BG26" i="11" s="1"/>
  <c r="BF2" i="11"/>
  <c r="BF14" i="11" s="1"/>
  <c r="BF26" i="11" s="1"/>
  <c r="BE2" i="11"/>
  <c r="BE14" i="11" s="1"/>
  <c r="BE26" i="11" s="1"/>
  <c r="BD2" i="11"/>
  <c r="BD14" i="11" s="1"/>
  <c r="BD26" i="11" s="1"/>
  <c r="BC2" i="11"/>
  <c r="BC14" i="11" s="1"/>
  <c r="BC26" i="11" s="1"/>
  <c r="BB2" i="11"/>
  <c r="BB14" i="11" s="1"/>
  <c r="BB26" i="11" s="1"/>
  <c r="BA2" i="11"/>
  <c r="BA14" i="11" s="1"/>
  <c r="BA26" i="11" s="1"/>
  <c r="AZ2" i="11"/>
  <c r="AZ14" i="11" s="1"/>
  <c r="AZ26" i="11" s="1"/>
  <c r="AY2" i="11"/>
  <c r="AY14" i="11" s="1"/>
  <c r="AY26" i="11" s="1"/>
  <c r="AX2" i="11"/>
  <c r="AX14" i="11" s="1"/>
  <c r="AX26" i="11" s="1"/>
  <c r="AW2" i="11"/>
  <c r="AW14" i="11" s="1"/>
  <c r="AW26" i="11" s="1"/>
  <c r="AV2" i="11"/>
  <c r="AV14" i="11" s="1"/>
  <c r="AV26" i="11" s="1"/>
  <c r="AU2" i="11"/>
  <c r="AU14" i="11" s="1"/>
  <c r="AU26" i="11" s="1"/>
  <c r="AT2" i="11"/>
  <c r="AT14" i="11" s="1"/>
  <c r="AT26" i="11" s="1"/>
  <c r="AS2" i="11"/>
  <c r="AS14" i="11" s="1"/>
  <c r="AS26" i="11" s="1"/>
  <c r="AR2" i="11"/>
  <c r="AR14" i="11" s="1"/>
  <c r="AR26" i="11" s="1"/>
  <c r="AQ2" i="11"/>
  <c r="AQ14" i="11" s="1"/>
  <c r="AQ26" i="11" s="1"/>
  <c r="AP2" i="11"/>
  <c r="AP14" i="11" s="1"/>
  <c r="AP26" i="11" s="1"/>
  <c r="AO2" i="11"/>
  <c r="AO14" i="11" s="1"/>
  <c r="AO26" i="11" s="1"/>
  <c r="AN2" i="11"/>
  <c r="AN14" i="11" s="1"/>
  <c r="AN26" i="11" s="1"/>
  <c r="AM2" i="11"/>
  <c r="AM14" i="11" s="1"/>
  <c r="AM26" i="11" s="1"/>
  <c r="AL2" i="11"/>
  <c r="AL14" i="11" s="1"/>
  <c r="AL26" i="11" s="1"/>
  <c r="AK2" i="11"/>
  <c r="AK14" i="11" s="1"/>
  <c r="AK26" i="11" s="1"/>
  <c r="AJ2" i="11"/>
  <c r="AJ14" i="11" s="1"/>
  <c r="AJ26" i="11" s="1"/>
  <c r="AI2" i="11"/>
  <c r="AI14" i="11" s="1"/>
  <c r="AI26" i="11" s="1"/>
  <c r="AH2" i="11"/>
  <c r="AH14" i="11" s="1"/>
  <c r="AH26" i="11" s="1"/>
  <c r="AG2" i="11"/>
  <c r="AG14" i="11" s="1"/>
  <c r="AG26" i="11" s="1"/>
  <c r="AF2" i="11"/>
  <c r="AF14" i="11" s="1"/>
  <c r="AF26" i="11" s="1"/>
  <c r="AE2" i="11"/>
  <c r="AE14" i="11" s="1"/>
  <c r="AE26" i="11" s="1"/>
  <c r="AD2" i="11"/>
  <c r="AD14" i="11" s="1"/>
  <c r="AD26" i="11" s="1"/>
  <c r="AC2" i="11"/>
  <c r="AC14" i="11" s="1"/>
  <c r="AC26" i="11" s="1"/>
  <c r="AB2" i="11"/>
  <c r="AB14" i="11" s="1"/>
  <c r="AB26" i="11" s="1"/>
  <c r="AA2" i="11"/>
  <c r="AA14" i="11" s="1"/>
  <c r="AA26" i="11" s="1"/>
  <c r="Z2" i="11"/>
  <c r="Z14" i="11" s="1"/>
  <c r="Z26" i="11" s="1"/>
  <c r="Y2" i="11"/>
  <c r="Y14" i="11" s="1"/>
  <c r="Y26" i="11" s="1"/>
  <c r="X2" i="11"/>
  <c r="X14" i="11" s="1"/>
  <c r="X26" i="11" s="1"/>
  <c r="W2" i="11"/>
  <c r="W14" i="11" s="1"/>
  <c r="W26" i="11" s="1"/>
  <c r="V2" i="11"/>
  <c r="V14" i="11" s="1"/>
  <c r="V26" i="11" s="1"/>
  <c r="U2" i="11"/>
  <c r="U14" i="11" s="1"/>
  <c r="U26" i="11" s="1"/>
  <c r="T2" i="11"/>
  <c r="T14" i="11" s="1"/>
  <c r="T26" i="11" s="1"/>
  <c r="S2" i="11"/>
  <c r="S14" i="11" s="1"/>
  <c r="S26" i="11" s="1"/>
  <c r="R2" i="11"/>
  <c r="R14" i="11" s="1"/>
  <c r="R26" i="11" s="1"/>
  <c r="Q2" i="11"/>
  <c r="Q14" i="11" s="1"/>
  <c r="Q26" i="11" s="1"/>
  <c r="P2" i="11"/>
  <c r="P14" i="11" s="1"/>
  <c r="P26" i="11" s="1"/>
  <c r="O2" i="11"/>
  <c r="O14" i="11" s="1"/>
  <c r="O26" i="11" s="1"/>
  <c r="N2" i="11"/>
  <c r="N14" i="11" s="1"/>
  <c r="N26" i="11" s="1"/>
  <c r="M2" i="11"/>
  <c r="M14" i="11" s="1"/>
  <c r="M26" i="11" s="1"/>
  <c r="L2" i="11"/>
  <c r="L14" i="11" s="1"/>
  <c r="L26" i="11" s="1"/>
  <c r="K2" i="11"/>
  <c r="K14" i="11" s="1"/>
  <c r="K26" i="11" s="1"/>
  <c r="J2" i="11"/>
  <c r="J14" i="11" s="1"/>
  <c r="J26" i="11" s="1"/>
  <c r="I2" i="11"/>
  <c r="I14" i="11" s="1"/>
  <c r="I26" i="11" s="1"/>
  <c r="C25" i="10" a="1"/>
  <c r="C25" i="10" s="1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H24" i="10"/>
  <c r="BI24" i="10"/>
  <c r="BJ24" i="10"/>
  <c r="BK24" i="10"/>
  <c r="BL24" i="10"/>
  <c r="BM24" i="10"/>
  <c r="BN24" i="10"/>
  <c r="BO24" i="10"/>
  <c r="BP24" i="10"/>
  <c r="BQ24" i="10"/>
  <c r="BR24" i="10"/>
  <c r="BS24" i="10"/>
  <c r="BT24" i="10"/>
  <c r="BU24" i="10"/>
  <c r="BV24" i="10"/>
  <c r="BW24" i="10"/>
  <c r="BX24" i="10"/>
  <c r="BY24" i="10"/>
  <c r="BZ24" i="10"/>
  <c r="CA24" i="10"/>
  <c r="CB24" i="10"/>
  <c r="CC24" i="10"/>
  <c r="CD24" i="10"/>
  <c r="CE24" i="10"/>
  <c r="CF24" i="10"/>
  <c r="CG24" i="10"/>
  <c r="CH24" i="10"/>
  <c r="CI24" i="10"/>
  <c r="CJ24" i="10"/>
  <c r="CK24" i="10"/>
  <c r="CL24" i="10"/>
  <c r="CM24" i="10"/>
  <c r="CN24" i="10"/>
  <c r="CO24" i="10"/>
  <c r="CP24" i="10"/>
  <c r="CQ24" i="10"/>
  <c r="CR24" i="10"/>
  <c r="CS24" i="10"/>
  <c r="CT24" i="10"/>
  <c r="CU24" i="10"/>
  <c r="CV24" i="10"/>
  <c r="CW24" i="10"/>
  <c r="CX24" i="10"/>
  <c r="CY24" i="10"/>
  <c r="CZ24" i="10"/>
  <c r="DA24" i="10"/>
  <c r="DB24" i="10"/>
  <c r="DC24" i="10"/>
  <c r="DD24" i="10"/>
  <c r="DE24" i="10"/>
  <c r="DF24" i="10"/>
  <c r="DG24" i="10"/>
  <c r="DH24" i="10"/>
  <c r="DI24" i="10"/>
  <c r="DJ24" i="10"/>
  <c r="DK24" i="10"/>
  <c r="DL24" i="10"/>
  <c r="DM24" i="10"/>
  <c r="DN24" i="10"/>
  <c r="DO24" i="10"/>
  <c r="DP24" i="10"/>
  <c r="DQ24" i="10"/>
  <c r="DR24" i="10"/>
  <c r="DS24" i="10"/>
  <c r="DT24" i="10"/>
  <c r="DU24" i="10"/>
  <c r="DV24" i="10"/>
  <c r="DW24" i="10"/>
  <c r="DX24" i="10"/>
  <c r="DY24" i="10"/>
  <c r="DZ24" i="10"/>
  <c r="EA24" i="10"/>
  <c r="EB24" i="10"/>
  <c r="EC24" i="10"/>
  <c r="ED24" i="10"/>
  <c r="EE24" i="10"/>
  <c r="EF24" i="10"/>
  <c r="EG24" i="10"/>
  <c r="EH24" i="10"/>
  <c r="EI24" i="10"/>
  <c r="EJ24" i="10"/>
  <c r="EK24" i="10"/>
  <c r="EL24" i="10"/>
  <c r="EM24" i="10"/>
  <c r="EN24" i="10"/>
  <c r="EO24" i="10"/>
  <c r="EP24" i="10"/>
  <c r="EQ24" i="10"/>
  <c r="ER24" i="10"/>
  <c r="ES24" i="10"/>
  <c r="ET24" i="10"/>
  <c r="EU24" i="10"/>
  <c r="EV24" i="10"/>
  <c r="EW24" i="10"/>
  <c r="EX24" i="10"/>
  <c r="EY24" i="10"/>
  <c r="EZ24" i="10"/>
  <c r="FA24" i="10"/>
  <c r="FB24" i="10"/>
  <c r="FC24" i="10"/>
  <c r="FD24" i="10"/>
  <c r="FE24" i="10"/>
  <c r="FF24" i="10"/>
  <c r="FG24" i="10"/>
  <c r="FH24" i="10"/>
  <c r="FI24" i="10"/>
  <c r="FJ24" i="10"/>
  <c r="FK24" i="10"/>
  <c r="FL24" i="10"/>
  <c r="FM24" i="10"/>
  <c r="FN24" i="10"/>
  <c r="FO24" i="10"/>
  <c r="FP24" i="10"/>
  <c r="FQ24" i="10"/>
  <c r="FR24" i="10"/>
  <c r="FS24" i="10"/>
  <c r="FT24" i="10"/>
  <c r="FU24" i="10"/>
  <c r="FV24" i="10"/>
  <c r="FW24" i="10"/>
  <c r="FX24" i="10"/>
  <c r="FY24" i="10"/>
  <c r="FZ24" i="10"/>
  <c r="GA24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BA25" i="10"/>
  <c r="BB25" i="10"/>
  <c r="BC25" i="10"/>
  <c r="BD25" i="10"/>
  <c r="BE25" i="10"/>
  <c r="BF25" i="10"/>
  <c r="BG25" i="10"/>
  <c r="BH25" i="10"/>
  <c r="BI25" i="10"/>
  <c r="BJ25" i="10"/>
  <c r="BK25" i="10"/>
  <c r="BL25" i="10"/>
  <c r="BM25" i="10"/>
  <c r="BN25" i="10"/>
  <c r="BO25" i="10"/>
  <c r="BP25" i="10"/>
  <c r="BQ25" i="10"/>
  <c r="BR25" i="10"/>
  <c r="BS25" i="10"/>
  <c r="BT25" i="10"/>
  <c r="BU25" i="10"/>
  <c r="BV25" i="10"/>
  <c r="BW25" i="10"/>
  <c r="BX25" i="10"/>
  <c r="BY25" i="10"/>
  <c r="BZ25" i="10"/>
  <c r="CA25" i="10"/>
  <c r="CB25" i="10"/>
  <c r="CC25" i="10"/>
  <c r="CD25" i="10"/>
  <c r="CE25" i="10"/>
  <c r="CF25" i="10"/>
  <c r="CG25" i="10"/>
  <c r="CH25" i="10"/>
  <c r="CI25" i="10"/>
  <c r="CJ25" i="10"/>
  <c r="CK25" i="10"/>
  <c r="CL25" i="10"/>
  <c r="CM25" i="10"/>
  <c r="CN25" i="10"/>
  <c r="CO25" i="10"/>
  <c r="CP25" i="10"/>
  <c r="CQ25" i="10"/>
  <c r="CR25" i="10"/>
  <c r="CS25" i="10"/>
  <c r="CT25" i="10"/>
  <c r="CU25" i="10"/>
  <c r="CV25" i="10"/>
  <c r="CW25" i="10"/>
  <c r="CX25" i="10"/>
  <c r="CY25" i="10"/>
  <c r="CZ25" i="10"/>
  <c r="DA25" i="10"/>
  <c r="DB25" i="10"/>
  <c r="DC25" i="10"/>
  <c r="DD25" i="10"/>
  <c r="DE25" i="10"/>
  <c r="DF25" i="10"/>
  <c r="DG25" i="10"/>
  <c r="DH25" i="10"/>
  <c r="DI25" i="10"/>
  <c r="DJ25" i="10"/>
  <c r="DK25" i="10"/>
  <c r="DL25" i="10"/>
  <c r="DM25" i="10"/>
  <c r="DN25" i="10"/>
  <c r="DO25" i="10"/>
  <c r="DP25" i="10"/>
  <c r="DQ25" i="10"/>
  <c r="DR25" i="10"/>
  <c r="DS25" i="10"/>
  <c r="DT25" i="10"/>
  <c r="DU25" i="10"/>
  <c r="DV25" i="10"/>
  <c r="DW25" i="10"/>
  <c r="DX25" i="10"/>
  <c r="DY25" i="10"/>
  <c r="DZ25" i="10"/>
  <c r="EA25" i="10"/>
  <c r="EB25" i="10"/>
  <c r="EC25" i="10"/>
  <c r="ED25" i="10"/>
  <c r="EE25" i="10"/>
  <c r="EF25" i="10"/>
  <c r="EG25" i="10"/>
  <c r="EH25" i="10"/>
  <c r="EI25" i="10"/>
  <c r="EJ25" i="10"/>
  <c r="EK25" i="10"/>
  <c r="EL25" i="10"/>
  <c r="EM25" i="10"/>
  <c r="EN25" i="10"/>
  <c r="EO25" i="10"/>
  <c r="EP25" i="10"/>
  <c r="EQ25" i="10"/>
  <c r="ER25" i="10"/>
  <c r="ES25" i="10"/>
  <c r="ET25" i="10"/>
  <c r="EU25" i="10"/>
  <c r="EV25" i="10"/>
  <c r="EW25" i="10"/>
  <c r="EX25" i="10"/>
  <c r="EY25" i="10"/>
  <c r="EZ25" i="10"/>
  <c r="FA25" i="10"/>
  <c r="FB25" i="10"/>
  <c r="FC25" i="10"/>
  <c r="FD25" i="10"/>
  <c r="FE25" i="10"/>
  <c r="FF25" i="10"/>
  <c r="FG25" i="10"/>
  <c r="FH25" i="10"/>
  <c r="FI25" i="10"/>
  <c r="FJ25" i="10"/>
  <c r="FK25" i="10"/>
  <c r="FL25" i="10"/>
  <c r="FM25" i="10"/>
  <c r="FN25" i="10"/>
  <c r="FO25" i="10"/>
  <c r="FP25" i="10"/>
  <c r="FQ25" i="10"/>
  <c r="FR25" i="10"/>
  <c r="FS25" i="10"/>
  <c r="FT25" i="10"/>
  <c r="FU25" i="10"/>
  <c r="FV25" i="10"/>
  <c r="FW25" i="10"/>
  <c r="FX25" i="10"/>
  <c r="FY25" i="10"/>
  <c r="FZ25" i="10"/>
  <c r="GA25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BI26" i="10"/>
  <c r="BJ26" i="10"/>
  <c r="BK26" i="10"/>
  <c r="BL26" i="10"/>
  <c r="BM26" i="10"/>
  <c r="BN26" i="10"/>
  <c r="BO26" i="10"/>
  <c r="BP26" i="10"/>
  <c r="BQ26" i="10"/>
  <c r="BR26" i="10"/>
  <c r="BS26" i="10"/>
  <c r="BT26" i="10"/>
  <c r="BU26" i="10"/>
  <c r="BV26" i="10"/>
  <c r="BW26" i="10"/>
  <c r="BX26" i="10"/>
  <c r="BY26" i="10"/>
  <c r="BZ26" i="10"/>
  <c r="CA26" i="10"/>
  <c r="CB26" i="10"/>
  <c r="CC26" i="10"/>
  <c r="CD26" i="10"/>
  <c r="CE26" i="10"/>
  <c r="CF26" i="10"/>
  <c r="CG26" i="10"/>
  <c r="CH26" i="10"/>
  <c r="CI26" i="10"/>
  <c r="CJ26" i="10"/>
  <c r="CK26" i="10"/>
  <c r="CL26" i="10"/>
  <c r="CM26" i="10"/>
  <c r="CN26" i="10"/>
  <c r="CO26" i="10"/>
  <c r="CP26" i="10"/>
  <c r="CQ26" i="10"/>
  <c r="CR26" i="10"/>
  <c r="CS26" i="10"/>
  <c r="CT26" i="10"/>
  <c r="CU26" i="10"/>
  <c r="CV26" i="10"/>
  <c r="CW26" i="10"/>
  <c r="CX26" i="10"/>
  <c r="CY26" i="10"/>
  <c r="CZ26" i="10"/>
  <c r="DA26" i="10"/>
  <c r="DB26" i="10"/>
  <c r="DC26" i="10"/>
  <c r="DD26" i="10"/>
  <c r="DE26" i="10"/>
  <c r="DF26" i="10"/>
  <c r="DG26" i="10"/>
  <c r="DH26" i="10"/>
  <c r="DI26" i="10"/>
  <c r="DJ26" i="10"/>
  <c r="DK26" i="10"/>
  <c r="DL26" i="10"/>
  <c r="DM26" i="10"/>
  <c r="DN26" i="10"/>
  <c r="DO26" i="10"/>
  <c r="DP26" i="10"/>
  <c r="DQ26" i="10"/>
  <c r="DR26" i="10"/>
  <c r="DS26" i="10"/>
  <c r="DT26" i="10"/>
  <c r="DU26" i="10"/>
  <c r="DV26" i="10"/>
  <c r="DW26" i="10"/>
  <c r="DX26" i="10"/>
  <c r="DY26" i="10"/>
  <c r="DZ26" i="10"/>
  <c r="EA26" i="10"/>
  <c r="EB26" i="10"/>
  <c r="EC26" i="10"/>
  <c r="ED26" i="10"/>
  <c r="EE26" i="10"/>
  <c r="EF26" i="10"/>
  <c r="EG26" i="10"/>
  <c r="EH26" i="10"/>
  <c r="EI26" i="10"/>
  <c r="EJ26" i="10"/>
  <c r="EK26" i="10"/>
  <c r="EL26" i="10"/>
  <c r="EM26" i="10"/>
  <c r="EN26" i="10"/>
  <c r="EO26" i="10"/>
  <c r="EP26" i="10"/>
  <c r="EQ26" i="10"/>
  <c r="ER26" i="10"/>
  <c r="ES26" i="10"/>
  <c r="ET26" i="10"/>
  <c r="EU26" i="10"/>
  <c r="EV26" i="10"/>
  <c r="EW26" i="10"/>
  <c r="EX26" i="10"/>
  <c r="EY26" i="10"/>
  <c r="EZ26" i="10"/>
  <c r="FA26" i="10"/>
  <c r="FB26" i="10"/>
  <c r="FC26" i="10"/>
  <c r="FD26" i="10"/>
  <c r="FE26" i="10"/>
  <c r="FF26" i="10"/>
  <c r="FG26" i="10"/>
  <c r="FH26" i="10"/>
  <c r="FI26" i="10"/>
  <c r="FJ26" i="10"/>
  <c r="FK26" i="10"/>
  <c r="FL26" i="10"/>
  <c r="FM26" i="10"/>
  <c r="FN26" i="10"/>
  <c r="FO26" i="10"/>
  <c r="FP26" i="10"/>
  <c r="FQ26" i="10"/>
  <c r="FR26" i="10"/>
  <c r="FS26" i="10"/>
  <c r="FT26" i="10"/>
  <c r="FU26" i="10"/>
  <c r="FV26" i="10"/>
  <c r="FW26" i="10"/>
  <c r="FX26" i="10"/>
  <c r="FY26" i="10"/>
  <c r="FZ26" i="10"/>
  <c r="GA26" i="10"/>
  <c r="I26" i="10"/>
  <c r="I25" i="10"/>
  <c r="I24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BT13" i="10"/>
  <c r="BU13" i="10"/>
  <c r="BV13" i="10"/>
  <c r="BW13" i="10"/>
  <c r="BX13" i="10"/>
  <c r="BY13" i="10"/>
  <c r="BZ13" i="10"/>
  <c r="CA13" i="10"/>
  <c r="CB13" i="10"/>
  <c r="CC13" i="10"/>
  <c r="CD13" i="10"/>
  <c r="CE13" i="10"/>
  <c r="CF13" i="10"/>
  <c r="CG13" i="10"/>
  <c r="CH13" i="10"/>
  <c r="CI13" i="10"/>
  <c r="CJ13" i="10"/>
  <c r="CK13" i="10"/>
  <c r="CL13" i="10"/>
  <c r="CM13" i="10"/>
  <c r="CN13" i="10"/>
  <c r="CO13" i="10"/>
  <c r="CP13" i="10"/>
  <c r="CQ13" i="10"/>
  <c r="CR13" i="10"/>
  <c r="CS13" i="10"/>
  <c r="CT13" i="10"/>
  <c r="CU13" i="10"/>
  <c r="CV13" i="10"/>
  <c r="CW13" i="10"/>
  <c r="CX13" i="10"/>
  <c r="CY13" i="10"/>
  <c r="CZ13" i="10"/>
  <c r="DA13" i="10"/>
  <c r="DB13" i="10"/>
  <c r="DC13" i="10"/>
  <c r="DD13" i="10"/>
  <c r="DE13" i="10"/>
  <c r="DF13" i="10"/>
  <c r="DG13" i="10"/>
  <c r="DH13" i="10"/>
  <c r="DI13" i="10"/>
  <c r="DJ13" i="10"/>
  <c r="DK13" i="10"/>
  <c r="DL13" i="10"/>
  <c r="DM13" i="10"/>
  <c r="DN13" i="10"/>
  <c r="DO13" i="10"/>
  <c r="DP13" i="10"/>
  <c r="DQ13" i="10"/>
  <c r="DR13" i="10"/>
  <c r="DS13" i="10"/>
  <c r="DT13" i="10"/>
  <c r="DU13" i="10"/>
  <c r="DV13" i="10"/>
  <c r="DW13" i="10"/>
  <c r="DX13" i="10"/>
  <c r="DY13" i="10"/>
  <c r="DZ13" i="10"/>
  <c r="EA13" i="10"/>
  <c r="EB13" i="10"/>
  <c r="EC13" i="10"/>
  <c r="ED13" i="10"/>
  <c r="EE13" i="10"/>
  <c r="EF13" i="10"/>
  <c r="EG13" i="10"/>
  <c r="EH13" i="10"/>
  <c r="EI13" i="10"/>
  <c r="EJ13" i="10"/>
  <c r="EK13" i="10"/>
  <c r="EL13" i="10"/>
  <c r="EM13" i="10"/>
  <c r="EN13" i="10"/>
  <c r="EO13" i="10"/>
  <c r="EP13" i="10"/>
  <c r="EQ13" i="10"/>
  <c r="ER13" i="10"/>
  <c r="ES13" i="10"/>
  <c r="ET13" i="10"/>
  <c r="EU13" i="10"/>
  <c r="EV13" i="10"/>
  <c r="EW13" i="10"/>
  <c r="EX13" i="10"/>
  <c r="EY13" i="10"/>
  <c r="EZ13" i="10"/>
  <c r="FA13" i="10"/>
  <c r="FB13" i="10"/>
  <c r="FC13" i="10"/>
  <c r="FD13" i="10"/>
  <c r="FE13" i="10"/>
  <c r="FF13" i="10"/>
  <c r="FG13" i="10"/>
  <c r="FH13" i="10"/>
  <c r="FI13" i="10"/>
  <c r="FJ13" i="10"/>
  <c r="FK13" i="10"/>
  <c r="FL13" i="10"/>
  <c r="FM13" i="10"/>
  <c r="FN13" i="10"/>
  <c r="FO13" i="10"/>
  <c r="FP13" i="10"/>
  <c r="FQ13" i="10"/>
  <c r="FR13" i="10"/>
  <c r="FS13" i="10"/>
  <c r="FT13" i="10"/>
  <c r="FU13" i="10"/>
  <c r="FV13" i="10"/>
  <c r="FW13" i="10"/>
  <c r="FX13" i="10"/>
  <c r="FY13" i="10"/>
  <c r="FZ13" i="10"/>
  <c r="GA13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BK14" i="10"/>
  <c r="BL14" i="10"/>
  <c r="BM14" i="10"/>
  <c r="BN14" i="10"/>
  <c r="BO14" i="10"/>
  <c r="BP14" i="10"/>
  <c r="BQ14" i="10"/>
  <c r="BR14" i="10"/>
  <c r="BS14" i="10"/>
  <c r="BT14" i="10"/>
  <c r="BU14" i="10"/>
  <c r="BV14" i="10"/>
  <c r="BW14" i="10"/>
  <c r="BX14" i="10"/>
  <c r="BY14" i="10"/>
  <c r="BZ14" i="10"/>
  <c r="CA14" i="10"/>
  <c r="CB14" i="10"/>
  <c r="CC14" i="10"/>
  <c r="CD14" i="10"/>
  <c r="CE14" i="10"/>
  <c r="CF14" i="10"/>
  <c r="CG14" i="10"/>
  <c r="CH14" i="10"/>
  <c r="CI14" i="10"/>
  <c r="CJ14" i="10"/>
  <c r="CK14" i="10"/>
  <c r="CL14" i="10"/>
  <c r="CM14" i="10"/>
  <c r="CN14" i="10"/>
  <c r="CO14" i="10"/>
  <c r="CP14" i="10"/>
  <c r="CQ14" i="10"/>
  <c r="CR14" i="10"/>
  <c r="CS14" i="10"/>
  <c r="CT14" i="10"/>
  <c r="CU14" i="10"/>
  <c r="C14" i="10" s="1" a="1"/>
  <c r="C14" i="10" s="1"/>
  <c r="CV14" i="10"/>
  <c r="CW14" i="10"/>
  <c r="CX14" i="10"/>
  <c r="CY14" i="10"/>
  <c r="CZ14" i="10"/>
  <c r="DA14" i="10"/>
  <c r="DB14" i="10"/>
  <c r="DC14" i="10"/>
  <c r="DD14" i="10"/>
  <c r="DE14" i="10"/>
  <c r="DF14" i="10"/>
  <c r="DG14" i="10"/>
  <c r="DH14" i="10"/>
  <c r="DI14" i="10"/>
  <c r="DJ14" i="10"/>
  <c r="DK14" i="10"/>
  <c r="DL14" i="10"/>
  <c r="DM14" i="10"/>
  <c r="DN14" i="10"/>
  <c r="DO14" i="10"/>
  <c r="DP14" i="10"/>
  <c r="DQ14" i="10"/>
  <c r="DR14" i="10"/>
  <c r="DS14" i="10"/>
  <c r="DT14" i="10"/>
  <c r="DU14" i="10"/>
  <c r="DV14" i="10"/>
  <c r="DW14" i="10"/>
  <c r="DX14" i="10"/>
  <c r="DY14" i="10"/>
  <c r="DZ14" i="10"/>
  <c r="EA14" i="10"/>
  <c r="EB14" i="10"/>
  <c r="EC14" i="10"/>
  <c r="ED14" i="10"/>
  <c r="EE14" i="10"/>
  <c r="EF14" i="10"/>
  <c r="EG14" i="10"/>
  <c r="EH14" i="10"/>
  <c r="EI14" i="10"/>
  <c r="EJ14" i="10"/>
  <c r="EK14" i="10"/>
  <c r="EL14" i="10"/>
  <c r="EM14" i="10"/>
  <c r="EN14" i="10"/>
  <c r="EO14" i="10"/>
  <c r="EP14" i="10"/>
  <c r="EQ14" i="10"/>
  <c r="ER14" i="10"/>
  <c r="ES14" i="10"/>
  <c r="ET14" i="10"/>
  <c r="EU14" i="10"/>
  <c r="EV14" i="10"/>
  <c r="EW14" i="10"/>
  <c r="EX14" i="10"/>
  <c r="EY14" i="10"/>
  <c r="EZ14" i="10"/>
  <c r="FA14" i="10"/>
  <c r="FB14" i="10"/>
  <c r="FC14" i="10"/>
  <c r="FD14" i="10"/>
  <c r="FE14" i="10"/>
  <c r="FF14" i="10"/>
  <c r="FG14" i="10"/>
  <c r="FH14" i="10"/>
  <c r="FI14" i="10"/>
  <c r="FJ14" i="10"/>
  <c r="FK14" i="10"/>
  <c r="FL14" i="10"/>
  <c r="FM14" i="10"/>
  <c r="FN14" i="10"/>
  <c r="FO14" i="10"/>
  <c r="FP14" i="10"/>
  <c r="FQ14" i="10"/>
  <c r="FR14" i="10"/>
  <c r="FS14" i="10"/>
  <c r="FT14" i="10"/>
  <c r="FU14" i="10"/>
  <c r="FV14" i="10"/>
  <c r="FW14" i="10"/>
  <c r="FX14" i="10"/>
  <c r="FY14" i="10"/>
  <c r="FZ14" i="10"/>
  <c r="GA14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N15" i="10"/>
  <c r="BO15" i="10"/>
  <c r="BP15" i="10"/>
  <c r="BQ15" i="10"/>
  <c r="BR15" i="10"/>
  <c r="BS15" i="10"/>
  <c r="BT15" i="10"/>
  <c r="BU15" i="10"/>
  <c r="BV15" i="10"/>
  <c r="BW15" i="10"/>
  <c r="BX15" i="10"/>
  <c r="BY15" i="10"/>
  <c r="BZ15" i="10"/>
  <c r="CA15" i="10"/>
  <c r="CB15" i="10"/>
  <c r="CC15" i="10"/>
  <c r="CD15" i="10"/>
  <c r="CE15" i="10"/>
  <c r="CF15" i="10"/>
  <c r="CG15" i="10"/>
  <c r="CH15" i="10"/>
  <c r="CI15" i="10"/>
  <c r="CJ15" i="10"/>
  <c r="CK15" i="10"/>
  <c r="CL15" i="10"/>
  <c r="CM15" i="10"/>
  <c r="CN15" i="10"/>
  <c r="CO15" i="10"/>
  <c r="CP15" i="10"/>
  <c r="CQ15" i="10"/>
  <c r="CR15" i="10"/>
  <c r="CS15" i="10"/>
  <c r="CT15" i="10"/>
  <c r="CU15" i="10"/>
  <c r="CV15" i="10"/>
  <c r="CW15" i="10"/>
  <c r="CX15" i="10"/>
  <c r="CY15" i="10"/>
  <c r="CZ15" i="10"/>
  <c r="DA15" i="10"/>
  <c r="DB15" i="10"/>
  <c r="DC15" i="10"/>
  <c r="DD15" i="10"/>
  <c r="DE15" i="10"/>
  <c r="DF15" i="10"/>
  <c r="DG15" i="10"/>
  <c r="DH15" i="10"/>
  <c r="DI15" i="10"/>
  <c r="DJ15" i="10"/>
  <c r="DK15" i="10"/>
  <c r="DL15" i="10"/>
  <c r="DM15" i="10"/>
  <c r="DN15" i="10"/>
  <c r="DO15" i="10"/>
  <c r="DP15" i="10"/>
  <c r="DQ15" i="10"/>
  <c r="DR15" i="10"/>
  <c r="DS15" i="10"/>
  <c r="DT15" i="10"/>
  <c r="DU15" i="10"/>
  <c r="DV15" i="10"/>
  <c r="DW15" i="10"/>
  <c r="DX15" i="10"/>
  <c r="DY15" i="10"/>
  <c r="DZ15" i="10"/>
  <c r="EA15" i="10"/>
  <c r="EB15" i="10"/>
  <c r="EC15" i="10"/>
  <c r="ED15" i="10"/>
  <c r="EE15" i="10"/>
  <c r="EF15" i="10"/>
  <c r="EG15" i="10"/>
  <c r="EH15" i="10"/>
  <c r="EI15" i="10"/>
  <c r="EJ15" i="10"/>
  <c r="EK15" i="10"/>
  <c r="EL15" i="10"/>
  <c r="EM15" i="10"/>
  <c r="EN15" i="10"/>
  <c r="EO15" i="10"/>
  <c r="EP15" i="10"/>
  <c r="EQ15" i="10"/>
  <c r="ER15" i="10"/>
  <c r="ES15" i="10"/>
  <c r="ET15" i="10"/>
  <c r="EU15" i="10"/>
  <c r="EV15" i="10"/>
  <c r="EW15" i="10"/>
  <c r="EX15" i="10"/>
  <c r="EY15" i="10"/>
  <c r="EZ15" i="10"/>
  <c r="FA15" i="10"/>
  <c r="FB15" i="10"/>
  <c r="FC15" i="10"/>
  <c r="FD15" i="10"/>
  <c r="FE15" i="10"/>
  <c r="FF15" i="10"/>
  <c r="FG15" i="10"/>
  <c r="FH15" i="10"/>
  <c r="FI15" i="10"/>
  <c r="FJ15" i="10"/>
  <c r="FK15" i="10"/>
  <c r="FL15" i="10"/>
  <c r="FM15" i="10"/>
  <c r="FN15" i="10"/>
  <c r="FO15" i="10"/>
  <c r="FP15" i="10"/>
  <c r="FQ15" i="10"/>
  <c r="FR15" i="10"/>
  <c r="FS15" i="10"/>
  <c r="FT15" i="10"/>
  <c r="FU15" i="10"/>
  <c r="FV15" i="10"/>
  <c r="FW15" i="10"/>
  <c r="FX15" i="10"/>
  <c r="FY15" i="10"/>
  <c r="FZ15" i="10"/>
  <c r="GA15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BK16" i="10"/>
  <c r="BL16" i="10"/>
  <c r="BM16" i="10"/>
  <c r="BN16" i="10"/>
  <c r="BO16" i="10"/>
  <c r="BP16" i="10"/>
  <c r="BQ16" i="10"/>
  <c r="BR16" i="10"/>
  <c r="BS16" i="10"/>
  <c r="BT16" i="10"/>
  <c r="BU16" i="10"/>
  <c r="BV16" i="10"/>
  <c r="BW16" i="10"/>
  <c r="BX16" i="10"/>
  <c r="BY16" i="10"/>
  <c r="BZ16" i="10"/>
  <c r="CA16" i="10"/>
  <c r="CB16" i="10"/>
  <c r="CC16" i="10"/>
  <c r="CD16" i="10"/>
  <c r="CE16" i="10"/>
  <c r="CF16" i="10"/>
  <c r="CG16" i="10"/>
  <c r="CH16" i="10"/>
  <c r="CI16" i="10"/>
  <c r="CJ16" i="10"/>
  <c r="CK16" i="10"/>
  <c r="CL16" i="10"/>
  <c r="CM16" i="10"/>
  <c r="CN16" i="10"/>
  <c r="CO16" i="10"/>
  <c r="CP16" i="10"/>
  <c r="CQ16" i="10"/>
  <c r="CR16" i="10"/>
  <c r="CS16" i="10"/>
  <c r="CT16" i="10"/>
  <c r="CU16" i="10"/>
  <c r="CV16" i="10"/>
  <c r="CW16" i="10"/>
  <c r="CX16" i="10"/>
  <c r="CY16" i="10"/>
  <c r="CZ16" i="10"/>
  <c r="DA16" i="10"/>
  <c r="DB16" i="10"/>
  <c r="DC16" i="10"/>
  <c r="DD16" i="10"/>
  <c r="DE16" i="10"/>
  <c r="DF16" i="10"/>
  <c r="DG16" i="10"/>
  <c r="DH16" i="10"/>
  <c r="DI16" i="10"/>
  <c r="DJ16" i="10"/>
  <c r="DK16" i="10"/>
  <c r="DL16" i="10"/>
  <c r="DM16" i="10"/>
  <c r="DN16" i="10"/>
  <c r="DO16" i="10"/>
  <c r="DP16" i="10"/>
  <c r="DQ16" i="10"/>
  <c r="DR16" i="10"/>
  <c r="DS16" i="10"/>
  <c r="DT16" i="10"/>
  <c r="DU16" i="10"/>
  <c r="DV16" i="10"/>
  <c r="DW16" i="10"/>
  <c r="DX16" i="10"/>
  <c r="DY16" i="10"/>
  <c r="DZ16" i="10"/>
  <c r="EA16" i="10"/>
  <c r="EB16" i="10"/>
  <c r="EC16" i="10"/>
  <c r="ED16" i="10"/>
  <c r="EE16" i="10"/>
  <c r="EF16" i="10"/>
  <c r="EG16" i="10"/>
  <c r="EH16" i="10"/>
  <c r="EI16" i="10"/>
  <c r="EJ16" i="10"/>
  <c r="EK16" i="10"/>
  <c r="EL16" i="10"/>
  <c r="EM16" i="10"/>
  <c r="EN16" i="10"/>
  <c r="EO16" i="10"/>
  <c r="EP16" i="10"/>
  <c r="EQ16" i="10"/>
  <c r="ER16" i="10"/>
  <c r="ES16" i="10"/>
  <c r="ET16" i="10"/>
  <c r="EU16" i="10"/>
  <c r="EV16" i="10"/>
  <c r="EW16" i="10"/>
  <c r="EX16" i="10"/>
  <c r="EY16" i="10"/>
  <c r="EZ16" i="10"/>
  <c r="FA16" i="10"/>
  <c r="FB16" i="10"/>
  <c r="FC16" i="10"/>
  <c r="FD16" i="10"/>
  <c r="FE16" i="10"/>
  <c r="FF16" i="10"/>
  <c r="FG16" i="10"/>
  <c r="FH16" i="10"/>
  <c r="FI16" i="10"/>
  <c r="FJ16" i="10"/>
  <c r="FK16" i="10"/>
  <c r="FL16" i="10"/>
  <c r="FM16" i="10"/>
  <c r="FN16" i="10"/>
  <c r="FO16" i="10"/>
  <c r="FP16" i="10"/>
  <c r="FQ16" i="10"/>
  <c r="FR16" i="10"/>
  <c r="FS16" i="10"/>
  <c r="FT16" i="10"/>
  <c r="FU16" i="10"/>
  <c r="FV16" i="10"/>
  <c r="FW16" i="10"/>
  <c r="FX16" i="10"/>
  <c r="FY16" i="10"/>
  <c r="FZ16" i="10"/>
  <c r="GA16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BI17" i="10"/>
  <c r="BJ17" i="10"/>
  <c r="BK17" i="10"/>
  <c r="BL17" i="10"/>
  <c r="BM17" i="10"/>
  <c r="BN17" i="10"/>
  <c r="BO17" i="10"/>
  <c r="BP17" i="10"/>
  <c r="BQ17" i="10"/>
  <c r="BR17" i="10"/>
  <c r="BS17" i="10"/>
  <c r="BT17" i="10"/>
  <c r="BU17" i="10"/>
  <c r="BV17" i="10"/>
  <c r="BW17" i="10"/>
  <c r="BX17" i="10"/>
  <c r="BY17" i="10"/>
  <c r="BZ17" i="10"/>
  <c r="CA17" i="10"/>
  <c r="CB17" i="10"/>
  <c r="CC17" i="10"/>
  <c r="CD17" i="10"/>
  <c r="CE17" i="10"/>
  <c r="CF17" i="10"/>
  <c r="CG17" i="10"/>
  <c r="CH17" i="10"/>
  <c r="CI17" i="10"/>
  <c r="CJ17" i="10"/>
  <c r="CK17" i="10"/>
  <c r="CL17" i="10"/>
  <c r="CM17" i="10"/>
  <c r="CN17" i="10"/>
  <c r="CO17" i="10"/>
  <c r="CP17" i="10"/>
  <c r="CQ17" i="10"/>
  <c r="CR17" i="10"/>
  <c r="C17" i="10" s="1" a="1"/>
  <c r="C17" i="10" s="1"/>
  <c r="CS17" i="10"/>
  <c r="CT17" i="10"/>
  <c r="CU17" i="10"/>
  <c r="CV17" i="10"/>
  <c r="CW17" i="10"/>
  <c r="CX17" i="10"/>
  <c r="CY17" i="10"/>
  <c r="CZ17" i="10"/>
  <c r="DA17" i="10"/>
  <c r="DB17" i="10"/>
  <c r="DC17" i="10"/>
  <c r="DD17" i="10"/>
  <c r="DE17" i="10"/>
  <c r="DF17" i="10"/>
  <c r="DG17" i="10"/>
  <c r="DH17" i="10"/>
  <c r="DI17" i="10"/>
  <c r="DJ17" i="10"/>
  <c r="DK17" i="10"/>
  <c r="DL17" i="10"/>
  <c r="DM17" i="10"/>
  <c r="DN17" i="10"/>
  <c r="DO17" i="10"/>
  <c r="DP17" i="10"/>
  <c r="DQ17" i="10"/>
  <c r="DR17" i="10"/>
  <c r="DS17" i="10"/>
  <c r="DT17" i="10"/>
  <c r="DU17" i="10"/>
  <c r="DV17" i="10"/>
  <c r="DW17" i="10"/>
  <c r="DX17" i="10"/>
  <c r="DY17" i="10"/>
  <c r="DZ17" i="10"/>
  <c r="EA17" i="10"/>
  <c r="EB17" i="10"/>
  <c r="EC17" i="10"/>
  <c r="ED17" i="10"/>
  <c r="EE17" i="10"/>
  <c r="EF17" i="10"/>
  <c r="EG17" i="10"/>
  <c r="EH17" i="10"/>
  <c r="EI17" i="10"/>
  <c r="EJ17" i="10"/>
  <c r="EK17" i="10"/>
  <c r="EL17" i="10"/>
  <c r="EM17" i="10"/>
  <c r="EN17" i="10"/>
  <c r="EO17" i="10"/>
  <c r="EP17" i="10"/>
  <c r="EQ17" i="10"/>
  <c r="ER17" i="10"/>
  <c r="ES17" i="10"/>
  <c r="ET17" i="10"/>
  <c r="EU17" i="10"/>
  <c r="EV17" i="10"/>
  <c r="EW17" i="10"/>
  <c r="EX17" i="10"/>
  <c r="EY17" i="10"/>
  <c r="EZ17" i="10"/>
  <c r="FA17" i="10"/>
  <c r="FB17" i="10"/>
  <c r="FC17" i="10"/>
  <c r="FD17" i="10"/>
  <c r="FE17" i="10"/>
  <c r="FF17" i="10"/>
  <c r="FG17" i="10"/>
  <c r="FH17" i="10"/>
  <c r="FI17" i="10"/>
  <c r="FJ17" i="10"/>
  <c r="FK17" i="10"/>
  <c r="FL17" i="10"/>
  <c r="FM17" i="10"/>
  <c r="FN17" i="10"/>
  <c r="FO17" i="10"/>
  <c r="FP17" i="10"/>
  <c r="FQ17" i="10"/>
  <c r="FR17" i="10"/>
  <c r="FS17" i="10"/>
  <c r="FT17" i="10"/>
  <c r="FU17" i="10"/>
  <c r="FV17" i="10"/>
  <c r="FW17" i="10"/>
  <c r="FX17" i="10"/>
  <c r="FY17" i="10"/>
  <c r="FZ17" i="10"/>
  <c r="GA17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BH18" i="10"/>
  <c r="BI18" i="10"/>
  <c r="BJ18" i="10"/>
  <c r="BK18" i="10"/>
  <c r="BL18" i="10"/>
  <c r="BM18" i="10"/>
  <c r="BN18" i="10"/>
  <c r="BO18" i="10"/>
  <c r="BP18" i="10"/>
  <c r="BQ18" i="10"/>
  <c r="BR18" i="10"/>
  <c r="BS18" i="10"/>
  <c r="BT18" i="10"/>
  <c r="BU18" i="10"/>
  <c r="BV18" i="10"/>
  <c r="BW18" i="10"/>
  <c r="BX18" i="10"/>
  <c r="BY18" i="10"/>
  <c r="BZ18" i="10"/>
  <c r="CA18" i="10"/>
  <c r="CB18" i="10"/>
  <c r="CC18" i="10"/>
  <c r="CD18" i="10"/>
  <c r="CE18" i="10"/>
  <c r="CF18" i="10"/>
  <c r="CG18" i="10"/>
  <c r="CH18" i="10"/>
  <c r="CI18" i="10"/>
  <c r="CJ18" i="10"/>
  <c r="CK18" i="10"/>
  <c r="CL18" i="10"/>
  <c r="CM18" i="10"/>
  <c r="CN18" i="10"/>
  <c r="CO18" i="10"/>
  <c r="CP18" i="10"/>
  <c r="CQ18" i="10"/>
  <c r="CR18" i="10"/>
  <c r="CS18" i="10"/>
  <c r="CT18" i="10"/>
  <c r="CU18" i="10"/>
  <c r="CV18" i="10"/>
  <c r="CW18" i="10"/>
  <c r="CX18" i="10"/>
  <c r="CY18" i="10"/>
  <c r="CZ18" i="10"/>
  <c r="DA18" i="10"/>
  <c r="DB18" i="10"/>
  <c r="DC18" i="10"/>
  <c r="DD18" i="10"/>
  <c r="DE18" i="10"/>
  <c r="DF18" i="10"/>
  <c r="DG18" i="10"/>
  <c r="DH18" i="10"/>
  <c r="DI18" i="10"/>
  <c r="DJ18" i="10"/>
  <c r="DK18" i="10"/>
  <c r="DL18" i="10"/>
  <c r="DM18" i="10"/>
  <c r="DN18" i="10"/>
  <c r="DO18" i="10"/>
  <c r="DP18" i="10"/>
  <c r="DQ18" i="10"/>
  <c r="DR18" i="10"/>
  <c r="DS18" i="10"/>
  <c r="DT18" i="10"/>
  <c r="DU18" i="10"/>
  <c r="DV18" i="10"/>
  <c r="DW18" i="10"/>
  <c r="DX18" i="10"/>
  <c r="DY18" i="10"/>
  <c r="DZ18" i="10"/>
  <c r="EA18" i="10"/>
  <c r="EB18" i="10"/>
  <c r="EC18" i="10"/>
  <c r="ED18" i="10"/>
  <c r="EE18" i="10"/>
  <c r="EF18" i="10"/>
  <c r="EG18" i="10"/>
  <c r="EH18" i="10"/>
  <c r="EI18" i="10"/>
  <c r="EJ18" i="10"/>
  <c r="EK18" i="10"/>
  <c r="EL18" i="10"/>
  <c r="EM18" i="10"/>
  <c r="EN18" i="10"/>
  <c r="EO18" i="10"/>
  <c r="EP18" i="10"/>
  <c r="EQ18" i="10"/>
  <c r="ER18" i="10"/>
  <c r="ES18" i="10"/>
  <c r="ET18" i="10"/>
  <c r="EU18" i="10"/>
  <c r="EV18" i="10"/>
  <c r="EW18" i="10"/>
  <c r="EX18" i="10"/>
  <c r="EY18" i="10"/>
  <c r="EZ18" i="10"/>
  <c r="FA18" i="10"/>
  <c r="FB18" i="10"/>
  <c r="FC18" i="10"/>
  <c r="FD18" i="10"/>
  <c r="FE18" i="10"/>
  <c r="FF18" i="10"/>
  <c r="FG18" i="10"/>
  <c r="FH18" i="10"/>
  <c r="FI18" i="10"/>
  <c r="FJ18" i="10"/>
  <c r="FK18" i="10"/>
  <c r="FL18" i="10"/>
  <c r="FM18" i="10"/>
  <c r="FN18" i="10"/>
  <c r="FO18" i="10"/>
  <c r="FP18" i="10"/>
  <c r="FQ18" i="10"/>
  <c r="FR18" i="10"/>
  <c r="FS18" i="10"/>
  <c r="FT18" i="10"/>
  <c r="FU18" i="10"/>
  <c r="FV18" i="10"/>
  <c r="FW18" i="10"/>
  <c r="FX18" i="10"/>
  <c r="FY18" i="10"/>
  <c r="FZ18" i="10"/>
  <c r="GA18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BK19" i="10"/>
  <c r="BL19" i="10"/>
  <c r="BM19" i="10"/>
  <c r="BN19" i="10"/>
  <c r="BO19" i="10"/>
  <c r="BP19" i="10"/>
  <c r="BQ19" i="10"/>
  <c r="BR19" i="10"/>
  <c r="BS19" i="10"/>
  <c r="BT19" i="10"/>
  <c r="BU19" i="10"/>
  <c r="BV19" i="10"/>
  <c r="BW19" i="10"/>
  <c r="BX19" i="10"/>
  <c r="BY19" i="10"/>
  <c r="BZ19" i="10"/>
  <c r="CA19" i="10"/>
  <c r="CB19" i="10"/>
  <c r="CC19" i="10"/>
  <c r="CD19" i="10"/>
  <c r="CE19" i="10"/>
  <c r="CF19" i="10"/>
  <c r="CG19" i="10"/>
  <c r="CH19" i="10"/>
  <c r="CI19" i="10"/>
  <c r="CJ19" i="10"/>
  <c r="CK19" i="10"/>
  <c r="CL19" i="10"/>
  <c r="CM19" i="10"/>
  <c r="CN19" i="10"/>
  <c r="CO19" i="10"/>
  <c r="CP19" i="10"/>
  <c r="CQ19" i="10"/>
  <c r="CR19" i="10"/>
  <c r="CS19" i="10"/>
  <c r="CT19" i="10"/>
  <c r="CU19" i="10"/>
  <c r="CV19" i="10"/>
  <c r="CW19" i="10"/>
  <c r="CX19" i="10"/>
  <c r="CY19" i="10"/>
  <c r="CZ19" i="10"/>
  <c r="DA19" i="10"/>
  <c r="DB19" i="10"/>
  <c r="DC19" i="10"/>
  <c r="DD19" i="10"/>
  <c r="DE19" i="10"/>
  <c r="DF19" i="10"/>
  <c r="DG19" i="10"/>
  <c r="DH19" i="10"/>
  <c r="DI19" i="10"/>
  <c r="DJ19" i="10"/>
  <c r="DK19" i="10"/>
  <c r="DL19" i="10"/>
  <c r="DM19" i="10"/>
  <c r="DN19" i="10"/>
  <c r="DO19" i="10"/>
  <c r="DP19" i="10"/>
  <c r="DQ19" i="10"/>
  <c r="DR19" i="10"/>
  <c r="DS19" i="10"/>
  <c r="DT19" i="10"/>
  <c r="DU19" i="10"/>
  <c r="DV19" i="10"/>
  <c r="DW19" i="10"/>
  <c r="DX19" i="10"/>
  <c r="DY19" i="10"/>
  <c r="DZ19" i="10"/>
  <c r="EA19" i="10"/>
  <c r="EB19" i="10"/>
  <c r="EC19" i="10"/>
  <c r="ED19" i="10"/>
  <c r="EE19" i="10"/>
  <c r="EF19" i="10"/>
  <c r="EG19" i="10"/>
  <c r="EH19" i="10"/>
  <c r="EI19" i="10"/>
  <c r="EJ19" i="10"/>
  <c r="EK19" i="10"/>
  <c r="EL19" i="10"/>
  <c r="EM19" i="10"/>
  <c r="EN19" i="10"/>
  <c r="EO19" i="10"/>
  <c r="EP19" i="10"/>
  <c r="EQ19" i="10"/>
  <c r="ER19" i="10"/>
  <c r="ES19" i="10"/>
  <c r="ET19" i="10"/>
  <c r="EU19" i="10"/>
  <c r="EV19" i="10"/>
  <c r="EW19" i="10"/>
  <c r="EX19" i="10"/>
  <c r="EY19" i="10"/>
  <c r="EZ19" i="10"/>
  <c r="FA19" i="10"/>
  <c r="FB19" i="10"/>
  <c r="FC19" i="10"/>
  <c r="FD19" i="10"/>
  <c r="FE19" i="10"/>
  <c r="FF19" i="10"/>
  <c r="FG19" i="10"/>
  <c r="FH19" i="10"/>
  <c r="FI19" i="10"/>
  <c r="FJ19" i="10"/>
  <c r="FK19" i="10"/>
  <c r="FL19" i="10"/>
  <c r="FM19" i="10"/>
  <c r="FN19" i="10"/>
  <c r="FO19" i="10"/>
  <c r="FP19" i="10"/>
  <c r="FQ19" i="10"/>
  <c r="FR19" i="10"/>
  <c r="FS19" i="10"/>
  <c r="FT19" i="10"/>
  <c r="FU19" i="10"/>
  <c r="FV19" i="10"/>
  <c r="FW19" i="10"/>
  <c r="FX19" i="10"/>
  <c r="FY19" i="10"/>
  <c r="FZ19" i="10"/>
  <c r="GA19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BI20" i="10"/>
  <c r="BJ20" i="10"/>
  <c r="BK20" i="10"/>
  <c r="BL20" i="10"/>
  <c r="BM20" i="10"/>
  <c r="BN20" i="10"/>
  <c r="BO20" i="10"/>
  <c r="BP20" i="10"/>
  <c r="BQ20" i="10"/>
  <c r="BR20" i="10"/>
  <c r="BS20" i="10"/>
  <c r="BT20" i="10"/>
  <c r="BU20" i="10"/>
  <c r="BV20" i="10"/>
  <c r="BW20" i="10"/>
  <c r="BX20" i="10"/>
  <c r="BY20" i="10"/>
  <c r="BZ20" i="10"/>
  <c r="CA20" i="10"/>
  <c r="CB20" i="10"/>
  <c r="CC20" i="10"/>
  <c r="CD20" i="10"/>
  <c r="CE20" i="10"/>
  <c r="CF20" i="10"/>
  <c r="CG20" i="10"/>
  <c r="CH20" i="10"/>
  <c r="CI20" i="10"/>
  <c r="CJ20" i="10"/>
  <c r="CK20" i="10"/>
  <c r="CL20" i="10"/>
  <c r="CM20" i="10"/>
  <c r="CN20" i="10"/>
  <c r="CO20" i="10"/>
  <c r="CP20" i="10"/>
  <c r="CQ20" i="10"/>
  <c r="CR20" i="10"/>
  <c r="CS20" i="10"/>
  <c r="CT20" i="10"/>
  <c r="CU20" i="10"/>
  <c r="CV20" i="10"/>
  <c r="CW20" i="10"/>
  <c r="CX20" i="10"/>
  <c r="CY20" i="10"/>
  <c r="CZ20" i="10"/>
  <c r="DA20" i="10"/>
  <c r="DB20" i="10"/>
  <c r="DC20" i="10"/>
  <c r="DD20" i="10"/>
  <c r="DE20" i="10"/>
  <c r="DF20" i="10"/>
  <c r="DG20" i="10"/>
  <c r="DH20" i="10"/>
  <c r="DI20" i="10"/>
  <c r="DJ20" i="10"/>
  <c r="DK20" i="10"/>
  <c r="DL20" i="10"/>
  <c r="DM20" i="10"/>
  <c r="DN20" i="10"/>
  <c r="DO20" i="10"/>
  <c r="DP20" i="10"/>
  <c r="DQ20" i="10"/>
  <c r="DR20" i="10"/>
  <c r="DS20" i="10"/>
  <c r="DT20" i="10"/>
  <c r="DU20" i="10"/>
  <c r="DV20" i="10"/>
  <c r="DW20" i="10"/>
  <c r="DX20" i="10"/>
  <c r="DY20" i="10"/>
  <c r="DZ20" i="10"/>
  <c r="EA20" i="10"/>
  <c r="EB20" i="10"/>
  <c r="EC20" i="10"/>
  <c r="ED20" i="10"/>
  <c r="EE20" i="10"/>
  <c r="EF20" i="10"/>
  <c r="EG20" i="10"/>
  <c r="EH20" i="10"/>
  <c r="EI20" i="10"/>
  <c r="EJ20" i="10"/>
  <c r="EK20" i="10"/>
  <c r="EL20" i="10"/>
  <c r="EM20" i="10"/>
  <c r="EN20" i="10"/>
  <c r="EO20" i="10"/>
  <c r="EP20" i="10"/>
  <c r="EQ20" i="10"/>
  <c r="ER20" i="10"/>
  <c r="ES20" i="10"/>
  <c r="ET20" i="10"/>
  <c r="EU20" i="10"/>
  <c r="EV20" i="10"/>
  <c r="EW20" i="10"/>
  <c r="EX20" i="10"/>
  <c r="EY20" i="10"/>
  <c r="EZ20" i="10"/>
  <c r="FA20" i="10"/>
  <c r="FB20" i="10"/>
  <c r="FC20" i="10"/>
  <c r="FD20" i="10"/>
  <c r="FE20" i="10"/>
  <c r="FF20" i="10"/>
  <c r="FG20" i="10"/>
  <c r="FH20" i="10"/>
  <c r="FI20" i="10"/>
  <c r="FJ20" i="10"/>
  <c r="FK20" i="10"/>
  <c r="FL20" i="10"/>
  <c r="FM20" i="10"/>
  <c r="FN20" i="10"/>
  <c r="FO20" i="10"/>
  <c r="FP20" i="10"/>
  <c r="FQ20" i="10"/>
  <c r="FR20" i="10"/>
  <c r="FS20" i="10"/>
  <c r="FT20" i="10"/>
  <c r="FU20" i="10"/>
  <c r="FV20" i="10"/>
  <c r="FW20" i="10"/>
  <c r="FX20" i="10"/>
  <c r="FY20" i="10"/>
  <c r="FZ20" i="10"/>
  <c r="GA20" i="10"/>
  <c r="A15" i="10"/>
  <c r="D15" i="10"/>
  <c r="I15" i="10"/>
  <c r="A16" i="10"/>
  <c r="I16" i="10"/>
  <c r="A17" i="10"/>
  <c r="I17" i="10"/>
  <c r="A18" i="10"/>
  <c r="I18" i="10"/>
  <c r="A19" i="10"/>
  <c r="I19" i="10"/>
  <c r="A20" i="10"/>
  <c r="I20" i="10"/>
  <c r="A14" i="10"/>
  <c r="I13" i="10"/>
  <c r="I14" i="10"/>
  <c r="C4" i="10" a="1"/>
  <c r="C4" i="10" s="1"/>
  <c r="D4" i="10" a="1"/>
  <c r="D4" i="10" s="1"/>
  <c r="C5" i="10" a="1"/>
  <c r="C5" i="10" s="1"/>
  <c r="F5" i="10" s="1"/>
  <c r="D5" i="10" a="1"/>
  <c r="D5" i="10" s="1"/>
  <c r="C6" i="10" a="1"/>
  <c r="C6" i="10" s="1"/>
  <c r="F6" i="10" s="1"/>
  <c r="D6" i="10" a="1"/>
  <c r="D6" i="10" s="1"/>
  <c r="D18" i="10" s="1"/>
  <c r="C7" i="10" a="1"/>
  <c r="C7" i="10" s="1"/>
  <c r="D7" i="10" a="1"/>
  <c r="D7" i="10" s="1"/>
  <c r="C8" i="10" a="1"/>
  <c r="C8" i="10" s="1"/>
  <c r="D8" i="10" a="1"/>
  <c r="D8" i="10" s="1"/>
  <c r="C9" i="10" a="1"/>
  <c r="C9" i="10" s="1"/>
  <c r="D9" i="10" a="1"/>
  <c r="D9" i="10" s="1"/>
  <c r="D3" i="10" a="1"/>
  <c r="D3" i="10" s="1"/>
  <c r="C3" i="10" a="1"/>
  <c r="C3" i="10" s="1"/>
  <c r="G3" i="10" s="1" a="1"/>
  <c r="G3" i="10" s="1"/>
  <c r="GA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BA2" i="10"/>
  <c r="BB2" i="10"/>
  <c r="BC2" i="10"/>
  <c r="BD2" i="10"/>
  <c r="BE2" i="10"/>
  <c r="BF2" i="10"/>
  <c r="BG2" i="10"/>
  <c r="BH2" i="10"/>
  <c r="BI2" i="10"/>
  <c r="BJ2" i="10"/>
  <c r="BK2" i="10"/>
  <c r="BL2" i="10"/>
  <c r="BM2" i="10"/>
  <c r="BN2" i="10"/>
  <c r="BO2" i="10"/>
  <c r="BP2" i="10"/>
  <c r="BQ2" i="10"/>
  <c r="BR2" i="10"/>
  <c r="BS2" i="10"/>
  <c r="BT2" i="10"/>
  <c r="BU2" i="10"/>
  <c r="BV2" i="10"/>
  <c r="BW2" i="10"/>
  <c r="BX2" i="10"/>
  <c r="BY2" i="10"/>
  <c r="BZ2" i="10"/>
  <c r="CA2" i="10"/>
  <c r="CB2" i="10"/>
  <c r="CC2" i="10"/>
  <c r="CD2" i="10"/>
  <c r="CE2" i="10"/>
  <c r="CF2" i="10"/>
  <c r="CG2" i="10"/>
  <c r="CH2" i="10"/>
  <c r="CI2" i="10"/>
  <c r="CJ2" i="10"/>
  <c r="CK2" i="10"/>
  <c r="CL2" i="10"/>
  <c r="CM2" i="10"/>
  <c r="CN2" i="10"/>
  <c r="CO2" i="10"/>
  <c r="CP2" i="10"/>
  <c r="CQ2" i="10"/>
  <c r="CR2" i="10"/>
  <c r="CS2" i="10"/>
  <c r="CT2" i="10"/>
  <c r="CU2" i="10"/>
  <c r="CV2" i="10"/>
  <c r="CW2" i="10"/>
  <c r="CX2" i="10"/>
  <c r="CY2" i="10"/>
  <c r="CZ2" i="10"/>
  <c r="DA2" i="10"/>
  <c r="DB2" i="10"/>
  <c r="DC2" i="10"/>
  <c r="DD2" i="10"/>
  <c r="DE2" i="10"/>
  <c r="DF2" i="10"/>
  <c r="DG2" i="10"/>
  <c r="DH2" i="10"/>
  <c r="DI2" i="10"/>
  <c r="DJ2" i="10"/>
  <c r="DK2" i="10"/>
  <c r="DL2" i="10"/>
  <c r="DM2" i="10"/>
  <c r="DN2" i="10"/>
  <c r="DO2" i="10"/>
  <c r="DP2" i="10"/>
  <c r="DQ2" i="10"/>
  <c r="DR2" i="10"/>
  <c r="DS2" i="10"/>
  <c r="DT2" i="10"/>
  <c r="DU2" i="10"/>
  <c r="DV2" i="10"/>
  <c r="DW2" i="10"/>
  <c r="DX2" i="10"/>
  <c r="DY2" i="10"/>
  <c r="DZ2" i="10"/>
  <c r="EA2" i="10"/>
  <c r="EB2" i="10"/>
  <c r="EC2" i="10"/>
  <c r="ED2" i="10"/>
  <c r="EE2" i="10"/>
  <c r="EF2" i="10"/>
  <c r="EG2" i="10"/>
  <c r="EH2" i="10"/>
  <c r="EI2" i="10"/>
  <c r="EJ2" i="10"/>
  <c r="EK2" i="10"/>
  <c r="EL2" i="10"/>
  <c r="EM2" i="10"/>
  <c r="EN2" i="10"/>
  <c r="EO2" i="10"/>
  <c r="EP2" i="10"/>
  <c r="EQ2" i="10"/>
  <c r="ER2" i="10"/>
  <c r="ES2" i="10"/>
  <c r="ET2" i="10"/>
  <c r="EU2" i="10"/>
  <c r="EV2" i="10"/>
  <c r="EW2" i="10"/>
  <c r="EX2" i="10"/>
  <c r="EY2" i="10"/>
  <c r="EZ2" i="10"/>
  <c r="FA2" i="10"/>
  <c r="FB2" i="10"/>
  <c r="FC2" i="10"/>
  <c r="FD2" i="10"/>
  <c r="FE2" i="10"/>
  <c r="FF2" i="10"/>
  <c r="FG2" i="10"/>
  <c r="FH2" i="10"/>
  <c r="FI2" i="10"/>
  <c r="FJ2" i="10"/>
  <c r="FK2" i="10"/>
  <c r="FL2" i="10"/>
  <c r="FM2" i="10"/>
  <c r="FN2" i="10"/>
  <c r="FO2" i="10"/>
  <c r="FP2" i="10"/>
  <c r="FQ2" i="10"/>
  <c r="FR2" i="10"/>
  <c r="FS2" i="10"/>
  <c r="FT2" i="10"/>
  <c r="FU2" i="10"/>
  <c r="FV2" i="10"/>
  <c r="FW2" i="10"/>
  <c r="FX2" i="10"/>
  <c r="FY2" i="10"/>
  <c r="FZ2" i="10"/>
  <c r="C20" i="10" l="1" a="1"/>
  <c r="C20" i="10" s="1"/>
  <c r="F20" i="10" s="1"/>
  <c r="C19" i="10" a="1"/>
  <c r="C19" i="10" s="1"/>
  <c r="F19" i="10" s="1"/>
  <c r="C18" i="10" a="1"/>
  <c r="C18" i="10" s="1"/>
  <c r="F18" i="10" s="1"/>
  <c r="AS26" i="10"/>
  <c r="C26" i="10" s="1" a="1"/>
  <c r="C26" i="10" s="1"/>
  <c r="F26" i="10" s="1"/>
  <c r="G25" i="10" a="1"/>
  <c r="G25" i="10" s="1"/>
  <c r="D20" i="10"/>
  <c r="D17" i="10"/>
  <c r="D25" i="10"/>
  <c r="D26" i="10"/>
  <c r="D16" i="10"/>
  <c r="D19" i="10"/>
  <c r="D14" i="10"/>
  <c r="G14" i="10" s="1" a="1"/>
  <c r="G14" i="10" s="1"/>
  <c r="C16" i="10" a="1"/>
  <c r="C16" i="10" s="1"/>
  <c r="F16" i="10" s="1"/>
  <c r="F3" i="10"/>
  <c r="F25" i="10"/>
  <c r="C22" i="11" a="1"/>
  <c r="C22" i="11" s="1"/>
  <c r="F22" i="11" s="1"/>
  <c r="D22" i="11"/>
  <c r="F10" i="11"/>
  <c r="G10" i="11" a="1"/>
  <c r="G10" i="11" s="1"/>
  <c r="F5" i="11"/>
  <c r="G5" i="11" a="1"/>
  <c r="G5" i="11" s="1"/>
  <c r="C18" i="11" a="1"/>
  <c r="C18" i="11" s="1"/>
  <c r="F18" i="11" s="1"/>
  <c r="C27" i="11" a="1"/>
  <c r="C27" i="11" s="1"/>
  <c r="C17" i="11" a="1"/>
  <c r="C17" i="11" s="1"/>
  <c r="F17" i="11" s="1"/>
  <c r="C19" i="11" a="1"/>
  <c r="C19" i="11" s="1"/>
  <c r="F19" i="11" s="1"/>
  <c r="C16" i="11" a="1"/>
  <c r="C16" i="11" s="1"/>
  <c r="F16" i="11" s="1"/>
  <c r="C20" i="11" a="1"/>
  <c r="C20" i="11" s="1"/>
  <c r="F20" i="11" s="1"/>
  <c r="G7" i="11" a="1"/>
  <c r="G7" i="11" s="1"/>
  <c r="G9" i="11" a="1"/>
  <c r="G9" i="11" s="1"/>
  <c r="F9" i="11"/>
  <c r="G6" i="11" a="1"/>
  <c r="G6" i="11" s="1"/>
  <c r="G8" i="11" a="1"/>
  <c r="G8" i="11" s="1"/>
  <c r="F8" i="11"/>
  <c r="C15" i="11" a="1"/>
  <c r="C15" i="11" s="1"/>
  <c r="D20" i="11"/>
  <c r="D16" i="11"/>
  <c r="D28" i="11"/>
  <c r="D21" i="11"/>
  <c r="D17" i="11"/>
  <c r="D18" i="11"/>
  <c r="D27" i="11"/>
  <c r="G3" i="11" a="1"/>
  <c r="G3" i="11" s="1"/>
  <c r="C21" i="11" a="1"/>
  <c r="C21" i="11" s="1"/>
  <c r="G4" i="11" a="1"/>
  <c r="G4" i="11" s="1"/>
  <c r="D15" i="11"/>
  <c r="F3" i="11"/>
  <c r="C15" i="10" a="1"/>
  <c r="C15" i="10" s="1"/>
  <c r="F15" i="10" s="1"/>
  <c r="F17" i="10"/>
  <c r="G17" i="10" a="1"/>
  <c r="G17" i="10" s="1"/>
  <c r="F14" i="10"/>
  <c r="F7" i="10"/>
  <c r="G7" i="10" a="1"/>
  <c r="G7" i="10" s="1"/>
  <c r="F9" i="10"/>
  <c r="G9" i="10" a="1"/>
  <c r="G9" i="10" s="1"/>
  <c r="G8" i="10" a="1"/>
  <c r="G8" i="10" s="1"/>
  <c r="F8" i="10"/>
  <c r="F4" i="10"/>
  <c r="G4" i="10" a="1"/>
  <c r="G4" i="10" s="1"/>
  <c r="G5" i="10" a="1"/>
  <c r="G5" i="10" s="1"/>
  <c r="G6" i="10" a="1"/>
  <c r="G6" i="10" s="1"/>
  <c r="G20" i="10" l="1" a="1"/>
  <c r="G20" i="10" s="1"/>
  <c r="G19" i="10" a="1"/>
  <c r="G19" i="10" s="1"/>
  <c r="G26" i="10" a="1"/>
  <c r="G26" i="10" s="1"/>
  <c r="G18" i="10" a="1"/>
  <c r="G18" i="10" s="1"/>
  <c r="G16" i="10" a="1"/>
  <c r="G16" i="10" s="1"/>
  <c r="G22" i="11" a="1"/>
  <c r="G22" i="11" s="1"/>
  <c r="G27" i="11" a="1"/>
  <c r="G27" i="11" s="1"/>
  <c r="G18" i="11" a="1"/>
  <c r="G18" i="11" s="1"/>
  <c r="G17" i="11" a="1"/>
  <c r="G17" i="11" s="1"/>
  <c r="G16" i="11" a="1"/>
  <c r="G16" i="11" s="1"/>
  <c r="G19" i="11" a="1"/>
  <c r="G19" i="11" s="1"/>
  <c r="F27" i="11"/>
  <c r="G20" i="11" a="1"/>
  <c r="G20" i="11" s="1"/>
  <c r="G15" i="11" a="1"/>
  <c r="G15" i="11" s="1"/>
  <c r="F15" i="11"/>
  <c r="C28" i="11" a="1"/>
  <c r="C28" i="11" s="1"/>
  <c r="G21" i="11" a="1"/>
  <c r="G21" i="11" s="1"/>
  <c r="F21" i="11"/>
  <c r="G15" i="10" a="1"/>
  <c r="G15" i="10" s="1"/>
  <c r="G28" i="11" l="1" a="1"/>
  <c r="G28" i="11" s="1"/>
  <c r="F28" i="11"/>
  <c r="I2" i="10" l="1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CQ19" i="9"/>
  <c r="CR19" i="9"/>
  <c r="CS19" i="9"/>
  <c r="CT19" i="9"/>
  <c r="CU19" i="9"/>
  <c r="CV19" i="9"/>
  <c r="CW19" i="9"/>
  <c r="CX19" i="9"/>
  <c r="CY19" i="9"/>
  <c r="CZ19" i="9"/>
  <c r="DA19" i="9"/>
  <c r="DB19" i="9"/>
  <c r="DC19" i="9"/>
  <c r="DD19" i="9"/>
  <c r="DE19" i="9"/>
  <c r="DF19" i="9"/>
  <c r="DG19" i="9"/>
  <c r="DH19" i="9"/>
  <c r="DI19" i="9"/>
  <c r="DJ19" i="9"/>
  <c r="DK19" i="9"/>
  <c r="DL19" i="9"/>
  <c r="DM19" i="9"/>
  <c r="DN19" i="9"/>
  <c r="DO19" i="9"/>
  <c r="DP19" i="9"/>
  <c r="DQ19" i="9"/>
  <c r="DR19" i="9"/>
  <c r="DS19" i="9"/>
  <c r="DT19" i="9"/>
  <c r="DU19" i="9"/>
  <c r="DV19" i="9"/>
  <c r="DW19" i="9"/>
  <c r="DX19" i="9"/>
  <c r="DY19" i="9"/>
  <c r="DZ19" i="9"/>
  <c r="EA19" i="9"/>
  <c r="EB19" i="9"/>
  <c r="EC19" i="9"/>
  <c r="ED19" i="9"/>
  <c r="EE19" i="9"/>
  <c r="EF19" i="9"/>
  <c r="EG19" i="9"/>
  <c r="EH19" i="9"/>
  <c r="EI19" i="9"/>
  <c r="EJ19" i="9"/>
  <c r="EK19" i="9"/>
  <c r="EL19" i="9"/>
  <c r="EM19" i="9"/>
  <c r="EN19" i="9"/>
  <c r="EO19" i="9"/>
  <c r="EP19" i="9"/>
  <c r="EQ19" i="9"/>
  <c r="ER19" i="9"/>
  <c r="ES19" i="9"/>
  <c r="ET19" i="9"/>
  <c r="EU19" i="9"/>
  <c r="EV19" i="9"/>
  <c r="EW19" i="9"/>
  <c r="EX19" i="9"/>
  <c r="EY19" i="9"/>
  <c r="EZ19" i="9"/>
  <c r="FA19" i="9"/>
  <c r="FB19" i="9"/>
  <c r="FC19" i="9"/>
  <c r="FD19" i="9"/>
  <c r="FE19" i="9"/>
  <c r="FF19" i="9"/>
  <c r="FG19" i="9"/>
  <c r="FH19" i="9"/>
  <c r="FI19" i="9"/>
  <c r="FJ19" i="9"/>
  <c r="FK19" i="9"/>
  <c r="FL19" i="9"/>
  <c r="FM19" i="9"/>
  <c r="FN19" i="9"/>
  <c r="FO19" i="9"/>
  <c r="FP19" i="9"/>
  <c r="FQ19" i="9"/>
  <c r="FR19" i="9"/>
  <c r="FS19" i="9"/>
  <c r="FT19" i="9"/>
  <c r="FU19" i="9"/>
  <c r="FV19" i="9"/>
  <c r="FW19" i="9"/>
  <c r="FX19" i="9"/>
  <c r="FY19" i="9"/>
  <c r="FZ19" i="9"/>
  <c r="GA19" i="9"/>
  <c r="J19" i="9"/>
  <c r="K19" i="9"/>
  <c r="L19" i="9"/>
  <c r="M19" i="9"/>
  <c r="N19" i="9"/>
  <c r="O19" i="9"/>
  <c r="P19" i="9"/>
  <c r="I19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CQ18" i="9"/>
  <c r="CR18" i="9"/>
  <c r="CS18" i="9"/>
  <c r="CT18" i="9"/>
  <c r="CU18" i="9"/>
  <c r="CV18" i="9"/>
  <c r="CW18" i="9"/>
  <c r="CX18" i="9"/>
  <c r="CY18" i="9"/>
  <c r="CZ18" i="9"/>
  <c r="DA18" i="9"/>
  <c r="DB18" i="9"/>
  <c r="DC18" i="9"/>
  <c r="DD18" i="9"/>
  <c r="DE18" i="9"/>
  <c r="DF18" i="9"/>
  <c r="DG18" i="9"/>
  <c r="DH18" i="9"/>
  <c r="DI18" i="9"/>
  <c r="DJ18" i="9"/>
  <c r="DK18" i="9"/>
  <c r="DL18" i="9"/>
  <c r="DM18" i="9"/>
  <c r="DN18" i="9"/>
  <c r="DO18" i="9"/>
  <c r="DP18" i="9"/>
  <c r="DQ18" i="9"/>
  <c r="DR18" i="9"/>
  <c r="DS18" i="9"/>
  <c r="DT18" i="9"/>
  <c r="DU18" i="9"/>
  <c r="DV18" i="9"/>
  <c r="DW18" i="9"/>
  <c r="DX18" i="9"/>
  <c r="DY18" i="9"/>
  <c r="DZ18" i="9"/>
  <c r="EA18" i="9"/>
  <c r="EB18" i="9"/>
  <c r="EC18" i="9"/>
  <c r="ED18" i="9"/>
  <c r="EE18" i="9"/>
  <c r="EF18" i="9"/>
  <c r="EG18" i="9"/>
  <c r="EH18" i="9"/>
  <c r="EI18" i="9"/>
  <c r="EJ18" i="9"/>
  <c r="EK18" i="9"/>
  <c r="EL18" i="9"/>
  <c r="EM18" i="9"/>
  <c r="EN18" i="9"/>
  <c r="EO18" i="9"/>
  <c r="EP18" i="9"/>
  <c r="EQ18" i="9"/>
  <c r="ER18" i="9"/>
  <c r="ES18" i="9"/>
  <c r="ET18" i="9"/>
  <c r="EU18" i="9"/>
  <c r="EV18" i="9"/>
  <c r="EW18" i="9"/>
  <c r="EX18" i="9"/>
  <c r="EY18" i="9"/>
  <c r="EZ18" i="9"/>
  <c r="FA18" i="9"/>
  <c r="FB18" i="9"/>
  <c r="FC18" i="9"/>
  <c r="FD18" i="9"/>
  <c r="FE18" i="9"/>
  <c r="FF18" i="9"/>
  <c r="FG18" i="9"/>
  <c r="FH18" i="9"/>
  <c r="FI18" i="9"/>
  <c r="FJ18" i="9"/>
  <c r="FK18" i="9"/>
  <c r="FL18" i="9"/>
  <c r="FM18" i="9"/>
  <c r="FN18" i="9"/>
  <c r="FO18" i="9"/>
  <c r="FP18" i="9"/>
  <c r="FQ18" i="9"/>
  <c r="FR18" i="9"/>
  <c r="FS18" i="9"/>
  <c r="FT18" i="9"/>
  <c r="FU18" i="9"/>
  <c r="FV18" i="9"/>
  <c r="FW18" i="9"/>
  <c r="FX18" i="9"/>
  <c r="FY18" i="9"/>
  <c r="FZ18" i="9"/>
  <c r="GA18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CQ20" i="9"/>
  <c r="CR20" i="9"/>
  <c r="CS20" i="9"/>
  <c r="CT20" i="9"/>
  <c r="CU20" i="9"/>
  <c r="CV20" i="9"/>
  <c r="CW20" i="9"/>
  <c r="CX20" i="9"/>
  <c r="CY20" i="9"/>
  <c r="CZ20" i="9"/>
  <c r="DA20" i="9"/>
  <c r="DB20" i="9"/>
  <c r="DC20" i="9"/>
  <c r="DD20" i="9"/>
  <c r="DE20" i="9"/>
  <c r="DF20" i="9"/>
  <c r="DG20" i="9"/>
  <c r="DH20" i="9"/>
  <c r="DI20" i="9"/>
  <c r="DJ20" i="9"/>
  <c r="DK20" i="9"/>
  <c r="DL20" i="9"/>
  <c r="DM20" i="9"/>
  <c r="DN20" i="9"/>
  <c r="DO20" i="9"/>
  <c r="DP20" i="9"/>
  <c r="DQ20" i="9"/>
  <c r="DR20" i="9"/>
  <c r="DS20" i="9"/>
  <c r="DT20" i="9"/>
  <c r="DU20" i="9"/>
  <c r="DV20" i="9"/>
  <c r="DW20" i="9"/>
  <c r="DX20" i="9"/>
  <c r="DY20" i="9"/>
  <c r="DZ20" i="9"/>
  <c r="EA20" i="9"/>
  <c r="EB20" i="9"/>
  <c r="EC20" i="9"/>
  <c r="ED20" i="9"/>
  <c r="EE20" i="9"/>
  <c r="EF20" i="9"/>
  <c r="EG20" i="9"/>
  <c r="EH20" i="9"/>
  <c r="EI20" i="9"/>
  <c r="EJ20" i="9"/>
  <c r="EK20" i="9"/>
  <c r="EL20" i="9"/>
  <c r="EM20" i="9"/>
  <c r="EN20" i="9"/>
  <c r="EO20" i="9"/>
  <c r="EP20" i="9"/>
  <c r="EQ20" i="9"/>
  <c r="ER20" i="9"/>
  <c r="ES20" i="9"/>
  <c r="ET20" i="9"/>
  <c r="EU20" i="9"/>
  <c r="EV20" i="9"/>
  <c r="EW20" i="9"/>
  <c r="EX20" i="9"/>
  <c r="EY20" i="9"/>
  <c r="EZ20" i="9"/>
  <c r="FA20" i="9"/>
  <c r="FB20" i="9"/>
  <c r="FC20" i="9"/>
  <c r="FD20" i="9"/>
  <c r="FE20" i="9"/>
  <c r="FF20" i="9"/>
  <c r="FG20" i="9"/>
  <c r="FH20" i="9"/>
  <c r="FI20" i="9"/>
  <c r="FJ20" i="9"/>
  <c r="FK20" i="9"/>
  <c r="FL20" i="9"/>
  <c r="FM20" i="9"/>
  <c r="FN20" i="9"/>
  <c r="FO20" i="9"/>
  <c r="FP20" i="9"/>
  <c r="FQ20" i="9"/>
  <c r="FR20" i="9"/>
  <c r="FS20" i="9"/>
  <c r="FT20" i="9"/>
  <c r="FU20" i="9"/>
  <c r="FV20" i="9"/>
  <c r="FW20" i="9"/>
  <c r="FX20" i="9"/>
  <c r="FY20" i="9"/>
  <c r="FZ20" i="9"/>
  <c r="GA20" i="9"/>
  <c r="I20" i="9"/>
  <c r="I18" i="9"/>
  <c r="C12" i="9" a="1"/>
  <c r="C12" i="9" s="1"/>
  <c r="C14" i="9" a="1"/>
  <c r="C14" i="9" s="1"/>
  <c r="G14" i="9" s="1" a="1"/>
  <c r="G14" i="9" s="1"/>
  <c r="D14" i="9"/>
  <c r="D11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BS10" i="9"/>
  <c r="BT10" i="9"/>
  <c r="BU10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CQ10" i="9"/>
  <c r="CR10" i="9"/>
  <c r="CS10" i="9"/>
  <c r="CT10" i="9"/>
  <c r="CU10" i="9"/>
  <c r="CV10" i="9"/>
  <c r="CW10" i="9"/>
  <c r="CX10" i="9"/>
  <c r="CY10" i="9"/>
  <c r="CZ10" i="9"/>
  <c r="DA10" i="9"/>
  <c r="DB10" i="9"/>
  <c r="DC10" i="9"/>
  <c r="DD10" i="9"/>
  <c r="DE10" i="9"/>
  <c r="DF10" i="9"/>
  <c r="DG10" i="9"/>
  <c r="DH10" i="9"/>
  <c r="DI10" i="9"/>
  <c r="DJ10" i="9"/>
  <c r="DK10" i="9"/>
  <c r="DL10" i="9"/>
  <c r="DM10" i="9"/>
  <c r="DN10" i="9"/>
  <c r="DO10" i="9"/>
  <c r="DP10" i="9"/>
  <c r="DQ10" i="9"/>
  <c r="DR10" i="9"/>
  <c r="DS10" i="9"/>
  <c r="DT10" i="9"/>
  <c r="DU10" i="9"/>
  <c r="DV10" i="9"/>
  <c r="DW10" i="9"/>
  <c r="DX10" i="9"/>
  <c r="DY10" i="9"/>
  <c r="DZ10" i="9"/>
  <c r="EA10" i="9"/>
  <c r="EB10" i="9"/>
  <c r="EC10" i="9"/>
  <c r="ED10" i="9"/>
  <c r="EE10" i="9"/>
  <c r="EF10" i="9"/>
  <c r="EG10" i="9"/>
  <c r="EH10" i="9"/>
  <c r="EI10" i="9"/>
  <c r="EJ10" i="9"/>
  <c r="EK10" i="9"/>
  <c r="EL10" i="9"/>
  <c r="EM10" i="9"/>
  <c r="EN10" i="9"/>
  <c r="EO10" i="9"/>
  <c r="EP10" i="9"/>
  <c r="EQ10" i="9"/>
  <c r="ER10" i="9"/>
  <c r="ES10" i="9"/>
  <c r="ET10" i="9"/>
  <c r="EU10" i="9"/>
  <c r="EV10" i="9"/>
  <c r="EW10" i="9"/>
  <c r="EX10" i="9"/>
  <c r="EY10" i="9"/>
  <c r="EZ10" i="9"/>
  <c r="FA10" i="9"/>
  <c r="FB10" i="9"/>
  <c r="FC10" i="9"/>
  <c r="FD10" i="9"/>
  <c r="FE10" i="9"/>
  <c r="FF10" i="9"/>
  <c r="FG10" i="9"/>
  <c r="FH10" i="9"/>
  <c r="FI10" i="9"/>
  <c r="FJ10" i="9"/>
  <c r="FK10" i="9"/>
  <c r="FL10" i="9"/>
  <c r="FM10" i="9"/>
  <c r="FN10" i="9"/>
  <c r="FO10" i="9"/>
  <c r="FP10" i="9"/>
  <c r="FQ10" i="9"/>
  <c r="FR10" i="9"/>
  <c r="FS10" i="9"/>
  <c r="FT10" i="9"/>
  <c r="FU10" i="9"/>
  <c r="FV10" i="9"/>
  <c r="FW10" i="9"/>
  <c r="FX10" i="9"/>
  <c r="FY10" i="9"/>
  <c r="FZ10" i="9"/>
  <c r="GA10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C11" i="9" s="1" a="1"/>
  <c r="C11" i="9" s="1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BG11" i="9"/>
  <c r="BH11" i="9"/>
  <c r="BI11" i="9"/>
  <c r="BJ11" i="9"/>
  <c r="BK11" i="9"/>
  <c r="BL11" i="9"/>
  <c r="BM11" i="9"/>
  <c r="BN11" i="9"/>
  <c r="BO11" i="9"/>
  <c r="BP11" i="9"/>
  <c r="BQ11" i="9"/>
  <c r="BR11" i="9"/>
  <c r="BS11" i="9"/>
  <c r="BT11" i="9"/>
  <c r="BU11" i="9"/>
  <c r="BV11" i="9"/>
  <c r="BW11" i="9"/>
  <c r="BX11" i="9"/>
  <c r="BY11" i="9"/>
  <c r="BZ11" i="9"/>
  <c r="CA11" i="9"/>
  <c r="CB11" i="9"/>
  <c r="CC11" i="9"/>
  <c r="CD11" i="9"/>
  <c r="CE11" i="9"/>
  <c r="CF11" i="9"/>
  <c r="CG11" i="9"/>
  <c r="CH11" i="9"/>
  <c r="CI11" i="9"/>
  <c r="CJ11" i="9"/>
  <c r="CK11" i="9"/>
  <c r="CL11" i="9"/>
  <c r="CM11" i="9"/>
  <c r="CN11" i="9"/>
  <c r="CO11" i="9"/>
  <c r="CP11" i="9"/>
  <c r="CQ11" i="9"/>
  <c r="CR11" i="9"/>
  <c r="CS11" i="9"/>
  <c r="CT11" i="9"/>
  <c r="CU11" i="9"/>
  <c r="CV11" i="9"/>
  <c r="CW11" i="9"/>
  <c r="CX11" i="9"/>
  <c r="CY11" i="9"/>
  <c r="CZ11" i="9"/>
  <c r="DA11" i="9"/>
  <c r="DB11" i="9"/>
  <c r="DC11" i="9"/>
  <c r="DD11" i="9"/>
  <c r="DE11" i="9"/>
  <c r="DF11" i="9"/>
  <c r="DG11" i="9"/>
  <c r="DH11" i="9"/>
  <c r="DI11" i="9"/>
  <c r="DJ11" i="9"/>
  <c r="DK11" i="9"/>
  <c r="DL11" i="9"/>
  <c r="DM11" i="9"/>
  <c r="DN11" i="9"/>
  <c r="DO11" i="9"/>
  <c r="DP11" i="9"/>
  <c r="DQ11" i="9"/>
  <c r="DR11" i="9"/>
  <c r="DS11" i="9"/>
  <c r="DT11" i="9"/>
  <c r="DU11" i="9"/>
  <c r="DV11" i="9"/>
  <c r="DW11" i="9"/>
  <c r="DX11" i="9"/>
  <c r="DY11" i="9"/>
  <c r="DZ11" i="9"/>
  <c r="EA11" i="9"/>
  <c r="EB11" i="9"/>
  <c r="EC11" i="9"/>
  <c r="ED11" i="9"/>
  <c r="EE11" i="9"/>
  <c r="EF11" i="9"/>
  <c r="EG11" i="9"/>
  <c r="EH11" i="9"/>
  <c r="EI11" i="9"/>
  <c r="EJ11" i="9"/>
  <c r="EK11" i="9"/>
  <c r="EL11" i="9"/>
  <c r="EM11" i="9"/>
  <c r="EN11" i="9"/>
  <c r="EO11" i="9"/>
  <c r="EP11" i="9"/>
  <c r="EQ11" i="9"/>
  <c r="ER11" i="9"/>
  <c r="ES11" i="9"/>
  <c r="ET11" i="9"/>
  <c r="EU11" i="9"/>
  <c r="EV11" i="9"/>
  <c r="EW11" i="9"/>
  <c r="EX11" i="9"/>
  <c r="EY11" i="9"/>
  <c r="EZ11" i="9"/>
  <c r="FA11" i="9"/>
  <c r="FB11" i="9"/>
  <c r="FC11" i="9"/>
  <c r="FD11" i="9"/>
  <c r="FE11" i="9"/>
  <c r="FF11" i="9"/>
  <c r="FG11" i="9"/>
  <c r="FH11" i="9"/>
  <c r="FI11" i="9"/>
  <c r="FJ11" i="9"/>
  <c r="FK11" i="9"/>
  <c r="FL11" i="9"/>
  <c r="FM11" i="9"/>
  <c r="FN11" i="9"/>
  <c r="FO11" i="9"/>
  <c r="FP11" i="9"/>
  <c r="FQ11" i="9"/>
  <c r="FR11" i="9"/>
  <c r="FS11" i="9"/>
  <c r="FT11" i="9"/>
  <c r="FU11" i="9"/>
  <c r="FV11" i="9"/>
  <c r="FW11" i="9"/>
  <c r="FX11" i="9"/>
  <c r="FY11" i="9"/>
  <c r="FZ11" i="9"/>
  <c r="GA11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CQ12" i="9"/>
  <c r="CR12" i="9"/>
  <c r="CS12" i="9"/>
  <c r="CT12" i="9"/>
  <c r="CU12" i="9"/>
  <c r="CV12" i="9"/>
  <c r="CW12" i="9"/>
  <c r="CX12" i="9"/>
  <c r="CY12" i="9"/>
  <c r="CZ12" i="9"/>
  <c r="DA12" i="9"/>
  <c r="DB12" i="9"/>
  <c r="DC12" i="9"/>
  <c r="DD12" i="9"/>
  <c r="DE12" i="9"/>
  <c r="DF12" i="9"/>
  <c r="DG12" i="9"/>
  <c r="DH12" i="9"/>
  <c r="DI12" i="9"/>
  <c r="DJ12" i="9"/>
  <c r="DK12" i="9"/>
  <c r="DL12" i="9"/>
  <c r="DM12" i="9"/>
  <c r="DN12" i="9"/>
  <c r="DO12" i="9"/>
  <c r="DP12" i="9"/>
  <c r="DQ12" i="9"/>
  <c r="DR12" i="9"/>
  <c r="DS12" i="9"/>
  <c r="DT12" i="9"/>
  <c r="DU12" i="9"/>
  <c r="DV12" i="9"/>
  <c r="DW12" i="9"/>
  <c r="DX12" i="9"/>
  <c r="DY12" i="9"/>
  <c r="DZ12" i="9"/>
  <c r="EA12" i="9"/>
  <c r="EB12" i="9"/>
  <c r="EC12" i="9"/>
  <c r="ED12" i="9"/>
  <c r="EE12" i="9"/>
  <c r="EF12" i="9"/>
  <c r="EG12" i="9"/>
  <c r="EH12" i="9"/>
  <c r="EI12" i="9"/>
  <c r="EJ12" i="9"/>
  <c r="EK12" i="9"/>
  <c r="EL12" i="9"/>
  <c r="EM12" i="9"/>
  <c r="EN12" i="9"/>
  <c r="EO12" i="9"/>
  <c r="EP12" i="9"/>
  <c r="EQ12" i="9"/>
  <c r="ER12" i="9"/>
  <c r="ES12" i="9"/>
  <c r="ET12" i="9"/>
  <c r="EU12" i="9"/>
  <c r="EV12" i="9"/>
  <c r="EW12" i="9"/>
  <c r="EX12" i="9"/>
  <c r="EY12" i="9"/>
  <c r="EZ12" i="9"/>
  <c r="FA12" i="9"/>
  <c r="FB12" i="9"/>
  <c r="FC12" i="9"/>
  <c r="FD12" i="9"/>
  <c r="FE12" i="9"/>
  <c r="FF12" i="9"/>
  <c r="FG12" i="9"/>
  <c r="FH12" i="9"/>
  <c r="FI12" i="9"/>
  <c r="FJ12" i="9"/>
  <c r="FK12" i="9"/>
  <c r="FL12" i="9"/>
  <c r="FM12" i="9"/>
  <c r="FN12" i="9"/>
  <c r="FO12" i="9"/>
  <c r="FP12" i="9"/>
  <c r="FQ12" i="9"/>
  <c r="FR12" i="9"/>
  <c r="FS12" i="9"/>
  <c r="FT12" i="9"/>
  <c r="FU12" i="9"/>
  <c r="FV12" i="9"/>
  <c r="FW12" i="9"/>
  <c r="FX12" i="9"/>
  <c r="FY12" i="9"/>
  <c r="FZ12" i="9"/>
  <c r="GA12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C13" i="9" s="1" a="1"/>
  <c r="C13" i="9" s="1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CT13" i="9"/>
  <c r="CU13" i="9"/>
  <c r="CV13" i="9"/>
  <c r="CW13" i="9"/>
  <c r="CX13" i="9"/>
  <c r="CY13" i="9"/>
  <c r="CZ13" i="9"/>
  <c r="DA13" i="9"/>
  <c r="DB13" i="9"/>
  <c r="DC13" i="9"/>
  <c r="DD13" i="9"/>
  <c r="DE13" i="9"/>
  <c r="DF13" i="9"/>
  <c r="DG13" i="9"/>
  <c r="DH13" i="9"/>
  <c r="DI13" i="9"/>
  <c r="DJ13" i="9"/>
  <c r="DK13" i="9"/>
  <c r="DL13" i="9"/>
  <c r="DM13" i="9"/>
  <c r="DN13" i="9"/>
  <c r="DO13" i="9"/>
  <c r="DP13" i="9"/>
  <c r="DQ13" i="9"/>
  <c r="DR13" i="9"/>
  <c r="DS13" i="9"/>
  <c r="DT13" i="9"/>
  <c r="DU13" i="9"/>
  <c r="DV13" i="9"/>
  <c r="DW13" i="9"/>
  <c r="DX13" i="9"/>
  <c r="DY13" i="9"/>
  <c r="DZ13" i="9"/>
  <c r="EA13" i="9"/>
  <c r="EB13" i="9"/>
  <c r="EC13" i="9"/>
  <c r="ED13" i="9"/>
  <c r="EE13" i="9"/>
  <c r="EF13" i="9"/>
  <c r="EG13" i="9"/>
  <c r="EH13" i="9"/>
  <c r="EI13" i="9"/>
  <c r="EJ13" i="9"/>
  <c r="EK13" i="9"/>
  <c r="EL13" i="9"/>
  <c r="EM13" i="9"/>
  <c r="EN13" i="9"/>
  <c r="EO13" i="9"/>
  <c r="EP13" i="9"/>
  <c r="EQ13" i="9"/>
  <c r="ER13" i="9"/>
  <c r="ES13" i="9"/>
  <c r="ET13" i="9"/>
  <c r="EU13" i="9"/>
  <c r="EV13" i="9"/>
  <c r="EW13" i="9"/>
  <c r="EX13" i="9"/>
  <c r="EY13" i="9"/>
  <c r="EZ13" i="9"/>
  <c r="FA13" i="9"/>
  <c r="FB13" i="9"/>
  <c r="FC13" i="9"/>
  <c r="FD13" i="9"/>
  <c r="FE13" i="9"/>
  <c r="FF13" i="9"/>
  <c r="FG13" i="9"/>
  <c r="FH13" i="9"/>
  <c r="FI13" i="9"/>
  <c r="FJ13" i="9"/>
  <c r="FK13" i="9"/>
  <c r="FL13" i="9"/>
  <c r="FM13" i="9"/>
  <c r="FN13" i="9"/>
  <c r="FO13" i="9"/>
  <c r="FP13" i="9"/>
  <c r="FQ13" i="9"/>
  <c r="FR13" i="9"/>
  <c r="FS13" i="9"/>
  <c r="FT13" i="9"/>
  <c r="FU13" i="9"/>
  <c r="FV13" i="9"/>
  <c r="FW13" i="9"/>
  <c r="FX13" i="9"/>
  <c r="FY13" i="9"/>
  <c r="FZ13" i="9"/>
  <c r="GA13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CT14" i="9"/>
  <c r="CU14" i="9"/>
  <c r="CV14" i="9"/>
  <c r="CW14" i="9"/>
  <c r="CX14" i="9"/>
  <c r="CY14" i="9"/>
  <c r="CZ14" i="9"/>
  <c r="DA14" i="9"/>
  <c r="DB14" i="9"/>
  <c r="DC14" i="9"/>
  <c r="DD14" i="9"/>
  <c r="DE14" i="9"/>
  <c r="DF14" i="9"/>
  <c r="DG14" i="9"/>
  <c r="DH14" i="9"/>
  <c r="DI14" i="9"/>
  <c r="DJ14" i="9"/>
  <c r="DK14" i="9"/>
  <c r="DL14" i="9"/>
  <c r="DM14" i="9"/>
  <c r="DN14" i="9"/>
  <c r="DO14" i="9"/>
  <c r="DP14" i="9"/>
  <c r="DQ14" i="9"/>
  <c r="DR14" i="9"/>
  <c r="DS14" i="9"/>
  <c r="DT14" i="9"/>
  <c r="DU14" i="9"/>
  <c r="DV14" i="9"/>
  <c r="DW14" i="9"/>
  <c r="DX14" i="9"/>
  <c r="DY14" i="9"/>
  <c r="DZ14" i="9"/>
  <c r="EA14" i="9"/>
  <c r="EB14" i="9"/>
  <c r="EC14" i="9"/>
  <c r="ED14" i="9"/>
  <c r="EE14" i="9"/>
  <c r="EF14" i="9"/>
  <c r="EG14" i="9"/>
  <c r="EH14" i="9"/>
  <c r="EI14" i="9"/>
  <c r="EJ14" i="9"/>
  <c r="EK14" i="9"/>
  <c r="EL14" i="9"/>
  <c r="EM14" i="9"/>
  <c r="EN14" i="9"/>
  <c r="EO14" i="9"/>
  <c r="EP14" i="9"/>
  <c r="EQ14" i="9"/>
  <c r="ER14" i="9"/>
  <c r="ES14" i="9"/>
  <c r="ET14" i="9"/>
  <c r="EU14" i="9"/>
  <c r="EV14" i="9"/>
  <c r="EW14" i="9"/>
  <c r="EX14" i="9"/>
  <c r="EY14" i="9"/>
  <c r="EZ14" i="9"/>
  <c r="FA14" i="9"/>
  <c r="FB14" i="9"/>
  <c r="FC14" i="9"/>
  <c r="FD14" i="9"/>
  <c r="FE14" i="9"/>
  <c r="FF14" i="9"/>
  <c r="FG14" i="9"/>
  <c r="FH14" i="9"/>
  <c r="FI14" i="9"/>
  <c r="FJ14" i="9"/>
  <c r="FK14" i="9"/>
  <c r="FL14" i="9"/>
  <c r="FM14" i="9"/>
  <c r="FN14" i="9"/>
  <c r="FO14" i="9"/>
  <c r="FP14" i="9"/>
  <c r="FQ14" i="9"/>
  <c r="FR14" i="9"/>
  <c r="FS14" i="9"/>
  <c r="FT14" i="9"/>
  <c r="FU14" i="9"/>
  <c r="FV14" i="9"/>
  <c r="FW14" i="9"/>
  <c r="FX14" i="9"/>
  <c r="FY14" i="9"/>
  <c r="FZ14" i="9"/>
  <c r="GA14" i="9"/>
  <c r="I12" i="9"/>
  <c r="I13" i="9"/>
  <c r="I14" i="9"/>
  <c r="A12" i="9"/>
  <c r="A13" i="9"/>
  <c r="A14" i="9"/>
  <c r="A11" i="9"/>
  <c r="I11" i="9"/>
  <c r="I10" i="9"/>
  <c r="C4" i="9" a="1"/>
  <c r="C4" i="9" s="1"/>
  <c r="G4" i="9" s="1" a="1"/>
  <c r="G4" i="9" s="1"/>
  <c r="D4" i="9" a="1"/>
  <c r="D4" i="9" s="1"/>
  <c r="C5" i="9" a="1"/>
  <c r="C5" i="9" s="1"/>
  <c r="G5" i="9" s="1" a="1"/>
  <c r="G5" i="9" s="1"/>
  <c r="D5" i="9" a="1"/>
  <c r="D5" i="9" s="1"/>
  <c r="C6" i="9" a="1"/>
  <c r="C6" i="9" s="1"/>
  <c r="G6" i="9" s="1" a="1"/>
  <c r="G6" i="9" s="1"/>
  <c r="D6" i="9" a="1"/>
  <c r="D6" i="9" s="1"/>
  <c r="D12" i="9" s="1"/>
  <c r="D3" i="9" a="1"/>
  <c r="D3" i="9" s="1"/>
  <c r="C3" i="9" a="1"/>
  <c r="C3" i="9" s="1"/>
  <c r="G3" i="9" s="1" a="1"/>
  <c r="G3" i="9" s="1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BD2" i="9"/>
  <c r="BE2" i="9"/>
  <c r="BF2" i="9"/>
  <c r="BG2" i="9"/>
  <c r="BH2" i="9"/>
  <c r="BI2" i="9"/>
  <c r="BJ2" i="9"/>
  <c r="BK2" i="9"/>
  <c r="BL2" i="9"/>
  <c r="BM2" i="9"/>
  <c r="BN2" i="9"/>
  <c r="BO2" i="9"/>
  <c r="BP2" i="9"/>
  <c r="BQ2" i="9"/>
  <c r="BR2" i="9"/>
  <c r="BS2" i="9"/>
  <c r="BT2" i="9"/>
  <c r="BU2" i="9"/>
  <c r="BV2" i="9"/>
  <c r="BW2" i="9"/>
  <c r="BX2" i="9"/>
  <c r="BY2" i="9"/>
  <c r="BZ2" i="9"/>
  <c r="CA2" i="9"/>
  <c r="CB2" i="9"/>
  <c r="CC2" i="9"/>
  <c r="CD2" i="9"/>
  <c r="CE2" i="9"/>
  <c r="CF2" i="9"/>
  <c r="CG2" i="9"/>
  <c r="CH2" i="9"/>
  <c r="CI2" i="9"/>
  <c r="CJ2" i="9"/>
  <c r="CK2" i="9"/>
  <c r="CL2" i="9"/>
  <c r="CM2" i="9"/>
  <c r="CN2" i="9"/>
  <c r="CO2" i="9"/>
  <c r="CP2" i="9"/>
  <c r="CQ2" i="9"/>
  <c r="CR2" i="9"/>
  <c r="CS2" i="9"/>
  <c r="CT2" i="9"/>
  <c r="CU2" i="9"/>
  <c r="CV2" i="9"/>
  <c r="CW2" i="9"/>
  <c r="CX2" i="9"/>
  <c r="CY2" i="9"/>
  <c r="CZ2" i="9"/>
  <c r="DA2" i="9"/>
  <c r="DB2" i="9"/>
  <c r="DC2" i="9"/>
  <c r="DD2" i="9"/>
  <c r="DE2" i="9"/>
  <c r="DF2" i="9"/>
  <c r="DG2" i="9"/>
  <c r="DH2" i="9"/>
  <c r="DI2" i="9"/>
  <c r="DJ2" i="9"/>
  <c r="DK2" i="9"/>
  <c r="DL2" i="9"/>
  <c r="DM2" i="9"/>
  <c r="DN2" i="9"/>
  <c r="DO2" i="9"/>
  <c r="DP2" i="9"/>
  <c r="DQ2" i="9"/>
  <c r="DR2" i="9"/>
  <c r="DS2" i="9"/>
  <c r="DT2" i="9"/>
  <c r="DU2" i="9"/>
  <c r="DV2" i="9"/>
  <c r="DW2" i="9"/>
  <c r="DX2" i="9"/>
  <c r="DY2" i="9"/>
  <c r="DZ2" i="9"/>
  <c r="EA2" i="9"/>
  <c r="EB2" i="9"/>
  <c r="EC2" i="9"/>
  <c r="ED2" i="9"/>
  <c r="EE2" i="9"/>
  <c r="EF2" i="9"/>
  <c r="EG2" i="9"/>
  <c r="EH2" i="9"/>
  <c r="EI2" i="9"/>
  <c r="EJ2" i="9"/>
  <c r="EK2" i="9"/>
  <c r="EL2" i="9"/>
  <c r="EM2" i="9"/>
  <c r="EN2" i="9"/>
  <c r="EO2" i="9"/>
  <c r="EP2" i="9"/>
  <c r="EQ2" i="9"/>
  <c r="ER2" i="9"/>
  <c r="ES2" i="9"/>
  <c r="ET2" i="9"/>
  <c r="EU2" i="9"/>
  <c r="EV2" i="9"/>
  <c r="EW2" i="9"/>
  <c r="EX2" i="9"/>
  <c r="EY2" i="9"/>
  <c r="EZ2" i="9"/>
  <c r="FA2" i="9"/>
  <c r="FB2" i="9"/>
  <c r="FC2" i="9"/>
  <c r="FD2" i="9"/>
  <c r="FE2" i="9"/>
  <c r="FF2" i="9"/>
  <c r="FG2" i="9"/>
  <c r="FH2" i="9"/>
  <c r="FI2" i="9"/>
  <c r="FJ2" i="9"/>
  <c r="FK2" i="9"/>
  <c r="FL2" i="9"/>
  <c r="FM2" i="9"/>
  <c r="FN2" i="9"/>
  <c r="FO2" i="9"/>
  <c r="FP2" i="9"/>
  <c r="FQ2" i="9"/>
  <c r="FR2" i="9"/>
  <c r="FS2" i="9"/>
  <c r="FT2" i="9"/>
  <c r="FU2" i="9"/>
  <c r="FV2" i="9"/>
  <c r="FW2" i="9"/>
  <c r="FX2" i="9"/>
  <c r="FY2" i="9"/>
  <c r="FZ2" i="9"/>
  <c r="GA2" i="9"/>
  <c r="I2" i="9"/>
  <c r="G11" i="9" l="1" a="1"/>
  <c r="G11" i="9" s="1"/>
  <c r="D13" i="9"/>
  <c r="G13" i="9" s="1" a="1"/>
  <c r="G13" i="9" s="1"/>
  <c r="D19" i="9"/>
  <c r="D20" i="9"/>
  <c r="G12" i="9" a="1"/>
  <c r="G12" i="9" s="1"/>
  <c r="F3" i="9"/>
  <c r="AS20" i="9"/>
  <c r="C20" i="9" s="1" a="1"/>
  <c r="C20" i="9" s="1"/>
  <c r="G20" i="9" s="1" a="1"/>
  <c r="G20" i="9" s="1"/>
  <c r="C19" i="9" a="1"/>
  <c r="C19" i="9" s="1"/>
  <c r="G19" i="9" s="1" a="1"/>
  <c r="G19" i="9" s="1"/>
  <c r="F13" i="9"/>
  <c r="F14" i="9"/>
  <c r="F12" i="9"/>
  <c r="F11" i="9"/>
  <c r="F6" i="9"/>
  <c r="F5" i="9"/>
  <c r="F4" i="9"/>
  <c r="F19" i="9" l="1"/>
  <c r="F20" i="9"/>
  <c r="A84" i="7"/>
  <c r="A60" i="7"/>
  <c r="A61" i="7"/>
  <c r="A62" i="7"/>
  <c r="A63" i="7"/>
  <c r="A64" i="7"/>
  <c r="A65" i="7"/>
  <c r="A59" i="7"/>
  <c r="A50" i="7"/>
  <c r="A51" i="7"/>
  <c r="A52" i="7"/>
  <c r="A53" i="7"/>
  <c r="A54" i="7"/>
  <c r="A55" i="7"/>
  <c r="A49" i="7"/>
  <c r="A39" i="7"/>
  <c r="A40" i="7"/>
  <c r="R40" i="7" s="1"/>
  <c r="A41" i="7"/>
  <c r="A42" i="7"/>
  <c r="A43" i="7"/>
  <c r="A44" i="7"/>
  <c r="A38" i="7"/>
  <c r="A63" i="6"/>
  <c r="A64" i="6"/>
  <c r="A65" i="6"/>
  <c r="A66" i="6"/>
  <c r="A62" i="6"/>
  <c r="A55" i="6"/>
  <c r="A56" i="6"/>
  <c r="A57" i="6"/>
  <c r="A58" i="6"/>
  <c r="A54" i="6"/>
  <c r="A46" i="6"/>
  <c r="A47" i="6"/>
  <c r="A48" i="6"/>
  <c r="A49" i="6"/>
  <c r="A45" i="6"/>
  <c r="B17" i="4"/>
  <c r="B18" i="4"/>
  <c r="B19" i="4"/>
  <c r="B20" i="4"/>
  <c r="B21" i="4"/>
  <c r="B22" i="4"/>
  <c r="B16" i="4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EG15" i="7"/>
  <c r="EH15" i="7"/>
  <c r="EI15" i="7"/>
  <c r="EJ15" i="7"/>
  <c r="EK15" i="7"/>
  <c r="EL15" i="7"/>
  <c r="EM15" i="7"/>
  <c r="EN15" i="7"/>
  <c r="EO15" i="7"/>
  <c r="EP15" i="7"/>
  <c r="EQ15" i="7"/>
  <c r="ER15" i="7"/>
  <c r="ES15" i="7"/>
  <c r="ET15" i="7"/>
  <c r="EU15" i="7"/>
  <c r="EV15" i="7"/>
  <c r="EW15" i="7"/>
  <c r="EX15" i="7"/>
  <c r="EY15" i="7"/>
  <c r="EZ15" i="7"/>
  <c r="FA15" i="7"/>
  <c r="FB15" i="7"/>
  <c r="FC15" i="7"/>
  <c r="FD15" i="7"/>
  <c r="FE15" i="7"/>
  <c r="FF15" i="7"/>
  <c r="FG15" i="7"/>
  <c r="FH15" i="7"/>
  <c r="FI15" i="7"/>
  <c r="FJ15" i="7"/>
  <c r="FK15" i="7"/>
  <c r="FL15" i="7"/>
  <c r="FM15" i="7"/>
  <c r="FN15" i="7"/>
  <c r="FO15" i="7"/>
  <c r="FP15" i="7"/>
  <c r="FQ15" i="7"/>
  <c r="FR15" i="7"/>
  <c r="FS15" i="7"/>
  <c r="FT15" i="7"/>
  <c r="FU15" i="7"/>
  <c r="FV15" i="7"/>
  <c r="FW15" i="7"/>
  <c r="FX15" i="7"/>
  <c r="FY15" i="7"/>
  <c r="FZ15" i="7"/>
  <c r="GA15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G39" i="7" s="1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EM16" i="7"/>
  <c r="EN16" i="7"/>
  <c r="EO16" i="7"/>
  <c r="EP16" i="7"/>
  <c r="EQ16" i="7"/>
  <c r="ER16" i="7"/>
  <c r="ES16" i="7"/>
  <c r="ET16" i="7"/>
  <c r="EU16" i="7"/>
  <c r="EV16" i="7"/>
  <c r="EW16" i="7"/>
  <c r="EX16" i="7"/>
  <c r="EY16" i="7"/>
  <c r="EZ16" i="7"/>
  <c r="FA16" i="7"/>
  <c r="FB16" i="7"/>
  <c r="FC16" i="7"/>
  <c r="FD16" i="7"/>
  <c r="FE16" i="7"/>
  <c r="FF16" i="7"/>
  <c r="FG16" i="7"/>
  <c r="FH16" i="7"/>
  <c r="FI16" i="7"/>
  <c r="FJ16" i="7"/>
  <c r="FK16" i="7"/>
  <c r="FL16" i="7"/>
  <c r="FM16" i="7"/>
  <c r="FN16" i="7"/>
  <c r="FO16" i="7"/>
  <c r="FP16" i="7"/>
  <c r="FQ16" i="7"/>
  <c r="FR16" i="7"/>
  <c r="FS16" i="7"/>
  <c r="FT16" i="7"/>
  <c r="FU16" i="7"/>
  <c r="FV16" i="7"/>
  <c r="FW16" i="7"/>
  <c r="FX16" i="7"/>
  <c r="FY16" i="7"/>
  <c r="FZ16" i="7"/>
  <c r="GA16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CY17" i="7"/>
  <c r="CZ17" i="7"/>
  <c r="DA17" i="7"/>
  <c r="DB17" i="7"/>
  <c r="DC17" i="7"/>
  <c r="DD17" i="7"/>
  <c r="DE17" i="7"/>
  <c r="DF17" i="7"/>
  <c r="DG17" i="7"/>
  <c r="DH17" i="7"/>
  <c r="DI17" i="7"/>
  <c r="DJ17" i="7"/>
  <c r="DK17" i="7"/>
  <c r="DL17" i="7"/>
  <c r="DM17" i="7"/>
  <c r="DN17" i="7"/>
  <c r="DO17" i="7"/>
  <c r="DP17" i="7"/>
  <c r="DQ17" i="7"/>
  <c r="DR17" i="7"/>
  <c r="DS17" i="7"/>
  <c r="DT17" i="7"/>
  <c r="DU17" i="7"/>
  <c r="DV17" i="7"/>
  <c r="DW17" i="7"/>
  <c r="DX17" i="7"/>
  <c r="DY17" i="7"/>
  <c r="DZ17" i="7"/>
  <c r="EA17" i="7"/>
  <c r="EB17" i="7"/>
  <c r="EC17" i="7"/>
  <c r="ED17" i="7"/>
  <c r="EE17" i="7"/>
  <c r="EF17" i="7"/>
  <c r="EG17" i="7"/>
  <c r="EH17" i="7"/>
  <c r="EI17" i="7"/>
  <c r="EJ17" i="7"/>
  <c r="EK17" i="7"/>
  <c r="EL17" i="7"/>
  <c r="EM17" i="7"/>
  <c r="EN17" i="7"/>
  <c r="EO17" i="7"/>
  <c r="EP17" i="7"/>
  <c r="EQ17" i="7"/>
  <c r="ER17" i="7"/>
  <c r="ES17" i="7"/>
  <c r="ET17" i="7"/>
  <c r="EU17" i="7"/>
  <c r="EV17" i="7"/>
  <c r="EW17" i="7"/>
  <c r="EX17" i="7"/>
  <c r="EY17" i="7"/>
  <c r="EZ17" i="7"/>
  <c r="FA17" i="7"/>
  <c r="FB17" i="7"/>
  <c r="FC17" i="7"/>
  <c r="FD17" i="7"/>
  <c r="FE17" i="7"/>
  <c r="FF17" i="7"/>
  <c r="FG17" i="7"/>
  <c r="FH17" i="7"/>
  <c r="FI17" i="7"/>
  <c r="FJ17" i="7"/>
  <c r="FK17" i="7"/>
  <c r="FL17" i="7"/>
  <c r="FM17" i="7"/>
  <c r="FN17" i="7"/>
  <c r="FO17" i="7"/>
  <c r="FP17" i="7"/>
  <c r="FQ17" i="7"/>
  <c r="FR17" i="7"/>
  <c r="FS17" i="7"/>
  <c r="FT17" i="7"/>
  <c r="FU17" i="7"/>
  <c r="FV17" i="7"/>
  <c r="FW17" i="7"/>
  <c r="FX17" i="7"/>
  <c r="FY17" i="7"/>
  <c r="FZ17" i="7"/>
  <c r="GA17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S41" i="7" s="1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EM18" i="7"/>
  <c r="EN18" i="7"/>
  <c r="EO18" i="7"/>
  <c r="EP18" i="7"/>
  <c r="EQ18" i="7"/>
  <c r="ER18" i="7"/>
  <c r="ES18" i="7"/>
  <c r="ET18" i="7"/>
  <c r="EU18" i="7"/>
  <c r="EV18" i="7"/>
  <c r="EW18" i="7"/>
  <c r="EX18" i="7"/>
  <c r="EY18" i="7"/>
  <c r="EZ18" i="7"/>
  <c r="FA18" i="7"/>
  <c r="FB18" i="7"/>
  <c r="FC18" i="7"/>
  <c r="FD18" i="7"/>
  <c r="FE18" i="7"/>
  <c r="FF18" i="7"/>
  <c r="FG18" i="7"/>
  <c r="FH18" i="7"/>
  <c r="FI18" i="7"/>
  <c r="FJ18" i="7"/>
  <c r="FK18" i="7"/>
  <c r="FL18" i="7"/>
  <c r="FM18" i="7"/>
  <c r="FN18" i="7"/>
  <c r="FO18" i="7"/>
  <c r="FP18" i="7"/>
  <c r="FQ18" i="7"/>
  <c r="FR18" i="7"/>
  <c r="FS18" i="7"/>
  <c r="FT18" i="7"/>
  <c r="FU18" i="7"/>
  <c r="FV18" i="7"/>
  <c r="FW18" i="7"/>
  <c r="FX18" i="7"/>
  <c r="FY18" i="7"/>
  <c r="FZ18" i="7"/>
  <c r="GA18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EM19" i="7"/>
  <c r="EN19" i="7"/>
  <c r="EO19" i="7"/>
  <c r="EP19" i="7"/>
  <c r="EQ19" i="7"/>
  <c r="ER19" i="7"/>
  <c r="ES19" i="7"/>
  <c r="ET19" i="7"/>
  <c r="EU19" i="7"/>
  <c r="EV19" i="7"/>
  <c r="EW19" i="7"/>
  <c r="EX19" i="7"/>
  <c r="EY19" i="7"/>
  <c r="EZ19" i="7"/>
  <c r="FA19" i="7"/>
  <c r="FB19" i="7"/>
  <c r="FC19" i="7"/>
  <c r="FD19" i="7"/>
  <c r="FE19" i="7"/>
  <c r="FF19" i="7"/>
  <c r="FG19" i="7"/>
  <c r="FH19" i="7"/>
  <c r="FI19" i="7"/>
  <c r="FJ19" i="7"/>
  <c r="FK19" i="7"/>
  <c r="FL19" i="7"/>
  <c r="FM19" i="7"/>
  <c r="FN19" i="7"/>
  <c r="FO19" i="7"/>
  <c r="FP19" i="7"/>
  <c r="FQ19" i="7"/>
  <c r="FR19" i="7"/>
  <c r="FS19" i="7"/>
  <c r="FT19" i="7"/>
  <c r="FU19" i="7"/>
  <c r="FV19" i="7"/>
  <c r="FW19" i="7"/>
  <c r="FX19" i="7"/>
  <c r="FY19" i="7"/>
  <c r="FZ19" i="7"/>
  <c r="GA19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EM20" i="7"/>
  <c r="EN20" i="7"/>
  <c r="EO20" i="7"/>
  <c r="EP20" i="7"/>
  <c r="EQ20" i="7"/>
  <c r="ER20" i="7"/>
  <c r="ES20" i="7"/>
  <c r="ET20" i="7"/>
  <c r="EU20" i="7"/>
  <c r="EV20" i="7"/>
  <c r="EW20" i="7"/>
  <c r="EX20" i="7"/>
  <c r="EY20" i="7"/>
  <c r="EZ20" i="7"/>
  <c r="FA20" i="7"/>
  <c r="FB20" i="7"/>
  <c r="FC20" i="7"/>
  <c r="FD20" i="7"/>
  <c r="FE20" i="7"/>
  <c r="FF20" i="7"/>
  <c r="FG20" i="7"/>
  <c r="FH20" i="7"/>
  <c r="FI20" i="7"/>
  <c r="FJ20" i="7"/>
  <c r="FK20" i="7"/>
  <c r="FL20" i="7"/>
  <c r="FM20" i="7"/>
  <c r="FN20" i="7"/>
  <c r="FO20" i="7"/>
  <c r="FP20" i="7"/>
  <c r="FQ20" i="7"/>
  <c r="FR20" i="7"/>
  <c r="FS20" i="7"/>
  <c r="FT20" i="7"/>
  <c r="FU20" i="7"/>
  <c r="FV20" i="7"/>
  <c r="FW20" i="7"/>
  <c r="FX20" i="7"/>
  <c r="FY20" i="7"/>
  <c r="FZ20" i="7"/>
  <c r="GA20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EG21" i="7"/>
  <c r="EH21" i="7"/>
  <c r="EI21" i="7"/>
  <c r="EJ21" i="7"/>
  <c r="EK21" i="7"/>
  <c r="EL21" i="7"/>
  <c r="EM21" i="7"/>
  <c r="EN21" i="7"/>
  <c r="EO21" i="7"/>
  <c r="EP21" i="7"/>
  <c r="EQ21" i="7"/>
  <c r="ER21" i="7"/>
  <c r="ES21" i="7"/>
  <c r="ET21" i="7"/>
  <c r="EU21" i="7"/>
  <c r="EV21" i="7"/>
  <c r="EW21" i="7"/>
  <c r="EX21" i="7"/>
  <c r="EY21" i="7"/>
  <c r="EZ21" i="7"/>
  <c r="FA21" i="7"/>
  <c r="FB21" i="7"/>
  <c r="FC21" i="7"/>
  <c r="FD21" i="7"/>
  <c r="FE21" i="7"/>
  <c r="FF21" i="7"/>
  <c r="FG21" i="7"/>
  <c r="FH21" i="7"/>
  <c r="FI21" i="7"/>
  <c r="FJ21" i="7"/>
  <c r="FK21" i="7"/>
  <c r="FL21" i="7"/>
  <c r="FM21" i="7"/>
  <c r="FN21" i="7"/>
  <c r="FO21" i="7"/>
  <c r="FP21" i="7"/>
  <c r="FQ21" i="7"/>
  <c r="FR21" i="7"/>
  <c r="FS21" i="7"/>
  <c r="FT21" i="7"/>
  <c r="FU21" i="7"/>
  <c r="FV21" i="7"/>
  <c r="FW21" i="7"/>
  <c r="FX21" i="7"/>
  <c r="FY21" i="7"/>
  <c r="FZ21" i="7"/>
  <c r="GA21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ES25" i="7"/>
  <c r="ET25" i="7"/>
  <c r="EU25" i="7"/>
  <c r="EV25" i="7"/>
  <c r="EW25" i="7"/>
  <c r="EX25" i="7"/>
  <c r="EY25" i="7"/>
  <c r="EZ25" i="7"/>
  <c r="FA25" i="7"/>
  <c r="FB25" i="7"/>
  <c r="FC25" i="7"/>
  <c r="FD25" i="7"/>
  <c r="FE25" i="7"/>
  <c r="FF25" i="7"/>
  <c r="FG25" i="7"/>
  <c r="FH25" i="7"/>
  <c r="FI25" i="7"/>
  <c r="FJ25" i="7"/>
  <c r="FK25" i="7"/>
  <c r="FL25" i="7"/>
  <c r="FM25" i="7"/>
  <c r="FN25" i="7"/>
  <c r="FO25" i="7"/>
  <c r="FP25" i="7"/>
  <c r="FQ25" i="7"/>
  <c r="FR25" i="7"/>
  <c r="FS25" i="7"/>
  <c r="FT25" i="7"/>
  <c r="FU25" i="7"/>
  <c r="FV25" i="7"/>
  <c r="FW25" i="7"/>
  <c r="FX25" i="7"/>
  <c r="FY25" i="7"/>
  <c r="FZ25" i="7"/>
  <c r="GA25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ES26" i="7"/>
  <c r="ET26" i="7"/>
  <c r="EU26" i="7"/>
  <c r="EV26" i="7"/>
  <c r="EW26" i="7"/>
  <c r="EX26" i="7"/>
  <c r="EY26" i="7"/>
  <c r="EZ26" i="7"/>
  <c r="FA26" i="7"/>
  <c r="FB26" i="7"/>
  <c r="FC26" i="7"/>
  <c r="FD26" i="7"/>
  <c r="FE26" i="7"/>
  <c r="FF26" i="7"/>
  <c r="FG26" i="7"/>
  <c r="FH26" i="7"/>
  <c r="FI26" i="7"/>
  <c r="FJ26" i="7"/>
  <c r="FK26" i="7"/>
  <c r="FL26" i="7"/>
  <c r="FM26" i="7"/>
  <c r="FN26" i="7"/>
  <c r="FO26" i="7"/>
  <c r="FP26" i="7"/>
  <c r="FQ26" i="7"/>
  <c r="FR26" i="7"/>
  <c r="FS26" i="7"/>
  <c r="FT26" i="7"/>
  <c r="FU26" i="7"/>
  <c r="FV26" i="7"/>
  <c r="FW26" i="7"/>
  <c r="FX26" i="7"/>
  <c r="FY26" i="7"/>
  <c r="FZ26" i="7"/>
  <c r="GA26" i="7"/>
  <c r="J27" i="7"/>
  <c r="J79" i="7" s="1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Z79" i="7" s="1"/>
  <c r="AA27" i="7"/>
  <c r="AA79" i="7" s="1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P79" i="7" s="1"/>
  <c r="AQ27" i="7"/>
  <c r="AQ79" i="7" s="1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U27" i="7"/>
  <c r="CV27" i="7"/>
  <c r="CW27" i="7"/>
  <c r="CX27" i="7"/>
  <c r="CY27" i="7"/>
  <c r="CZ27" i="7"/>
  <c r="DA27" i="7"/>
  <c r="DB27" i="7"/>
  <c r="DC27" i="7"/>
  <c r="DD27" i="7"/>
  <c r="DE27" i="7"/>
  <c r="DF27" i="7"/>
  <c r="DG27" i="7"/>
  <c r="DH27" i="7"/>
  <c r="DI27" i="7"/>
  <c r="DJ27" i="7"/>
  <c r="DK27" i="7"/>
  <c r="DL27" i="7"/>
  <c r="DM27" i="7"/>
  <c r="DN27" i="7"/>
  <c r="DO27" i="7"/>
  <c r="DP27" i="7"/>
  <c r="DQ27" i="7"/>
  <c r="DR27" i="7"/>
  <c r="DS27" i="7"/>
  <c r="DT27" i="7"/>
  <c r="DU27" i="7"/>
  <c r="DV27" i="7"/>
  <c r="DW27" i="7"/>
  <c r="DX27" i="7"/>
  <c r="DY27" i="7"/>
  <c r="DZ27" i="7"/>
  <c r="EA27" i="7"/>
  <c r="EB27" i="7"/>
  <c r="EC27" i="7"/>
  <c r="ED27" i="7"/>
  <c r="EE27" i="7"/>
  <c r="EF27" i="7"/>
  <c r="EG27" i="7"/>
  <c r="EH27" i="7"/>
  <c r="EI27" i="7"/>
  <c r="EJ27" i="7"/>
  <c r="EK27" i="7"/>
  <c r="EL27" i="7"/>
  <c r="EM27" i="7"/>
  <c r="EN27" i="7"/>
  <c r="EO27" i="7"/>
  <c r="EP27" i="7"/>
  <c r="EQ27" i="7"/>
  <c r="ER27" i="7"/>
  <c r="ES27" i="7"/>
  <c r="ET27" i="7"/>
  <c r="EU27" i="7"/>
  <c r="EV27" i="7"/>
  <c r="EW27" i="7"/>
  <c r="EX27" i="7"/>
  <c r="EY27" i="7"/>
  <c r="EZ27" i="7"/>
  <c r="FA27" i="7"/>
  <c r="FB27" i="7"/>
  <c r="FC27" i="7"/>
  <c r="FD27" i="7"/>
  <c r="FE27" i="7"/>
  <c r="FF27" i="7"/>
  <c r="FG27" i="7"/>
  <c r="FH27" i="7"/>
  <c r="FI27" i="7"/>
  <c r="FJ27" i="7"/>
  <c r="FK27" i="7"/>
  <c r="FL27" i="7"/>
  <c r="FM27" i="7"/>
  <c r="FN27" i="7"/>
  <c r="FO27" i="7"/>
  <c r="FP27" i="7"/>
  <c r="FQ27" i="7"/>
  <c r="FR27" i="7"/>
  <c r="FS27" i="7"/>
  <c r="FT27" i="7"/>
  <c r="FU27" i="7"/>
  <c r="FV27" i="7"/>
  <c r="FW27" i="7"/>
  <c r="FX27" i="7"/>
  <c r="FY27" i="7"/>
  <c r="FZ27" i="7"/>
  <c r="GA27" i="7"/>
  <c r="J28" i="7"/>
  <c r="K28" i="7"/>
  <c r="L28" i="7"/>
  <c r="L79" i="7" s="1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B79" i="7" s="1"/>
  <c r="AC28" i="7"/>
  <c r="AC79" i="7" s="1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R79" i="7" s="1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EG28" i="7"/>
  <c r="EH28" i="7"/>
  <c r="EI28" i="7"/>
  <c r="EJ28" i="7"/>
  <c r="EK28" i="7"/>
  <c r="EL28" i="7"/>
  <c r="EM28" i="7"/>
  <c r="EN28" i="7"/>
  <c r="EO28" i="7"/>
  <c r="EP28" i="7"/>
  <c r="EQ28" i="7"/>
  <c r="ER28" i="7"/>
  <c r="ES28" i="7"/>
  <c r="ET28" i="7"/>
  <c r="EU28" i="7"/>
  <c r="EV28" i="7"/>
  <c r="EW28" i="7"/>
  <c r="EX28" i="7"/>
  <c r="EY28" i="7"/>
  <c r="EZ28" i="7"/>
  <c r="FA28" i="7"/>
  <c r="FB28" i="7"/>
  <c r="FC28" i="7"/>
  <c r="FD28" i="7"/>
  <c r="FE28" i="7"/>
  <c r="FF28" i="7"/>
  <c r="FG28" i="7"/>
  <c r="FH28" i="7"/>
  <c r="FI28" i="7"/>
  <c r="FJ28" i="7"/>
  <c r="FK28" i="7"/>
  <c r="FL28" i="7"/>
  <c r="FM28" i="7"/>
  <c r="FN28" i="7"/>
  <c r="FO28" i="7"/>
  <c r="FP28" i="7"/>
  <c r="FQ28" i="7"/>
  <c r="FR28" i="7"/>
  <c r="FS28" i="7"/>
  <c r="FT28" i="7"/>
  <c r="FU28" i="7"/>
  <c r="FV28" i="7"/>
  <c r="FW28" i="7"/>
  <c r="FX28" i="7"/>
  <c r="FY28" i="7"/>
  <c r="FZ28" i="7"/>
  <c r="GA28" i="7"/>
  <c r="J29" i="7"/>
  <c r="K29" i="7"/>
  <c r="L29" i="7"/>
  <c r="M29" i="7"/>
  <c r="N29" i="7"/>
  <c r="N79" i="7" s="1"/>
  <c r="O29" i="7"/>
  <c r="O79" i="7" s="1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D79" i="7" s="1"/>
  <c r="AE29" i="7"/>
  <c r="AE79" i="7" s="1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EG29" i="7"/>
  <c r="EH29" i="7"/>
  <c r="EI29" i="7"/>
  <c r="EJ29" i="7"/>
  <c r="EK29" i="7"/>
  <c r="EL29" i="7"/>
  <c r="EM29" i="7"/>
  <c r="EN29" i="7"/>
  <c r="EO29" i="7"/>
  <c r="EP29" i="7"/>
  <c r="EQ29" i="7"/>
  <c r="ER29" i="7"/>
  <c r="ES29" i="7"/>
  <c r="ET29" i="7"/>
  <c r="EU29" i="7"/>
  <c r="EV29" i="7"/>
  <c r="EW29" i="7"/>
  <c r="EX29" i="7"/>
  <c r="EY29" i="7"/>
  <c r="EZ29" i="7"/>
  <c r="FA29" i="7"/>
  <c r="FB29" i="7"/>
  <c r="FC29" i="7"/>
  <c r="FD29" i="7"/>
  <c r="FE29" i="7"/>
  <c r="FF29" i="7"/>
  <c r="FG29" i="7"/>
  <c r="FH29" i="7"/>
  <c r="FI29" i="7"/>
  <c r="FJ29" i="7"/>
  <c r="FK29" i="7"/>
  <c r="FL29" i="7"/>
  <c r="FM29" i="7"/>
  <c r="FN29" i="7"/>
  <c r="FO29" i="7"/>
  <c r="FP29" i="7"/>
  <c r="FQ29" i="7"/>
  <c r="FR29" i="7"/>
  <c r="FS29" i="7"/>
  <c r="FT29" i="7"/>
  <c r="FU29" i="7"/>
  <c r="FV29" i="7"/>
  <c r="FW29" i="7"/>
  <c r="FX29" i="7"/>
  <c r="FY29" i="7"/>
  <c r="FZ29" i="7"/>
  <c r="GA29" i="7"/>
  <c r="J30" i="7"/>
  <c r="K30" i="7"/>
  <c r="L30" i="7"/>
  <c r="M30" i="7"/>
  <c r="N30" i="7"/>
  <c r="O30" i="7"/>
  <c r="P30" i="7"/>
  <c r="P79" i="7" s="1"/>
  <c r="Q30" i="7"/>
  <c r="Q79" i="7" s="1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F79" i="7" s="1"/>
  <c r="AG30" i="7"/>
  <c r="AG79" i="7" s="1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EG30" i="7"/>
  <c r="EH30" i="7"/>
  <c r="EI30" i="7"/>
  <c r="EJ30" i="7"/>
  <c r="EK30" i="7"/>
  <c r="EL30" i="7"/>
  <c r="EM30" i="7"/>
  <c r="EN30" i="7"/>
  <c r="EO30" i="7"/>
  <c r="EP30" i="7"/>
  <c r="EQ30" i="7"/>
  <c r="ER30" i="7"/>
  <c r="ES30" i="7"/>
  <c r="ET30" i="7"/>
  <c r="EU30" i="7"/>
  <c r="EV30" i="7"/>
  <c r="EW30" i="7"/>
  <c r="EX30" i="7"/>
  <c r="EY30" i="7"/>
  <c r="EZ30" i="7"/>
  <c r="FA30" i="7"/>
  <c r="FB30" i="7"/>
  <c r="FC30" i="7"/>
  <c r="FD30" i="7"/>
  <c r="FE30" i="7"/>
  <c r="FF30" i="7"/>
  <c r="FG30" i="7"/>
  <c r="FH30" i="7"/>
  <c r="FI30" i="7"/>
  <c r="FJ30" i="7"/>
  <c r="FK30" i="7"/>
  <c r="FL30" i="7"/>
  <c r="FM30" i="7"/>
  <c r="FN30" i="7"/>
  <c r="FO30" i="7"/>
  <c r="FP30" i="7"/>
  <c r="FQ30" i="7"/>
  <c r="FR30" i="7"/>
  <c r="FS30" i="7"/>
  <c r="FT30" i="7"/>
  <c r="FU30" i="7"/>
  <c r="FV30" i="7"/>
  <c r="FW30" i="7"/>
  <c r="FX30" i="7"/>
  <c r="FY30" i="7"/>
  <c r="FZ30" i="7"/>
  <c r="GA30" i="7"/>
  <c r="J31" i="7"/>
  <c r="K31" i="7"/>
  <c r="L31" i="7"/>
  <c r="M31" i="7"/>
  <c r="N31" i="7"/>
  <c r="O31" i="7"/>
  <c r="P31" i="7"/>
  <c r="Q31" i="7"/>
  <c r="R31" i="7"/>
  <c r="R79" i="7" s="1"/>
  <c r="S31" i="7"/>
  <c r="S79" i="7" s="1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H79" i="7" s="1"/>
  <c r="AI31" i="7"/>
  <c r="AI79" i="7" s="1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EG31" i="7"/>
  <c r="EH31" i="7"/>
  <c r="EI31" i="7"/>
  <c r="EJ31" i="7"/>
  <c r="EK31" i="7"/>
  <c r="EL31" i="7"/>
  <c r="EM31" i="7"/>
  <c r="EN31" i="7"/>
  <c r="EO31" i="7"/>
  <c r="EP31" i="7"/>
  <c r="EQ31" i="7"/>
  <c r="ER31" i="7"/>
  <c r="ES31" i="7"/>
  <c r="ET31" i="7"/>
  <c r="EU31" i="7"/>
  <c r="EV31" i="7"/>
  <c r="EW31" i="7"/>
  <c r="EX31" i="7"/>
  <c r="EY31" i="7"/>
  <c r="EZ31" i="7"/>
  <c r="FA31" i="7"/>
  <c r="FB31" i="7"/>
  <c r="FC31" i="7"/>
  <c r="FD31" i="7"/>
  <c r="FE31" i="7"/>
  <c r="FF31" i="7"/>
  <c r="FG31" i="7"/>
  <c r="FH31" i="7"/>
  <c r="FI31" i="7"/>
  <c r="FJ31" i="7"/>
  <c r="FK31" i="7"/>
  <c r="FL31" i="7"/>
  <c r="FM31" i="7"/>
  <c r="FN31" i="7"/>
  <c r="FO31" i="7"/>
  <c r="FP31" i="7"/>
  <c r="FQ31" i="7"/>
  <c r="FR31" i="7"/>
  <c r="FS31" i="7"/>
  <c r="FT31" i="7"/>
  <c r="FU31" i="7"/>
  <c r="FV31" i="7"/>
  <c r="FW31" i="7"/>
  <c r="FX31" i="7"/>
  <c r="FY31" i="7"/>
  <c r="FZ31" i="7"/>
  <c r="GA31" i="7"/>
  <c r="J32" i="7"/>
  <c r="K32" i="7"/>
  <c r="L32" i="7"/>
  <c r="M32" i="7"/>
  <c r="N32" i="7"/>
  <c r="O32" i="7"/>
  <c r="P32" i="7"/>
  <c r="Q32" i="7"/>
  <c r="R32" i="7"/>
  <c r="S32" i="7"/>
  <c r="T32" i="7"/>
  <c r="T79" i="7" s="1"/>
  <c r="U32" i="7"/>
  <c r="U79" i="7" s="1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J79" i="7" s="1"/>
  <c r="AK32" i="7"/>
  <c r="AK79" i="7" s="1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U32" i="7"/>
  <c r="CV32" i="7"/>
  <c r="CW32" i="7"/>
  <c r="CX32" i="7"/>
  <c r="CY32" i="7"/>
  <c r="CZ32" i="7"/>
  <c r="DA32" i="7"/>
  <c r="DB32" i="7"/>
  <c r="DC32" i="7"/>
  <c r="DD32" i="7"/>
  <c r="DE32" i="7"/>
  <c r="DF32" i="7"/>
  <c r="DG32" i="7"/>
  <c r="DH32" i="7"/>
  <c r="DI32" i="7"/>
  <c r="DJ32" i="7"/>
  <c r="DK32" i="7"/>
  <c r="DL32" i="7"/>
  <c r="DM32" i="7"/>
  <c r="DN32" i="7"/>
  <c r="DO32" i="7"/>
  <c r="DP32" i="7"/>
  <c r="DQ32" i="7"/>
  <c r="DR32" i="7"/>
  <c r="DS32" i="7"/>
  <c r="DT32" i="7"/>
  <c r="DU32" i="7"/>
  <c r="DV32" i="7"/>
  <c r="DW32" i="7"/>
  <c r="DX32" i="7"/>
  <c r="DY32" i="7"/>
  <c r="DZ32" i="7"/>
  <c r="EA32" i="7"/>
  <c r="EB32" i="7"/>
  <c r="EC32" i="7"/>
  <c r="ED32" i="7"/>
  <c r="EE32" i="7"/>
  <c r="EF32" i="7"/>
  <c r="EG32" i="7"/>
  <c r="EH32" i="7"/>
  <c r="EI32" i="7"/>
  <c r="EJ32" i="7"/>
  <c r="EK32" i="7"/>
  <c r="EL32" i="7"/>
  <c r="EM32" i="7"/>
  <c r="EN32" i="7"/>
  <c r="EO32" i="7"/>
  <c r="EP32" i="7"/>
  <c r="EQ32" i="7"/>
  <c r="ER32" i="7"/>
  <c r="ES32" i="7"/>
  <c r="ET32" i="7"/>
  <c r="EU32" i="7"/>
  <c r="EV32" i="7"/>
  <c r="EW32" i="7"/>
  <c r="EX32" i="7"/>
  <c r="EY32" i="7"/>
  <c r="EZ32" i="7"/>
  <c r="FA32" i="7"/>
  <c r="FB32" i="7"/>
  <c r="FC32" i="7"/>
  <c r="FD32" i="7"/>
  <c r="FE32" i="7"/>
  <c r="FF32" i="7"/>
  <c r="FG32" i="7"/>
  <c r="FH32" i="7"/>
  <c r="FI32" i="7"/>
  <c r="FJ32" i="7"/>
  <c r="FK32" i="7"/>
  <c r="FL32" i="7"/>
  <c r="FM32" i="7"/>
  <c r="FN32" i="7"/>
  <c r="FO32" i="7"/>
  <c r="FP32" i="7"/>
  <c r="FQ32" i="7"/>
  <c r="FR32" i="7"/>
  <c r="FS32" i="7"/>
  <c r="FT32" i="7"/>
  <c r="FU32" i="7"/>
  <c r="FV32" i="7"/>
  <c r="FW32" i="7"/>
  <c r="FX32" i="7"/>
  <c r="FY32" i="7"/>
  <c r="FZ32" i="7"/>
  <c r="GA32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W37" i="7"/>
  <c r="CX37" i="7"/>
  <c r="CY37" i="7"/>
  <c r="CZ37" i="7"/>
  <c r="DA37" i="7"/>
  <c r="DB37" i="7"/>
  <c r="DC37" i="7"/>
  <c r="DD37" i="7"/>
  <c r="DE37" i="7"/>
  <c r="DF37" i="7"/>
  <c r="DG37" i="7"/>
  <c r="DH37" i="7"/>
  <c r="DI37" i="7"/>
  <c r="DJ37" i="7"/>
  <c r="DK37" i="7"/>
  <c r="DL37" i="7"/>
  <c r="DM37" i="7"/>
  <c r="DN37" i="7"/>
  <c r="DO37" i="7"/>
  <c r="DP37" i="7"/>
  <c r="DQ37" i="7"/>
  <c r="DR37" i="7"/>
  <c r="DS37" i="7"/>
  <c r="DT37" i="7"/>
  <c r="DU37" i="7"/>
  <c r="DV37" i="7"/>
  <c r="DW37" i="7"/>
  <c r="DX37" i="7"/>
  <c r="DY37" i="7"/>
  <c r="DZ37" i="7"/>
  <c r="EA37" i="7"/>
  <c r="EB37" i="7"/>
  <c r="EC37" i="7"/>
  <c r="ED37" i="7"/>
  <c r="EE37" i="7"/>
  <c r="EF37" i="7"/>
  <c r="EG37" i="7"/>
  <c r="EH37" i="7"/>
  <c r="EI37" i="7"/>
  <c r="EJ37" i="7"/>
  <c r="EK37" i="7"/>
  <c r="EL37" i="7"/>
  <c r="EM37" i="7"/>
  <c r="EN37" i="7"/>
  <c r="EO37" i="7"/>
  <c r="EP37" i="7"/>
  <c r="EQ37" i="7"/>
  <c r="ER37" i="7"/>
  <c r="ES37" i="7"/>
  <c r="ET37" i="7"/>
  <c r="EU37" i="7"/>
  <c r="EV37" i="7"/>
  <c r="EW37" i="7"/>
  <c r="EX37" i="7"/>
  <c r="EY37" i="7"/>
  <c r="EZ37" i="7"/>
  <c r="FA37" i="7"/>
  <c r="FB37" i="7"/>
  <c r="FC37" i="7"/>
  <c r="FD37" i="7"/>
  <c r="FE37" i="7"/>
  <c r="FF37" i="7"/>
  <c r="FG37" i="7"/>
  <c r="FH37" i="7"/>
  <c r="FI37" i="7"/>
  <c r="FJ37" i="7"/>
  <c r="FK37" i="7"/>
  <c r="FL37" i="7"/>
  <c r="FM37" i="7"/>
  <c r="FN37" i="7"/>
  <c r="FO37" i="7"/>
  <c r="FP37" i="7"/>
  <c r="FQ37" i="7"/>
  <c r="FR37" i="7"/>
  <c r="FS37" i="7"/>
  <c r="FT37" i="7"/>
  <c r="FU37" i="7"/>
  <c r="FV37" i="7"/>
  <c r="FW37" i="7"/>
  <c r="FX37" i="7"/>
  <c r="FY37" i="7"/>
  <c r="FZ37" i="7"/>
  <c r="GA37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EG38" i="7"/>
  <c r="EH38" i="7"/>
  <c r="EI38" i="7"/>
  <c r="EJ38" i="7"/>
  <c r="EK38" i="7"/>
  <c r="EL38" i="7"/>
  <c r="EM38" i="7"/>
  <c r="EN38" i="7"/>
  <c r="EO38" i="7"/>
  <c r="EP38" i="7"/>
  <c r="EQ38" i="7"/>
  <c r="ER38" i="7"/>
  <c r="ES38" i="7"/>
  <c r="ET38" i="7"/>
  <c r="EU38" i="7"/>
  <c r="EV38" i="7"/>
  <c r="EW38" i="7"/>
  <c r="EX38" i="7"/>
  <c r="EY38" i="7"/>
  <c r="EZ38" i="7"/>
  <c r="FA38" i="7"/>
  <c r="FB38" i="7"/>
  <c r="FC38" i="7"/>
  <c r="FD38" i="7"/>
  <c r="FE38" i="7"/>
  <c r="FF38" i="7"/>
  <c r="FG38" i="7"/>
  <c r="FH38" i="7"/>
  <c r="FI38" i="7"/>
  <c r="FJ38" i="7"/>
  <c r="FK38" i="7"/>
  <c r="FL38" i="7"/>
  <c r="FM38" i="7"/>
  <c r="FN38" i="7"/>
  <c r="FO38" i="7"/>
  <c r="FP38" i="7"/>
  <c r="FQ38" i="7"/>
  <c r="FR38" i="7"/>
  <c r="FS38" i="7"/>
  <c r="FT38" i="7"/>
  <c r="FU38" i="7"/>
  <c r="FV38" i="7"/>
  <c r="FW38" i="7"/>
  <c r="FX38" i="7"/>
  <c r="FY38" i="7"/>
  <c r="FZ38" i="7"/>
  <c r="GA38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EG39" i="7"/>
  <c r="EH39" i="7"/>
  <c r="EI39" i="7"/>
  <c r="EJ39" i="7"/>
  <c r="EK39" i="7"/>
  <c r="EL39" i="7"/>
  <c r="EM39" i="7"/>
  <c r="EN39" i="7"/>
  <c r="EO39" i="7"/>
  <c r="EP39" i="7"/>
  <c r="EQ39" i="7"/>
  <c r="ER39" i="7"/>
  <c r="ES39" i="7"/>
  <c r="ET39" i="7"/>
  <c r="EU39" i="7"/>
  <c r="EV39" i="7"/>
  <c r="EW39" i="7"/>
  <c r="EX39" i="7"/>
  <c r="EY39" i="7"/>
  <c r="EZ39" i="7"/>
  <c r="FA39" i="7"/>
  <c r="FB39" i="7"/>
  <c r="FC39" i="7"/>
  <c r="FD39" i="7"/>
  <c r="FE39" i="7"/>
  <c r="FF39" i="7"/>
  <c r="FG39" i="7"/>
  <c r="FH39" i="7"/>
  <c r="FI39" i="7"/>
  <c r="FJ39" i="7"/>
  <c r="FK39" i="7"/>
  <c r="FL39" i="7"/>
  <c r="FM39" i="7"/>
  <c r="FN39" i="7"/>
  <c r="FO39" i="7"/>
  <c r="FP39" i="7"/>
  <c r="FQ39" i="7"/>
  <c r="FR39" i="7"/>
  <c r="FS39" i="7"/>
  <c r="FT39" i="7"/>
  <c r="FU39" i="7"/>
  <c r="FV39" i="7"/>
  <c r="FW39" i="7"/>
  <c r="FX39" i="7"/>
  <c r="FY39" i="7"/>
  <c r="FZ39" i="7"/>
  <c r="GA39" i="7"/>
  <c r="K40" i="7"/>
  <c r="M40" i="7"/>
  <c r="S40" i="7"/>
  <c r="AI40" i="7"/>
  <c r="AN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EG40" i="7"/>
  <c r="EH40" i="7"/>
  <c r="EI40" i="7"/>
  <c r="EJ40" i="7"/>
  <c r="EK40" i="7"/>
  <c r="EL40" i="7"/>
  <c r="EM40" i="7"/>
  <c r="EN40" i="7"/>
  <c r="EO40" i="7"/>
  <c r="EP40" i="7"/>
  <c r="EQ40" i="7"/>
  <c r="ER40" i="7"/>
  <c r="ES40" i="7"/>
  <c r="ET40" i="7"/>
  <c r="EU40" i="7"/>
  <c r="EV40" i="7"/>
  <c r="EW40" i="7"/>
  <c r="EX40" i="7"/>
  <c r="EY40" i="7"/>
  <c r="EZ40" i="7"/>
  <c r="FA40" i="7"/>
  <c r="FB40" i="7"/>
  <c r="FC40" i="7"/>
  <c r="FD40" i="7"/>
  <c r="FE40" i="7"/>
  <c r="FF40" i="7"/>
  <c r="FG40" i="7"/>
  <c r="FH40" i="7"/>
  <c r="FI40" i="7"/>
  <c r="FJ40" i="7"/>
  <c r="FK40" i="7"/>
  <c r="FL40" i="7"/>
  <c r="FM40" i="7"/>
  <c r="FN40" i="7"/>
  <c r="FO40" i="7"/>
  <c r="FP40" i="7"/>
  <c r="FQ40" i="7"/>
  <c r="FR40" i="7"/>
  <c r="FS40" i="7"/>
  <c r="FT40" i="7"/>
  <c r="FU40" i="7"/>
  <c r="FV40" i="7"/>
  <c r="FW40" i="7"/>
  <c r="FX40" i="7"/>
  <c r="FY40" i="7"/>
  <c r="FZ40" i="7"/>
  <c r="GA40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ES41" i="7"/>
  <c r="ET41" i="7"/>
  <c r="EU41" i="7"/>
  <c r="EV41" i="7"/>
  <c r="EW41" i="7"/>
  <c r="EX41" i="7"/>
  <c r="EY41" i="7"/>
  <c r="EZ41" i="7"/>
  <c r="FA41" i="7"/>
  <c r="FB41" i="7"/>
  <c r="FC41" i="7"/>
  <c r="FD41" i="7"/>
  <c r="FE41" i="7"/>
  <c r="FF41" i="7"/>
  <c r="FG41" i="7"/>
  <c r="FH41" i="7"/>
  <c r="FI41" i="7"/>
  <c r="FJ41" i="7"/>
  <c r="FK41" i="7"/>
  <c r="FL41" i="7"/>
  <c r="FM41" i="7"/>
  <c r="FN41" i="7"/>
  <c r="FO41" i="7"/>
  <c r="FP41" i="7"/>
  <c r="FQ41" i="7"/>
  <c r="FR41" i="7"/>
  <c r="FS41" i="7"/>
  <c r="FT41" i="7"/>
  <c r="FU41" i="7"/>
  <c r="FV41" i="7"/>
  <c r="FW41" i="7"/>
  <c r="FX41" i="7"/>
  <c r="FY41" i="7"/>
  <c r="FZ41" i="7"/>
  <c r="GA41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BV42" i="7"/>
  <c r="BW42" i="7"/>
  <c r="BX42" i="7"/>
  <c r="BY42" i="7"/>
  <c r="BZ42" i="7"/>
  <c r="CA42" i="7"/>
  <c r="CB42" i="7"/>
  <c r="CC42" i="7"/>
  <c r="CD42" i="7"/>
  <c r="CE42" i="7"/>
  <c r="CF42" i="7"/>
  <c r="CG42" i="7"/>
  <c r="CH42" i="7"/>
  <c r="CI42" i="7"/>
  <c r="CJ42" i="7"/>
  <c r="CK42" i="7"/>
  <c r="CL42" i="7"/>
  <c r="CM42" i="7"/>
  <c r="CN42" i="7"/>
  <c r="CO42" i="7"/>
  <c r="CP42" i="7"/>
  <c r="CQ42" i="7"/>
  <c r="CR42" i="7"/>
  <c r="CS42" i="7"/>
  <c r="CT42" i="7"/>
  <c r="CU42" i="7"/>
  <c r="CV42" i="7"/>
  <c r="CW42" i="7"/>
  <c r="CX42" i="7"/>
  <c r="CY42" i="7"/>
  <c r="CZ42" i="7"/>
  <c r="DA42" i="7"/>
  <c r="DB42" i="7"/>
  <c r="DC42" i="7"/>
  <c r="DD42" i="7"/>
  <c r="DE42" i="7"/>
  <c r="DF42" i="7"/>
  <c r="DG42" i="7"/>
  <c r="DH42" i="7"/>
  <c r="DI42" i="7"/>
  <c r="DJ42" i="7"/>
  <c r="DK42" i="7"/>
  <c r="DL42" i="7"/>
  <c r="DM42" i="7"/>
  <c r="DN42" i="7"/>
  <c r="DO42" i="7"/>
  <c r="DP42" i="7"/>
  <c r="DQ42" i="7"/>
  <c r="DR42" i="7"/>
  <c r="DS42" i="7"/>
  <c r="DT42" i="7"/>
  <c r="DU42" i="7"/>
  <c r="DV42" i="7"/>
  <c r="DW42" i="7"/>
  <c r="DX42" i="7"/>
  <c r="DY42" i="7"/>
  <c r="DZ42" i="7"/>
  <c r="EA42" i="7"/>
  <c r="EB42" i="7"/>
  <c r="EC42" i="7"/>
  <c r="ED42" i="7"/>
  <c r="EE42" i="7"/>
  <c r="EF42" i="7"/>
  <c r="EG42" i="7"/>
  <c r="EH42" i="7"/>
  <c r="EI42" i="7"/>
  <c r="EJ42" i="7"/>
  <c r="EK42" i="7"/>
  <c r="EL42" i="7"/>
  <c r="EM42" i="7"/>
  <c r="EN42" i="7"/>
  <c r="EO42" i="7"/>
  <c r="EP42" i="7"/>
  <c r="EQ42" i="7"/>
  <c r="ER42" i="7"/>
  <c r="ES42" i="7"/>
  <c r="ET42" i="7"/>
  <c r="EU42" i="7"/>
  <c r="EV42" i="7"/>
  <c r="EW42" i="7"/>
  <c r="EX42" i="7"/>
  <c r="EY42" i="7"/>
  <c r="EZ42" i="7"/>
  <c r="FA42" i="7"/>
  <c r="FB42" i="7"/>
  <c r="FC42" i="7"/>
  <c r="FD42" i="7"/>
  <c r="FE42" i="7"/>
  <c r="FF42" i="7"/>
  <c r="FG42" i="7"/>
  <c r="FH42" i="7"/>
  <c r="FI42" i="7"/>
  <c r="FJ42" i="7"/>
  <c r="FK42" i="7"/>
  <c r="FL42" i="7"/>
  <c r="FM42" i="7"/>
  <c r="FN42" i="7"/>
  <c r="FO42" i="7"/>
  <c r="FP42" i="7"/>
  <c r="FQ42" i="7"/>
  <c r="FR42" i="7"/>
  <c r="FS42" i="7"/>
  <c r="FT42" i="7"/>
  <c r="FU42" i="7"/>
  <c r="FV42" i="7"/>
  <c r="FW42" i="7"/>
  <c r="FX42" i="7"/>
  <c r="FY42" i="7"/>
  <c r="FZ42" i="7"/>
  <c r="GA42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EG43" i="7"/>
  <c r="EH43" i="7"/>
  <c r="EI43" i="7"/>
  <c r="EJ43" i="7"/>
  <c r="EK43" i="7"/>
  <c r="EL43" i="7"/>
  <c r="EM43" i="7"/>
  <c r="EN43" i="7"/>
  <c r="EO43" i="7"/>
  <c r="EP43" i="7"/>
  <c r="EQ43" i="7"/>
  <c r="ER43" i="7"/>
  <c r="ES43" i="7"/>
  <c r="ET43" i="7"/>
  <c r="EU43" i="7"/>
  <c r="EV43" i="7"/>
  <c r="EW43" i="7"/>
  <c r="EX43" i="7"/>
  <c r="EY43" i="7"/>
  <c r="EZ43" i="7"/>
  <c r="FA43" i="7"/>
  <c r="FB43" i="7"/>
  <c r="FC43" i="7"/>
  <c r="FD43" i="7"/>
  <c r="FE43" i="7"/>
  <c r="FF43" i="7"/>
  <c r="FG43" i="7"/>
  <c r="FH43" i="7"/>
  <c r="FI43" i="7"/>
  <c r="FJ43" i="7"/>
  <c r="FK43" i="7"/>
  <c r="FL43" i="7"/>
  <c r="FM43" i="7"/>
  <c r="FN43" i="7"/>
  <c r="FO43" i="7"/>
  <c r="FP43" i="7"/>
  <c r="FQ43" i="7"/>
  <c r="FR43" i="7"/>
  <c r="FS43" i="7"/>
  <c r="FT43" i="7"/>
  <c r="FU43" i="7"/>
  <c r="FV43" i="7"/>
  <c r="FW43" i="7"/>
  <c r="FX43" i="7"/>
  <c r="FY43" i="7"/>
  <c r="FZ43" i="7"/>
  <c r="GA43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EG44" i="7"/>
  <c r="EH44" i="7"/>
  <c r="EI44" i="7"/>
  <c r="EJ44" i="7"/>
  <c r="EK44" i="7"/>
  <c r="EL44" i="7"/>
  <c r="EM44" i="7"/>
  <c r="EN44" i="7"/>
  <c r="EO44" i="7"/>
  <c r="EP44" i="7"/>
  <c r="EQ44" i="7"/>
  <c r="ER44" i="7"/>
  <c r="ES44" i="7"/>
  <c r="ET44" i="7"/>
  <c r="EU44" i="7"/>
  <c r="EV44" i="7"/>
  <c r="EW44" i="7"/>
  <c r="EX44" i="7"/>
  <c r="EY44" i="7"/>
  <c r="EZ44" i="7"/>
  <c r="FA44" i="7"/>
  <c r="FB44" i="7"/>
  <c r="FC44" i="7"/>
  <c r="FD44" i="7"/>
  <c r="FE44" i="7"/>
  <c r="FF44" i="7"/>
  <c r="FG44" i="7"/>
  <c r="FH44" i="7"/>
  <c r="FI44" i="7"/>
  <c r="FJ44" i="7"/>
  <c r="FK44" i="7"/>
  <c r="FL44" i="7"/>
  <c r="FM44" i="7"/>
  <c r="FN44" i="7"/>
  <c r="FO44" i="7"/>
  <c r="FP44" i="7"/>
  <c r="FQ44" i="7"/>
  <c r="FR44" i="7"/>
  <c r="FS44" i="7"/>
  <c r="FT44" i="7"/>
  <c r="FU44" i="7"/>
  <c r="FV44" i="7"/>
  <c r="FW44" i="7"/>
  <c r="FX44" i="7"/>
  <c r="FY44" i="7"/>
  <c r="FZ44" i="7"/>
  <c r="GA44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EG48" i="7"/>
  <c r="EH48" i="7"/>
  <c r="EI48" i="7"/>
  <c r="EJ48" i="7"/>
  <c r="EK48" i="7"/>
  <c r="EL48" i="7"/>
  <c r="EM48" i="7"/>
  <c r="EN48" i="7"/>
  <c r="EO48" i="7"/>
  <c r="EP48" i="7"/>
  <c r="EQ48" i="7"/>
  <c r="ER48" i="7"/>
  <c r="ES48" i="7"/>
  <c r="ET48" i="7"/>
  <c r="EU48" i="7"/>
  <c r="EV48" i="7"/>
  <c r="EW48" i="7"/>
  <c r="EX48" i="7"/>
  <c r="EY48" i="7"/>
  <c r="EZ48" i="7"/>
  <c r="FA48" i="7"/>
  <c r="FB48" i="7"/>
  <c r="FC48" i="7"/>
  <c r="FD48" i="7"/>
  <c r="FE48" i="7"/>
  <c r="FF48" i="7"/>
  <c r="FG48" i="7"/>
  <c r="FH48" i="7"/>
  <c r="FI48" i="7"/>
  <c r="FJ48" i="7"/>
  <c r="FK48" i="7"/>
  <c r="FL48" i="7"/>
  <c r="FM48" i="7"/>
  <c r="FN48" i="7"/>
  <c r="FO48" i="7"/>
  <c r="FP48" i="7"/>
  <c r="FQ48" i="7"/>
  <c r="FR48" i="7"/>
  <c r="FS48" i="7"/>
  <c r="FT48" i="7"/>
  <c r="FU48" i="7"/>
  <c r="FV48" i="7"/>
  <c r="FW48" i="7"/>
  <c r="FX48" i="7"/>
  <c r="FY48" i="7"/>
  <c r="FZ48" i="7"/>
  <c r="GA48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EG49" i="7"/>
  <c r="EH49" i="7"/>
  <c r="EI49" i="7"/>
  <c r="EJ49" i="7"/>
  <c r="EK49" i="7"/>
  <c r="EL49" i="7"/>
  <c r="EM49" i="7"/>
  <c r="EN49" i="7"/>
  <c r="EO49" i="7"/>
  <c r="EP49" i="7"/>
  <c r="EQ49" i="7"/>
  <c r="ER49" i="7"/>
  <c r="ES49" i="7"/>
  <c r="ET49" i="7"/>
  <c r="EU49" i="7"/>
  <c r="EV49" i="7"/>
  <c r="EW49" i="7"/>
  <c r="EX49" i="7"/>
  <c r="EY49" i="7"/>
  <c r="EZ49" i="7"/>
  <c r="FA49" i="7"/>
  <c r="FB49" i="7"/>
  <c r="FC49" i="7"/>
  <c r="FD49" i="7"/>
  <c r="FE49" i="7"/>
  <c r="FF49" i="7"/>
  <c r="FG49" i="7"/>
  <c r="FH49" i="7"/>
  <c r="FI49" i="7"/>
  <c r="FJ49" i="7"/>
  <c r="FK49" i="7"/>
  <c r="FL49" i="7"/>
  <c r="FM49" i="7"/>
  <c r="FN49" i="7"/>
  <c r="FO49" i="7"/>
  <c r="FP49" i="7"/>
  <c r="FQ49" i="7"/>
  <c r="FR49" i="7"/>
  <c r="FS49" i="7"/>
  <c r="FT49" i="7"/>
  <c r="FU49" i="7"/>
  <c r="FV49" i="7"/>
  <c r="FW49" i="7"/>
  <c r="FX49" i="7"/>
  <c r="FY49" i="7"/>
  <c r="FZ49" i="7"/>
  <c r="GA49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EG50" i="7"/>
  <c r="EH50" i="7"/>
  <c r="EI50" i="7"/>
  <c r="EJ50" i="7"/>
  <c r="EK50" i="7"/>
  <c r="EL50" i="7"/>
  <c r="EM50" i="7"/>
  <c r="EN50" i="7"/>
  <c r="EO50" i="7"/>
  <c r="EP50" i="7"/>
  <c r="EQ50" i="7"/>
  <c r="ER50" i="7"/>
  <c r="ES50" i="7"/>
  <c r="ET50" i="7"/>
  <c r="EU50" i="7"/>
  <c r="EV50" i="7"/>
  <c r="EW50" i="7"/>
  <c r="EX50" i="7"/>
  <c r="EY50" i="7"/>
  <c r="EZ50" i="7"/>
  <c r="FA50" i="7"/>
  <c r="FB50" i="7"/>
  <c r="FC50" i="7"/>
  <c r="FD50" i="7"/>
  <c r="FE50" i="7"/>
  <c r="FF50" i="7"/>
  <c r="FG50" i="7"/>
  <c r="FH50" i="7"/>
  <c r="FI50" i="7"/>
  <c r="FJ50" i="7"/>
  <c r="FK50" i="7"/>
  <c r="FL50" i="7"/>
  <c r="FM50" i="7"/>
  <c r="FN50" i="7"/>
  <c r="FO50" i="7"/>
  <c r="FP50" i="7"/>
  <c r="FQ50" i="7"/>
  <c r="FR50" i="7"/>
  <c r="FS50" i="7"/>
  <c r="FT50" i="7"/>
  <c r="FU50" i="7"/>
  <c r="FV50" i="7"/>
  <c r="FW50" i="7"/>
  <c r="FX50" i="7"/>
  <c r="FY50" i="7"/>
  <c r="FZ50" i="7"/>
  <c r="GA50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ES51" i="7"/>
  <c r="ET51" i="7"/>
  <c r="EU51" i="7"/>
  <c r="EV51" i="7"/>
  <c r="EW51" i="7"/>
  <c r="EX51" i="7"/>
  <c r="EY51" i="7"/>
  <c r="EZ51" i="7"/>
  <c r="FA51" i="7"/>
  <c r="FB51" i="7"/>
  <c r="FC51" i="7"/>
  <c r="FD51" i="7"/>
  <c r="FE51" i="7"/>
  <c r="FF51" i="7"/>
  <c r="FG51" i="7"/>
  <c r="FH51" i="7"/>
  <c r="FI51" i="7"/>
  <c r="FJ51" i="7"/>
  <c r="FK51" i="7"/>
  <c r="FL51" i="7"/>
  <c r="FM51" i="7"/>
  <c r="FN51" i="7"/>
  <c r="FO51" i="7"/>
  <c r="FP51" i="7"/>
  <c r="FQ51" i="7"/>
  <c r="FR51" i="7"/>
  <c r="FS51" i="7"/>
  <c r="FT51" i="7"/>
  <c r="FU51" i="7"/>
  <c r="FV51" i="7"/>
  <c r="FW51" i="7"/>
  <c r="FX51" i="7"/>
  <c r="FY51" i="7"/>
  <c r="FZ51" i="7"/>
  <c r="GA51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BV52" i="7"/>
  <c r="BW52" i="7"/>
  <c r="BX52" i="7"/>
  <c r="BY52" i="7"/>
  <c r="BZ52" i="7"/>
  <c r="CA52" i="7"/>
  <c r="CB52" i="7"/>
  <c r="CC52" i="7"/>
  <c r="CD52" i="7"/>
  <c r="CE52" i="7"/>
  <c r="CF52" i="7"/>
  <c r="CG52" i="7"/>
  <c r="CH52" i="7"/>
  <c r="CI52" i="7"/>
  <c r="CJ52" i="7"/>
  <c r="CK52" i="7"/>
  <c r="CL52" i="7"/>
  <c r="CM52" i="7"/>
  <c r="CN52" i="7"/>
  <c r="CO52" i="7"/>
  <c r="CP52" i="7"/>
  <c r="CQ52" i="7"/>
  <c r="CR52" i="7"/>
  <c r="CS52" i="7"/>
  <c r="CT52" i="7"/>
  <c r="CU52" i="7"/>
  <c r="CV52" i="7"/>
  <c r="CW52" i="7"/>
  <c r="CX52" i="7"/>
  <c r="CY52" i="7"/>
  <c r="CZ52" i="7"/>
  <c r="DA52" i="7"/>
  <c r="DB52" i="7"/>
  <c r="DC52" i="7"/>
  <c r="DD52" i="7"/>
  <c r="DE52" i="7"/>
  <c r="DF52" i="7"/>
  <c r="DG52" i="7"/>
  <c r="DH52" i="7"/>
  <c r="DI52" i="7"/>
  <c r="DJ52" i="7"/>
  <c r="DK52" i="7"/>
  <c r="DL52" i="7"/>
  <c r="DM52" i="7"/>
  <c r="DN52" i="7"/>
  <c r="DO52" i="7"/>
  <c r="DP52" i="7"/>
  <c r="DQ52" i="7"/>
  <c r="DR52" i="7"/>
  <c r="DS52" i="7"/>
  <c r="DT52" i="7"/>
  <c r="DU52" i="7"/>
  <c r="DV52" i="7"/>
  <c r="DW52" i="7"/>
  <c r="DX52" i="7"/>
  <c r="DY52" i="7"/>
  <c r="DZ52" i="7"/>
  <c r="EA52" i="7"/>
  <c r="EB52" i="7"/>
  <c r="EC52" i="7"/>
  <c r="ED52" i="7"/>
  <c r="EE52" i="7"/>
  <c r="EF52" i="7"/>
  <c r="EG52" i="7"/>
  <c r="EH52" i="7"/>
  <c r="EI52" i="7"/>
  <c r="EJ52" i="7"/>
  <c r="EK52" i="7"/>
  <c r="EL52" i="7"/>
  <c r="EM52" i="7"/>
  <c r="EN52" i="7"/>
  <c r="EO52" i="7"/>
  <c r="EP52" i="7"/>
  <c r="EQ52" i="7"/>
  <c r="ER52" i="7"/>
  <c r="ES52" i="7"/>
  <c r="ET52" i="7"/>
  <c r="EU52" i="7"/>
  <c r="EV52" i="7"/>
  <c r="EW52" i="7"/>
  <c r="EX52" i="7"/>
  <c r="EY52" i="7"/>
  <c r="EZ52" i="7"/>
  <c r="FA52" i="7"/>
  <c r="FB52" i="7"/>
  <c r="FC52" i="7"/>
  <c r="FD52" i="7"/>
  <c r="FE52" i="7"/>
  <c r="FF52" i="7"/>
  <c r="FG52" i="7"/>
  <c r="FH52" i="7"/>
  <c r="FI52" i="7"/>
  <c r="FJ52" i="7"/>
  <c r="FK52" i="7"/>
  <c r="FL52" i="7"/>
  <c r="FM52" i="7"/>
  <c r="FN52" i="7"/>
  <c r="FO52" i="7"/>
  <c r="FP52" i="7"/>
  <c r="FQ52" i="7"/>
  <c r="FR52" i="7"/>
  <c r="FS52" i="7"/>
  <c r="FT52" i="7"/>
  <c r="FU52" i="7"/>
  <c r="FV52" i="7"/>
  <c r="FW52" i="7"/>
  <c r="FX52" i="7"/>
  <c r="FY52" i="7"/>
  <c r="FZ52" i="7"/>
  <c r="GA52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H53" i="7"/>
  <c r="EI53" i="7"/>
  <c r="EJ53" i="7"/>
  <c r="EK53" i="7"/>
  <c r="EL53" i="7"/>
  <c r="EM53" i="7"/>
  <c r="EN53" i="7"/>
  <c r="EO53" i="7"/>
  <c r="EP53" i="7"/>
  <c r="EQ53" i="7"/>
  <c r="ER53" i="7"/>
  <c r="ES53" i="7"/>
  <c r="ET53" i="7"/>
  <c r="EU53" i="7"/>
  <c r="EV53" i="7"/>
  <c r="EW53" i="7"/>
  <c r="EX53" i="7"/>
  <c r="EY53" i="7"/>
  <c r="EZ53" i="7"/>
  <c r="FA53" i="7"/>
  <c r="FB53" i="7"/>
  <c r="FC53" i="7"/>
  <c r="FD53" i="7"/>
  <c r="FE53" i="7"/>
  <c r="FF53" i="7"/>
  <c r="FG53" i="7"/>
  <c r="FH53" i="7"/>
  <c r="FI53" i="7"/>
  <c r="FJ53" i="7"/>
  <c r="FK53" i="7"/>
  <c r="FL53" i="7"/>
  <c r="FM53" i="7"/>
  <c r="FN53" i="7"/>
  <c r="FO53" i="7"/>
  <c r="FP53" i="7"/>
  <c r="FQ53" i="7"/>
  <c r="FR53" i="7"/>
  <c r="FS53" i="7"/>
  <c r="FT53" i="7"/>
  <c r="FU53" i="7"/>
  <c r="FV53" i="7"/>
  <c r="FW53" i="7"/>
  <c r="FX53" i="7"/>
  <c r="FY53" i="7"/>
  <c r="FZ53" i="7"/>
  <c r="GA53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B54" i="7"/>
  <c r="EC54" i="7"/>
  <c r="ED54" i="7"/>
  <c r="EE54" i="7"/>
  <c r="EF54" i="7"/>
  <c r="EG54" i="7"/>
  <c r="EH54" i="7"/>
  <c r="EI54" i="7"/>
  <c r="EJ54" i="7"/>
  <c r="EK54" i="7"/>
  <c r="EL54" i="7"/>
  <c r="EM54" i="7"/>
  <c r="EN54" i="7"/>
  <c r="EO54" i="7"/>
  <c r="EP54" i="7"/>
  <c r="EQ54" i="7"/>
  <c r="ER54" i="7"/>
  <c r="ES54" i="7"/>
  <c r="ET54" i="7"/>
  <c r="EU54" i="7"/>
  <c r="EV54" i="7"/>
  <c r="EW54" i="7"/>
  <c r="EX54" i="7"/>
  <c r="EY54" i="7"/>
  <c r="EZ54" i="7"/>
  <c r="FA54" i="7"/>
  <c r="FB54" i="7"/>
  <c r="FC54" i="7"/>
  <c r="FD54" i="7"/>
  <c r="FE54" i="7"/>
  <c r="FF54" i="7"/>
  <c r="FG54" i="7"/>
  <c r="FH54" i="7"/>
  <c r="FI54" i="7"/>
  <c r="FJ54" i="7"/>
  <c r="FK54" i="7"/>
  <c r="FL54" i="7"/>
  <c r="FM54" i="7"/>
  <c r="FN54" i="7"/>
  <c r="FO54" i="7"/>
  <c r="FP54" i="7"/>
  <c r="FQ54" i="7"/>
  <c r="FR54" i="7"/>
  <c r="FS54" i="7"/>
  <c r="FT54" i="7"/>
  <c r="FU54" i="7"/>
  <c r="FV54" i="7"/>
  <c r="FW54" i="7"/>
  <c r="FX54" i="7"/>
  <c r="FY54" i="7"/>
  <c r="FZ54" i="7"/>
  <c r="GA54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EG55" i="7"/>
  <c r="EH55" i="7"/>
  <c r="EI55" i="7"/>
  <c r="EJ55" i="7"/>
  <c r="EK55" i="7"/>
  <c r="EL55" i="7"/>
  <c r="EM55" i="7"/>
  <c r="EN55" i="7"/>
  <c r="EO55" i="7"/>
  <c r="EP55" i="7"/>
  <c r="EQ55" i="7"/>
  <c r="ER55" i="7"/>
  <c r="ES55" i="7"/>
  <c r="ET55" i="7"/>
  <c r="EU55" i="7"/>
  <c r="EV55" i="7"/>
  <c r="EW55" i="7"/>
  <c r="EX55" i="7"/>
  <c r="EY55" i="7"/>
  <c r="EZ55" i="7"/>
  <c r="FA55" i="7"/>
  <c r="FB55" i="7"/>
  <c r="FC55" i="7"/>
  <c r="FD55" i="7"/>
  <c r="FE55" i="7"/>
  <c r="FF55" i="7"/>
  <c r="FG55" i="7"/>
  <c r="FH55" i="7"/>
  <c r="FI55" i="7"/>
  <c r="FJ55" i="7"/>
  <c r="FK55" i="7"/>
  <c r="FL55" i="7"/>
  <c r="FM55" i="7"/>
  <c r="FN55" i="7"/>
  <c r="FO55" i="7"/>
  <c r="FP55" i="7"/>
  <c r="FQ55" i="7"/>
  <c r="FR55" i="7"/>
  <c r="FS55" i="7"/>
  <c r="FT55" i="7"/>
  <c r="FU55" i="7"/>
  <c r="FV55" i="7"/>
  <c r="FW55" i="7"/>
  <c r="FX55" i="7"/>
  <c r="FY55" i="7"/>
  <c r="FZ55" i="7"/>
  <c r="GA55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DA58" i="7"/>
  <c r="DB58" i="7"/>
  <c r="DC58" i="7"/>
  <c r="DD58" i="7"/>
  <c r="DE58" i="7"/>
  <c r="DF58" i="7"/>
  <c r="DG58" i="7"/>
  <c r="DH58" i="7"/>
  <c r="DI58" i="7"/>
  <c r="DJ58" i="7"/>
  <c r="DK58" i="7"/>
  <c r="DL58" i="7"/>
  <c r="DM58" i="7"/>
  <c r="DN58" i="7"/>
  <c r="DO58" i="7"/>
  <c r="DP58" i="7"/>
  <c r="DQ58" i="7"/>
  <c r="DR58" i="7"/>
  <c r="DS58" i="7"/>
  <c r="DT58" i="7"/>
  <c r="DU58" i="7"/>
  <c r="DV58" i="7"/>
  <c r="DW58" i="7"/>
  <c r="DX58" i="7"/>
  <c r="DY58" i="7"/>
  <c r="DZ58" i="7"/>
  <c r="EA58" i="7"/>
  <c r="EB58" i="7"/>
  <c r="EC58" i="7"/>
  <c r="ED58" i="7"/>
  <c r="EE58" i="7"/>
  <c r="EF58" i="7"/>
  <c r="EG58" i="7"/>
  <c r="EH58" i="7"/>
  <c r="EI58" i="7"/>
  <c r="EJ58" i="7"/>
  <c r="EK58" i="7"/>
  <c r="EL58" i="7"/>
  <c r="EM58" i="7"/>
  <c r="EN58" i="7"/>
  <c r="EO58" i="7"/>
  <c r="EP58" i="7"/>
  <c r="EQ58" i="7"/>
  <c r="ER58" i="7"/>
  <c r="ES58" i="7"/>
  <c r="ET58" i="7"/>
  <c r="EU58" i="7"/>
  <c r="EV58" i="7"/>
  <c r="EW58" i="7"/>
  <c r="EX58" i="7"/>
  <c r="EY58" i="7"/>
  <c r="EZ58" i="7"/>
  <c r="FA58" i="7"/>
  <c r="FB58" i="7"/>
  <c r="FC58" i="7"/>
  <c r="FD58" i="7"/>
  <c r="FE58" i="7"/>
  <c r="FF58" i="7"/>
  <c r="FG58" i="7"/>
  <c r="FH58" i="7"/>
  <c r="FI58" i="7"/>
  <c r="FJ58" i="7"/>
  <c r="FK58" i="7"/>
  <c r="FL58" i="7"/>
  <c r="FM58" i="7"/>
  <c r="FN58" i="7"/>
  <c r="FO58" i="7"/>
  <c r="FP58" i="7"/>
  <c r="FQ58" i="7"/>
  <c r="FR58" i="7"/>
  <c r="FS58" i="7"/>
  <c r="FT58" i="7"/>
  <c r="FU58" i="7"/>
  <c r="FV58" i="7"/>
  <c r="FW58" i="7"/>
  <c r="FX58" i="7"/>
  <c r="FY58" i="7"/>
  <c r="FZ58" i="7"/>
  <c r="GA58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N80" i="7" s="1"/>
  <c r="AO59" i="7"/>
  <c r="AP59" i="7"/>
  <c r="AQ59" i="7"/>
  <c r="AR59" i="7"/>
  <c r="AS59" i="7"/>
  <c r="AT59" i="7"/>
  <c r="AU59" i="7"/>
  <c r="AV59" i="7"/>
  <c r="AW59" i="7"/>
  <c r="AX59" i="7"/>
  <c r="AY59" i="7"/>
  <c r="AY80" i="7" s="1"/>
  <c r="AZ59" i="7"/>
  <c r="BA59" i="7"/>
  <c r="BB59" i="7"/>
  <c r="BC59" i="7"/>
  <c r="BD59" i="7"/>
  <c r="BD80" i="7" s="1"/>
  <c r="BE59" i="7"/>
  <c r="BE80" i="7" s="1"/>
  <c r="BF59" i="7"/>
  <c r="BG59" i="7"/>
  <c r="BH59" i="7"/>
  <c r="BI59" i="7"/>
  <c r="BJ59" i="7"/>
  <c r="BK59" i="7"/>
  <c r="BL59" i="7"/>
  <c r="BM59" i="7"/>
  <c r="BN59" i="7"/>
  <c r="BO59" i="7"/>
  <c r="BO80" i="7" s="1"/>
  <c r="BP59" i="7"/>
  <c r="BQ59" i="7"/>
  <c r="BR59" i="7"/>
  <c r="BS59" i="7"/>
  <c r="BT59" i="7"/>
  <c r="BT80" i="7" s="1"/>
  <c r="BU59" i="7"/>
  <c r="BU80" i="7" s="1"/>
  <c r="BV59" i="7"/>
  <c r="BW59" i="7"/>
  <c r="BX59" i="7"/>
  <c r="BY59" i="7"/>
  <c r="BZ59" i="7"/>
  <c r="CA59" i="7"/>
  <c r="CB59" i="7"/>
  <c r="CC59" i="7"/>
  <c r="CD59" i="7"/>
  <c r="CE59" i="7"/>
  <c r="CE80" i="7" s="1"/>
  <c r="CF59" i="7"/>
  <c r="CG59" i="7"/>
  <c r="CH59" i="7"/>
  <c r="CI59" i="7"/>
  <c r="CJ59" i="7"/>
  <c r="CJ80" i="7" s="1"/>
  <c r="CK59" i="7"/>
  <c r="CK80" i="7" s="1"/>
  <c r="CL59" i="7"/>
  <c r="CM59" i="7"/>
  <c r="CN59" i="7"/>
  <c r="CO59" i="7"/>
  <c r="CP59" i="7"/>
  <c r="CQ59" i="7"/>
  <c r="CR59" i="7"/>
  <c r="CS59" i="7"/>
  <c r="CT59" i="7"/>
  <c r="CU59" i="7"/>
  <c r="CU80" i="7" s="1"/>
  <c r="CV59" i="7"/>
  <c r="CW59" i="7"/>
  <c r="CX59" i="7"/>
  <c r="CY59" i="7"/>
  <c r="CZ59" i="7"/>
  <c r="CZ80" i="7" s="1"/>
  <c r="DA59" i="7"/>
  <c r="DA80" i="7" s="1"/>
  <c r="DB59" i="7"/>
  <c r="DC59" i="7"/>
  <c r="DD59" i="7"/>
  <c r="DE59" i="7"/>
  <c r="DF59" i="7"/>
  <c r="DG59" i="7"/>
  <c r="DH59" i="7"/>
  <c r="DI59" i="7"/>
  <c r="DJ59" i="7"/>
  <c r="DK59" i="7"/>
  <c r="DK80" i="7" s="1"/>
  <c r="DL59" i="7"/>
  <c r="DM59" i="7"/>
  <c r="DN59" i="7"/>
  <c r="DO59" i="7"/>
  <c r="DP59" i="7"/>
  <c r="DP80" i="7" s="1"/>
  <c r="DQ59" i="7"/>
  <c r="DQ80" i="7" s="1"/>
  <c r="DR59" i="7"/>
  <c r="DS59" i="7"/>
  <c r="DT59" i="7"/>
  <c r="DU59" i="7"/>
  <c r="DV59" i="7"/>
  <c r="DW59" i="7"/>
  <c r="DX59" i="7"/>
  <c r="DY59" i="7"/>
  <c r="DZ59" i="7"/>
  <c r="EA59" i="7"/>
  <c r="EA80" i="7" s="1"/>
  <c r="EB59" i="7"/>
  <c r="EC59" i="7"/>
  <c r="ED59" i="7"/>
  <c r="EE59" i="7"/>
  <c r="EF59" i="7"/>
  <c r="EF80" i="7" s="1"/>
  <c r="EG59" i="7"/>
  <c r="EG80" i="7" s="1"/>
  <c r="EH59" i="7"/>
  <c r="EI59" i="7"/>
  <c r="EJ59" i="7"/>
  <c r="EK59" i="7"/>
  <c r="EL59" i="7"/>
  <c r="EM59" i="7"/>
  <c r="EN59" i="7"/>
  <c r="EO59" i="7"/>
  <c r="EP59" i="7"/>
  <c r="EQ59" i="7"/>
  <c r="EQ80" i="7" s="1"/>
  <c r="ER59" i="7"/>
  <c r="ES59" i="7"/>
  <c r="ET59" i="7"/>
  <c r="EU59" i="7"/>
  <c r="EV59" i="7"/>
  <c r="EV80" i="7" s="1"/>
  <c r="EW59" i="7"/>
  <c r="EW80" i="7" s="1"/>
  <c r="EX59" i="7"/>
  <c r="EY59" i="7"/>
  <c r="EZ59" i="7"/>
  <c r="FA59" i="7"/>
  <c r="FB59" i="7"/>
  <c r="FC59" i="7"/>
  <c r="FD59" i="7"/>
  <c r="FE59" i="7"/>
  <c r="FF59" i="7"/>
  <c r="FG59" i="7"/>
  <c r="FG80" i="7" s="1"/>
  <c r="FH59" i="7"/>
  <c r="FI59" i="7"/>
  <c r="FJ59" i="7"/>
  <c r="FK59" i="7"/>
  <c r="FL59" i="7"/>
  <c r="FL80" i="7" s="1"/>
  <c r="FM59" i="7"/>
  <c r="FM80" i="7" s="1"/>
  <c r="FN59" i="7"/>
  <c r="FO59" i="7"/>
  <c r="FP59" i="7"/>
  <c r="FQ59" i="7"/>
  <c r="FR59" i="7"/>
  <c r="FS59" i="7"/>
  <c r="FT59" i="7"/>
  <c r="FU59" i="7"/>
  <c r="FV59" i="7"/>
  <c r="FW59" i="7"/>
  <c r="FW80" i="7" s="1"/>
  <c r="FX59" i="7"/>
  <c r="FY59" i="7"/>
  <c r="FZ59" i="7"/>
  <c r="GA59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DA60" i="7"/>
  <c r="DB60" i="7"/>
  <c r="DC60" i="7"/>
  <c r="DD60" i="7"/>
  <c r="DE60" i="7"/>
  <c r="DF60" i="7"/>
  <c r="DG60" i="7"/>
  <c r="DH60" i="7"/>
  <c r="DI60" i="7"/>
  <c r="DJ60" i="7"/>
  <c r="DK60" i="7"/>
  <c r="DL60" i="7"/>
  <c r="DM60" i="7"/>
  <c r="DN60" i="7"/>
  <c r="DO60" i="7"/>
  <c r="DP60" i="7"/>
  <c r="DQ60" i="7"/>
  <c r="DR60" i="7"/>
  <c r="DS60" i="7"/>
  <c r="DT60" i="7"/>
  <c r="DU60" i="7"/>
  <c r="DV60" i="7"/>
  <c r="DW60" i="7"/>
  <c r="DX60" i="7"/>
  <c r="DY60" i="7"/>
  <c r="DZ60" i="7"/>
  <c r="EA60" i="7"/>
  <c r="EB60" i="7"/>
  <c r="EC60" i="7"/>
  <c r="ED60" i="7"/>
  <c r="EE60" i="7"/>
  <c r="EF60" i="7"/>
  <c r="EG60" i="7"/>
  <c r="EH60" i="7"/>
  <c r="EI60" i="7"/>
  <c r="EJ60" i="7"/>
  <c r="EK60" i="7"/>
  <c r="EL60" i="7"/>
  <c r="EM60" i="7"/>
  <c r="EN60" i="7"/>
  <c r="EO60" i="7"/>
  <c r="EP60" i="7"/>
  <c r="EQ60" i="7"/>
  <c r="ER60" i="7"/>
  <c r="ES60" i="7"/>
  <c r="ET60" i="7"/>
  <c r="EU60" i="7"/>
  <c r="EV60" i="7"/>
  <c r="EW60" i="7"/>
  <c r="EX60" i="7"/>
  <c r="EY60" i="7"/>
  <c r="EZ60" i="7"/>
  <c r="FA60" i="7"/>
  <c r="FB60" i="7"/>
  <c r="FC60" i="7"/>
  <c r="FD60" i="7"/>
  <c r="FE60" i="7"/>
  <c r="FF60" i="7"/>
  <c r="FG60" i="7"/>
  <c r="FH60" i="7"/>
  <c r="FI60" i="7"/>
  <c r="FJ60" i="7"/>
  <c r="FK60" i="7"/>
  <c r="FL60" i="7"/>
  <c r="FM60" i="7"/>
  <c r="FN60" i="7"/>
  <c r="FO60" i="7"/>
  <c r="FP60" i="7"/>
  <c r="FQ60" i="7"/>
  <c r="FR60" i="7"/>
  <c r="FS60" i="7"/>
  <c r="FT60" i="7"/>
  <c r="FU60" i="7"/>
  <c r="FV60" i="7"/>
  <c r="FW60" i="7"/>
  <c r="FX60" i="7"/>
  <c r="FY60" i="7"/>
  <c r="FZ60" i="7"/>
  <c r="GA60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DA61" i="7"/>
  <c r="DB61" i="7"/>
  <c r="DC61" i="7"/>
  <c r="DD61" i="7"/>
  <c r="DE61" i="7"/>
  <c r="DF61" i="7"/>
  <c r="DG61" i="7"/>
  <c r="DH61" i="7"/>
  <c r="DI61" i="7"/>
  <c r="DJ61" i="7"/>
  <c r="DK61" i="7"/>
  <c r="DL61" i="7"/>
  <c r="DM61" i="7"/>
  <c r="DN61" i="7"/>
  <c r="DO61" i="7"/>
  <c r="DP61" i="7"/>
  <c r="DQ61" i="7"/>
  <c r="DR61" i="7"/>
  <c r="DS61" i="7"/>
  <c r="DT61" i="7"/>
  <c r="DU61" i="7"/>
  <c r="DV61" i="7"/>
  <c r="DW61" i="7"/>
  <c r="DX61" i="7"/>
  <c r="DY61" i="7"/>
  <c r="DZ61" i="7"/>
  <c r="EA61" i="7"/>
  <c r="EB61" i="7"/>
  <c r="EC61" i="7"/>
  <c r="ED61" i="7"/>
  <c r="EE61" i="7"/>
  <c r="EF61" i="7"/>
  <c r="EG61" i="7"/>
  <c r="EH61" i="7"/>
  <c r="EI61" i="7"/>
  <c r="EJ61" i="7"/>
  <c r="EK61" i="7"/>
  <c r="EL61" i="7"/>
  <c r="EM61" i="7"/>
  <c r="EN61" i="7"/>
  <c r="EO61" i="7"/>
  <c r="EP61" i="7"/>
  <c r="EQ61" i="7"/>
  <c r="ER61" i="7"/>
  <c r="ES61" i="7"/>
  <c r="ET61" i="7"/>
  <c r="EU61" i="7"/>
  <c r="EV61" i="7"/>
  <c r="EW61" i="7"/>
  <c r="EX61" i="7"/>
  <c r="EY61" i="7"/>
  <c r="EZ61" i="7"/>
  <c r="FA61" i="7"/>
  <c r="FB61" i="7"/>
  <c r="FC61" i="7"/>
  <c r="FD61" i="7"/>
  <c r="FE61" i="7"/>
  <c r="FF61" i="7"/>
  <c r="FG61" i="7"/>
  <c r="FH61" i="7"/>
  <c r="FI61" i="7"/>
  <c r="FJ61" i="7"/>
  <c r="FK61" i="7"/>
  <c r="FL61" i="7"/>
  <c r="FM61" i="7"/>
  <c r="FN61" i="7"/>
  <c r="FO61" i="7"/>
  <c r="FP61" i="7"/>
  <c r="FQ61" i="7"/>
  <c r="FR61" i="7"/>
  <c r="FS61" i="7"/>
  <c r="FT61" i="7"/>
  <c r="FU61" i="7"/>
  <c r="FV61" i="7"/>
  <c r="FW61" i="7"/>
  <c r="FX61" i="7"/>
  <c r="FY61" i="7"/>
  <c r="FZ61" i="7"/>
  <c r="GA61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BV62" i="7"/>
  <c r="BW62" i="7"/>
  <c r="BX62" i="7"/>
  <c r="BY62" i="7"/>
  <c r="BZ62" i="7"/>
  <c r="CA62" i="7"/>
  <c r="CB62" i="7"/>
  <c r="CC62" i="7"/>
  <c r="CD62" i="7"/>
  <c r="CE62" i="7"/>
  <c r="CF62" i="7"/>
  <c r="CG62" i="7"/>
  <c r="CH62" i="7"/>
  <c r="CI62" i="7"/>
  <c r="CJ62" i="7"/>
  <c r="CK62" i="7"/>
  <c r="CL62" i="7"/>
  <c r="CM62" i="7"/>
  <c r="CN62" i="7"/>
  <c r="CO62" i="7"/>
  <c r="CP62" i="7"/>
  <c r="CQ62" i="7"/>
  <c r="CR62" i="7"/>
  <c r="CS62" i="7"/>
  <c r="CT62" i="7"/>
  <c r="CU62" i="7"/>
  <c r="CV62" i="7"/>
  <c r="CW62" i="7"/>
  <c r="CX62" i="7"/>
  <c r="CY62" i="7"/>
  <c r="CZ62" i="7"/>
  <c r="DA62" i="7"/>
  <c r="DB62" i="7"/>
  <c r="DC62" i="7"/>
  <c r="DD62" i="7"/>
  <c r="DE62" i="7"/>
  <c r="DF62" i="7"/>
  <c r="DG62" i="7"/>
  <c r="DH62" i="7"/>
  <c r="DI62" i="7"/>
  <c r="DJ62" i="7"/>
  <c r="DK62" i="7"/>
  <c r="DL62" i="7"/>
  <c r="DM62" i="7"/>
  <c r="DN62" i="7"/>
  <c r="DO62" i="7"/>
  <c r="DP62" i="7"/>
  <c r="DQ62" i="7"/>
  <c r="DR62" i="7"/>
  <c r="DS62" i="7"/>
  <c r="DT62" i="7"/>
  <c r="DU62" i="7"/>
  <c r="DV62" i="7"/>
  <c r="DW62" i="7"/>
  <c r="DX62" i="7"/>
  <c r="DY62" i="7"/>
  <c r="DZ62" i="7"/>
  <c r="EA62" i="7"/>
  <c r="EB62" i="7"/>
  <c r="EC62" i="7"/>
  <c r="ED62" i="7"/>
  <c r="EE62" i="7"/>
  <c r="EF62" i="7"/>
  <c r="EG62" i="7"/>
  <c r="EH62" i="7"/>
  <c r="EI62" i="7"/>
  <c r="EJ62" i="7"/>
  <c r="EK62" i="7"/>
  <c r="EL62" i="7"/>
  <c r="EM62" i="7"/>
  <c r="EN62" i="7"/>
  <c r="EO62" i="7"/>
  <c r="EP62" i="7"/>
  <c r="EQ62" i="7"/>
  <c r="ER62" i="7"/>
  <c r="ES62" i="7"/>
  <c r="ET62" i="7"/>
  <c r="EU62" i="7"/>
  <c r="EV62" i="7"/>
  <c r="EW62" i="7"/>
  <c r="EX62" i="7"/>
  <c r="EY62" i="7"/>
  <c r="EZ62" i="7"/>
  <c r="FA62" i="7"/>
  <c r="FB62" i="7"/>
  <c r="FC62" i="7"/>
  <c r="FD62" i="7"/>
  <c r="FE62" i="7"/>
  <c r="FF62" i="7"/>
  <c r="FG62" i="7"/>
  <c r="FH62" i="7"/>
  <c r="FI62" i="7"/>
  <c r="FJ62" i="7"/>
  <c r="FK62" i="7"/>
  <c r="FL62" i="7"/>
  <c r="FM62" i="7"/>
  <c r="FN62" i="7"/>
  <c r="FO62" i="7"/>
  <c r="FP62" i="7"/>
  <c r="FQ62" i="7"/>
  <c r="FR62" i="7"/>
  <c r="FS62" i="7"/>
  <c r="FT62" i="7"/>
  <c r="FU62" i="7"/>
  <c r="FV62" i="7"/>
  <c r="FW62" i="7"/>
  <c r="FX62" i="7"/>
  <c r="FY62" i="7"/>
  <c r="FZ62" i="7"/>
  <c r="GA62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G63" i="7"/>
  <c r="DH63" i="7"/>
  <c r="DI63" i="7"/>
  <c r="DJ63" i="7"/>
  <c r="DK63" i="7"/>
  <c r="DL63" i="7"/>
  <c r="DM63" i="7"/>
  <c r="DN63" i="7"/>
  <c r="DO63" i="7"/>
  <c r="DP63" i="7"/>
  <c r="DQ63" i="7"/>
  <c r="DR63" i="7"/>
  <c r="DS63" i="7"/>
  <c r="DT63" i="7"/>
  <c r="DU63" i="7"/>
  <c r="DV63" i="7"/>
  <c r="DW63" i="7"/>
  <c r="DX63" i="7"/>
  <c r="DY63" i="7"/>
  <c r="DZ63" i="7"/>
  <c r="EA63" i="7"/>
  <c r="EB63" i="7"/>
  <c r="EC63" i="7"/>
  <c r="ED63" i="7"/>
  <c r="EE63" i="7"/>
  <c r="EF63" i="7"/>
  <c r="EG63" i="7"/>
  <c r="EH63" i="7"/>
  <c r="EI63" i="7"/>
  <c r="EJ63" i="7"/>
  <c r="EK63" i="7"/>
  <c r="EL63" i="7"/>
  <c r="EM63" i="7"/>
  <c r="EN63" i="7"/>
  <c r="EO63" i="7"/>
  <c r="EP63" i="7"/>
  <c r="EQ63" i="7"/>
  <c r="ER63" i="7"/>
  <c r="ES63" i="7"/>
  <c r="ET63" i="7"/>
  <c r="EU63" i="7"/>
  <c r="EV63" i="7"/>
  <c r="EW63" i="7"/>
  <c r="EX63" i="7"/>
  <c r="EY63" i="7"/>
  <c r="EZ63" i="7"/>
  <c r="FA63" i="7"/>
  <c r="FB63" i="7"/>
  <c r="FC63" i="7"/>
  <c r="FD63" i="7"/>
  <c r="FE63" i="7"/>
  <c r="FF63" i="7"/>
  <c r="FG63" i="7"/>
  <c r="FH63" i="7"/>
  <c r="FI63" i="7"/>
  <c r="FJ63" i="7"/>
  <c r="FK63" i="7"/>
  <c r="FL63" i="7"/>
  <c r="FM63" i="7"/>
  <c r="FN63" i="7"/>
  <c r="FO63" i="7"/>
  <c r="FP63" i="7"/>
  <c r="FQ63" i="7"/>
  <c r="FR63" i="7"/>
  <c r="FS63" i="7"/>
  <c r="FT63" i="7"/>
  <c r="FU63" i="7"/>
  <c r="FV63" i="7"/>
  <c r="FW63" i="7"/>
  <c r="FX63" i="7"/>
  <c r="FY63" i="7"/>
  <c r="FZ63" i="7"/>
  <c r="GA63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W80" i="7" s="1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M80" i="7" s="1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EG64" i="7"/>
  <c r="EH64" i="7"/>
  <c r="EI64" i="7"/>
  <c r="EJ64" i="7"/>
  <c r="EK64" i="7"/>
  <c r="EL64" i="7"/>
  <c r="EM64" i="7"/>
  <c r="EN64" i="7"/>
  <c r="EO64" i="7"/>
  <c r="EP64" i="7"/>
  <c r="EQ64" i="7"/>
  <c r="ER64" i="7"/>
  <c r="ES64" i="7"/>
  <c r="ET64" i="7"/>
  <c r="EU64" i="7"/>
  <c r="EV64" i="7"/>
  <c r="EW64" i="7"/>
  <c r="EX64" i="7"/>
  <c r="EY64" i="7"/>
  <c r="EZ64" i="7"/>
  <c r="FA64" i="7"/>
  <c r="FB64" i="7"/>
  <c r="FC64" i="7"/>
  <c r="FD64" i="7"/>
  <c r="FE64" i="7"/>
  <c r="FF64" i="7"/>
  <c r="FG64" i="7"/>
  <c r="FH64" i="7"/>
  <c r="FI64" i="7"/>
  <c r="FJ64" i="7"/>
  <c r="FK64" i="7"/>
  <c r="FL64" i="7"/>
  <c r="FM64" i="7"/>
  <c r="FN64" i="7"/>
  <c r="FO64" i="7"/>
  <c r="FP64" i="7"/>
  <c r="FQ64" i="7"/>
  <c r="FR64" i="7"/>
  <c r="FS64" i="7"/>
  <c r="FT64" i="7"/>
  <c r="FU64" i="7"/>
  <c r="FV64" i="7"/>
  <c r="FW64" i="7"/>
  <c r="FX64" i="7"/>
  <c r="FY64" i="7"/>
  <c r="FZ64" i="7"/>
  <c r="GA64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L65" i="7"/>
  <c r="DM65" i="7"/>
  <c r="DN65" i="7"/>
  <c r="DO65" i="7"/>
  <c r="DP65" i="7"/>
  <c r="DQ65" i="7"/>
  <c r="DR65" i="7"/>
  <c r="DS65" i="7"/>
  <c r="DT65" i="7"/>
  <c r="DU65" i="7"/>
  <c r="DV65" i="7"/>
  <c r="DW65" i="7"/>
  <c r="DX65" i="7"/>
  <c r="DY65" i="7"/>
  <c r="DZ65" i="7"/>
  <c r="EA65" i="7"/>
  <c r="EB65" i="7"/>
  <c r="EC65" i="7"/>
  <c r="ED65" i="7"/>
  <c r="EE65" i="7"/>
  <c r="EF65" i="7"/>
  <c r="EG65" i="7"/>
  <c r="EH65" i="7"/>
  <c r="EI65" i="7"/>
  <c r="EJ65" i="7"/>
  <c r="EK65" i="7"/>
  <c r="EL65" i="7"/>
  <c r="EM65" i="7"/>
  <c r="EN65" i="7"/>
  <c r="EO65" i="7"/>
  <c r="EP65" i="7"/>
  <c r="EQ65" i="7"/>
  <c r="ER65" i="7"/>
  <c r="ES65" i="7"/>
  <c r="ET65" i="7"/>
  <c r="EU65" i="7"/>
  <c r="EV65" i="7"/>
  <c r="EW65" i="7"/>
  <c r="EX65" i="7"/>
  <c r="EY65" i="7"/>
  <c r="EZ65" i="7"/>
  <c r="FA65" i="7"/>
  <c r="FB65" i="7"/>
  <c r="FC65" i="7"/>
  <c r="FD65" i="7"/>
  <c r="FE65" i="7"/>
  <c r="FF65" i="7"/>
  <c r="FG65" i="7"/>
  <c r="FH65" i="7"/>
  <c r="FI65" i="7"/>
  <c r="FJ65" i="7"/>
  <c r="FK65" i="7"/>
  <c r="FL65" i="7"/>
  <c r="FM65" i="7"/>
  <c r="FN65" i="7"/>
  <c r="FO65" i="7"/>
  <c r="FP65" i="7"/>
  <c r="FQ65" i="7"/>
  <c r="FR65" i="7"/>
  <c r="FS65" i="7"/>
  <c r="FT65" i="7"/>
  <c r="FU65" i="7"/>
  <c r="FV65" i="7"/>
  <c r="FW65" i="7"/>
  <c r="FX65" i="7"/>
  <c r="FY65" i="7"/>
  <c r="FZ65" i="7"/>
  <c r="GA65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DA69" i="7"/>
  <c r="DB69" i="7"/>
  <c r="DC69" i="7"/>
  <c r="DD69" i="7"/>
  <c r="DE69" i="7"/>
  <c r="DF69" i="7"/>
  <c r="DG69" i="7"/>
  <c r="DH69" i="7"/>
  <c r="DI69" i="7"/>
  <c r="DJ69" i="7"/>
  <c r="DK69" i="7"/>
  <c r="DL69" i="7"/>
  <c r="DM69" i="7"/>
  <c r="DN69" i="7"/>
  <c r="DO69" i="7"/>
  <c r="DP69" i="7"/>
  <c r="DQ69" i="7"/>
  <c r="DR69" i="7"/>
  <c r="DS69" i="7"/>
  <c r="DT69" i="7"/>
  <c r="DU69" i="7"/>
  <c r="DV69" i="7"/>
  <c r="DW69" i="7"/>
  <c r="DX69" i="7"/>
  <c r="DY69" i="7"/>
  <c r="DZ69" i="7"/>
  <c r="EA69" i="7"/>
  <c r="EB69" i="7"/>
  <c r="EC69" i="7"/>
  <c r="ED69" i="7"/>
  <c r="EE69" i="7"/>
  <c r="EF69" i="7"/>
  <c r="EG69" i="7"/>
  <c r="EH69" i="7"/>
  <c r="EI69" i="7"/>
  <c r="EJ69" i="7"/>
  <c r="EK69" i="7"/>
  <c r="EL69" i="7"/>
  <c r="EM69" i="7"/>
  <c r="EN69" i="7"/>
  <c r="EO69" i="7"/>
  <c r="EP69" i="7"/>
  <c r="EQ69" i="7"/>
  <c r="ER69" i="7"/>
  <c r="ES69" i="7"/>
  <c r="ET69" i="7"/>
  <c r="EU69" i="7"/>
  <c r="EV69" i="7"/>
  <c r="EW69" i="7"/>
  <c r="EX69" i="7"/>
  <c r="EY69" i="7"/>
  <c r="EZ69" i="7"/>
  <c r="FA69" i="7"/>
  <c r="FB69" i="7"/>
  <c r="FC69" i="7"/>
  <c r="FD69" i="7"/>
  <c r="FE69" i="7"/>
  <c r="FF69" i="7"/>
  <c r="FG69" i="7"/>
  <c r="FH69" i="7"/>
  <c r="FI69" i="7"/>
  <c r="FJ69" i="7"/>
  <c r="FK69" i="7"/>
  <c r="FL69" i="7"/>
  <c r="FM69" i="7"/>
  <c r="FN69" i="7"/>
  <c r="FO69" i="7"/>
  <c r="FP69" i="7"/>
  <c r="FQ69" i="7"/>
  <c r="FR69" i="7"/>
  <c r="FS69" i="7"/>
  <c r="FT69" i="7"/>
  <c r="FU69" i="7"/>
  <c r="FV69" i="7"/>
  <c r="FW69" i="7"/>
  <c r="FX69" i="7"/>
  <c r="FY69" i="7"/>
  <c r="FZ69" i="7"/>
  <c r="GA69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N84" i="7" s="1"/>
  <c r="AO70" i="7"/>
  <c r="AP70" i="7"/>
  <c r="AQ70" i="7"/>
  <c r="AR70" i="7"/>
  <c r="AS70" i="7"/>
  <c r="AT70" i="7"/>
  <c r="AU70" i="7"/>
  <c r="AV70" i="7"/>
  <c r="AW70" i="7"/>
  <c r="AX70" i="7"/>
  <c r="AY70" i="7"/>
  <c r="AY84" i="7" s="1"/>
  <c r="AZ70" i="7"/>
  <c r="BA70" i="7"/>
  <c r="BB70" i="7"/>
  <c r="BC70" i="7"/>
  <c r="BD70" i="7"/>
  <c r="BD84" i="7" s="1"/>
  <c r="BE70" i="7"/>
  <c r="BE84" i="7" s="1"/>
  <c r="BF70" i="7"/>
  <c r="BG70" i="7"/>
  <c r="BH70" i="7"/>
  <c r="BI70" i="7"/>
  <c r="BI84" i="7" s="1"/>
  <c r="BJ70" i="7"/>
  <c r="BK70" i="7"/>
  <c r="BL70" i="7"/>
  <c r="BM70" i="7"/>
  <c r="BN70" i="7"/>
  <c r="BO70" i="7"/>
  <c r="BO84" i="7" s="1"/>
  <c r="BP70" i="7"/>
  <c r="BQ70" i="7"/>
  <c r="BR70" i="7"/>
  <c r="BS70" i="7"/>
  <c r="BT70" i="7"/>
  <c r="BT84" i="7" s="1"/>
  <c r="BU70" i="7"/>
  <c r="BU84" i="7" s="1"/>
  <c r="BV70" i="7"/>
  <c r="BW70" i="7"/>
  <c r="BX70" i="7"/>
  <c r="BY70" i="7"/>
  <c r="BZ70" i="7"/>
  <c r="CA70" i="7"/>
  <c r="CB70" i="7"/>
  <c r="CC70" i="7"/>
  <c r="CD70" i="7"/>
  <c r="CE70" i="7"/>
  <c r="CE84" i="7" s="1"/>
  <c r="CF70" i="7"/>
  <c r="CG70" i="7"/>
  <c r="CH70" i="7"/>
  <c r="CI70" i="7"/>
  <c r="CJ70" i="7"/>
  <c r="CJ84" i="7" s="1"/>
  <c r="CK70" i="7"/>
  <c r="CK84" i="7" s="1"/>
  <c r="CL70" i="7"/>
  <c r="CM70" i="7"/>
  <c r="CN70" i="7"/>
  <c r="CO70" i="7"/>
  <c r="CO84" i="7" s="1"/>
  <c r="CP70" i="7"/>
  <c r="CQ70" i="7"/>
  <c r="CR70" i="7"/>
  <c r="CS70" i="7"/>
  <c r="CT70" i="7"/>
  <c r="CU70" i="7"/>
  <c r="CU84" i="7" s="1"/>
  <c r="CV70" i="7"/>
  <c r="CW70" i="7"/>
  <c r="CX70" i="7"/>
  <c r="CY70" i="7"/>
  <c r="CZ70" i="7"/>
  <c r="CZ84" i="7" s="1"/>
  <c r="DA70" i="7"/>
  <c r="DA84" i="7" s="1"/>
  <c r="DB70" i="7"/>
  <c r="DC70" i="7"/>
  <c r="DD70" i="7"/>
  <c r="DE70" i="7"/>
  <c r="DE84" i="7" s="1"/>
  <c r="DF70" i="7"/>
  <c r="DG70" i="7"/>
  <c r="DH70" i="7"/>
  <c r="DI70" i="7"/>
  <c r="DJ70" i="7"/>
  <c r="DK70" i="7"/>
  <c r="DK84" i="7" s="1"/>
  <c r="DL70" i="7"/>
  <c r="DM70" i="7"/>
  <c r="DN70" i="7"/>
  <c r="DO70" i="7"/>
  <c r="DP70" i="7"/>
  <c r="DP84" i="7" s="1"/>
  <c r="DQ70" i="7"/>
  <c r="DQ84" i="7" s="1"/>
  <c r="DR70" i="7"/>
  <c r="DS70" i="7"/>
  <c r="DT70" i="7"/>
  <c r="DU70" i="7"/>
  <c r="DV70" i="7"/>
  <c r="DW70" i="7"/>
  <c r="DX70" i="7"/>
  <c r="DY70" i="7"/>
  <c r="DZ70" i="7"/>
  <c r="EA70" i="7"/>
  <c r="EB70" i="7"/>
  <c r="EC70" i="7"/>
  <c r="ED70" i="7"/>
  <c r="EE70" i="7"/>
  <c r="EF70" i="7"/>
  <c r="EF84" i="7" s="1"/>
  <c r="EG70" i="7"/>
  <c r="EG84" i="7" s="1"/>
  <c r="EH70" i="7"/>
  <c r="EI70" i="7"/>
  <c r="EJ70" i="7"/>
  <c r="EK70" i="7"/>
  <c r="EK84" i="7" s="1"/>
  <c r="EL70" i="7"/>
  <c r="EM70" i="7"/>
  <c r="EN70" i="7"/>
  <c r="EO70" i="7"/>
  <c r="EP70" i="7"/>
  <c r="EQ70" i="7"/>
  <c r="EQ84" i="7" s="1"/>
  <c r="ER70" i="7"/>
  <c r="ES70" i="7"/>
  <c r="ET70" i="7"/>
  <c r="EU70" i="7"/>
  <c r="EV70" i="7"/>
  <c r="EV84" i="7" s="1"/>
  <c r="EW70" i="7"/>
  <c r="EW84" i="7" s="1"/>
  <c r="EX70" i="7"/>
  <c r="EY70" i="7"/>
  <c r="EZ70" i="7"/>
  <c r="FA70" i="7"/>
  <c r="FA84" i="7" s="1"/>
  <c r="FB70" i="7"/>
  <c r="FC70" i="7"/>
  <c r="FD70" i="7"/>
  <c r="FE70" i="7"/>
  <c r="FF70" i="7"/>
  <c r="FG70" i="7"/>
  <c r="FG84" i="7" s="1"/>
  <c r="FH70" i="7"/>
  <c r="FI70" i="7"/>
  <c r="FJ70" i="7"/>
  <c r="FK70" i="7"/>
  <c r="FL70" i="7"/>
  <c r="FL84" i="7" s="1"/>
  <c r="FM70" i="7"/>
  <c r="FM84" i="7" s="1"/>
  <c r="FN70" i="7"/>
  <c r="FO70" i="7"/>
  <c r="FP70" i="7"/>
  <c r="FQ70" i="7"/>
  <c r="FQ84" i="7" s="1"/>
  <c r="FR70" i="7"/>
  <c r="FS70" i="7"/>
  <c r="FT70" i="7"/>
  <c r="FU70" i="7"/>
  <c r="FV70" i="7"/>
  <c r="FW70" i="7"/>
  <c r="FW84" i="7" s="1"/>
  <c r="FX70" i="7"/>
  <c r="FY70" i="7"/>
  <c r="FZ70" i="7"/>
  <c r="GA70" i="7"/>
  <c r="J71" i="7"/>
  <c r="K71" i="7"/>
  <c r="L71" i="7"/>
  <c r="M71" i="7"/>
  <c r="N71" i="7"/>
  <c r="O71" i="7"/>
  <c r="O84" i="7" s="1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E84" i="7" s="1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DJ71" i="7"/>
  <c r="DK71" i="7"/>
  <c r="DL71" i="7"/>
  <c r="DM71" i="7"/>
  <c r="DN71" i="7"/>
  <c r="DO71" i="7"/>
  <c r="DP71" i="7"/>
  <c r="DQ71" i="7"/>
  <c r="DR71" i="7"/>
  <c r="DS71" i="7"/>
  <c r="DT71" i="7"/>
  <c r="DU71" i="7"/>
  <c r="DV71" i="7"/>
  <c r="DW71" i="7"/>
  <c r="DX71" i="7"/>
  <c r="DY71" i="7"/>
  <c r="DZ71" i="7"/>
  <c r="EA71" i="7"/>
  <c r="EB71" i="7"/>
  <c r="EC71" i="7"/>
  <c r="ED71" i="7"/>
  <c r="EE71" i="7"/>
  <c r="EF71" i="7"/>
  <c r="EG71" i="7"/>
  <c r="EH71" i="7"/>
  <c r="EI71" i="7"/>
  <c r="EJ71" i="7"/>
  <c r="EK71" i="7"/>
  <c r="EL71" i="7"/>
  <c r="EM71" i="7"/>
  <c r="EN71" i="7"/>
  <c r="EO71" i="7"/>
  <c r="EP71" i="7"/>
  <c r="EQ71" i="7"/>
  <c r="ER71" i="7"/>
  <c r="ES71" i="7"/>
  <c r="ET71" i="7"/>
  <c r="EU71" i="7"/>
  <c r="EV71" i="7"/>
  <c r="EW71" i="7"/>
  <c r="EX71" i="7"/>
  <c r="EY71" i="7"/>
  <c r="EZ71" i="7"/>
  <c r="FA71" i="7"/>
  <c r="FB71" i="7"/>
  <c r="FC71" i="7"/>
  <c r="FD71" i="7"/>
  <c r="FE71" i="7"/>
  <c r="FF71" i="7"/>
  <c r="FG71" i="7"/>
  <c r="FH71" i="7"/>
  <c r="FI71" i="7"/>
  <c r="FJ71" i="7"/>
  <c r="FK71" i="7"/>
  <c r="FL71" i="7"/>
  <c r="FM71" i="7"/>
  <c r="FN71" i="7"/>
  <c r="FO71" i="7"/>
  <c r="FP71" i="7"/>
  <c r="FQ71" i="7"/>
  <c r="FR71" i="7"/>
  <c r="FS71" i="7"/>
  <c r="FT71" i="7"/>
  <c r="FU71" i="7"/>
  <c r="FV71" i="7"/>
  <c r="FW71" i="7"/>
  <c r="FX71" i="7"/>
  <c r="FY71" i="7"/>
  <c r="FZ71" i="7"/>
  <c r="GA71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BS72" i="7"/>
  <c r="BT72" i="7"/>
  <c r="BU72" i="7"/>
  <c r="BV72" i="7"/>
  <c r="BW72" i="7"/>
  <c r="BX72" i="7"/>
  <c r="BY72" i="7"/>
  <c r="BZ72" i="7"/>
  <c r="CA72" i="7"/>
  <c r="CB72" i="7"/>
  <c r="CC72" i="7"/>
  <c r="CD72" i="7"/>
  <c r="CE72" i="7"/>
  <c r="CF72" i="7"/>
  <c r="CG72" i="7"/>
  <c r="CH72" i="7"/>
  <c r="CI72" i="7"/>
  <c r="CJ72" i="7"/>
  <c r="CK72" i="7"/>
  <c r="CL72" i="7"/>
  <c r="CM72" i="7"/>
  <c r="CN72" i="7"/>
  <c r="CO72" i="7"/>
  <c r="CP72" i="7"/>
  <c r="CQ72" i="7"/>
  <c r="CR72" i="7"/>
  <c r="CS72" i="7"/>
  <c r="CT72" i="7"/>
  <c r="CU72" i="7"/>
  <c r="CV72" i="7"/>
  <c r="CW72" i="7"/>
  <c r="CX72" i="7"/>
  <c r="CY72" i="7"/>
  <c r="CZ72" i="7"/>
  <c r="DA72" i="7"/>
  <c r="DB72" i="7"/>
  <c r="DC72" i="7"/>
  <c r="DD72" i="7"/>
  <c r="DE72" i="7"/>
  <c r="DF72" i="7"/>
  <c r="DG72" i="7"/>
  <c r="DH72" i="7"/>
  <c r="DI72" i="7"/>
  <c r="DJ72" i="7"/>
  <c r="DK72" i="7"/>
  <c r="DL72" i="7"/>
  <c r="DM72" i="7"/>
  <c r="DN72" i="7"/>
  <c r="DO72" i="7"/>
  <c r="DP72" i="7"/>
  <c r="DQ72" i="7"/>
  <c r="DR72" i="7"/>
  <c r="DS72" i="7"/>
  <c r="DT72" i="7"/>
  <c r="DU72" i="7"/>
  <c r="DV72" i="7"/>
  <c r="DW72" i="7"/>
  <c r="DX72" i="7"/>
  <c r="DY72" i="7"/>
  <c r="DZ72" i="7"/>
  <c r="EA72" i="7"/>
  <c r="EB72" i="7"/>
  <c r="EC72" i="7"/>
  <c r="ED72" i="7"/>
  <c r="EE72" i="7"/>
  <c r="EF72" i="7"/>
  <c r="EG72" i="7"/>
  <c r="EH72" i="7"/>
  <c r="EI72" i="7"/>
  <c r="EJ72" i="7"/>
  <c r="EK72" i="7"/>
  <c r="EL72" i="7"/>
  <c r="EM72" i="7"/>
  <c r="EN72" i="7"/>
  <c r="EO72" i="7"/>
  <c r="EP72" i="7"/>
  <c r="EQ72" i="7"/>
  <c r="ER72" i="7"/>
  <c r="ES72" i="7"/>
  <c r="ET72" i="7"/>
  <c r="EU72" i="7"/>
  <c r="EV72" i="7"/>
  <c r="EW72" i="7"/>
  <c r="EX72" i="7"/>
  <c r="EY72" i="7"/>
  <c r="EZ72" i="7"/>
  <c r="FA72" i="7"/>
  <c r="FB72" i="7"/>
  <c r="FC72" i="7"/>
  <c r="FD72" i="7"/>
  <c r="FE72" i="7"/>
  <c r="FF72" i="7"/>
  <c r="FG72" i="7"/>
  <c r="FH72" i="7"/>
  <c r="FI72" i="7"/>
  <c r="FJ72" i="7"/>
  <c r="FK72" i="7"/>
  <c r="FL72" i="7"/>
  <c r="FM72" i="7"/>
  <c r="FN72" i="7"/>
  <c r="FO72" i="7"/>
  <c r="FP72" i="7"/>
  <c r="FQ72" i="7"/>
  <c r="FR72" i="7"/>
  <c r="FS72" i="7"/>
  <c r="FT72" i="7"/>
  <c r="FU72" i="7"/>
  <c r="FV72" i="7"/>
  <c r="FW72" i="7"/>
  <c r="FX72" i="7"/>
  <c r="FY72" i="7"/>
  <c r="FZ72" i="7"/>
  <c r="GA72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DA73" i="7"/>
  <c r="DB73" i="7"/>
  <c r="DC73" i="7"/>
  <c r="DD73" i="7"/>
  <c r="DE73" i="7"/>
  <c r="DF73" i="7"/>
  <c r="DG73" i="7"/>
  <c r="DH73" i="7"/>
  <c r="DI73" i="7"/>
  <c r="DJ73" i="7"/>
  <c r="DK73" i="7"/>
  <c r="DL73" i="7"/>
  <c r="DM73" i="7"/>
  <c r="DN73" i="7"/>
  <c r="DO73" i="7"/>
  <c r="DP73" i="7"/>
  <c r="DQ73" i="7"/>
  <c r="DR73" i="7"/>
  <c r="DS73" i="7"/>
  <c r="DT73" i="7"/>
  <c r="DU73" i="7"/>
  <c r="DV73" i="7"/>
  <c r="DW73" i="7"/>
  <c r="DX73" i="7"/>
  <c r="DY73" i="7"/>
  <c r="DZ73" i="7"/>
  <c r="EA73" i="7"/>
  <c r="EB73" i="7"/>
  <c r="EC73" i="7"/>
  <c r="ED73" i="7"/>
  <c r="EE73" i="7"/>
  <c r="EF73" i="7"/>
  <c r="EG73" i="7"/>
  <c r="EH73" i="7"/>
  <c r="EI73" i="7"/>
  <c r="EJ73" i="7"/>
  <c r="EK73" i="7"/>
  <c r="EL73" i="7"/>
  <c r="EM73" i="7"/>
  <c r="EN73" i="7"/>
  <c r="EO73" i="7"/>
  <c r="EP73" i="7"/>
  <c r="EQ73" i="7"/>
  <c r="ER73" i="7"/>
  <c r="ES73" i="7"/>
  <c r="ET73" i="7"/>
  <c r="EU73" i="7"/>
  <c r="EV73" i="7"/>
  <c r="EW73" i="7"/>
  <c r="EX73" i="7"/>
  <c r="EY73" i="7"/>
  <c r="EZ73" i="7"/>
  <c r="FA73" i="7"/>
  <c r="FB73" i="7"/>
  <c r="FC73" i="7"/>
  <c r="FD73" i="7"/>
  <c r="FE73" i="7"/>
  <c r="FF73" i="7"/>
  <c r="FG73" i="7"/>
  <c r="FH73" i="7"/>
  <c r="FI73" i="7"/>
  <c r="FJ73" i="7"/>
  <c r="FK73" i="7"/>
  <c r="FL73" i="7"/>
  <c r="FM73" i="7"/>
  <c r="FN73" i="7"/>
  <c r="FO73" i="7"/>
  <c r="FP73" i="7"/>
  <c r="FQ73" i="7"/>
  <c r="FR73" i="7"/>
  <c r="FS73" i="7"/>
  <c r="FT73" i="7"/>
  <c r="FU73" i="7"/>
  <c r="FV73" i="7"/>
  <c r="FW73" i="7"/>
  <c r="FX73" i="7"/>
  <c r="FY73" i="7"/>
  <c r="FZ73" i="7"/>
  <c r="GA73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CW74" i="7"/>
  <c r="CX74" i="7"/>
  <c r="CY74" i="7"/>
  <c r="CZ74" i="7"/>
  <c r="DA74" i="7"/>
  <c r="DB74" i="7"/>
  <c r="DC74" i="7"/>
  <c r="DD74" i="7"/>
  <c r="DE74" i="7"/>
  <c r="DF74" i="7"/>
  <c r="DG74" i="7"/>
  <c r="DH74" i="7"/>
  <c r="DI74" i="7"/>
  <c r="DJ74" i="7"/>
  <c r="DK74" i="7"/>
  <c r="DL74" i="7"/>
  <c r="DM74" i="7"/>
  <c r="DN74" i="7"/>
  <c r="DO74" i="7"/>
  <c r="DP74" i="7"/>
  <c r="DQ74" i="7"/>
  <c r="DR74" i="7"/>
  <c r="DS74" i="7"/>
  <c r="DT74" i="7"/>
  <c r="DU74" i="7"/>
  <c r="DV74" i="7"/>
  <c r="DW74" i="7"/>
  <c r="DX74" i="7"/>
  <c r="DY74" i="7"/>
  <c r="DZ74" i="7"/>
  <c r="EA74" i="7"/>
  <c r="EB74" i="7"/>
  <c r="EC74" i="7"/>
  <c r="ED74" i="7"/>
  <c r="EE74" i="7"/>
  <c r="EF74" i="7"/>
  <c r="EG74" i="7"/>
  <c r="EH74" i="7"/>
  <c r="EI74" i="7"/>
  <c r="EJ74" i="7"/>
  <c r="EK74" i="7"/>
  <c r="EL74" i="7"/>
  <c r="EM74" i="7"/>
  <c r="EN74" i="7"/>
  <c r="EO74" i="7"/>
  <c r="EP74" i="7"/>
  <c r="EQ74" i="7"/>
  <c r="ER74" i="7"/>
  <c r="ES74" i="7"/>
  <c r="ET74" i="7"/>
  <c r="EU74" i="7"/>
  <c r="EV74" i="7"/>
  <c r="EW74" i="7"/>
  <c r="EX74" i="7"/>
  <c r="EY74" i="7"/>
  <c r="EZ74" i="7"/>
  <c r="FA74" i="7"/>
  <c r="FB74" i="7"/>
  <c r="FC74" i="7"/>
  <c r="FD74" i="7"/>
  <c r="FE74" i="7"/>
  <c r="FF74" i="7"/>
  <c r="FG74" i="7"/>
  <c r="FH74" i="7"/>
  <c r="FI74" i="7"/>
  <c r="FJ74" i="7"/>
  <c r="FK74" i="7"/>
  <c r="FL74" i="7"/>
  <c r="FM74" i="7"/>
  <c r="FN74" i="7"/>
  <c r="FO74" i="7"/>
  <c r="FP74" i="7"/>
  <c r="FQ74" i="7"/>
  <c r="FR74" i="7"/>
  <c r="FS74" i="7"/>
  <c r="FT74" i="7"/>
  <c r="FU74" i="7"/>
  <c r="FV74" i="7"/>
  <c r="FW74" i="7"/>
  <c r="FX74" i="7"/>
  <c r="FY74" i="7"/>
  <c r="FZ74" i="7"/>
  <c r="GA74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W84" i="7" s="1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CW75" i="7"/>
  <c r="CX75" i="7"/>
  <c r="CY75" i="7"/>
  <c r="CZ75" i="7"/>
  <c r="DA75" i="7"/>
  <c r="DB75" i="7"/>
  <c r="DC75" i="7"/>
  <c r="DD75" i="7"/>
  <c r="DE75" i="7"/>
  <c r="DF75" i="7"/>
  <c r="DG75" i="7"/>
  <c r="DH75" i="7"/>
  <c r="DI75" i="7"/>
  <c r="DJ75" i="7"/>
  <c r="DK75" i="7"/>
  <c r="DL75" i="7"/>
  <c r="DM75" i="7"/>
  <c r="DN75" i="7"/>
  <c r="DO75" i="7"/>
  <c r="DP75" i="7"/>
  <c r="DQ75" i="7"/>
  <c r="DR75" i="7"/>
  <c r="DS75" i="7"/>
  <c r="DT75" i="7"/>
  <c r="DU75" i="7"/>
  <c r="DV75" i="7"/>
  <c r="DW75" i="7"/>
  <c r="DX75" i="7"/>
  <c r="DY75" i="7"/>
  <c r="DZ75" i="7"/>
  <c r="EA75" i="7"/>
  <c r="EB75" i="7"/>
  <c r="EC75" i="7"/>
  <c r="ED75" i="7"/>
  <c r="EE75" i="7"/>
  <c r="EF75" i="7"/>
  <c r="EG75" i="7"/>
  <c r="EH75" i="7"/>
  <c r="EI75" i="7"/>
  <c r="EJ75" i="7"/>
  <c r="EK75" i="7"/>
  <c r="EL75" i="7"/>
  <c r="EM75" i="7"/>
  <c r="EN75" i="7"/>
  <c r="EO75" i="7"/>
  <c r="EP75" i="7"/>
  <c r="EQ75" i="7"/>
  <c r="ER75" i="7"/>
  <c r="ES75" i="7"/>
  <c r="ET75" i="7"/>
  <c r="EU75" i="7"/>
  <c r="EV75" i="7"/>
  <c r="EW75" i="7"/>
  <c r="EX75" i="7"/>
  <c r="EY75" i="7"/>
  <c r="EZ75" i="7"/>
  <c r="FA75" i="7"/>
  <c r="FB75" i="7"/>
  <c r="FC75" i="7"/>
  <c r="FD75" i="7"/>
  <c r="FE75" i="7"/>
  <c r="FF75" i="7"/>
  <c r="FG75" i="7"/>
  <c r="FH75" i="7"/>
  <c r="FI75" i="7"/>
  <c r="FJ75" i="7"/>
  <c r="FK75" i="7"/>
  <c r="FL75" i="7"/>
  <c r="FM75" i="7"/>
  <c r="FN75" i="7"/>
  <c r="FO75" i="7"/>
  <c r="FP75" i="7"/>
  <c r="FQ75" i="7"/>
  <c r="FR75" i="7"/>
  <c r="FS75" i="7"/>
  <c r="FT75" i="7"/>
  <c r="FU75" i="7"/>
  <c r="FV75" i="7"/>
  <c r="FW75" i="7"/>
  <c r="FX75" i="7"/>
  <c r="FY75" i="7"/>
  <c r="FZ75" i="7"/>
  <c r="GA75" i="7"/>
  <c r="J76" i="7"/>
  <c r="K76" i="7"/>
  <c r="L76" i="7"/>
  <c r="M76" i="7"/>
  <c r="N76" i="7"/>
  <c r="O76" i="7"/>
  <c r="P76" i="7"/>
  <c r="Q76" i="7"/>
  <c r="R76" i="7"/>
  <c r="S76" i="7"/>
  <c r="T76" i="7"/>
  <c r="T84" i="7" s="1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J84" i="7" s="1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CW76" i="7"/>
  <c r="CX76" i="7"/>
  <c r="CY76" i="7"/>
  <c r="CZ76" i="7"/>
  <c r="DA76" i="7"/>
  <c r="DB76" i="7"/>
  <c r="DC76" i="7"/>
  <c r="DD76" i="7"/>
  <c r="DE76" i="7"/>
  <c r="DF76" i="7"/>
  <c r="DG76" i="7"/>
  <c r="DH76" i="7"/>
  <c r="DI76" i="7"/>
  <c r="DJ76" i="7"/>
  <c r="DK76" i="7"/>
  <c r="DL76" i="7"/>
  <c r="DM76" i="7"/>
  <c r="DN76" i="7"/>
  <c r="DO76" i="7"/>
  <c r="DP76" i="7"/>
  <c r="DQ76" i="7"/>
  <c r="DR76" i="7"/>
  <c r="DS76" i="7"/>
  <c r="DT76" i="7"/>
  <c r="DU76" i="7"/>
  <c r="DV76" i="7"/>
  <c r="DW76" i="7"/>
  <c r="DX76" i="7"/>
  <c r="DY76" i="7"/>
  <c r="DZ76" i="7"/>
  <c r="EA76" i="7"/>
  <c r="EB76" i="7"/>
  <c r="EC76" i="7"/>
  <c r="ED76" i="7"/>
  <c r="EE76" i="7"/>
  <c r="EF76" i="7"/>
  <c r="EG76" i="7"/>
  <c r="EH76" i="7"/>
  <c r="EI76" i="7"/>
  <c r="EJ76" i="7"/>
  <c r="EK76" i="7"/>
  <c r="EL76" i="7"/>
  <c r="EM76" i="7"/>
  <c r="EN76" i="7"/>
  <c r="EO76" i="7"/>
  <c r="EP76" i="7"/>
  <c r="EQ76" i="7"/>
  <c r="ER76" i="7"/>
  <c r="ES76" i="7"/>
  <c r="ET76" i="7"/>
  <c r="EU76" i="7"/>
  <c r="EV76" i="7"/>
  <c r="EW76" i="7"/>
  <c r="EX76" i="7"/>
  <c r="EY76" i="7"/>
  <c r="EZ76" i="7"/>
  <c r="FA76" i="7"/>
  <c r="FB76" i="7"/>
  <c r="FC76" i="7"/>
  <c r="FD76" i="7"/>
  <c r="FE76" i="7"/>
  <c r="FF76" i="7"/>
  <c r="FG76" i="7"/>
  <c r="FH76" i="7"/>
  <c r="FI76" i="7"/>
  <c r="FJ76" i="7"/>
  <c r="FK76" i="7"/>
  <c r="FL76" i="7"/>
  <c r="FM76" i="7"/>
  <c r="FN76" i="7"/>
  <c r="FO76" i="7"/>
  <c r="FP76" i="7"/>
  <c r="FQ76" i="7"/>
  <c r="FR76" i="7"/>
  <c r="FS76" i="7"/>
  <c r="FT76" i="7"/>
  <c r="FU76" i="7"/>
  <c r="FV76" i="7"/>
  <c r="FW76" i="7"/>
  <c r="FX76" i="7"/>
  <c r="FY76" i="7"/>
  <c r="FZ76" i="7"/>
  <c r="GA76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V83" i="7" s="1"/>
  <c r="W78" i="7"/>
  <c r="W83" i="7" s="1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L83" i="7" s="1"/>
  <c r="AM78" i="7"/>
  <c r="AM83" i="7" s="1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B83" i="7" s="1"/>
  <c r="BC78" i="7"/>
  <c r="BC83" i="7" s="1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R83" i="7" s="1"/>
  <c r="BS78" i="7"/>
  <c r="BS83" i="7" s="1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H83" i="7" s="1"/>
  <c r="CI78" i="7"/>
  <c r="CI83" i="7" s="1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CW78" i="7"/>
  <c r="CX78" i="7"/>
  <c r="CX83" i="7" s="1"/>
  <c r="CY78" i="7"/>
  <c r="CY83" i="7" s="1"/>
  <c r="CZ78" i="7"/>
  <c r="DA78" i="7"/>
  <c r="DB78" i="7"/>
  <c r="DC78" i="7"/>
  <c r="DD78" i="7"/>
  <c r="DE78" i="7"/>
  <c r="DF78" i="7"/>
  <c r="DG78" i="7"/>
  <c r="DH78" i="7"/>
  <c r="DI78" i="7"/>
  <c r="DJ78" i="7"/>
  <c r="DK78" i="7"/>
  <c r="DL78" i="7"/>
  <c r="DM78" i="7"/>
  <c r="DN78" i="7"/>
  <c r="DN83" i="7" s="1"/>
  <c r="DO78" i="7"/>
  <c r="DO83" i="7" s="1"/>
  <c r="DP78" i="7"/>
  <c r="DQ78" i="7"/>
  <c r="DR78" i="7"/>
  <c r="DS78" i="7"/>
  <c r="DT78" i="7"/>
  <c r="DU78" i="7"/>
  <c r="DV78" i="7"/>
  <c r="DW78" i="7"/>
  <c r="DX78" i="7"/>
  <c r="DY78" i="7"/>
  <c r="DZ78" i="7"/>
  <c r="EA78" i="7"/>
  <c r="EB78" i="7"/>
  <c r="EC78" i="7"/>
  <c r="ED78" i="7"/>
  <c r="ED83" i="7" s="1"/>
  <c r="EE78" i="7"/>
  <c r="EE83" i="7" s="1"/>
  <c r="EF78" i="7"/>
  <c r="EG78" i="7"/>
  <c r="EH78" i="7"/>
  <c r="EI78" i="7"/>
  <c r="EJ78" i="7"/>
  <c r="EK78" i="7"/>
  <c r="EL78" i="7"/>
  <c r="EM78" i="7"/>
  <c r="EN78" i="7"/>
  <c r="EO78" i="7"/>
  <c r="EP78" i="7"/>
  <c r="EQ78" i="7"/>
  <c r="ER78" i="7"/>
  <c r="ES78" i="7"/>
  <c r="ET78" i="7"/>
  <c r="ET83" i="7" s="1"/>
  <c r="EU78" i="7"/>
  <c r="EU83" i="7" s="1"/>
  <c r="EV78" i="7"/>
  <c r="EW78" i="7"/>
  <c r="EX78" i="7"/>
  <c r="EY78" i="7"/>
  <c r="EZ78" i="7"/>
  <c r="FA78" i="7"/>
  <c r="FB78" i="7"/>
  <c r="FC78" i="7"/>
  <c r="FD78" i="7"/>
  <c r="FE78" i="7"/>
  <c r="FF78" i="7"/>
  <c r="FG78" i="7"/>
  <c r="FH78" i="7"/>
  <c r="FI78" i="7"/>
  <c r="FJ78" i="7"/>
  <c r="FJ83" i="7" s="1"/>
  <c r="FK78" i="7"/>
  <c r="FK83" i="7" s="1"/>
  <c r="FL78" i="7"/>
  <c r="FM78" i="7"/>
  <c r="FN78" i="7"/>
  <c r="FO78" i="7"/>
  <c r="FP78" i="7"/>
  <c r="FQ78" i="7"/>
  <c r="FR78" i="7"/>
  <c r="FS78" i="7"/>
  <c r="FT78" i="7"/>
  <c r="FU78" i="7"/>
  <c r="FV78" i="7"/>
  <c r="FW78" i="7"/>
  <c r="FX78" i="7"/>
  <c r="FY78" i="7"/>
  <c r="FZ78" i="7"/>
  <c r="FZ83" i="7" s="1"/>
  <c r="GA78" i="7"/>
  <c r="GA83" i="7" s="1"/>
  <c r="K79" i="7"/>
  <c r="M79" i="7"/>
  <c r="V79" i="7"/>
  <c r="W79" i="7"/>
  <c r="X79" i="7"/>
  <c r="Y79" i="7"/>
  <c r="AL79" i="7"/>
  <c r="AM79" i="7"/>
  <c r="AN79" i="7"/>
  <c r="AO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CW79" i="7"/>
  <c r="CX79" i="7"/>
  <c r="CY79" i="7"/>
  <c r="CZ79" i="7"/>
  <c r="DA79" i="7"/>
  <c r="DB79" i="7"/>
  <c r="DC79" i="7"/>
  <c r="DD79" i="7"/>
  <c r="DE79" i="7"/>
  <c r="DF79" i="7"/>
  <c r="DG79" i="7"/>
  <c r="DH79" i="7"/>
  <c r="DI79" i="7"/>
  <c r="DJ79" i="7"/>
  <c r="DK79" i="7"/>
  <c r="DL79" i="7"/>
  <c r="DM79" i="7"/>
  <c r="DN79" i="7"/>
  <c r="DO79" i="7"/>
  <c r="DP79" i="7"/>
  <c r="DQ79" i="7"/>
  <c r="DR79" i="7"/>
  <c r="DS79" i="7"/>
  <c r="DT79" i="7"/>
  <c r="DU79" i="7"/>
  <c r="DV79" i="7"/>
  <c r="DW79" i="7"/>
  <c r="DX79" i="7"/>
  <c r="DY79" i="7"/>
  <c r="DZ79" i="7"/>
  <c r="EA79" i="7"/>
  <c r="EB79" i="7"/>
  <c r="EC79" i="7"/>
  <c r="ED79" i="7"/>
  <c r="EE79" i="7"/>
  <c r="EF79" i="7"/>
  <c r="EG79" i="7"/>
  <c r="EH79" i="7"/>
  <c r="EI79" i="7"/>
  <c r="EJ79" i="7"/>
  <c r="EK79" i="7"/>
  <c r="EL79" i="7"/>
  <c r="EM79" i="7"/>
  <c r="EN79" i="7"/>
  <c r="EO79" i="7"/>
  <c r="EP79" i="7"/>
  <c r="EQ79" i="7"/>
  <c r="ER79" i="7"/>
  <c r="ES79" i="7"/>
  <c r="ET79" i="7"/>
  <c r="EU79" i="7"/>
  <c r="EV79" i="7"/>
  <c r="EW79" i="7"/>
  <c r="EX79" i="7"/>
  <c r="EY79" i="7"/>
  <c r="EZ79" i="7"/>
  <c r="FA79" i="7"/>
  <c r="FB79" i="7"/>
  <c r="FC79" i="7"/>
  <c r="FD79" i="7"/>
  <c r="FE79" i="7"/>
  <c r="FF79" i="7"/>
  <c r="FG79" i="7"/>
  <c r="FH79" i="7"/>
  <c r="FI79" i="7"/>
  <c r="FJ79" i="7"/>
  <c r="FK79" i="7"/>
  <c r="FL79" i="7"/>
  <c r="FM79" i="7"/>
  <c r="FN79" i="7"/>
  <c r="FO79" i="7"/>
  <c r="FP79" i="7"/>
  <c r="FQ79" i="7"/>
  <c r="FR79" i="7"/>
  <c r="FS79" i="7"/>
  <c r="FT79" i="7"/>
  <c r="FU79" i="7"/>
  <c r="FV79" i="7"/>
  <c r="FW79" i="7"/>
  <c r="FX79" i="7"/>
  <c r="FY79" i="7"/>
  <c r="FZ79" i="7"/>
  <c r="GA79" i="7"/>
  <c r="J80" i="7"/>
  <c r="K80" i="7"/>
  <c r="M80" i="7"/>
  <c r="V80" i="7"/>
  <c r="Z80" i="7"/>
  <c r="AA80" i="7"/>
  <c r="AL80" i="7"/>
  <c r="AP80" i="7"/>
  <c r="AQ80" i="7"/>
  <c r="AT80" i="7"/>
  <c r="AU80" i="7"/>
  <c r="AV80" i="7"/>
  <c r="AW80" i="7"/>
  <c r="AX80" i="7"/>
  <c r="AZ80" i="7"/>
  <c r="BA80" i="7"/>
  <c r="BB80" i="7"/>
  <c r="BC80" i="7"/>
  <c r="BF80" i="7"/>
  <c r="BG80" i="7"/>
  <c r="BH80" i="7"/>
  <c r="BI80" i="7"/>
  <c r="BJ80" i="7"/>
  <c r="BK80" i="7"/>
  <c r="BL80" i="7"/>
  <c r="BM80" i="7"/>
  <c r="BN80" i="7"/>
  <c r="BP80" i="7"/>
  <c r="BQ80" i="7"/>
  <c r="BR80" i="7"/>
  <c r="BS80" i="7"/>
  <c r="BV80" i="7"/>
  <c r="BW80" i="7"/>
  <c r="BX80" i="7"/>
  <c r="BY80" i="7"/>
  <c r="BZ80" i="7"/>
  <c r="CA80" i="7"/>
  <c r="CB80" i="7"/>
  <c r="CC80" i="7"/>
  <c r="CD80" i="7"/>
  <c r="CF80" i="7"/>
  <c r="CG80" i="7"/>
  <c r="CH80" i="7"/>
  <c r="CI80" i="7"/>
  <c r="CL80" i="7"/>
  <c r="CM80" i="7"/>
  <c r="CN80" i="7"/>
  <c r="CO80" i="7"/>
  <c r="CP80" i="7"/>
  <c r="CQ80" i="7"/>
  <c r="CR80" i="7"/>
  <c r="CS80" i="7"/>
  <c r="CT80" i="7"/>
  <c r="CV80" i="7"/>
  <c r="CW80" i="7"/>
  <c r="CX80" i="7"/>
  <c r="CY80" i="7"/>
  <c r="DB80" i="7"/>
  <c r="DC80" i="7"/>
  <c r="DD80" i="7"/>
  <c r="DE80" i="7"/>
  <c r="DF80" i="7"/>
  <c r="DG80" i="7"/>
  <c r="DH80" i="7"/>
  <c r="DI80" i="7"/>
  <c r="DJ80" i="7"/>
  <c r="DL80" i="7"/>
  <c r="DM80" i="7"/>
  <c r="DN80" i="7"/>
  <c r="DO80" i="7"/>
  <c r="DR80" i="7"/>
  <c r="DS80" i="7"/>
  <c r="DT80" i="7"/>
  <c r="DU80" i="7"/>
  <c r="DV80" i="7"/>
  <c r="DW80" i="7"/>
  <c r="DX80" i="7"/>
  <c r="DY80" i="7"/>
  <c r="DZ80" i="7"/>
  <c r="EB80" i="7"/>
  <c r="EC80" i="7"/>
  <c r="ED80" i="7"/>
  <c r="EE80" i="7"/>
  <c r="EH80" i="7"/>
  <c r="EI80" i="7"/>
  <c r="EJ80" i="7"/>
  <c r="EK80" i="7"/>
  <c r="EL80" i="7"/>
  <c r="EM80" i="7"/>
  <c r="EN80" i="7"/>
  <c r="EO80" i="7"/>
  <c r="EP80" i="7"/>
  <c r="ER80" i="7"/>
  <c r="ES80" i="7"/>
  <c r="ET80" i="7"/>
  <c r="EU80" i="7"/>
  <c r="EX80" i="7"/>
  <c r="EY80" i="7"/>
  <c r="EZ80" i="7"/>
  <c r="FA80" i="7"/>
  <c r="FB80" i="7"/>
  <c r="FC80" i="7"/>
  <c r="FD80" i="7"/>
  <c r="FE80" i="7"/>
  <c r="FF80" i="7"/>
  <c r="FH80" i="7"/>
  <c r="FI80" i="7"/>
  <c r="FJ80" i="7"/>
  <c r="FK80" i="7"/>
  <c r="FN80" i="7"/>
  <c r="FO80" i="7"/>
  <c r="FP80" i="7"/>
  <c r="FQ80" i="7"/>
  <c r="FR80" i="7"/>
  <c r="FS80" i="7"/>
  <c r="FT80" i="7"/>
  <c r="FU80" i="7"/>
  <c r="FV80" i="7"/>
  <c r="FX80" i="7"/>
  <c r="FY80" i="7"/>
  <c r="FZ80" i="7"/>
  <c r="GA80" i="7"/>
  <c r="J83" i="7"/>
  <c r="K83" i="7"/>
  <c r="L83" i="7"/>
  <c r="M83" i="7"/>
  <c r="N83" i="7"/>
  <c r="O83" i="7"/>
  <c r="P83" i="7"/>
  <c r="Q83" i="7"/>
  <c r="R83" i="7"/>
  <c r="S83" i="7"/>
  <c r="T83" i="7"/>
  <c r="U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Z83" i="7"/>
  <c r="DA83" i="7"/>
  <c r="DB83" i="7"/>
  <c r="DC83" i="7"/>
  <c r="DD83" i="7"/>
  <c r="DE83" i="7"/>
  <c r="DF83" i="7"/>
  <c r="DG83" i="7"/>
  <c r="DH83" i="7"/>
  <c r="DI83" i="7"/>
  <c r="DJ83" i="7"/>
  <c r="DK83" i="7"/>
  <c r="DL83" i="7"/>
  <c r="DM83" i="7"/>
  <c r="DP83" i="7"/>
  <c r="DQ83" i="7"/>
  <c r="DR83" i="7"/>
  <c r="DS83" i="7"/>
  <c r="DT83" i="7"/>
  <c r="DU83" i="7"/>
  <c r="DV83" i="7"/>
  <c r="DW83" i="7"/>
  <c r="DX83" i="7"/>
  <c r="DY83" i="7"/>
  <c r="DZ83" i="7"/>
  <c r="EA83" i="7"/>
  <c r="EB83" i="7"/>
  <c r="EC83" i="7"/>
  <c r="EF83" i="7"/>
  <c r="EG83" i="7"/>
  <c r="EH83" i="7"/>
  <c r="EI83" i="7"/>
  <c r="EJ83" i="7"/>
  <c r="EK83" i="7"/>
  <c r="EL83" i="7"/>
  <c r="EM83" i="7"/>
  <c r="EN83" i="7"/>
  <c r="EO83" i="7"/>
  <c r="EP83" i="7"/>
  <c r="EQ83" i="7"/>
  <c r="ER83" i="7"/>
  <c r="ES83" i="7"/>
  <c r="EV83" i="7"/>
  <c r="EW83" i="7"/>
  <c r="EX83" i="7"/>
  <c r="EY83" i="7"/>
  <c r="EZ83" i="7"/>
  <c r="FA83" i="7"/>
  <c r="FB83" i="7"/>
  <c r="FC83" i="7"/>
  <c r="FD83" i="7"/>
  <c r="FE83" i="7"/>
  <c r="FF83" i="7"/>
  <c r="FG83" i="7"/>
  <c r="FH83" i="7"/>
  <c r="FI83" i="7"/>
  <c r="FL83" i="7"/>
  <c r="FM83" i="7"/>
  <c r="FN83" i="7"/>
  <c r="FO83" i="7"/>
  <c r="FP83" i="7"/>
  <c r="FQ83" i="7"/>
  <c r="FR83" i="7"/>
  <c r="FS83" i="7"/>
  <c r="FT83" i="7"/>
  <c r="FU83" i="7"/>
  <c r="FV83" i="7"/>
  <c r="FW83" i="7"/>
  <c r="FX83" i="7"/>
  <c r="FY83" i="7"/>
  <c r="K84" i="7"/>
  <c r="M84" i="7"/>
  <c r="N84" i="7"/>
  <c r="V84" i="7"/>
  <c r="AD84" i="7"/>
  <c r="AL84" i="7"/>
  <c r="AM84" i="7"/>
  <c r="AT84" i="7"/>
  <c r="AU84" i="7"/>
  <c r="AV84" i="7"/>
  <c r="AW84" i="7"/>
  <c r="AX84" i="7"/>
  <c r="AZ84" i="7"/>
  <c r="BA84" i="7"/>
  <c r="BB84" i="7"/>
  <c r="BC84" i="7"/>
  <c r="BF84" i="7"/>
  <c r="BG84" i="7"/>
  <c r="BH84" i="7"/>
  <c r="BJ84" i="7"/>
  <c r="BK84" i="7"/>
  <c r="BL84" i="7"/>
  <c r="BM84" i="7"/>
  <c r="BN84" i="7"/>
  <c r="BP84" i="7"/>
  <c r="BQ84" i="7"/>
  <c r="BR84" i="7"/>
  <c r="BS84" i="7"/>
  <c r="BV84" i="7"/>
  <c r="BW84" i="7"/>
  <c r="BX84" i="7"/>
  <c r="BY84" i="7"/>
  <c r="BZ84" i="7"/>
  <c r="CA84" i="7"/>
  <c r="CB84" i="7"/>
  <c r="CC84" i="7"/>
  <c r="CD84" i="7"/>
  <c r="CF84" i="7"/>
  <c r="CG84" i="7"/>
  <c r="CH84" i="7"/>
  <c r="CI84" i="7"/>
  <c r="CL84" i="7"/>
  <c r="CM84" i="7"/>
  <c r="CN84" i="7"/>
  <c r="CP84" i="7"/>
  <c r="CQ84" i="7"/>
  <c r="CR84" i="7"/>
  <c r="CS84" i="7"/>
  <c r="CT84" i="7"/>
  <c r="CV84" i="7"/>
  <c r="CW84" i="7"/>
  <c r="CX84" i="7"/>
  <c r="CY84" i="7"/>
  <c r="DB84" i="7"/>
  <c r="DC84" i="7"/>
  <c r="DD84" i="7"/>
  <c r="DF84" i="7"/>
  <c r="DG84" i="7"/>
  <c r="DH84" i="7"/>
  <c r="DI84" i="7"/>
  <c r="DJ84" i="7"/>
  <c r="DL84" i="7"/>
  <c r="DM84" i="7"/>
  <c r="DN84" i="7"/>
  <c r="DO84" i="7"/>
  <c r="DR84" i="7"/>
  <c r="DS84" i="7"/>
  <c r="DT84" i="7"/>
  <c r="DU84" i="7"/>
  <c r="DV84" i="7"/>
  <c r="DW84" i="7"/>
  <c r="DX84" i="7"/>
  <c r="DY84" i="7"/>
  <c r="DZ84" i="7"/>
  <c r="EA84" i="7"/>
  <c r="EB84" i="7"/>
  <c r="EC84" i="7"/>
  <c r="ED84" i="7"/>
  <c r="EE84" i="7"/>
  <c r="EH84" i="7"/>
  <c r="EI84" i="7"/>
  <c r="EJ84" i="7"/>
  <c r="EL84" i="7"/>
  <c r="EM84" i="7"/>
  <c r="EN84" i="7"/>
  <c r="EO84" i="7"/>
  <c r="EP84" i="7"/>
  <c r="ER84" i="7"/>
  <c r="ES84" i="7"/>
  <c r="ET84" i="7"/>
  <c r="EU84" i="7"/>
  <c r="EX84" i="7"/>
  <c r="EY84" i="7"/>
  <c r="EZ84" i="7"/>
  <c r="FB84" i="7"/>
  <c r="FC84" i="7"/>
  <c r="FD84" i="7"/>
  <c r="FE84" i="7"/>
  <c r="FF84" i="7"/>
  <c r="FH84" i="7"/>
  <c r="FI84" i="7"/>
  <c r="FJ84" i="7"/>
  <c r="FK84" i="7"/>
  <c r="FN84" i="7"/>
  <c r="FO84" i="7"/>
  <c r="FP84" i="7"/>
  <c r="FR84" i="7"/>
  <c r="FS84" i="7"/>
  <c r="FT84" i="7"/>
  <c r="FU84" i="7"/>
  <c r="FV84" i="7"/>
  <c r="FX84" i="7"/>
  <c r="FY84" i="7"/>
  <c r="FZ84" i="7"/>
  <c r="GA84" i="7"/>
  <c r="A86" i="6"/>
  <c r="D39" i="7"/>
  <c r="D52" i="7"/>
  <c r="D64" i="7"/>
  <c r="D74" i="7"/>
  <c r="D16" i="7"/>
  <c r="F8" i="7"/>
  <c r="F9" i="7"/>
  <c r="D4" i="7" a="1"/>
  <c r="D4" i="7" s="1"/>
  <c r="D5" i="7" a="1"/>
  <c r="D5" i="7" s="1"/>
  <c r="D6" i="7" a="1"/>
  <c r="D6" i="7" s="1"/>
  <c r="D7" i="7" a="1"/>
  <c r="D7" i="7" s="1"/>
  <c r="D8" i="7" a="1"/>
  <c r="D8" i="7" s="1"/>
  <c r="D9" i="7" a="1"/>
  <c r="D9" i="7" s="1"/>
  <c r="D27" i="7" s="1"/>
  <c r="D3" i="7" a="1"/>
  <c r="D3" i="7" s="1"/>
  <c r="C4" i="7" a="1"/>
  <c r="C4" i="7" s="1"/>
  <c r="G4" i="7" s="1" a="1"/>
  <c r="G4" i="7" s="1"/>
  <c r="C5" i="7" a="1"/>
  <c r="C5" i="7" s="1"/>
  <c r="G5" i="7" s="1" a="1"/>
  <c r="G5" i="7" s="1"/>
  <c r="C6" i="7" a="1"/>
  <c r="C6" i="7" s="1"/>
  <c r="C7" i="7" a="1"/>
  <c r="C7" i="7" s="1"/>
  <c r="G7" i="7" s="1" a="1"/>
  <c r="G7" i="7" s="1"/>
  <c r="C8" i="7" a="1"/>
  <c r="C8" i="7" s="1"/>
  <c r="G8" i="7" s="1" a="1"/>
  <c r="G8" i="7" s="1"/>
  <c r="C9" i="7" a="1"/>
  <c r="C9" i="7" s="1"/>
  <c r="C3" i="7" a="1"/>
  <c r="C3" i="7" s="1"/>
  <c r="G3" i="7" s="1" a="1"/>
  <c r="G3" i="7" s="1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W54" i="6" s="1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M54" i="6" s="1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C54" i="6" s="1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S54" i="6" s="1"/>
  <c r="BT21" i="6"/>
  <c r="BU21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I54" i="6" s="1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CX21" i="6"/>
  <c r="CY21" i="6"/>
  <c r="CY54" i="6" s="1"/>
  <c r="CZ21" i="6"/>
  <c r="DA21" i="6"/>
  <c r="DB21" i="6"/>
  <c r="DC21" i="6"/>
  <c r="DD21" i="6"/>
  <c r="DE21" i="6"/>
  <c r="DF21" i="6"/>
  <c r="DG21" i="6"/>
  <c r="DH21" i="6"/>
  <c r="DI21" i="6"/>
  <c r="DJ21" i="6"/>
  <c r="DK21" i="6"/>
  <c r="DL21" i="6"/>
  <c r="DM21" i="6"/>
  <c r="DN21" i="6"/>
  <c r="DO21" i="6"/>
  <c r="DO54" i="6" s="1"/>
  <c r="DP21" i="6"/>
  <c r="DQ21" i="6"/>
  <c r="DR21" i="6"/>
  <c r="DS21" i="6"/>
  <c r="DT21" i="6"/>
  <c r="DU21" i="6"/>
  <c r="DV21" i="6"/>
  <c r="DW21" i="6"/>
  <c r="DX21" i="6"/>
  <c r="DY21" i="6"/>
  <c r="DZ21" i="6"/>
  <c r="EA21" i="6"/>
  <c r="EB21" i="6"/>
  <c r="EC21" i="6"/>
  <c r="ED21" i="6"/>
  <c r="EE21" i="6"/>
  <c r="EE54" i="6" s="1"/>
  <c r="EF21" i="6"/>
  <c r="EG21" i="6"/>
  <c r="EH21" i="6"/>
  <c r="EI21" i="6"/>
  <c r="EJ21" i="6"/>
  <c r="EK21" i="6"/>
  <c r="EL21" i="6"/>
  <c r="EM21" i="6"/>
  <c r="EN21" i="6"/>
  <c r="EO21" i="6"/>
  <c r="EP21" i="6"/>
  <c r="EQ21" i="6"/>
  <c r="ER21" i="6"/>
  <c r="ES21" i="6"/>
  <c r="ET21" i="6"/>
  <c r="EU21" i="6"/>
  <c r="EU54" i="6" s="1"/>
  <c r="EV21" i="6"/>
  <c r="EW21" i="6"/>
  <c r="EX21" i="6"/>
  <c r="EY21" i="6"/>
  <c r="EZ21" i="6"/>
  <c r="FA21" i="6"/>
  <c r="FB21" i="6"/>
  <c r="FC21" i="6"/>
  <c r="FD21" i="6"/>
  <c r="FE21" i="6"/>
  <c r="FF21" i="6"/>
  <c r="FG21" i="6"/>
  <c r="FH21" i="6"/>
  <c r="FI21" i="6"/>
  <c r="FJ21" i="6"/>
  <c r="FK21" i="6"/>
  <c r="FK54" i="6" s="1"/>
  <c r="FL21" i="6"/>
  <c r="FM21" i="6"/>
  <c r="FN21" i="6"/>
  <c r="FO21" i="6"/>
  <c r="FP21" i="6"/>
  <c r="FQ21" i="6"/>
  <c r="FR21" i="6"/>
  <c r="FS21" i="6"/>
  <c r="FT21" i="6"/>
  <c r="FU21" i="6"/>
  <c r="FV21" i="6"/>
  <c r="FW21" i="6"/>
  <c r="FX21" i="6"/>
  <c r="FY21" i="6"/>
  <c r="FZ21" i="6"/>
  <c r="GA21" i="6"/>
  <c r="GA54" i="6" s="1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Y55" i="6" s="1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O55" i="6" s="1"/>
  <c r="AP22" i="6"/>
  <c r="AQ22" i="6"/>
  <c r="AR22" i="6"/>
  <c r="AS22" i="6"/>
  <c r="AS55" i="6" s="1"/>
  <c r="AS63" i="6" s="1"/>
  <c r="AS72" i="6" s="1"/>
  <c r="AT22" i="6"/>
  <c r="AU22" i="6"/>
  <c r="AV22" i="6"/>
  <c r="AW22" i="6"/>
  <c r="AX22" i="6"/>
  <c r="AY22" i="6"/>
  <c r="AZ22" i="6"/>
  <c r="BA22" i="6"/>
  <c r="BB22" i="6"/>
  <c r="BC22" i="6"/>
  <c r="BD22" i="6"/>
  <c r="BE22" i="6"/>
  <c r="BE55" i="6" s="1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U55" i="6" s="1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K55" i="6" s="1"/>
  <c r="CL22" i="6"/>
  <c r="CM22" i="6"/>
  <c r="CN22" i="6"/>
  <c r="CO22" i="6"/>
  <c r="CP22" i="6"/>
  <c r="CQ22" i="6"/>
  <c r="CR22" i="6"/>
  <c r="CS22" i="6"/>
  <c r="CT22" i="6"/>
  <c r="CU22" i="6"/>
  <c r="CV22" i="6"/>
  <c r="CW22" i="6"/>
  <c r="CX22" i="6"/>
  <c r="CY22" i="6"/>
  <c r="CZ22" i="6"/>
  <c r="DA22" i="6"/>
  <c r="DA55" i="6" s="1"/>
  <c r="DB22" i="6"/>
  <c r="DC22" i="6"/>
  <c r="DD22" i="6"/>
  <c r="DE22" i="6"/>
  <c r="DF22" i="6"/>
  <c r="DG22" i="6"/>
  <c r="DH22" i="6"/>
  <c r="DI22" i="6"/>
  <c r="DJ22" i="6"/>
  <c r="DK22" i="6"/>
  <c r="DL22" i="6"/>
  <c r="DM22" i="6"/>
  <c r="DN22" i="6"/>
  <c r="DO22" i="6"/>
  <c r="DP22" i="6"/>
  <c r="DQ22" i="6"/>
  <c r="DQ55" i="6" s="1"/>
  <c r="DR22" i="6"/>
  <c r="DS22" i="6"/>
  <c r="DT22" i="6"/>
  <c r="DU22" i="6"/>
  <c r="DV22" i="6"/>
  <c r="DW22" i="6"/>
  <c r="DX22" i="6"/>
  <c r="DY22" i="6"/>
  <c r="DZ22" i="6"/>
  <c r="EA22" i="6"/>
  <c r="EB22" i="6"/>
  <c r="EC22" i="6"/>
  <c r="ED22" i="6"/>
  <c r="EE22" i="6"/>
  <c r="EF22" i="6"/>
  <c r="EG22" i="6"/>
  <c r="EG55" i="6" s="1"/>
  <c r="EH22" i="6"/>
  <c r="EI22" i="6"/>
  <c r="EJ22" i="6"/>
  <c r="EK22" i="6"/>
  <c r="EL22" i="6"/>
  <c r="EM22" i="6"/>
  <c r="EN22" i="6"/>
  <c r="EO22" i="6"/>
  <c r="EP22" i="6"/>
  <c r="EQ22" i="6"/>
  <c r="ER22" i="6"/>
  <c r="ES22" i="6"/>
  <c r="ET22" i="6"/>
  <c r="EU22" i="6"/>
  <c r="EV22" i="6"/>
  <c r="EW22" i="6"/>
  <c r="EW55" i="6" s="1"/>
  <c r="EX22" i="6"/>
  <c r="EY22" i="6"/>
  <c r="EZ22" i="6"/>
  <c r="FA22" i="6"/>
  <c r="FB22" i="6"/>
  <c r="FC22" i="6"/>
  <c r="FD22" i="6"/>
  <c r="FE22" i="6"/>
  <c r="FF22" i="6"/>
  <c r="FG22" i="6"/>
  <c r="FH22" i="6"/>
  <c r="FI22" i="6"/>
  <c r="FJ22" i="6"/>
  <c r="FK22" i="6"/>
  <c r="FL22" i="6"/>
  <c r="FM22" i="6"/>
  <c r="FM55" i="6" s="1"/>
  <c r="FN22" i="6"/>
  <c r="FO22" i="6"/>
  <c r="FP22" i="6"/>
  <c r="FQ22" i="6"/>
  <c r="FR22" i="6"/>
  <c r="FS22" i="6"/>
  <c r="FT22" i="6"/>
  <c r="FU22" i="6"/>
  <c r="FV22" i="6"/>
  <c r="FW22" i="6"/>
  <c r="FX22" i="6"/>
  <c r="FY22" i="6"/>
  <c r="FZ22" i="6"/>
  <c r="GA22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CH23" i="6"/>
  <c r="CI23" i="6"/>
  <c r="CJ23" i="6"/>
  <c r="CK23" i="6"/>
  <c r="CL23" i="6"/>
  <c r="CM23" i="6"/>
  <c r="CN23" i="6"/>
  <c r="CO23" i="6"/>
  <c r="CP23" i="6"/>
  <c r="CQ23" i="6"/>
  <c r="CR23" i="6"/>
  <c r="CS23" i="6"/>
  <c r="CT23" i="6"/>
  <c r="CU23" i="6"/>
  <c r="CV23" i="6"/>
  <c r="CW23" i="6"/>
  <c r="CX23" i="6"/>
  <c r="CY23" i="6"/>
  <c r="CZ23" i="6"/>
  <c r="DA23" i="6"/>
  <c r="DB23" i="6"/>
  <c r="DC23" i="6"/>
  <c r="DD23" i="6"/>
  <c r="DE23" i="6"/>
  <c r="DF23" i="6"/>
  <c r="DG23" i="6"/>
  <c r="DH23" i="6"/>
  <c r="DI23" i="6"/>
  <c r="DJ23" i="6"/>
  <c r="DK23" i="6"/>
  <c r="DL23" i="6"/>
  <c r="DM23" i="6"/>
  <c r="DN23" i="6"/>
  <c r="DO23" i="6"/>
  <c r="DP23" i="6"/>
  <c r="DQ23" i="6"/>
  <c r="DR23" i="6"/>
  <c r="DS23" i="6"/>
  <c r="DT23" i="6"/>
  <c r="DU23" i="6"/>
  <c r="DV23" i="6"/>
  <c r="DW23" i="6"/>
  <c r="DX23" i="6"/>
  <c r="DY23" i="6"/>
  <c r="DZ23" i="6"/>
  <c r="EA23" i="6"/>
  <c r="EB23" i="6"/>
  <c r="EC23" i="6"/>
  <c r="ED23" i="6"/>
  <c r="EE23" i="6"/>
  <c r="EF23" i="6"/>
  <c r="EG23" i="6"/>
  <c r="EH23" i="6"/>
  <c r="EI23" i="6"/>
  <c r="EJ23" i="6"/>
  <c r="EK23" i="6"/>
  <c r="EL23" i="6"/>
  <c r="EM23" i="6"/>
  <c r="EN23" i="6"/>
  <c r="EO23" i="6"/>
  <c r="EP23" i="6"/>
  <c r="EQ23" i="6"/>
  <c r="ER23" i="6"/>
  <c r="ES23" i="6"/>
  <c r="ET23" i="6"/>
  <c r="EU23" i="6"/>
  <c r="EV23" i="6"/>
  <c r="EW23" i="6"/>
  <c r="EX23" i="6"/>
  <c r="EY23" i="6"/>
  <c r="EZ23" i="6"/>
  <c r="FA23" i="6"/>
  <c r="FB23" i="6"/>
  <c r="FC23" i="6"/>
  <c r="FD23" i="6"/>
  <c r="FE23" i="6"/>
  <c r="FF23" i="6"/>
  <c r="FG23" i="6"/>
  <c r="FH23" i="6"/>
  <c r="FI23" i="6"/>
  <c r="FJ23" i="6"/>
  <c r="FK23" i="6"/>
  <c r="FL23" i="6"/>
  <c r="FM23" i="6"/>
  <c r="FN23" i="6"/>
  <c r="FO23" i="6"/>
  <c r="FP23" i="6"/>
  <c r="FQ23" i="6"/>
  <c r="FR23" i="6"/>
  <c r="FS23" i="6"/>
  <c r="FT23" i="6"/>
  <c r="FU23" i="6"/>
  <c r="FV23" i="6"/>
  <c r="FW23" i="6"/>
  <c r="FX23" i="6"/>
  <c r="FY23" i="6"/>
  <c r="FZ23" i="6"/>
  <c r="GA23" i="6"/>
  <c r="J24" i="6"/>
  <c r="K24" i="6"/>
  <c r="L24" i="6"/>
  <c r="M24" i="6"/>
  <c r="N24" i="6"/>
  <c r="O24" i="6"/>
  <c r="P24" i="6"/>
  <c r="Q24" i="6"/>
  <c r="Q56" i="6" s="1"/>
  <c r="Q64" i="6" s="1"/>
  <c r="R24" i="6"/>
  <c r="S24" i="6"/>
  <c r="T24" i="6"/>
  <c r="U24" i="6"/>
  <c r="V24" i="6"/>
  <c r="W24" i="6"/>
  <c r="X24" i="6"/>
  <c r="Y24" i="6"/>
  <c r="Z24" i="6"/>
  <c r="AA24" i="6"/>
  <c r="AB24" i="6"/>
  <c r="AC24" i="6"/>
  <c r="AC56" i="6" s="1"/>
  <c r="AD24" i="6"/>
  <c r="AE24" i="6"/>
  <c r="AF24" i="6"/>
  <c r="AG24" i="6"/>
  <c r="AG56" i="6" s="1"/>
  <c r="AG64" i="6" s="1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W56" i="6" s="1"/>
  <c r="AW64" i="6" s="1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M56" i="6" s="1"/>
  <c r="BM64" i="6" s="1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C56" i="6" s="1"/>
  <c r="CC64" i="6" s="1"/>
  <c r="CD24" i="6"/>
  <c r="CE24" i="6"/>
  <c r="CF24" i="6"/>
  <c r="CG24" i="6"/>
  <c r="CH24" i="6"/>
  <c r="CI24" i="6"/>
  <c r="CJ24" i="6"/>
  <c r="CK24" i="6"/>
  <c r="CL24" i="6"/>
  <c r="CM24" i="6"/>
  <c r="CN24" i="6"/>
  <c r="CO24" i="6"/>
  <c r="CP24" i="6"/>
  <c r="CQ24" i="6"/>
  <c r="CR24" i="6"/>
  <c r="CS24" i="6"/>
  <c r="CS56" i="6" s="1"/>
  <c r="CS64" i="6" s="1"/>
  <c r="CT24" i="6"/>
  <c r="CU24" i="6"/>
  <c r="CV24" i="6"/>
  <c r="CW24" i="6"/>
  <c r="CX24" i="6"/>
  <c r="CY24" i="6"/>
  <c r="CZ24" i="6"/>
  <c r="DA24" i="6"/>
  <c r="DB24" i="6"/>
  <c r="DC24" i="6"/>
  <c r="DD24" i="6"/>
  <c r="DE24" i="6"/>
  <c r="DF24" i="6"/>
  <c r="DG24" i="6"/>
  <c r="DH24" i="6"/>
  <c r="DI24" i="6"/>
  <c r="DI56" i="6" s="1"/>
  <c r="DI64" i="6" s="1"/>
  <c r="DJ24" i="6"/>
  <c r="DK24" i="6"/>
  <c r="DL24" i="6"/>
  <c r="DM24" i="6"/>
  <c r="DN24" i="6"/>
  <c r="DO24" i="6"/>
  <c r="DP24" i="6"/>
  <c r="DQ24" i="6"/>
  <c r="DR24" i="6"/>
  <c r="DS24" i="6"/>
  <c r="DT24" i="6"/>
  <c r="DU24" i="6"/>
  <c r="DV24" i="6"/>
  <c r="DW24" i="6"/>
  <c r="DX24" i="6"/>
  <c r="DY24" i="6"/>
  <c r="DY56" i="6" s="1"/>
  <c r="DY64" i="6" s="1"/>
  <c r="DZ24" i="6"/>
  <c r="EA24" i="6"/>
  <c r="EB24" i="6"/>
  <c r="EC24" i="6"/>
  <c r="ED24" i="6"/>
  <c r="EE24" i="6"/>
  <c r="EF24" i="6"/>
  <c r="EG24" i="6"/>
  <c r="EH24" i="6"/>
  <c r="EI24" i="6"/>
  <c r="EJ24" i="6"/>
  <c r="EK24" i="6"/>
  <c r="EK56" i="6" s="1"/>
  <c r="EL24" i="6"/>
  <c r="EM24" i="6"/>
  <c r="EN24" i="6"/>
  <c r="EO24" i="6"/>
  <c r="EO56" i="6" s="1"/>
  <c r="EO64" i="6" s="1"/>
  <c r="EP24" i="6"/>
  <c r="EQ24" i="6"/>
  <c r="ER24" i="6"/>
  <c r="ES24" i="6"/>
  <c r="ET24" i="6"/>
  <c r="EU24" i="6"/>
  <c r="EV24" i="6"/>
  <c r="EW24" i="6"/>
  <c r="EX24" i="6"/>
  <c r="EY24" i="6"/>
  <c r="EZ24" i="6"/>
  <c r="FA24" i="6"/>
  <c r="FB24" i="6"/>
  <c r="FC24" i="6"/>
  <c r="FD24" i="6"/>
  <c r="FE24" i="6"/>
  <c r="FE56" i="6" s="1"/>
  <c r="FE64" i="6" s="1"/>
  <c r="FF24" i="6"/>
  <c r="FG24" i="6"/>
  <c r="FH24" i="6"/>
  <c r="FI24" i="6"/>
  <c r="FJ24" i="6"/>
  <c r="FK24" i="6"/>
  <c r="FL24" i="6"/>
  <c r="FM24" i="6"/>
  <c r="FN24" i="6"/>
  <c r="FO24" i="6"/>
  <c r="FP24" i="6"/>
  <c r="FQ24" i="6"/>
  <c r="FR24" i="6"/>
  <c r="FS24" i="6"/>
  <c r="FT24" i="6"/>
  <c r="FU24" i="6"/>
  <c r="FU56" i="6" s="1"/>
  <c r="FU64" i="6" s="1"/>
  <c r="FV24" i="6"/>
  <c r="FW24" i="6"/>
  <c r="FX24" i="6"/>
  <c r="FY24" i="6"/>
  <c r="FZ24" i="6"/>
  <c r="GA24" i="6"/>
  <c r="J25" i="6"/>
  <c r="K25" i="6"/>
  <c r="L25" i="6"/>
  <c r="M25" i="6"/>
  <c r="N25" i="6"/>
  <c r="O25" i="6"/>
  <c r="P25" i="6"/>
  <c r="Q25" i="6"/>
  <c r="R25" i="6"/>
  <c r="S25" i="6"/>
  <c r="S57" i="6" s="1"/>
  <c r="S65" i="6" s="1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I57" i="6" s="1"/>
  <c r="AI65" i="6" s="1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Y57" i="6" s="1"/>
  <c r="AY65" i="6" s="1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O57" i="6" s="1"/>
  <c r="BO65" i="6" s="1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E57" i="6" s="1"/>
  <c r="CE65" i="6" s="1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CS25" i="6"/>
  <c r="CT25" i="6"/>
  <c r="CU25" i="6"/>
  <c r="CU57" i="6" s="1"/>
  <c r="CU65" i="6" s="1"/>
  <c r="CV25" i="6"/>
  <c r="CW25" i="6"/>
  <c r="CX25" i="6"/>
  <c r="CY25" i="6"/>
  <c r="CZ25" i="6"/>
  <c r="DA25" i="6"/>
  <c r="DB25" i="6"/>
  <c r="DC25" i="6"/>
  <c r="DD25" i="6"/>
  <c r="DE25" i="6"/>
  <c r="DF25" i="6"/>
  <c r="DG25" i="6"/>
  <c r="DH25" i="6"/>
  <c r="DI25" i="6"/>
  <c r="DJ25" i="6"/>
  <c r="DK25" i="6"/>
  <c r="DK57" i="6" s="1"/>
  <c r="DK65" i="6" s="1"/>
  <c r="DL25" i="6"/>
  <c r="DM25" i="6"/>
  <c r="DN25" i="6"/>
  <c r="DO25" i="6"/>
  <c r="DP25" i="6"/>
  <c r="DQ25" i="6"/>
  <c r="DR25" i="6"/>
  <c r="DS25" i="6"/>
  <c r="DT25" i="6"/>
  <c r="DU25" i="6"/>
  <c r="DV25" i="6"/>
  <c r="DW25" i="6"/>
  <c r="DX25" i="6"/>
  <c r="DY25" i="6"/>
  <c r="DZ25" i="6"/>
  <c r="EA25" i="6"/>
  <c r="EA57" i="6" s="1"/>
  <c r="EA65" i="6" s="1"/>
  <c r="EB25" i="6"/>
  <c r="EC25" i="6"/>
  <c r="ED25" i="6"/>
  <c r="EE25" i="6"/>
  <c r="EF25" i="6"/>
  <c r="EG25" i="6"/>
  <c r="EH25" i="6"/>
  <c r="EI25" i="6"/>
  <c r="EJ25" i="6"/>
  <c r="EK25" i="6"/>
  <c r="EL25" i="6"/>
  <c r="EM25" i="6"/>
  <c r="EN25" i="6"/>
  <c r="EO25" i="6"/>
  <c r="EP25" i="6"/>
  <c r="EQ25" i="6"/>
  <c r="EQ57" i="6" s="1"/>
  <c r="EQ65" i="6" s="1"/>
  <c r="ER25" i="6"/>
  <c r="ES25" i="6"/>
  <c r="ET25" i="6"/>
  <c r="EU25" i="6"/>
  <c r="EV25" i="6"/>
  <c r="EW25" i="6"/>
  <c r="EX25" i="6"/>
  <c r="EY25" i="6"/>
  <c r="EZ25" i="6"/>
  <c r="FA25" i="6"/>
  <c r="FB25" i="6"/>
  <c r="FC25" i="6"/>
  <c r="FD25" i="6"/>
  <c r="FE25" i="6"/>
  <c r="FF25" i="6"/>
  <c r="FG25" i="6"/>
  <c r="FG57" i="6" s="1"/>
  <c r="FG65" i="6" s="1"/>
  <c r="FH25" i="6"/>
  <c r="FI25" i="6"/>
  <c r="FJ25" i="6"/>
  <c r="FK25" i="6"/>
  <c r="FL25" i="6"/>
  <c r="FM25" i="6"/>
  <c r="FN25" i="6"/>
  <c r="FO25" i="6"/>
  <c r="FP25" i="6"/>
  <c r="FQ25" i="6"/>
  <c r="FR25" i="6"/>
  <c r="FS25" i="6"/>
  <c r="FT25" i="6"/>
  <c r="FU25" i="6"/>
  <c r="FV25" i="6"/>
  <c r="FW25" i="6"/>
  <c r="FW57" i="6" s="1"/>
  <c r="FW65" i="6" s="1"/>
  <c r="FX25" i="6"/>
  <c r="FY25" i="6"/>
  <c r="FZ25" i="6"/>
  <c r="GA25" i="6"/>
  <c r="J26" i="6"/>
  <c r="K26" i="6"/>
  <c r="L26" i="6"/>
  <c r="M26" i="6"/>
  <c r="N26" i="6"/>
  <c r="O26" i="6"/>
  <c r="P26" i="6"/>
  <c r="Q26" i="6"/>
  <c r="R26" i="6"/>
  <c r="S26" i="6"/>
  <c r="T26" i="6"/>
  <c r="U26" i="6"/>
  <c r="U58" i="6" s="1"/>
  <c r="U66" i="6" s="1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K58" i="6" s="1"/>
  <c r="AK66" i="6" s="1"/>
  <c r="AL26" i="6"/>
  <c r="AM26" i="6"/>
  <c r="AN26" i="6"/>
  <c r="AO26" i="6"/>
  <c r="AP26" i="6"/>
  <c r="AQ26" i="6"/>
  <c r="AR26" i="6"/>
  <c r="AS26" i="6"/>
  <c r="AS58" i="6" s="1"/>
  <c r="AS66" i="6" s="1"/>
  <c r="AS75" i="6" s="1"/>
  <c r="AT26" i="6"/>
  <c r="AU26" i="6"/>
  <c r="AV26" i="6"/>
  <c r="AW26" i="6"/>
  <c r="AX26" i="6"/>
  <c r="AY26" i="6"/>
  <c r="AZ26" i="6"/>
  <c r="BA26" i="6"/>
  <c r="BA58" i="6" s="1"/>
  <c r="BA66" i="6" s="1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Q58" i="6" s="1"/>
  <c r="BQ66" i="6" s="1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CG58" i="6" s="1"/>
  <c r="CG66" i="6" s="1"/>
  <c r="CH26" i="6"/>
  <c r="CI26" i="6"/>
  <c r="CJ26" i="6"/>
  <c r="CK26" i="6"/>
  <c r="CL26" i="6"/>
  <c r="CM26" i="6"/>
  <c r="CN26" i="6"/>
  <c r="CO26" i="6"/>
  <c r="CP26" i="6"/>
  <c r="CQ26" i="6"/>
  <c r="CR26" i="6"/>
  <c r="CS26" i="6"/>
  <c r="CT26" i="6"/>
  <c r="CU26" i="6"/>
  <c r="CV26" i="6"/>
  <c r="CW26" i="6"/>
  <c r="CW58" i="6" s="1"/>
  <c r="CW66" i="6" s="1"/>
  <c r="CX26" i="6"/>
  <c r="CY26" i="6"/>
  <c r="CZ26" i="6"/>
  <c r="DA26" i="6"/>
  <c r="DB26" i="6"/>
  <c r="DC26" i="6"/>
  <c r="DD26" i="6"/>
  <c r="DE26" i="6"/>
  <c r="DF26" i="6"/>
  <c r="DG26" i="6"/>
  <c r="DH26" i="6"/>
  <c r="DI26" i="6"/>
  <c r="DJ26" i="6"/>
  <c r="DK26" i="6"/>
  <c r="DL26" i="6"/>
  <c r="DM26" i="6"/>
  <c r="DM58" i="6" s="1"/>
  <c r="DM66" i="6" s="1"/>
  <c r="DN26" i="6"/>
  <c r="DO26" i="6"/>
  <c r="DP26" i="6"/>
  <c r="DQ26" i="6"/>
  <c r="DR26" i="6"/>
  <c r="DS26" i="6"/>
  <c r="DT26" i="6"/>
  <c r="DU26" i="6"/>
  <c r="DV26" i="6"/>
  <c r="DW26" i="6"/>
  <c r="DX26" i="6"/>
  <c r="DY26" i="6"/>
  <c r="DZ26" i="6"/>
  <c r="EA26" i="6"/>
  <c r="EB26" i="6"/>
  <c r="EC26" i="6"/>
  <c r="EC58" i="6" s="1"/>
  <c r="EC66" i="6" s="1"/>
  <c r="ED26" i="6"/>
  <c r="EE26" i="6"/>
  <c r="EF26" i="6"/>
  <c r="EG26" i="6"/>
  <c r="EH26" i="6"/>
  <c r="EI26" i="6"/>
  <c r="EJ26" i="6"/>
  <c r="EK26" i="6"/>
  <c r="EL26" i="6"/>
  <c r="EM26" i="6"/>
  <c r="EN26" i="6"/>
  <c r="EO26" i="6"/>
  <c r="EP26" i="6"/>
  <c r="EQ26" i="6"/>
  <c r="ER26" i="6"/>
  <c r="ES26" i="6"/>
  <c r="ES58" i="6" s="1"/>
  <c r="ES66" i="6" s="1"/>
  <c r="ET26" i="6"/>
  <c r="EU26" i="6"/>
  <c r="EV26" i="6"/>
  <c r="EW26" i="6"/>
  <c r="EX26" i="6"/>
  <c r="EY26" i="6"/>
  <c r="EZ26" i="6"/>
  <c r="FA26" i="6"/>
  <c r="FB26" i="6"/>
  <c r="FC26" i="6"/>
  <c r="FD26" i="6"/>
  <c r="FE26" i="6"/>
  <c r="FF26" i="6"/>
  <c r="FG26" i="6"/>
  <c r="FH26" i="6"/>
  <c r="FI26" i="6"/>
  <c r="FI58" i="6" s="1"/>
  <c r="FI66" i="6" s="1"/>
  <c r="FJ26" i="6"/>
  <c r="FK26" i="6"/>
  <c r="FL26" i="6"/>
  <c r="FM26" i="6"/>
  <c r="FN26" i="6"/>
  <c r="FO26" i="6"/>
  <c r="FP26" i="6"/>
  <c r="FQ26" i="6"/>
  <c r="FR26" i="6"/>
  <c r="FS26" i="6"/>
  <c r="FT26" i="6"/>
  <c r="FU26" i="6"/>
  <c r="FV26" i="6"/>
  <c r="FW26" i="6"/>
  <c r="FX26" i="6"/>
  <c r="FY26" i="6"/>
  <c r="FY58" i="6" s="1"/>
  <c r="FY66" i="6" s="1"/>
  <c r="FZ26" i="6"/>
  <c r="GA26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CS27" i="6"/>
  <c r="CT27" i="6"/>
  <c r="CU27" i="6"/>
  <c r="CV27" i="6"/>
  <c r="CW27" i="6"/>
  <c r="CX27" i="6"/>
  <c r="CY27" i="6"/>
  <c r="CZ27" i="6"/>
  <c r="DA27" i="6"/>
  <c r="DB27" i="6"/>
  <c r="DC27" i="6"/>
  <c r="DD27" i="6"/>
  <c r="DE27" i="6"/>
  <c r="DF27" i="6"/>
  <c r="DG27" i="6"/>
  <c r="DH27" i="6"/>
  <c r="DI27" i="6"/>
  <c r="DJ27" i="6"/>
  <c r="DK27" i="6"/>
  <c r="DL27" i="6"/>
  <c r="DM27" i="6"/>
  <c r="DN27" i="6"/>
  <c r="DO27" i="6"/>
  <c r="DP27" i="6"/>
  <c r="DQ27" i="6"/>
  <c r="DR27" i="6"/>
  <c r="DS27" i="6"/>
  <c r="DT27" i="6"/>
  <c r="DU27" i="6"/>
  <c r="DV27" i="6"/>
  <c r="DW27" i="6"/>
  <c r="DX27" i="6"/>
  <c r="DY27" i="6"/>
  <c r="DZ27" i="6"/>
  <c r="EA27" i="6"/>
  <c r="EB27" i="6"/>
  <c r="EC27" i="6"/>
  <c r="ED27" i="6"/>
  <c r="EE27" i="6"/>
  <c r="EF27" i="6"/>
  <c r="EG27" i="6"/>
  <c r="EH27" i="6"/>
  <c r="EI27" i="6"/>
  <c r="EJ27" i="6"/>
  <c r="EK27" i="6"/>
  <c r="EL27" i="6"/>
  <c r="EM27" i="6"/>
  <c r="EN27" i="6"/>
  <c r="EO27" i="6"/>
  <c r="EP27" i="6"/>
  <c r="EQ27" i="6"/>
  <c r="ER27" i="6"/>
  <c r="ES27" i="6"/>
  <c r="ET27" i="6"/>
  <c r="EU27" i="6"/>
  <c r="EV27" i="6"/>
  <c r="EW27" i="6"/>
  <c r="EX27" i="6"/>
  <c r="EY27" i="6"/>
  <c r="EZ27" i="6"/>
  <c r="FA27" i="6"/>
  <c r="FB27" i="6"/>
  <c r="FC27" i="6"/>
  <c r="FD27" i="6"/>
  <c r="FE27" i="6"/>
  <c r="FF27" i="6"/>
  <c r="FG27" i="6"/>
  <c r="FH27" i="6"/>
  <c r="FI27" i="6"/>
  <c r="FJ27" i="6"/>
  <c r="FK27" i="6"/>
  <c r="FL27" i="6"/>
  <c r="FM27" i="6"/>
  <c r="FN27" i="6"/>
  <c r="FO27" i="6"/>
  <c r="FP27" i="6"/>
  <c r="FQ27" i="6"/>
  <c r="FR27" i="6"/>
  <c r="FS27" i="6"/>
  <c r="FT27" i="6"/>
  <c r="FU27" i="6"/>
  <c r="FV27" i="6"/>
  <c r="FW27" i="6"/>
  <c r="FX27" i="6"/>
  <c r="FY27" i="6"/>
  <c r="FZ27" i="6"/>
  <c r="GA27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CM28" i="6"/>
  <c r="CN28" i="6"/>
  <c r="CO28" i="6"/>
  <c r="CP28" i="6"/>
  <c r="CQ28" i="6"/>
  <c r="CR28" i="6"/>
  <c r="CS28" i="6"/>
  <c r="CT28" i="6"/>
  <c r="CU28" i="6"/>
  <c r="CV28" i="6"/>
  <c r="CW28" i="6"/>
  <c r="CX28" i="6"/>
  <c r="CY28" i="6"/>
  <c r="CZ28" i="6"/>
  <c r="DA28" i="6"/>
  <c r="DB28" i="6"/>
  <c r="DC28" i="6"/>
  <c r="DD28" i="6"/>
  <c r="DE28" i="6"/>
  <c r="DF28" i="6"/>
  <c r="DG28" i="6"/>
  <c r="DH28" i="6"/>
  <c r="DI28" i="6"/>
  <c r="DJ28" i="6"/>
  <c r="DK28" i="6"/>
  <c r="DL28" i="6"/>
  <c r="DM28" i="6"/>
  <c r="DN28" i="6"/>
  <c r="DO28" i="6"/>
  <c r="DP28" i="6"/>
  <c r="DQ28" i="6"/>
  <c r="DR28" i="6"/>
  <c r="DS28" i="6"/>
  <c r="DT28" i="6"/>
  <c r="DU28" i="6"/>
  <c r="DV28" i="6"/>
  <c r="DW28" i="6"/>
  <c r="DX28" i="6"/>
  <c r="DY28" i="6"/>
  <c r="DZ28" i="6"/>
  <c r="EA28" i="6"/>
  <c r="EB28" i="6"/>
  <c r="EC28" i="6"/>
  <c r="ED28" i="6"/>
  <c r="EE28" i="6"/>
  <c r="EF28" i="6"/>
  <c r="EG28" i="6"/>
  <c r="EH28" i="6"/>
  <c r="EI28" i="6"/>
  <c r="EJ28" i="6"/>
  <c r="EK28" i="6"/>
  <c r="EL28" i="6"/>
  <c r="EM28" i="6"/>
  <c r="EN28" i="6"/>
  <c r="EO28" i="6"/>
  <c r="EP28" i="6"/>
  <c r="EQ28" i="6"/>
  <c r="ER28" i="6"/>
  <c r="ES28" i="6"/>
  <c r="ET28" i="6"/>
  <c r="EU28" i="6"/>
  <c r="EV28" i="6"/>
  <c r="EW28" i="6"/>
  <c r="EX28" i="6"/>
  <c r="EY28" i="6"/>
  <c r="EZ28" i="6"/>
  <c r="FA28" i="6"/>
  <c r="FB28" i="6"/>
  <c r="FC28" i="6"/>
  <c r="FD28" i="6"/>
  <c r="FE28" i="6"/>
  <c r="FF28" i="6"/>
  <c r="FG28" i="6"/>
  <c r="FH28" i="6"/>
  <c r="FI28" i="6"/>
  <c r="FJ28" i="6"/>
  <c r="FK28" i="6"/>
  <c r="FL28" i="6"/>
  <c r="FM28" i="6"/>
  <c r="FN28" i="6"/>
  <c r="FO28" i="6"/>
  <c r="FP28" i="6"/>
  <c r="FQ28" i="6"/>
  <c r="FR28" i="6"/>
  <c r="FS28" i="6"/>
  <c r="FT28" i="6"/>
  <c r="FU28" i="6"/>
  <c r="FV28" i="6"/>
  <c r="FW28" i="6"/>
  <c r="FX28" i="6"/>
  <c r="FY28" i="6"/>
  <c r="FZ28" i="6"/>
  <c r="GA28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C29" i="6"/>
  <c r="CD29" i="6"/>
  <c r="CE29" i="6"/>
  <c r="CF29" i="6"/>
  <c r="CG29" i="6"/>
  <c r="CH29" i="6"/>
  <c r="CI29" i="6"/>
  <c r="CJ29" i="6"/>
  <c r="CK29" i="6"/>
  <c r="CL29" i="6"/>
  <c r="CM29" i="6"/>
  <c r="CN29" i="6"/>
  <c r="CO29" i="6"/>
  <c r="CP29" i="6"/>
  <c r="CQ29" i="6"/>
  <c r="CR29" i="6"/>
  <c r="CS29" i="6"/>
  <c r="CT29" i="6"/>
  <c r="CU29" i="6"/>
  <c r="CV29" i="6"/>
  <c r="CW29" i="6"/>
  <c r="CX29" i="6"/>
  <c r="CY29" i="6"/>
  <c r="CZ29" i="6"/>
  <c r="DA29" i="6"/>
  <c r="DB29" i="6"/>
  <c r="DC29" i="6"/>
  <c r="DD29" i="6"/>
  <c r="DE29" i="6"/>
  <c r="DF29" i="6"/>
  <c r="DG29" i="6"/>
  <c r="DH29" i="6"/>
  <c r="DI29" i="6"/>
  <c r="DJ29" i="6"/>
  <c r="DK29" i="6"/>
  <c r="DL29" i="6"/>
  <c r="DM29" i="6"/>
  <c r="DN29" i="6"/>
  <c r="DO29" i="6"/>
  <c r="DP29" i="6"/>
  <c r="DQ29" i="6"/>
  <c r="DR29" i="6"/>
  <c r="DS29" i="6"/>
  <c r="DT29" i="6"/>
  <c r="DU29" i="6"/>
  <c r="DV29" i="6"/>
  <c r="DW29" i="6"/>
  <c r="DX29" i="6"/>
  <c r="DY29" i="6"/>
  <c r="DZ29" i="6"/>
  <c r="EA29" i="6"/>
  <c r="EB29" i="6"/>
  <c r="EC29" i="6"/>
  <c r="ED29" i="6"/>
  <c r="EE29" i="6"/>
  <c r="EF29" i="6"/>
  <c r="EG29" i="6"/>
  <c r="EH29" i="6"/>
  <c r="EI29" i="6"/>
  <c r="EJ29" i="6"/>
  <c r="EK29" i="6"/>
  <c r="EL29" i="6"/>
  <c r="EM29" i="6"/>
  <c r="EN29" i="6"/>
  <c r="EO29" i="6"/>
  <c r="EP29" i="6"/>
  <c r="EQ29" i="6"/>
  <c r="ER29" i="6"/>
  <c r="ES29" i="6"/>
  <c r="ET29" i="6"/>
  <c r="EU29" i="6"/>
  <c r="EV29" i="6"/>
  <c r="EW29" i="6"/>
  <c r="EX29" i="6"/>
  <c r="EY29" i="6"/>
  <c r="EZ29" i="6"/>
  <c r="FA29" i="6"/>
  <c r="FB29" i="6"/>
  <c r="FC29" i="6"/>
  <c r="FD29" i="6"/>
  <c r="FE29" i="6"/>
  <c r="FF29" i="6"/>
  <c r="FG29" i="6"/>
  <c r="FH29" i="6"/>
  <c r="FI29" i="6"/>
  <c r="FJ29" i="6"/>
  <c r="FK29" i="6"/>
  <c r="FL29" i="6"/>
  <c r="FM29" i="6"/>
  <c r="FN29" i="6"/>
  <c r="FO29" i="6"/>
  <c r="FP29" i="6"/>
  <c r="FQ29" i="6"/>
  <c r="FR29" i="6"/>
  <c r="FS29" i="6"/>
  <c r="FT29" i="6"/>
  <c r="FU29" i="6"/>
  <c r="FV29" i="6"/>
  <c r="FW29" i="6"/>
  <c r="FX29" i="6"/>
  <c r="FY29" i="6"/>
  <c r="FZ29" i="6"/>
  <c r="GA29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CO30" i="6"/>
  <c r="CP30" i="6"/>
  <c r="CQ30" i="6"/>
  <c r="CR30" i="6"/>
  <c r="CS30" i="6"/>
  <c r="CT30" i="6"/>
  <c r="CU30" i="6"/>
  <c r="CV30" i="6"/>
  <c r="CW30" i="6"/>
  <c r="CX30" i="6"/>
  <c r="CY30" i="6"/>
  <c r="CZ30" i="6"/>
  <c r="DA30" i="6"/>
  <c r="DB30" i="6"/>
  <c r="DC30" i="6"/>
  <c r="DD30" i="6"/>
  <c r="DE30" i="6"/>
  <c r="DF30" i="6"/>
  <c r="DG30" i="6"/>
  <c r="DH30" i="6"/>
  <c r="DI30" i="6"/>
  <c r="DJ30" i="6"/>
  <c r="DK30" i="6"/>
  <c r="DL30" i="6"/>
  <c r="DM30" i="6"/>
  <c r="DN30" i="6"/>
  <c r="DO30" i="6"/>
  <c r="DP30" i="6"/>
  <c r="DQ30" i="6"/>
  <c r="DR30" i="6"/>
  <c r="DS30" i="6"/>
  <c r="DT30" i="6"/>
  <c r="DU30" i="6"/>
  <c r="DV30" i="6"/>
  <c r="DW30" i="6"/>
  <c r="DX30" i="6"/>
  <c r="DY30" i="6"/>
  <c r="DZ30" i="6"/>
  <c r="EA30" i="6"/>
  <c r="EB30" i="6"/>
  <c r="EC30" i="6"/>
  <c r="ED30" i="6"/>
  <c r="EE30" i="6"/>
  <c r="EF30" i="6"/>
  <c r="EG30" i="6"/>
  <c r="EH30" i="6"/>
  <c r="EI30" i="6"/>
  <c r="EJ30" i="6"/>
  <c r="EK30" i="6"/>
  <c r="EL30" i="6"/>
  <c r="EM30" i="6"/>
  <c r="EN30" i="6"/>
  <c r="EO30" i="6"/>
  <c r="EP30" i="6"/>
  <c r="EQ30" i="6"/>
  <c r="ER30" i="6"/>
  <c r="ES30" i="6"/>
  <c r="ET30" i="6"/>
  <c r="EU30" i="6"/>
  <c r="EV30" i="6"/>
  <c r="EW30" i="6"/>
  <c r="EX30" i="6"/>
  <c r="EY30" i="6"/>
  <c r="EZ30" i="6"/>
  <c r="FA30" i="6"/>
  <c r="FB30" i="6"/>
  <c r="FC30" i="6"/>
  <c r="FD30" i="6"/>
  <c r="FE30" i="6"/>
  <c r="FF30" i="6"/>
  <c r="FG30" i="6"/>
  <c r="FH30" i="6"/>
  <c r="FI30" i="6"/>
  <c r="FJ30" i="6"/>
  <c r="FK30" i="6"/>
  <c r="FL30" i="6"/>
  <c r="FM30" i="6"/>
  <c r="FN30" i="6"/>
  <c r="FO30" i="6"/>
  <c r="FP30" i="6"/>
  <c r="FQ30" i="6"/>
  <c r="FR30" i="6"/>
  <c r="FS30" i="6"/>
  <c r="FT30" i="6"/>
  <c r="FU30" i="6"/>
  <c r="FV30" i="6"/>
  <c r="FW30" i="6"/>
  <c r="FX30" i="6"/>
  <c r="FY30" i="6"/>
  <c r="FZ30" i="6"/>
  <c r="GA30" i="6"/>
  <c r="J35" i="6"/>
  <c r="K35" i="6"/>
  <c r="L35" i="6"/>
  <c r="M35" i="6"/>
  <c r="N35" i="6"/>
  <c r="O35" i="6"/>
  <c r="O44" i="6" s="1"/>
  <c r="O53" i="6" s="1"/>
  <c r="O61" i="6" s="1"/>
  <c r="O70" i="6" s="1"/>
  <c r="O81" i="6" s="1"/>
  <c r="O85" i="6" s="1"/>
  <c r="P35" i="6"/>
  <c r="Q35" i="6"/>
  <c r="R35" i="6"/>
  <c r="S35" i="6"/>
  <c r="T35" i="6"/>
  <c r="U35" i="6"/>
  <c r="V35" i="6"/>
  <c r="V44" i="6" s="1"/>
  <c r="V53" i="6" s="1"/>
  <c r="W35" i="6"/>
  <c r="X35" i="6"/>
  <c r="Y35" i="6"/>
  <c r="Z35" i="6"/>
  <c r="AA35" i="6"/>
  <c r="AB35" i="6"/>
  <c r="AC35" i="6"/>
  <c r="AD35" i="6"/>
  <c r="AE35" i="6"/>
  <c r="AE44" i="6" s="1"/>
  <c r="AE53" i="6" s="1"/>
  <c r="AE61" i="6" s="1"/>
  <c r="AF35" i="6"/>
  <c r="AG35" i="6"/>
  <c r="AH35" i="6"/>
  <c r="AI35" i="6"/>
  <c r="AJ35" i="6"/>
  <c r="AK35" i="6"/>
  <c r="AL35" i="6"/>
  <c r="AL44" i="6" s="1"/>
  <c r="AL53" i="6" s="1"/>
  <c r="AM35" i="6"/>
  <c r="AN35" i="6"/>
  <c r="AO35" i="6"/>
  <c r="AP35" i="6"/>
  <c r="AQ35" i="6"/>
  <c r="AR35" i="6"/>
  <c r="AS35" i="6"/>
  <c r="AT35" i="6"/>
  <c r="AU35" i="6"/>
  <c r="AU44" i="6" s="1"/>
  <c r="AU53" i="6" s="1"/>
  <c r="AU61" i="6" s="1"/>
  <c r="AV35" i="6"/>
  <c r="AW35" i="6"/>
  <c r="AX35" i="6"/>
  <c r="AY35" i="6"/>
  <c r="AZ35" i="6"/>
  <c r="BA35" i="6"/>
  <c r="BB35" i="6"/>
  <c r="BB44" i="6" s="1"/>
  <c r="BB53" i="6" s="1"/>
  <c r="BC35" i="6"/>
  <c r="BD35" i="6"/>
  <c r="BE35" i="6"/>
  <c r="BF35" i="6"/>
  <c r="BG35" i="6"/>
  <c r="BG44" i="6" s="1"/>
  <c r="BG53" i="6" s="1"/>
  <c r="BG61" i="6" s="1"/>
  <c r="BH35" i="6"/>
  <c r="BI35" i="6"/>
  <c r="BJ35" i="6"/>
  <c r="BK35" i="6"/>
  <c r="BK44" i="6" s="1"/>
  <c r="BK53" i="6" s="1"/>
  <c r="BK61" i="6" s="1"/>
  <c r="BL35" i="6"/>
  <c r="BM35" i="6"/>
  <c r="BN35" i="6"/>
  <c r="BO35" i="6"/>
  <c r="BP35" i="6"/>
  <c r="BQ35" i="6"/>
  <c r="BR35" i="6"/>
  <c r="BR44" i="6" s="1"/>
  <c r="BR53" i="6" s="1"/>
  <c r="BS35" i="6"/>
  <c r="BT35" i="6"/>
  <c r="BU35" i="6"/>
  <c r="BV35" i="6"/>
  <c r="BW35" i="6"/>
  <c r="BW44" i="6" s="1"/>
  <c r="BW53" i="6" s="1"/>
  <c r="BW61" i="6" s="1"/>
  <c r="BX35" i="6"/>
  <c r="BY35" i="6"/>
  <c r="BZ35" i="6"/>
  <c r="CA35" i="6"/>
  <c r="CA44" i="6" s="1"/>
  <c r="CA53" i="6" s="1"/>
  <c r="CA61" i="6" s="1"/>
  <c r="CA70" i="6" s="1"/>
  <c r="CA81" i="6" s="1"/>
  <c r="CB35" i="6"/>
  <c r="CC35" i="6"/>
  <c r="CD35" i="6"/>
  <c r="CE35" i="6"/>
  <c r="CF35" i="6"/>
  <c r="CG35" i="6"/>
  <c r="CH35" i="6"/>
  <c r="CH44" i="6" s="1"/>
  <c r="CH53" i="6" s="1"/>
  <c r="CI35" i="6"/>
  <c r="CJ35" i="6"/>
  <c r="CK35" i="6"/>
  <c r="CL35" i="6"/>
  <c r="CM35" i="6"/>
  <c r="CM44" i="6" s="1"/>
  <c r="CM53" i="6" s="1"/>
  <c r="CM61" i="6" s="1"/>
  <c r="CN35" i="6"/>
  <c r="CO35" i="6"/>
  <c r="CP35" i="6"/>
  <c r="CQ35" i="6"/>
  <c r="CQ44" i="6" s="1"/>
  <c r="CQ53" i="6" s="1"/>
  <c r="CQ61" i="6" s="1"/>
  <c r="CQ70" i="6" s="1"/>
  <c r="CR35" i="6"/>
  <c r="CS35" i="6"/>
  <c r="CT35" i="6"/>
  <c r="CU35" i="6"/>
  <c r="CV35" i="6"/>
  <c r="CW35" i="6"/>
  <c r="CX35" i="6"/>
  <c r="CX44" i="6" s="1"/>
  <c r="CX53" i="6" s="1"/>
  <c r="CY35" i="6"/>
  <c r="CZ35" i="6"/>
  <c r="DA35" i="6"/>
  <c r="DB35" i="6"/>
  <c r="DC35" i="6"/>
  <c r="DC44" i="6" s="1"/>
  <c r="DC53" i="6" s="1"/>
  <c r="DC61" i="6" s="1"/>
  <c r="DD35" i="6"/>
  <c r="DE35" i="6"/>
  <c r="DF35" i="6"/>
  <c r="DG35" i="6"/>
  <c r="DG44" i="6" s="1"/>
  <c r="DG53" i="6" s="1"/>
  <c r="DG61" i="6" s="1"/>
  <c r="DG70" i="6" s="1"/>
  <c r="DH35" i="6"/>
  <c r="DI35" i="6"/>
  <c r="DJ35" i="6"/>
  <c r="DK35" i="6"/>
  <c r="DL35" i="6"/>
  <c r="DM35" i="6"/>
  <c r="DN35" i="6"/>
  <c r="DN44" i="6" s="1"/>
  <c r="DN53" i="6" s="1"/>
  <c r="DO35" i="6"/>
  <c r="DP35" i="6"/>
  <c r="DQ35" i="6"/>
  <c r="DR35" i="6"/>
  <c r="DS35" i="6"/>
  <c r="DS44" i="6" s="1"/>
  <c r="DS53" i="6" s="1"/>
  <c r="DS61" i="6" s="1"/>
  <c r="DT35" i="6"/>
  <c r="DU35" i="6"/>
  <c r="DV35" i="6"/>
  <c r="DW35" i="6"/>
  <c r="DW44" i="6" s="1"/>
  <c r="DW53" i="6" s="1"/>
  <c r="DW61" i="6" s="1"/>
  <c r="DX35" i="6"/>
  <c r="DY35" i="6"/>
  <c r="DZ35" i="6"/>
  <c r="EA35" i="6"/>
  <c r="EB35" i="6"/>
  <c r="EC35" i="6"/>
  <c r="ED35" i="6"/>
  <c r="ED44" i="6" s="1"/>
  <c r="ED53" i="6" s="1"/>
  <c r="EE35" i="6"/>
  <c r="EF35" i="6"/>
  <c r="EG35" i="6"/>
  <c r="EH35" i="6"/>
  <c r="EI35" i="6"/>
  <c r="EJ35" i="6"/>
  <c r="EK35" i="6"/>
  <c r="EL35" i="6"/>
  <c r="EM35" i="6"/>
  <c r="EM44" i="6" s="1"/>
  <c r="EM53" i="6" s="1"/>
  <c r="EM61" i="6" s="1"/>
  <c r="EM70" i="6" s="1"/>
  <c r="EM81" i="6" s="1"/>
  <c r="EN35" i="6"/>
  <c r="EO35" i="6"/>
  <c r="EP35" i="6"/>
  <c r="EQ35" i="6"/>
  <c r="ER35" i="6"/>
  <c r="ES35" i="6"/>
  <c r="ET35" i="6"/>
  <c r="ET44" i="6" s="1"/>
  <c r="ET53" i="6" s="1"/>
  <c r="EU35" i="6"/>
  <c r="EV35" i="6"/>
  <c r="EW35" i="6"/>
  <c r="EX35" i="6"/>
  <c r="EY35" i="6"/>
  <c r="EZ35" i="6"/>
  <c r="FA35" i="6"/>
  <c r="FB35" i="6"/>
  <c r="FC35" i="6"/>
  <c r="FC44" i="6" s="1"/>
  <c r="FC53" i="6" s="1"/>
  <c r="FC61" i="6" s="1"/>
  <c r="FC70" i="6" s="1"/>
  <c r="FC81" i="6" s="1"/>
  <c r="FD35" i="6"/>
  <c r="FE35" i="6"/>
  <c r="FF35" i="6"/>
  <c r="FG35" i="6"/>
  <c r="FH35" i="6"/>
  <c r="FI35" i="6"/>
  <c r="FJ35" i="6"/>
  <c r="FJ44" i="6" s="1"/>
  <c r="FJ53" i="6" s="1"/>
  <c r="FK35" i="6"/>
  <c r="FL35" i="6"/>
  <c r="FM35" i="6"/>
  <c r="FN35" i="6"/>
  <c r="FO35" i="6"/>
  <c r="FP35" i="6"/>
  <c r="FQ35" i="6"/>
  <c r="FR35" i="6"/>
  <c r="FS35" i="6"/>
  <c r="FS44" i="6" s="1"/>
  <c r="FS53" i="6" s="1"/>
  <c r="FS61" i="6" s="1"/>
  <c r="FS70" i="6" s="1"/>
  <c r="FS81" i="6" s="1"/>
  <c r="FT35" i="6"/>
  <c r="FU35" i="6"/>
  <c r="FV35" i="6"/>
  <c r="FW35" i="6"/>
  <c r="FX35" i="6"/>
  <c r="FY35" i="6"/>
  <c r="FZ35" i="6"/>
  <c r="FZ44" i="6" s="1"/>
  <c r="FZ53" i="6" s="1"/>
  <c r="GA35" i="6"/>
  <c r="J36" i="6"/>
  <c r="K36" i="6"/>
  <c r="L36" i="6"/>
  <c r="M36" i="6"/>
  <c r="M45" i="6" s="1"/>
  <c r="N36" i="6"/>
  <c r="O36" i="6"/>
  <c r="P36" i="6"/>
  <c r="Q36" i="6"/>
  <c r="Q45" i="6" s="1"/>
  <c r="R36" i="6"/>
  <c r="S36" i="6"/>
  <c r="T36" i="6"/>
  <c r="U36" i="6"/>
  <c r="V36" i="6"/>
  <c r="W36" i="6"/>
  <c r="X36" i="6"/>
  <c r="X45" i="6" s="1"/>
  <c r="Y36" i="6"/>
  <c r="Z36" i="6"/>
  <c r="AA36" i="6"/>
  <c r="AB36" i="6"/>
  <c r="AC36" i="6"/>
  <c r="AC45" i="6" s="1"/>
  <c r="AD36" i="6"/>
  <c r="AE36" i="6"/>
  <c r="AF36" i="6"/>
  <c r="AG36" i="6"/>
  <c r="AG45" i="6" s="1"/>
  <c r="AH36" i="6"/>
  <c r="AI36" i="6"/>
  <c r="AJ36" i="6"/>
  <c r="AK36" i="6"/>
  <c r="AL36" i="6"/>
  <c r="AM36" i="6"/>
  <c r="AN36" i="6"/>
  <c r="AN45" i="6" s="1"/>
  <c r="AO36" i="6"/>
  <c r="AP36" i="6"/>
  <c r="AQ36" i="6"/>
  <c r="AR36" i="6"/>
  <c r="AS36" i="6"/>
  <c r="AS45" i="6" s="1"/>
  <c r="AT36" i="6"/>
  <c r="AU36" i="6"/>
  <c r="AV36" i="6"/>
  <c r="AW36" i="6"/>
  <c r="AW45" i="6" s="1"/>
  <c r="AX36" i="6"/>
  <c r="AY36" i="6"/>
  <c r="AZ36" i="6"/>
  <c r="BA36" i="6"/>
  <c r="BB36" i="6"/>
  <c r="BC36" i="6"/>
  <c r="BD36" i="6"/>
  <c r="BD45" i="6" s="1"/>
  <c r="BE36" i="6"/>
  <c r="BF36" i="6"/>
  <c r="BG36" i="6"/>
  <c r="BH36" i="6"/>
  <c r="BI36" i="6"/>
  <c r="BI45" i="6" s="1"/>
  <c r="BJ36" i="6"/>
  <c r="BK36" i="6"/>
  <c r="BL36" i="6"/>
  <c r="BM36" i="6"/>
  <c r="BM45" i="6" s="1"/>
  <c r="BN36" i="6"/>
  <c r="BO36" i="6"/>
  <c r="BP36" i="6"/>
  <c r="BQ36" i="6"/>
  <c r="BR36" i="6"/>
  <c r="BS36" i="6"/>
  <c r="BT36" i="6"/>
  <c r="BT45" i="6" s="1"/>
  <c r="BU36" i="6"/>
  <c r="BV36" i="6"/>
  <c r="BW36" i="6"/>
  <c r="BX36" i="6"/>
  <c r="BY36" i="6"/>
  <c r="BY45" i="6" s="1"/>
  <c r="BZ36" i="6"/>
  <c r="CA36" i="6"/>
  <c r="CB36" i="6"/>
  <c r="CC36" i="6"/>
  <c r="CC45" i="6" s="1"/>
  <c r="CD36" i="6"/>
  <c r="CE36" i="6"/>
  <c r="CF36" i="6"/>
  <c r="CG36" i="6"/>
  <c r="CH36" i="6"/>
  <c r="CI36" i="6"/>
  <c r="CJ36" i="6"/>
  <c r="CJ45" i="6" s="1"/>
  <c r="CK36" i="6"/>
  <c r="CL36" i="6"/>
  <c r="CM36" i="6"/>
  <c r="CN36" i="6"/>
  <c r="CO36" i="6"/>
  <c r="CP36" i="6"/>
  <c r="CQ36" i="6"/>
  <c r="CR36" i="6"/>
  <c r="CS36" i="6"/>
  <c r="CS45" i="6" s="1"/>
  <c r="CT36" i="6"/>
  <c r="CU36" i="6"/>
  <c r="CV36" i="6"/>
  <c r="CW36" i="6"/>
  <c r="CX36" i="6"/>
  <c r="CY36" i="6"/>
  <c r="CZ36" i="6"/>
  <c r="CZ45" i="6" s="1"/>
  <c r="DA36" i="6"/>
  <c r="DB36" i="6"/>
  <c r="DC36" i="6"/>
  <c r="DD36" i="6"/>
  <c r="DE36" i="6"/>
  <c r="DF36" i="6"/>
  <c r="DG36" i="6"/>
  <c r="DH36" i="6"/>
  <c r="DI36" i="6"/>
  <c r="DI45" i="6" s="1"/>
  <c r="DJ36" i="6"/>
  <c r="DK36" i="6"/>
  <c r="DL36" i="6"/>
  <c r="DM36" i="6"/>
  <c r="DN36" i="6"/>
  <c r="DO36" i="6"/>
  <c r="DP36" i="6"/>
  <c r="DP45" i="6" s="1"/>
  <c r="DQ36" i="6"/>
  <c r="DR36" i="6"/>
  <c r="DS36" i="6"/>
  <c r="DT36" i="6"/>
  <c r="DU36" i="6"/>
  <c r="DV36" i="6"/>
  <c r="DW36" i="6"/>
  <c r="DX36" i="6"/>
  <c r="DY36" i="6"/>
  <c r="DY45" i="6" s="1"/>
  <c r="DZ36" i="6"/>
  <c r="EA36" i="6"/>
  <c r="EB36" i="6"/>
  <c r="EC36" i="6"/>
  <c r="ED36" i="6"/>
  <c r="EE36" i="6"/>
  <c r="EF36" i="6"/>
  <c r="EF45" i="6" s="1"/>
  <c r="EG36" i="6"/>
  <c r="EH36" i="6"/>
  <c r="EI36" i="6"/>
  <c r="EJ36" i="6"/>
  <c r="EK36" i="6"/>
  <c r="EK45" i="6" s="1"/>
  <c r="EL36" i="6"/>
  <c r="EM36" i="6"/>
  <c r="EN36" i="6"/>
  <c r="EO36" i="6"/>
  <c r="EO45" i="6" s="1"/>
  <c r="EP36" i="6"/>
  <c r="EQ36" i="6"/>
  <c r="ER36" i="6"/>
  <c r="ES36" i="6"/>
  <c r="ET36" i="6"/>
  <c r="EU36" i="6"/>
  <c r="EV36" i="6"/>
  <c r="EV45" i="6" s="1"/>
  <c r="EW36" i="6"/>
  <c r="EX36" i="6"/>
  <c r="EY36" i="6"/>
  <c r="EZ36" i="6"/>
  <c r="FA36" i="6"/>
  <c r="FA45" i="6" s="1"/>
  <c r="FB36" i="6"/>
  <c r="FC36" i="6"/>
  <c r="FD36" i="6"/>
  <c r="FE36" i="6"/>
  <c r="FE45" i="6" s="1"/>
  <c r="FF36" i="6"/>
  <c r="FG36" i="6"/>
  <c r="FH36" i="6"/>
  <c r="FI36" i="6"/>
  <c r="FJ36" i="6"/>
  <c r="FK36" i="6"/>
  <c r="FL36" i="6"/>
  <c r="FL45" i="6" s="1"/>
  <c r="FM36" i="6"/>
  <c r="FN36" i="6"/>
  <c r="FO36" i="6"/>
  <c r="FP36" i="6"/>
  <c r="FQ36" i="6"/>
  <c r="FQ45" i="6" s="1"/>
  <c r="FR36" i="6"/>
  <c r="FS36" i="6"/>
  <c r="FT36" i="6"/>
  <c r="FU36" i="6"/>
  <c r="FU45" i="6" s="1"/>
  <c r="FV36" i="6"/>
  <c r="FW36" i="6"/>
  <c r="FX36" i="6"/>
  <c r="FY36" i="6"/>
  <c r="FZ36" i="6"/>
  <c r="GA36" i="6"/>
  <c r="J37" i="6"/>
  <c r="J46" i="6" s="1"/>
  <c r="J82" i="6" s="1"/>
  <c r="K37" i="6"/>
  <c r="L37" i="6"/>
  <c r="M37" i="6"/>
  <c r="N37" i="6"/>
  <c r="O37" i="6"/>
  <c r="O46" i="6" s="1"/>
  <c r="P37" i="6"/>
  <c r="Q37" i="6"/>
  <c r="R37" i="6"/>
  <c r="S37" i="6"/>
  <c r="S46" i="6" s="1"/>
  <c r="T37" i="6"/>
  <c r="U37" i="6"/>
  <c r="V37" i="6"/>
  <c r="W37" i="6"/>
  <c r="X37" i="6"/>
  <c r="Y37" i="6"/>
  <c r="Z37" i="6"/>
  <c r="Z46" i="6" s="1"/>
  <c r="Z82" i="6" s="1"/>
  <c r="AA37" i="6"/>
  <c r="AB37" i="6"/>
  <c r="AC37" i="6"/>
  <c r="AD37" i="6"/>
  <c r="AE37" i="6"/>
  <c r="AE46" i="6" s="1"/>
  <c r="AF37" i="6"/>
  <c r="AG37" i="6"/>
  <c r="AH37" i="6"/>
  <c r="AI37" i="6"/>
  <c r="AI46" i="6" s="1"/>
  <c r="AJ37" i="6"/>
  <c r="AK37" i="6"/>
  <c r="AL37" i="6"/>
  <c r="AM37" i="6"/>
  <c r="AN37" i="6"/>
  <c r="AO37" i="6"/>
  <c r="AP37" i="6"/>
  <c r="AP46" i="6" s="1"/>
  <c r="AQ37" i="6"/>
  <c r="AR37" i="6"/>
  <c r="AS37" i="6"/>
  <c r="AS46" i="6" s="1"/>
  <c r="AT37" i="6"/>
  <c r="AU37" i="6"/>
  <c r="AV37" i="6"/>
  <c r="AW37" i="6"/>
  <c r="AX37" i="6"/>
  <c r="AY37" i="6"/>
  <c r="AY46" i="6" s="1"/>
  <c r="AZ37" i="6"/>
  <c r="BA37" i="6"/>
  <c r="BB37" i="6"/>
  <c r="BC37" i="6"/>
  <c r="BD37" i="6"/>
  <c r="BE37" i="6"/>
  <c r="BF37" i="6"/>
  <c r="BF46" i="6" s="1"/>
  <c r="BG37" i="6"/>
  <c r="BH37" i="6"/>
  <c r="BI37" i="6"/>
  <c r="BJ37" i="6"/>
  <c r="BK37" i="6"/>
  <c r="BL37" i="6"/>
  <c r="BM37" i="6"/>
  <c r="BN37" i="6"/>
  <c r="BO37" i="6"/>
  <c r="BO46" i="6" s="1"/>
  <c r="BP37" i="6"/>
  <c r="BQ37" i="6"/>
  <c r="BR37" i="6"/>
  <c r="BS37" i="6"/>
  <c r="BT37" i="6"/>
  <c r="BU37" i="6"/>
  <c r="BV37" i="6"/>
  <c r="BV46" i="6" s="1"/>
  <c r="BW37" i="6"/>
  <c r="BX37" i="6"/>
  <c r="BY37" i="6"/>
  <c r="BZ37" i="6"/>
  <c r="CA37" i="6"/>
  <c r="CB37" i="6"/>
  <c r="CC37" i="6"/>
  <c r="CD37" i="6"/>
  <c r="CE37" i="6"/>
  <c r="CE46" i="6" s="1"/>
  <c r="CF37" i="6"/>
  <c r="CG37" i="6"/>
  <c r="CH37" i="6"/>
  <c r="CI37" i="6"/>
  <c r="CJ37" i="6"/>
  <c r="CK37" i="6"/>
  <c r="CL37" i="6"/>
  <c r="CL46" i="6" s="1"/>
  <c r="CM37" i="6"/>
  <c r="CN37" i="6"/>
  <c r="CO37" i="6"/>
  <c r="CP37" i="6"/>
  <c r="CQ37" i="6"/>
  <c r="CQ46" i="6" s="1"/>
  <c r="CR37" i="6"/>
  <c r="CS37" i="6"/>
  <c r="CT37" i="6"/>
  <c r="CU37" i="6"/>
  <c r="CU46" i="6" s="1"/>
  <c r="CV37" i="6"/>
  <c r="CW37" i="6"/>
  <c r="CX37" i="6"/>
  <c r="CY37" i="6"/>
  <c r="CZ37" i="6"/>
  <c r="DA37" i="6"/>
  <c r="DB37" i="6"/>
  <c r="DB46" i="6" s="1"/>
  <c r="DC37" i="6"/>
  <c r="DD37" i="6"/>
  <c r="DE37" i="6"/>
  <c r="DF37" i="6"/>
  <c r="DG37" i="6"/>
  <c r="DG46" i="6" s="1"/>
  <c r="DH37" i="6"/>
  <c r="DI37" i="6"/>
  <c r="DJ37" i="6"/>
  <c r="DK37" i="6"/>
  <c r="DK46" i="6" s="1"/>
  <c r="DL37" i="6"/>
  <c r="DM37" i="6"/>
  <c r="DN37" i="6"/>
  <c r="DO37" i="6"/>
  <c r="DP37" i="6"/>
  <c r="DQ37" i="6"/>
  <c r="DR37" i="6"/>
  <c r="DR46" i="6" s="1"/>
  <c r="DS37" i="6"/>
  <c r="DT37" i="6"/>
  <c r="DU37" i="6"/>
  <c r="DV37" i="6"/>
  <c r="DW37" i="6"/>
  <c r="DW46" i="6" s="1"/>
  <c r="DX37" i="6"/>
  <c r="DY37" i="6"/>
  <c r="DZ37" i="6"/>
  <c r="EA37" i="6"/>
  <c r="EA46" i="6" s="1"/>
  <c r="EB37" i="6"/>
  <c r="EC37" i="6"/>
  <c r="ED37" i="6"/>
  <c r="EE37" i="6"/>
  <c r="EF37" i="6"/>
  <c r="EG37" i="6"/>
  <c r="EH37" i="6"/>
  <c r="EH46" i="6" s="1"/>
  <c r="EI37" i="6"/>
  <c r="EJ37" i="6"/>
  <c r="EK37" i="6"/>
  <c r="EL37" i="6"/>
  <c r="EM37" i="6"/>
  <c r="EM46" i="6" s="1"/>
  <c r="EN37" i="6"/>
  <c r="EO37" i="6"/>
  <c r="EP37" i="6"/>
  <c r="EQ37" i="6"/>
  <c r="EQ46" i="6" s="1"/>
  <c r="ER37" i="6"/>
  <c r="ES37" i="6"/>
  <c r="ET37" i="6"/>
  <c r="EU37" i="6"/>
  <c r="EV37" i="6"/>
  <c r="EW37" i="6"/>
  <c r="EX37" i="6"/>
  <c r="EX46" i="6" s="1"/>
  <c r="EY37" i="6"/>
  <c r="EZ37" i="6"/>
  <c r="FA37" i="6"/>
  <c r="FB37" i="6"/>
  <c r="FC37" i="6"/>
  <c r="FC46" i="6" s="1"/>
  <c r="FD37" i="6"/>
  <c r="FE37" i="6"/>
  <c r="FF37" i="6"/>
  <c r="FG37" i="6"/>
  <c r="FG46" i="6" s="1"/>
  <c r="FH37" i="6"/>
  <c r="FI37" i="6"/>
  <c r="FJ37" i="6"/>
  <c r="FK37" i="6"/>
  <c r="FL37" i="6"/>
  <c r="FM37" i="6"/>
  <c r="FN37" i="6"/>
  <c r="FN46" i="6" s="1"/>
  <c r="FO37" i="6"/>
  <c r="FP37" i="6"/>
  <c r="FQ37" i="6"/>
  <c r="FR37" i="6"/>
  <c r="FS37" i="6"/>
  <c r="FT37" i="6"/>
  <c r="FU37" i="6"/>
  <c r="FV37" i="6"/>
  <c r="FW37" i="6"/>
  <c r="FW46" i="6" s="1"/>
  <c r="FX37" i="6"/>
  <c r="FY37" i="6"/>
  <c r="FZ37" i="6"/>
  <c r="GA37" i="6"/>
  <c r="J38" i="6"/>
  <c r="K38" i="6"/>
  <c r="L38" i="6"/>
  <c r="L47" i="6" s="1"/>
  <c r="M38" i="6"/>
  <c r="N38" i="6"/>
  <c r="O38" i="6"/>
  <c r="P38" i="6"/>
  <c r="Q38" i="6"/>
  <c r="R38" i="6"/>
  <c r="S38" i="6"/>
  <c r="T38" i="6"/>
  <c r="U38" i="6"/>
  <c r="U47" i="6" s="1"/>
  <c r="V38" i="6"/>
  <c r="W38" i="6"/>
  <c r="X38" i="6"/>
  <c r="Y38" i="6"/>
  <c r="Z38" i="6"/>
  <c r="AA38" i="6"/>
  <c r="AB38" i="6"/>
  <c r="AB47" i="6" s="1"/>
  <c r="AB82" i="6" s="1"/>
  <c r="AC38" i="6"/>
  <c r="AD38" i="6"/>
  <c r="AE38" i="6"/>
  <c r="AF38" i="6"/>
  <c r="AG38" i="6"/>
  <c r="AG47" i="6" s="1"/>
  <c r="AH38" i="6"/>
  <c r="AI38" i="6"/>
  <c r="AJ38" i="6"/>
  <c r="AK38" i="6"/>
  <c r="AK47" i="6" s="1"/>
  <c r="AL38" i="6"/>
  <c r="AM38" i="6"/>
  <c r="AN38" i="6"/>
  <c r="AO38" i="6"/>
  <c r="AP38" i="6"/>
  <c r="AQ38" i="6"/>
  <c r="AR38" i="6"/>
  <c r="AR47" i="6" s="1"/>
  <c r="AR82" i="6" s="1"/>
  <c r="AS38" i="6"/>
  <c r="AS47" i="6" s="1"/>
  <c r="AT38" i="6"/>
  <c r="AU38" i="6"/>
  <c r="AV38" i="6"/>
  <c r="AW38" i="6"/>
  <c r="AW47" i="6" s="1"/>
  <c r="AX38" i="6"/>
  <c r="AY38" i="6"/>
  <c r="AZ38" i="6"/>
  <c r="BA38" i="6"/>
  <c r="BA47" i="6" s="1"/>
  <c r="BB38" i="6"/>
  <c r="BC38" i="6"/>
  <c r="BD38" i="6"/>
  <c r="BE38" i="6"/>
  <c r="BF38" i="6"/>
  <c r="BG38" i="6"/>
  <c r="BH38" i="6"/>
  <c r="BH47" i="6" s="1"/>
  <c r="BI38" i="6"/>
  <c r="BJ38" i="6"/>
  <c r="BK38" i="6"/>
  <c r="BL38" i="6"/>
  <c r="BM38" i="6"/>
  <c r="BM47" i="6" s="1"/>
  <c r="BN38" i="6"/>
  <c r="BO38" i="6"/>
  <c r="BP38" i="6"/>
  <c r="BQ38" i="6"/>
  <c r="BQ47" i="6" s="1"/>
  <c r="BR38" i="6"/>
  <c r="BS38" i="6"/>
  <c r="BT38" i="6"/>
  <c r="BU38" i="6"/>
  <c r="BV38" i="6"/>
  <c r="BW38" i="6"/>
  <c r="BX38" i="6"/>
  <c r="BX47" i="6" s="1"/>
  <c r="BY38" i="6"/>
  <c r="BZ38" i="6"/>
  <c r="CA38" i="6"/>
  <c r="CB38" i="6"/>
  <c r="CC38" i="6"/>
  <c r="CC47" i="6" s="1"/>
  <c r="CD38" i="6"/>
  <c r="CE38" i="6"/>
  <c r="CF38" i="6"/>
  <c r="CG38" i="6"/>
  <c r="CG47" i="6" s="1"/>
  <c r="CH38" i="6"/>
  <c r="CI38" i="6"/>
  <c r="CJ38" i="6"/>
  <c r="CK38" i="6"/>
  <c r="CL38" i="6"/>
  <c r="CM38" i="6"/>
  <c r="CN38" i="6"/>
  <c r="CN47" i="6" s="1"/>
  <c r="CO38" i="6"/>
  <c r="CP38" i="6"/>
  <c r="CQ38" i="6"/>
  <c r="CR38" i="6"/>
  <c r="CS38" i="6"/>
  <c r="CS47" i="6" s="1"/>
  <c r="CT38" i="6"/>
  <c r="CU38" i="6"/>
  <c r="CV38" i="6"/>
  <c r="CW38" i="6"/>
  <c r="CW47" i="6" s="1"/>
  <c r="CX38" i="6"/>
  <c r="CY38" i="6"/>
  <c r="CZ38" i="6"/>
  <c r="DA38" i="6"/>
  <c r="DB38" i="6"/>
  <c r="DC38" i="6"/>
  <c r="DD38" i="6"/>
  <c r="DD47" i="6" s="1"/>
  <c r="DE38" i="6"/>
  <c r="DF38" i="6"/>
  <c r="DG38" i="6"/>
  <c r="DH38" i="6"/>
  <c r="DI38" i="6"/>
  <c r="DI47" i="6" s="1"/>
  <c r="DJ38" i="6"/>
  <c r="DK38" i="6"/>
  <c r="DL38" i="6"/>
  <c r="DM38" i="6"/>
  <c r="DM47" i="6" s="1"/>
  <c r="DN38" i="6"/>
  <c r="DO38" i="6"/>
  <c r="DP38" i="6"/>
  <c r="DQ38" i="6"/>
  <c r="DR38" i="6"/>
  <c r="DS38" i="6"/>
  <c r="DT38" i="6"/>
  <c r="DT47" i="6" s="1"/>
  <c r="DU38" i="6"/>
  <c r="DV38" i="6"/>
  <c r="DW38" i="6"/>
  <c r="DX38" i="6"/>
  <c r="DY38" i="6"/>
  <c r="DZ38" i="6"/>
  <c r="EA38" i="6"/>
  <c r="EB38" i="6"/>
  <c r="EC38" i="6"/>
  <c r="EC47" i="6" s="1"/>
  <c r="ED38" i="6"/>
  <c r="EE38" i="6"/>
  <c r="EF38" i="6"/>
  <c r="EG38" i="6"/>
  <c r="EH38" i="6"/>
  <c r="EI38" i="6"/>
  <c r="EJ38" i="6"/>
  <c r="EJ47" i="6" s="1"/>
  <c r="EK38" i="6"/>
  <c r="EL38" i="6"/>
  <c r="EM38" i="6"/>
  <c r="EN38" i="6"/>
  <c r="EO38" i="6"/>
  <c r="EP38" i="6"/>
  <c r="EQ38" i="6"/>
  <c r="ER38" i="6"/>
  <c r="ES38" i="6"/>
  <c r="ES47" i="6" s="1"/>
  <c r="ET38" i="6"/>
  <c r="EU38" i="6"/>
  <c r="EV38" i="6"/>
  <c r="EW38" i="6"/>
  <c r="EX38" i="6"/>
  <c r="EY38" i="6"/>
  <c r="EZ38" i="6"/>
  <c r="EZ47" i="6" s="1"/>
  <c r="FA38" i="6"/>
  <c r="FB38" i="6"/>
  <c r="FC38" i="6"/>
  <c r="FD38" i="6"/>
  <c r="FE38" i="6"/>
  <c r="FF38" i="6"/>
  <c r="FG38" i="6"/>
  <c r="FH38" i="6"/>
  <c r="FI38" i="6"/>
  <c r="FI47" i="6" s="1"/>
  <c r="FJ38" i="6"/>
  <c r="FK38" i="6"/>
  <c r="FL38" i="6"/>
  <c r="FM38" i="6"/>
  <c r="FN38" i="6"/>
  <c r="FO38" i="6"/>
  <c r="FP38" i="6"/>
  <c r="FP47" i="6" s="1"/>
  <c r="FQ38" i="6"/>
  <c r="FR38" i="6"/>
  <c r="FS38" i="6"/>
  <c r="FT38" i="6"/>
  <c r="FU38" i="6"/>
  <c r="FU47" i="6" s="1"/>
  <c r="FV38" i="6"/>
  <c r="FW38" i="6"/>
  <c r="FX38" i="6"/>
  <c r="FY38" i="6"/>
  <c r="FY47" i="6" s="1"/>
  <c r="FZ38" i="6"/>
  <c r="GA38" i="6"/>
  <c r="J39" i="6"/>
  <c r="K39" i="6"/>
  <c r="L39" i="6"/>
  <c r="M39" i="6"/>
  <c r="N39" i="6"/>
  <c r="N48" i="6" s="1"/>
  <c r="O39" i="6"/>
  <c r="P39" i="6"/>
  <c r="Q39" i="6"/>
  <c r="R39" i="6"/>
  <c r="S39" i="6"/>
  <c r="S48" i="6" s="1"/>
  <c r="T39" i="6"/>
  <c r="U39" i="6"/>
  <c r="V39" i="6"/>
  <c r="W39" i="6"/>
  <c r="W48" i="6" s="1"/>
  <c r="X39" i="6"/>
  <c r="Y39" i="6"/>
  <c r="Z39" i="6"/>
  <c r="AA39" i="6"/>
  <c r="AB39" i="6"/>
  <c r="AC39" i="6"/>
  <c r="AD39" i="6"/>
  <c r="AD48" i="6" s="1"/>
  <c r="AD82" i="6" s="1"/>
  <c r="AE39" i="6"/>
  <c r="AF39" i="6"/>
  <c r="AG39" i="6"/>
  <c r="AH39" i="6"/>
  <c r="AI39" i="6"/>
  <c r="AI48" i="6" s="1"/>
  <c r="AJ39" i="6"/>
  <c r="AK39" i="6"/>
  <c r="AL39" i="6"/>
  <c r="AM39" i="6"/>
  <c r="AM48" i="6" s="1"/>
  <c r="AN39" i="6"/>
  <c r="AO39" i="6"/>
  <c r="AP39" i="6"/>
  <c r="AQ39" i="6"/>
  <c r="AR39" i="6"/>
  <c r="AS39" i="6"/>
  <c r="AS48" i="6" s="1"/>
  <c r="AT39" i="6"/>
  <c r="AT48" i="6" s="1"/>
  <c r="AU39" i="6"/>
  <c r="AV39" i="6"/>
  <c r="AW39" i="6"/>
  <c r="AX39" i="6"/>
  <c r="AY39" i="6"/>
  <c r="AY48" i="6" s="1"/>
  <c r="AZ39" i="6"/>
  <c r="BA39" i="6"/>
  <c r="BB39" i="6"/>
  <c r="BC39" i="6"/>
  <c r="BC48" i="6" s="1"/>
  <c r="BD39" i="6"/>
  <c r="BE39" i="6"/>
  <c r="BF39" i="6"/>
  <c r="BG39" i="6"/>
  <c r="BH39" i="6"/>
  <c r="BI39" i="6"/>
  <c r="BJ39" i="6"/>
  <c r="BJ48" i="6" s="1"/>
  <c r="BK39" i="6"/>
  <c r="BL39" i="6"/>
  <c r="BM39" i="6"/>
  <c r="BN39" i="6"/>
  <c r="BO39" i="6"/>
  <c r="BO48" i="6" s="1"/>
  <c r="BP39" i="6"/>
  <c r="BQ39" i="6"/>
  <c r="BR39" i="6"/>
  <c r="BS39" i="6"/>
  <c r="BS48" i="6" s="1"/>
  <c r="BT39" i="6"/>
  <c r="BU39" i="6"/>
  <c r="BV39" i="6"/>
  <c r="BW39" i="6"/>
  <c r="BX39" i="6"/>
  <c r="BY39" i="6"/>
  <c r="BZ39" i="6"/>
  <c r="BZ48" i="6" s="1"/>
  <c r="CA39" i="6"/>
  <c r="CB39" i="6"/>
  <c r="CC39" i="6"/>
  <c r="CD39" i="6"/>
  <c r="CE39" i="6"/>
  <c r="CF39" i="6"/>
  <c r="CG39" i="6"/>
  <c r="CH39" i="6"/>
  <c r="CI39" i="6"/>
  <c r="CI48" i="6" s="1"/>
  <c r="CJ39" i="6"/>
  <c r="CK39" i="6"/>
  <c r="CL39" i="6"/>
  <c r="CM39" i="6"/>
  <c r="CN39" i="6"/>
  <c r="CO39" i="6"/>
  <c r="CP39" i="6"/>
  <c r="CP48" i="6" s="1"/>
  <c r="CQ39" i="6"/>
  <c r="CR39" i="6"/>
  <c r="CS39" i="6"/>
  <c r="CT39" i="6"/>
  <c r="CU39" i="6"/>
  <c r="CV39" i="6"/>
  <c r="CW39" i="6"/>
  <c r="CX39" i="6"/>
  <c r="CY39" i="6"/>
  <c r="CY48" i="6" s="1"/>
  <c r="CZ39" i="6"/>
  <c r="DA39" i="6"/>
  <c r="DB39" i="6"/>
  <c r="DC39" i="6"/>
  <c r="DD39" i="6"/>
  <c r="DE39" i="6"/>
  <c r="DF39" i="6"/>
  <c r="DF48" i="6" s="1"/>
  <c r="DG39" i="6"/>
  <c r="DH39" i="6"/>
  <c r="DI39" i="6"/>
  <c r="DJ39" i="6"/>
  <c r="DK39" i="6"/>
  <c r="DL39" i="6"/>
  <c r="DM39" i="6"/>
  <c r="DN39" i="6"/>
  <c r="DO39" i="6"/>
  <c r="DO48" i="6" s="1"/>
  <c r="DP39" i="6"/>
  <c r="DQ39" i="6"/>
  <c r="DR39" i="6"/>
  <c r="DS39" i="6"/>
  <c r="DT39" i="6"/>
  <c r="DU39" i="6"/>
  <c r="DV39" i="6"/>
  <c r="DV48" i="6" s="1"/>
  <c r="DW39" i="6"/>
  <c r="DX39" i="6"/>
  <c r="DY39" i="6"/>
  <c r="DZ39" i="6"/>
  <c r="EA39" i="6"/>
  <c r="EA48" i="6" s="1"/>
  <c r="EB39" i="6"/>
  <c r="EC39" i="6"/>
  <c r="ED39" i="6"/>
  <c r="EE39" i="6"/>
  <c r="EE48" i="6" s="1"/>
  <c r="EF39" i="6"/>
  <c r="EG39" i="6"/>
  <c r="EH39" i="6"/>
  <c r="EI39" i="6"/>
  <c r="EJ39" i="6"/>
  <c r="EK39" i="6"/>
  <c r="EL39" i="6"/>
  <c r="EL48" i="6" s="1"/>
  <c r="EM39" i="6"/>
  <c r="EN39" i="6"/>
  <c r="EO39" i="6"/>
  <c r="EP39" i="6"/>
  <c r="EQ39" i="6"/>
  <c r="EQ48" i="6" s="1"/>
  <c r="ER39" i="6"/>
  <c r="ES39" i="6"/>
  <c r="ET39" i="6"/>
  <c r="EU39" i="6"/>
  <c r="EU48" i="6" s="1"/>
  <c r="EV39" i="6"/>
  <c r="EW39" i="6"/>
  <c r="EX39" i="6"/>
  <c r="EY39" i="6"/>
  <c r="EZ39" i="6"/>
  <c r="FA39" i="6"/>
  <c r="FB39" i="6"/>
  <c r="FB48" i="6" s="1"/>
  <c r="FC39" i="6"/>
  <c r="FD39" i="6"/>
  <c r="FE39" i="6"/>
  <c r="FF39" i="6"/>
  <c r="FG39" i="6"/>
  <c r="FG48" i="6" s="1"/>
  <c r="FH39" i="6"/>
  <c r="FI39" i="6"/>
  <c r="FJ39" i="6"/>
  <c r="FK39" i="6"/>
  <c r="FK48" i="6" s="1"/>
  <c r="FL39" i="6"/>
  <c r="FM39" i="6"/>
  <c r="FN39" i="6"/>
  <c r="FO39" i="6"/>
  <c r="FP39" i="6"/>
  <c r="FQ39" i="6"/>
  <c r="FR39" i="6"/>
  <c r="FR48" i="6" s="1"/>
  <c r="FS39" i="6"/>
  <c r="FT39" i="6"/>
  <c r="FU39" i="6"/>
  <c r="FV39" i="6"/>
  <c r="FW39" i="6"/>
  <c r="FW48" i="6" s="1"/>
  <c r="FX39" i="6"/>
  <c r="FY39" i="6"/>
  <c r="FZ39" i="6"/>
  <c r="GA39" i="6"/>
  <c r="GA48" i="6" s="1"/>
  <c r="J40" i="6"/>
  <c r="K40" i="6"/>
  <c r="L40" i="6"/>
  <c r="M40" i="6"/>
  <c r="N40" i="6"/>
  <c r="O40" i="6"/>
  <c r="P40" i="6"/>
  <c r="P49" i="6" s="1"/>
  <c r="Q40" i="6"/>
  <c r="R40" i="6"/>
  <c r="S40" i="6"/>
  <c r="T40" i="6"/>
  <c r="U40" i="6"/>
  <c r="U49" i="6" s="1"/>
  <c r="V40" i="6"/>
  <c r="W40" i="6"/>
  <c r="X40" i="6"/>
  <c r="Y40" i="6"/>
  <c r="Y49" i="6" s="1"/>
  <c r="Y82" i="6" s="1"/>
  <c r="Z40" i="6"/>
  <c r="AA40" i="6"/>
  <c r="AB40" i="6"/>
  <c r="AC40" i="6"/>
  <c r="AD40" i="6"/>
  <c r="AE40" i="6"/>
  <c r="AF40" i="6"/>
  <c r="AF49" i="6" s="1"/>
  <c r="AG40" i="6"/>
  <c r="AH40" i="6"/>
  <c r="AI40" i="6"/>
  <c r="AJ40" i="6"/>
  <c r="AK40" i="6"/>
  <c r="AK49" i="6" s="1"/>
  <c r="AL40" i="6"/>
  <c r="AM40" i="6"/>
  <c r="AN40" i="6"/>
  <c r="AO40" i="6"/>
  <c r="AO49" i="6" s="1"/>
  <c r="AO82" i="6" s="1"/>
  <c r="AP40" i="6"/>
  <c r="AP49" i="6" s="1"/>
  <c r="AQ40" i="6"/>
  <c r="AR40" i="6"/>
  <c r="AS40" i="6"/>
  <c r="AS49" i="6" s="1"/>
  <c r="AT40" i="6"/>
  <c r="AU40" i="6"/>
  <c r="AV40" i="6"/>
  <c r="AV49" i="6" s="1"/>
  <c r="AW40" i="6"/>
  <c r="AX40" i="6"/>
  <c r="AY40" i="6"/>
  <c r="AZ40" i="6"/>
  <c r="BA40" i="6"/>
  <c r="BA49" i="6" s="1"/>
  <c r="BB40" i="6"/>
  <c r="BC40" i="6"/>
  <c r="BD40" i="6"/>
  <c r="BE40" i="6"/>
  <c r="BE49" i="6" s="1"/>
  <c r="BF40" i="6"/>
  <c r="BF49" i="6" s="1"/>
  <c r="BG40" i="6"/>
  <c r="BH40" i="6"/>
  <c r="BI40" i="6"/>
  <c r="BJ40" i="6"/>
  <c r="BK40" i="6"/>
  <c r="BL40" i="6"/>
  <c r="BL49" i="6" s="1"/>
  <c r="BM40" i="6"/>
  <c r="BN40" i="6"/>
  <c r="BO40" i="6"/>
  <c r="BP40" i="6"/>
  <c r="BQ40" i="6"/>
  <c r="BQ49" i="6" s="1"/>
  <c r="BR40" i="6"/>
  <c r="BS40" i="6"/>
  <c r="BT40" i="6"/>
  <c r="BU40" i="6"/>
  <c r="BU49" i="6" s="1"/>
  <c r="BV40" i="6"/>
  <c r="BV49" i="6" s="1"/>
  <c r="BW40" i="6"/>
  <c r="BX40" i="6"/>
  <c r="BY40" i="6"/>
  <c r="BZ40" i="6"/>
  <c r="CA40" i="6"/>
  <c r="CB40" i="6"/>
  <c r="CB49" i="6" s="1"/>
  <c r="CC40" i="6"/>
  <c r="CD40" i="6"/>
  <c r="CE40" i="6"/>
  <c r="CF40" i="6"/>
  <c r="CG40" i="6"/>
  <c r="CG49" i="6" s="1"/>
  <c r="CH40" i="6"/>
  <c r="CI40" i="6"/>
  <c r="CJ40" i="6"/>
  <c r="CK40" i="6"/>
  <c r="CK49" i="6" s="1"/>
  <c r="CL40" i="6"/>
  <c r="CL49" i="6" s="1"/>
  <c r="CM40" i="6"/>
  <c r="CN40" i="6"/>
  <c r="CO40" i="6"/>
  <c r="CP40" i="6"/>
  <c r="CQ40" i="6"/>
  <c r="CR40" i="6"/>
  <c r="CR49" i="6" s="1"/>
  <c r="CS40" i="6"/>
  <c r="CT40" i="6"/>
  <c r="CU40" i="6"/>
  <c r="CV40" i="6"/>
  <c r="CW40" i="6"/>
  <c r="CW49" i="6" s="1"/>
  <c r="CX40" i="6"/>
  <c r="CY40" i="6"/>
  <c r="CZ40" i="6"/>
  <c r="DA40" i="6"/>
  <c r="DA49" i="6" s="1"/>
  <c r="DB40" i="6"/>
  <c r="DB49" i="6" s="1"/>
  <c r="DC40" i="6"/>
  <c r="DD40" i="6"/>
  <c r="DE40" i="6"/>
  <c r="DF40" i="6"/>
  <c r="DG40" i="6"/>
  <c r="DH40" i="6"/>
  <c r="DH49" i="6" s="1"/>
  <c r="DI40" i="6"/>
  <c r="DJ40" i="6"/>
  <c r="DK40" i="6"/>
  <c r="DL40" i="6"/>
  <c r="DM40" i="6"/>
  <c r="DM49" i="6" s="1"/>
  <c r="DN40" i="6"/>
  <c r="DO40" i="6"/>
  <c r="DP40" i="6"/>
  <c r="DQ40" i="6"/>
  <c r="DQ49" i="6" s="1"/>
  <c r="DR40" i="6"/>
  <c r="DR49" i="6" s="1"/>
  <c r="DS40" i="6"/>
  <c r="DT40" i="6"/>
  <c r="DU40" i="6"/>
  <c r="DV40" i="6"/>
  <c r="DW40" i="6"/>
  <c r="DX40" i="6"/>
  <c r="DX49" i="6" s="1"/>
  <c r="DY40" i="6"/>
  <c r="DZ40" i="6"/>
  <c r="EA40" i="6"/>
  <c r="EB40" i="6"/>
  <c r="EC40" i="6"/>
  <c r="EC49" i="6" s="1"/>
  <c r="ED40" i="6"/>
  <c r="EE40" i="6"/>
  <c r="EF40" i="6"/>
  <c r="EG40" i="6"/>
  <c r="EG49" i="6" s="1"/>
  <c r="EH40" i="6"/>
  <c r="EH49" i="6" s="1"/>
  <c r="EI40" i="6"/>
  <c r="EJ40" i="6"/>
  <c r="EK40" i="6"/>
  <c r="EL40" i="6"/>
  <c r="EM40" i="6"/>
  <c r="EN40" i="6"/>
  <c r="EN49" i="6" s="1"/>
  <c r="EO40" i="6"/>
  <c r="EP40" i="6"/>
  <c r="EQ40" i="6"/>
  <c r="ER40" i="6"/>
  <c r="ES40" i="6"/>
  <c r="ES49" i="6" s="1"/>
  <c r="ET40" i="6"/>
  <c r="EU40" i="6"/>
  <c r="EV40" i="6"/>
  <c r="EV49" i="6" s="1"/>
  <c r="EW40" i="6"/>
  <c r="EW49" i="6" s="1"/>
  <c r="EX40" i="6"/>
  <c r="EX49" i="6" s="1"/>
  <c r="EY40" i="6"/>
  <c r="EZ40" i="6"/>
  <c r="FA40" i="6"/>
  <c r="FB40" i="6"/>
  <c r="FC40" i="6"/>
  <c r="FD40" i="6"/>
  <c r="FD49" i="6" s="1"/>
  <c r="FE40" i="6"/>
  <c r="FF40" i="6"/>
  <c r="FG40" i="6"/>
  <c r="FH40" i="6"/>
  <c r="FI40" i="6"/>
  <c r="FI49" i="6" s="1"/>
  <c r="FJ40" i="6"/>
  <c r="FK40" i="6"/>
  <c r="FL40" i="6"/>
  <c r="FL49" i="6" s="1"/>
  <c r="FM40" i="6"/>
  <c r="FM49" i="6" s="1"/>
  <c r="FN40" i="6"/>
  <c r="FN49" i="6" s="1"/>
  <c r="FO40" i="6"/>
  <c r="FP40" i="6"/>
  <c r="FQ40" i="6"/>
  <c r="FR40" i="6"/>
  <c r="FS40" i="6"/>
  <c r="FT40" i="6"/>
  <c r="FT49" i="6" s="1"/>
  <c r="FU40" i="6"/>
  <c r="FV40" i="6"/>
  <c r="FW40" i="6"/>
  <c r="FX40" i="6"/>
  <c r="FY40" i="6"/>
  <c r="FY49" i="6" s="1"/>
  <c r="FZ40" i="6"/>
  <c r="GA40" i="6"/>
  <c r="J44" i="6"/>
  <c r="J53" i="6" s="1"/>
  <c r="K44" i="6"/>
  <c r="K53" i="6" s="1"/>
  <c r="K61" i="6" s="1"/>
  <c r="K70" i="6" s="1"/>
  <c r="K81" i="6" s="1"/>
  <c r="L44" i="6"/>
  <c r="L53" i="6" s="1"/>
  <c r="M44" i="6"/>
  <c r="N44" i="6"/>
  <c r="P44" i="6"/>
  <c r="Q44" i="6"/>
  <c r="R44" i="6"/>
  <c r="R53" i="6" s="1"/>
  <c r="S44" i="6"/>
  <c r="T44" i="6"/>
  <c r="U44" i="6"/>
  <c r="W44" i="6"/>
  <c r="W53" i="6" s="1"/>
  <c r="W61" i="6" s="1"/>
  <c r="W70" i="6" s="1"/>
  <c r="X44" i="6"/>
  <c r="Y44" i="6"/>
  <c r="Z44" i="6"/>
  <c r="Z53" i="6" s="1"/>
  <c r="AA44" i="6"/>
  <c r="AA53" i="6" s="1"/>
  <c r="AA61" i="6" s="1"/>
  <c r="AA70" i="6" s="1"/>
  <c r="AA81" i="6" s="1"/>
  <c r="AB44" i="6"/>
  <c r="AB53" i="6" s="1"/>
  <c r="AC44" i="6"/>
  <c r="AD44" i="6"/>
  <c r="AF44" i="6"/>
  <c r="AG44" i="6"/>
  <c r="AH44" i="6"/>
  <c r="AH53" i="6" s="1"/>
  <c r="AI44" i="6"/>
  <c r="AJ44" i="6"/>
  <c r="AK44" i="6"/>
  <c r="AM44" i="6"/>
  <c r="AN44" i="6"/>
  <c r="AO44" i="6"/>
  <c r="AP44" i="6"/>
  <c r="AP53" i="6" s="1"/>
  <c r="AQ44" i="6"/>
  <c r="AQ53" i="6" s="1"/>
  <c r="AQ61" i="6" s="1"/>
  <c r="AQ70" i="6" s="1"/>
  <c r="AR44" i="6"/>
  <c r="AR53" i="6" s="1"/>
  <c r="AS44" i="6"/>
  <c r="AT44" i="6"/>
  <c r="AV44" i="6"/>
  <c r="AW44" i="6"/>
  <c r="AX44" i="6"/>
  <c r="AX53" i="6" s="1"/>
  <c r="AY44" i="6"/>
  <c r="AZ44" i="6"/>
  <c r="BA44" i="6"/>
  <c r="BC44" i="6"/>
  <c r="BC53" i="6" s="1"/>
  <c r="BC61" i="6" s="1"/>
  <c r="BC70" i="6" s="1"/>
  <c r="BD44" i="6"/>
  <c r="BE44" i="6"/>
  <c r="BF44" i="6"/>
  <c r="BF53" i="6" s="1"/>
  <c r="BH44" i="6"/>
  <c r="BH53" i="6" s="1"/>
  <c r="BI44" i="6"/>
  <c r="BJ44" i="6"/>
  <c r="BL44" i="6"/>
  <c r="BM44" i="6"/>
  <c r="BN44" i="6"/>
  <c r="BN53" i="6" s="1"/>
  <c r="BN61" i="6" s="1"/>
  <c r="BN70" i="6" s="1"/>
  <c r="BN81" i="6" s="1"/>
  <c r="BO44" i="6"/>
  <c r="BP44" i="6"/>
  <c r="BQ44" i="6"/>
  <c r="BS44" i="6"/>
  <c r="BT44" i="6"/>
  <c r="BU44" i="6"/>
  <c r="BV44" i="6"/>
  <c r="BV53" i="6" s="1"/>
  <c r="BX44" i="6"/>
  <c r="BX53" i="6" s="1"/>
  <c r="BY44" i="6"/>
  <c r="BZ44" i="6"/>
  <c r="CB44" i="6"/>
  <c r="CC44" i="6"/>
  <c r="CD44" i="6"/>
  <c r="CD53" i="6" s="1"/>
  <c r="CD61" i="6" s="1"/>
  <c r="CE44" i="6"/>
  <c r="CF44" i="6"/>
  <c r="CG44" i="6"/>
  <c r="CI44" i="6"/>
  <c r="CJ44" i="6"/>
  <c r="CK44" i="6"/>
  <c r="CL44" i="6"/>
  <c r="CL53" i="6" s="1"/>
  <c r="CN44" i="6"/>
  <c r="CN53" i="6" s="1"/>
  <c r="CO44" i="6"/>
  <c r="CP44" i="6"/>
  <c r="CR44" i="6"/>
  <c r="CS44" i="6"/>
  <c r="CT44" i="6"/>
  <c r="CT53" i="6" s="1"/>
  <c r="CU44" i="6"/>
  <c r="CV44" i="6"/>
  <c r="CW44" i="6"/>
  <c r="CY44" i="6"/>
  <c r="CY53" i="6" s="1"/>
  <c r="CY61" i="6" s="1"/>
  <c r="CY70" i="6" s="1"/>
  <c r="CZ44" i="6"/>
  <c r="DA44" i="6"/>
  <c r="DB44" i="6"/>
  <c r="DB53" i="6" s="1"/>
  <c r="DD44" i="6"/>
  <c r="DD53" i="6" s="1"/>
  <c r="DE44" i="6"/>
  <c r="DF44" i="6"/>
  <c r="DH44" i="6"/>
  <c r="DI44" i="6"/>
  <c r="DJ44" i="6"/>
  <c r="DJ53" i="6" s="1"/>
  <c r="DK44" i="6"/>
  <c r="DL44" i="6"/>
  <c r="DM44" i="6"/>
  <c r="DO44" i="6"/>
  <c r="DO53" i="6" s="1"/>
  <c r="DO61" i="6" s="1"/>
  <c r="DO70" i="6" s="1"/>
  <c r="DP44" i="6"/>
  <c r="DQ44" i="6"/>
  <c r="DR44" i="6"/>
  <c r="DR53" i="6" s="1"/>
  <c r="DT44" i="6"/>
  <c r="DT53" i="6" s="1"/>
  <c r="DU44" i="6"/>
  <c r="DV44" i="6"/>
  <c r="DX44" i="6"/>
  <c r="DY44" i="6"/>
  <c r="DZ44" i="6"/>
  <c r="DZ53" i="6" s="1"/>
  <c r="EA44" i="6"/>
  <c r="EB44" i="6"/>
  <c r="EC44" i="6"/>
  <c r="EE44" i="6"/>
  <c r="EE53" i="6" s="1"/>
  <c r="EE61" i="6" s="1"/>
  <c r="EE70" i="6" s="1"/>
  <c r="EF44" i="6"/>
  <c r="EG44" i="6"/>
  <c r="EH44" i="6"/>
  <c r="EH53" i="6" s="1"/>
  <c r="EI44" i="6"/>
  <c r="EI53" i="6" s="1"/>
  <c r="EI61" i="6" s="1"/>
  <c r="EJ44" i="6"/>
  <c r="EJ53" i="6" s="1"/>
  <c r="EK44" i="6"/>
  <c r="EL44" i="6"/>
  <c r="EN44" i="6"/>
  <c r="EO44" i="6"/>
  <c r="EP44" i="6"/>
  <c r="EP53" i="6" s="1"/>
  <c r="EQ44" i="6"/>
  <c r="ER44" i="6"/>
  <c r="ES44" i="6"/>
  <c r="EU44" i="6"/>
  <c r="EU53" i="6" s="1"/>
  <c r="EU61" i="6" s="1"/>
  <c r="EU70" i="6" s="1"/>
  <c r="EV44" i="6"/>
  <c r="EW44" i="6"/>
  <c r="EX44" i="6"/>
  <c r="EX53" i="6" s="1"/>
  <c r="EY44" i="6"/>
  <c r="EY53" i="6" s="1"/>
  <c r="EY61" i="6" s="1"/>
  <c r="EZ44" i="6"/>
  <c r="EZ53" i="6" s="1"/>
  <c r="FA44" i="6"/>
  <c r="FB44" i="6"/>
  <c r="FD44" i="6"/>
  <c r="FE44" i="6"/>
  <c r="FF44" i="6"/>
  <c r="FF53" i="6" s="1"/>
  <c r="FG44" i="6"/>
  <c r="FH44" i="6"/>
  <c r="FI44" i="6"/>
  <c r="FK44" i="6"/>
  <c r="FL44" i="6"/>
  <c r="FM44" i="6"/>
  <c r="FN44" i="6"/>
  <c r="FN53" i="6" s="1"/>
  <c r="FO44" i="6"/>
  <c r="FO53" i="6" s="1"/>
  <c r="FO61" i="6" s="1"/>
  <c r="FP44" i="6"/>
  <c r="FP53" i="6" s="1"/>
  <c r="FQ44" i="6"/>
  <c r="FR44" i="6"/>
  <c r="FT44" i="6"/>
  <c r="FU44" i="6"/>
  <c r="FV44" i="6"/>
  <c r="FV53" i="6" s="1"/>
  <c r="FW44" i="6"/>
  <c r="FX44" i="6"/>
  <c r="FY44" i="6"/>
  <c r="GA44" i="6"/>
  <c r="GA53" i="6" s="1"/>
  <c r="GA61" i="6" s="1"/>
  <c r="GA70" i="6" s="1"/>
  <c r="J45" i="6"/>
  <c r="K45" i="6"/>
  <c r="L45" i="6"/>
  <c r="N45" i="6"/>
  <c r="O45" i="6"/>
  <c r="P45" i="6"/>
  <c r="R45" i="6"/>
  <c r="S45" i="6"/>
  <c r="T45" i="6"/>
  <c r="U45" i="6"/>
  <c r="V45" i="6"/>
  <c r="W45" i="6"/>
  <c r="Y45" i="6"/>
  <c r="Z45" i="6"/>
  <c r="AA45" i="6"/>
  <c r="AB45" i="6"/>
  <c r="AD45" i="6"/>
  <c r="AE45" i="6"/>
  <c r="AF45" i="6"/>
  <c r="AH45" i="6"/>
  <c r="AI45" i="6"/>
  <c r="AJ45" i="6"/>
  <c r="AK45" i="6"/>
  <c r="AL45" i="6"/>
  <c r="AM45" i="6"/>
  <c r="AO45" i="6"/>
  <c r="AP45" i="6"/>
  <c r="AQ45" i="6"/>
  <c r="AR45" i="6"/>
  <c r="AT45" i="6"/>
  <c r="AU45" i="6"/>
  <c r="AV45" i="6"/>
  <c r="AX45" i="6"/>
  <c r="AY45" i="6"/>
  <c r="AZ45" i="6"/>
  <c r="BA45" i="6"/>
  <c r="BB45" i="6"/>
  <c r="BC45" i="6"/>
  <c r="BE45" i="6"/>
  <c r="BF45" i="6"/>
  <c r="BG45" i="6"/>
  <c r="BG82" i="6" s="1"/>
  <c r="BH45" i="6"/>
  <c r="BJ45" i="6"/>
  <c r="BK45" i="6"/>
  <c r="BL45" i="6"/>
  <c r="BN45" i="6"/>
  <c r="BO45" i="6"/>
  <c r="BP45" i="6"/>
  <c r="BQ45" i="6"/>
  <c r="BR45" i="6"/>
  <c r="BS45" i="6"/>
  <c r="BU45" i="6"/>
  <c r="BV45" i="6"/>
  <c r="BW45" i="6"/>
  <c r="BX45" i="6"/>
  <c r="BZ45" i="6"/>
  <c r="CA45" i="6"/>
  <c r="CA82" i="6" s="1"/>
  <c r="CB45" i="6"/>
  <c r="CD45" i="6"/>
  <c r="CE45" i="6"/>
  <c r="CF45" i="6"/>
  <c r="CG45" i="6"/>
  <c r="CH45" i="6"/>
  <c r="CI45" i="6"/>
  <c r="CK45" i="6"/>
  <c r="CL45" i="6"/>
  <c r="CM45" i="6"/>
  <c r="CN45" i="6"/>
  <c r="CO45" i="6"/>
  <c r="CP45" i="6"/>
  <c r="CQ45" i="6"/>
  <c r="CR45" i="6"/>
  <c r="CT45" i="6"/>
  <c r="CT82" i="6" s="1"/>
  <c r="CU45" i="6"/>
  <c r="CV45" i="6"/>
  <c r="CW45" i="6"/>
  <c r="CX45" i="6"/>
  <c r="CY45" i="6"/>
  <c r="DA45" i="6"/>
  <c r="DB45" i="6"/>
  <c r="DC45" i="6"/>
  <c r="DD45" i="6"/>
  <c r="DE45" i="6"/>
  <c r="DF45" i="6"/>
  <c r="DG45" i="6"/>
  <c r="DH45" i="6"/>
  <c r="DJ45" i="6"/>
  <c r="DK45" i="6"/>
  <c r="DL45" i="6"/>
  <c r="DL82" i="6" s="1"/>
  <c r="DM45" i="6"/>
  <c r="DN45" i="6"/>
  <c r="DO45" i="6"/>
  <c r="DQ45" i="6"/>
  <c r="DR45" i="6"/>
  <c r="DS45" i="6"/>
  <c r="DT45" i="6"/>
  <c r="DU45" i="6"/>
  <c r="DV45" i="6"/>
  <c r="DW45" i="6"/>
  <c r="DX45" i="6"/>
  <c r="DZ45" i="6"/>
  <c r="EA45" i="6"/>
  <c r="EB45" i="6"/>
  <c r="EC45" i="6"/>
  <c r="ED45" i="6"/>
  <c r="ED82" i="6" s="1"/>
  <c r="EE45" i="6"/>
  <c r="EG45" i="6"/>
  <c r="EH45" i="6"/>
  <c r="EI45" i="6"/>
  <c r="EJ45" i="6"/>
  <c r="EL45" i="6"/>
  <c r="EM45" i="6"/>
  <c r="EN45" i="6"/>
  <c r="EP45" i="6"/>
  <c r="EQ45" i="6"/>
  <c r="ER45" i="6"/>
  <c r="ES45" i="6"/>
  <c r="ET45" i="6"/>
  <c r="EU45" i="6"/>
  <c r="EW45" i="6"/>
  <c r="EX45" i="6"/>
  <c r="EY45" i="6"/>
  <c r="EZ45" i="6"/>
  <c r="FB45" i="6"/>
  <c r="FC45" i="6"/>
  <c r="FD45" i="6"/>
  <c r="FF45" i="6"/>
  <c r="FG45" i="6"/>
  <c r="FH45" i="6"/>
  <c r="FI45" i="6"/>
  <c r="FJ45" i="6"/>
  <c r="FK45" i="6"/>
  <c r="FM45" i="6"/>
  <c r="FN45" i="6"/>
  <c r="FO45" i="6"/>
  <c r="FP45" i="6"/>
  <c r="FR45" i="6"/>
  <c r="FR82" i="6" s="1"/>
  <c r="FS45" i="6"/>
  <c r="FT45" i="6"/>
  <c r="FV45" i="6"/>
  <c r="FW45" i="6"/>
  <c r="FX45" i="6"/>
  <c r="FY45" i="6"/>
  <c r="FZ45" i="6"/>
  <c r="GA45" i="6"/>
  <c r="K46" i="6"/>
  <c r="L46" i="6"/>
  <c r="M46" i="6"/>
  <c r="N46" i="6"/>
  <c r="P46" i="6"/>
  <c r="P82" i="6" s="1"/>
  <c r="Q46" i="6"/>
  <c r="R46" i="6"/>
  <c r="T46" i="6"/>
  <c r="U46" i="6"/>
  <c r="V46" i="6"/>
  <c r="W46" i="6"/>
  <c r="X46" i="6"/>
  <c r="Y46" i="6"/>
  <c r="AA46" i="6"/>
  <c r="AA82" i="6" s="1"/>
  <c r="AB46" i="6"/>
  <c r="AC46" i="6"/>
  <c r="AD46" i="6"/>
  <c r="AF46" i="6"/>
  <c r="AG46" i="6"/>
  <c r="AH46" i="6"/>
  <c r="AJ46" i="6"/>
  <c r="AK46" i="6"/>
  <c r="AL46" i="6"/>
  <c r="AM46" i="6"/>
  <c r="AN46" i="6"/>
  <c r="AO46" i="6"/>
  <c r="AQ46" i="6"/>
  <c r="AR46" i="6"/>
  <c r="AT46" i="6"/>
  <c r="AU46" i="6"/>
  <c r="AV46" i="6"/>
  <c r="AW46" i="6"/>
  <c r="AX46" i="6"/>
  <c r="AZ46" i="6"/>
  <c r="BA46" i="6"/>
  <c r="BB46" i="6"/>
  <c r="BC46" i="6"/>
  <c r="BD46" i="6"/>
  <c r="BE46" i="6"/>
  <c r="BG46" i="6"/>
  <c r="BH46" i="6"/>
  <c r="BI46" i="6"/>
  <c r="BJ46" i="6"/>
  <c r="BK46" i="6"/>
  <c r="BL46" i="6"/>
  <c r="BM46" i="6"/>
  <c r="BN46" i="6"/>
  <c r="BP46" i="6"/>
  <c r="BQ46" i="6"/>
  <c r="BR46" i="6"/>
  <c r="BS46" i="6"/>
  <c r="BT46" i="6"/>
  <c r="BU46" i="6"/>
  <c r="BW46" i="6"/>
  <c r="BX46" i="6"/>
  <c r="BY46" i="6"/>
  <c r="BZ46" i="6"/>
  <c r="CA46" i="6"/>
  <c r="CB46" i="6"/>
  <c r="CC46" i="6"/>
  <c r="CD46" i="6"/>
  <c r="CF46" i="6"/>
  <c r="CG46" i="6"/>
  <c r="CH46" i="6"/>
  <c r="CI46" i="6"/>
  <c r="CJ46" i="6"/>
  <c r="CK46" i="6"/>
  <c r="CM46" i="6"/>
  <c r="CN46" i="6"/>
  <c r="CO46" i="6"/>
  <c r="CP46" i="6"/>
  <c r="CR46" i="6"/>
  <c r="CS46" i="6"/>
  <c r="CT46" i="6"/>
  <c r="CV46" i="6"/>
  <c r="CW46" i="6"/>
  <c r="CX46" i="6"/>
  <c r="CY46" i="6"/>
  <c r="CZ46" i="6"/>
  <c r="DA46" i="6"/>
  <c r="DC46" i="6"/>
  <c r="DD46" i="6"/>
  <c r="DE46" i="6"/>
  <c r="DF46" i="6"/>
  <c r="DH46" i="6"/>
  <c r="DI46" i="6"/>
  <c r="DJ46" i="6"/>
  <c r="DL46" i="6"/>
  <c r="DM46" i="6"/>
  <c r="DN46" i="6"/>
  <c r="DO46" i="6"/>
  <c r="DP46" i="6"/>
  <c r="DQ46" i="6"/>
  <c r="DS46" i="6"/>
  <c r="DT46" i="6"/>
  <c r="DU46" i="6"/>
  <c r="DV46" i="6"/>
  <c r="DX46" i="6"/>
  <c r="DY46" i="6"/>
  <c r="DZ46" i="6"/>
  <c r="EB46" i="6"/>
  <c r="EC46" i="6"/>
  <c r="ED46" i="6"/>
  <c r="EE46" i="6"/>
  <c r="EF46" i="6"/>
  <c r="EG46" i="6"/>
  <c r="EI46" i="6"/>
  <c r="EJ46" i="6"/>
  <c r="EK46" i="6"/>
  <c r="EL46" i="6"/>
  <c r="EN46" i="6"/>
  <c r="EO46" i="6"/>
  <c r="EP46" i="6"/>
  <c r="ER46" i="6"/>
  <c r="ES46" i="6"/>
  <c r="ET46" i="6"/>
  <c r="EU46" i="6"/>
  <c r="EV46" i="6"/>
  <c r="EW46" i="6"/>
  <c r="EY46" i="6"/>
  <c r="EZ46" i="6"/>
  <c r="FA46" i="6"/>
  <c r="FB46" i="6"/>
  <c r="FD46" i="6"/>
  <c r="FE46" i="6"/>
  <c r="FF46" i="6"/>
  <c r="FH46" i="6"/>
  <c r="FI46" i="6"/>
  <c r="FJ46" i="6"/>
  <c r="FK46" i="6"/>
  <c r="FL46" i="6"/>
  <c r="FM46" i="6"/>
  <c r="FO46" i="6"/>
  <c r="FP46" i="6"/>
  <c r="FQ46" i="6"/>
  <c r="FR46" i="6"/>
  <c r="FS46" i="6"/>
  <c r="FT46" i="6"/>
  <c r="FU46" i="6"/>
  <c r="FV46" i="6"/>
  <c r="FX46" i="6"/>
  <c r="FY46" i="6"/>
  <c r="FZ46" i="6"/>
  <c r="GA46" i="6"/>
  <c r="J47" i="6"/>
  <c r="K47" i="6"/>
  <c r="M47" i="6"/>
  <c r="N47" i="6"/>
  <c r="N82" i="6" s="1"/>
  <c r="O47" i="6"/>
  <c r="P47" i="6"/>
  <c r="Q47" i="6"/>
  <c r="R47" i="6"/>
  <c r="S47" i="6"/>
  <c r="T47" i="6"/>
  <c r="V47" i="6"/>
  <c r="W47" i="6"/>
  <c r="X47" i="6"/>
  <c r="Y47" i="6"/>
  <c r="Z47" i="6"/>
  <c r="AA47" i="6"/>
  <c r="AC47" i="6"/>
  <c r="AD47" i="6"/>
  <c r="AE47" i="6"/>
  <c r="AF47" i="6"/>
  <c r="AF82" i="6" s="1"/>
  <c r="AH47" i="6"/>
  <c r="AI47" i="6"/>
  <c r="AJ47" i="6"/>
  <c r="AL47" i="6"/>
  <c r="AM47" i="6"/>
  <c r="AN47" i="6"/>
  <c r="AO47" i="6"/>
  <c r="AP47" i="6"/>
  <c r="AQ47" i="6"/>
  <c r="AT47" i="6"/>
  <c r="AU47" i="6"/>
  <c r="AV47" i="6"/>
  <c r="AX47" i="6"/>
  <c r="AY47" i="6"/>
  <c r="AZ47" i="6"/>
  <c r="BB47" i="6"/>
  <c r="BC47" i="6"/>
  <c r="BD47" i="6"/>
  <c r="BE47" i="6"/>
  <c r="BF47" i="6"/>
  <c r="BG47" i="6"/>
  <c r="BI47" i="6"/>
  <c r="BJ47" i="6"/>
  <c r="BK47" i="6"/>
  <c r="BL47" i="6"/>
  <c r="BN47" i="6"/>
  <c r="BO47" i="6"/>
  <c r="BP47" i="6"/>
  <c r="BR47" i="6"/>
  <c r="BS47" i="6"/>
  <c r="BT47" i="6"/>
  <c r="BU47" i="6"/>
  <c r="BV47" i="6"/>
  <c r="BW47" i="6"/>
  <c r="BY47" i="6"/>
  <c r="BZ47" i="6"/>
  <c r="CA47" i="6"/>
  <c r="CB47" i="6"/>
  <c r="CD47" i="6"/>
  <c r="CE47" i="6"/>
  <c r="CF47" i="6"/>
  <c r="CH47" i="6"/>
  <c r="CI47" i="6"/>
  <c r="CJ47" i="6"/>
  <c r="CK47" i="6"/>
  <c r="CL47" i="6"/>
  <c r="CM47" i="6"/>
  <c r="CO47" i="6"/>
  <c r="CP47" i="6"/>
  <c r="CQ47" i="6"/>
  <c r="CR47" i="6"/>
  <c r="CT47" i="6"/>
  <c r="CU47" i="6"/>
  <c r="CV47" i="6"/>
  <c r="CX47" i="6"/>
  <c r="CY47" i="6"/>
  <c r="CZ47" i="6"/>
  <c r="DA47" i="6"/>
  <c r="DB47" i="6"/>
  <c r="DC47" i="6"/>
  <c r="DE47" i="6"/>
  <c r="DF47" i="6"/>
  <c r="DG47" i="6"/>
  <c r="DH47" i="6"/>
  <c r="DJ47" i="6"/>
  <c r="DK47" i="6"/>
  <c r="DL47" i="6"/>
  <c r="DN47" i="6"/>
  <c r="DO47" i="6"/>
  <c r="DP47" i="6"/>
  <c r="DQ47" i="6"/>
  <c r="DR47" i="6"/>
  <c r="DS47" i="6"/>
  <c r="DU47" i="6"/>
  <c r="DV47" i="6"/>
  <c r="DW47" i="6"/>
  <c r="DX47" i="6"/>
  <c r="DY47" i="6"/>
  <c r="DZ47" i="6"/>
  <c r="EA47" i="6"/>
  <c r="EB47" i="6"/>
  <c r="ED47" i="6"/>
  <c r="EE47" i="6"/>
  <c r="EF47" i="6"/>
  <c r="EG47" i="6"/>
  <c r="EH47" i="6"/>
  <c r="EI47" i="6"/>
  <c r="EK47" i="6"/>
  <c r="EL47" i="6"/>
  <c r="EM47" i="6"/>
  <c r="EN47" i="6"/>
  <c r="EO47" i="6"/>
  <c r="EP47" i="6"/>
  <c r="EQ47" i="6"/>
  <c r="ER47" i="6"/>
  <c r="ET47" i="6"/>
  <c r="EU47" i="6"/>
  <c r="EV47" i="6"/>
  <c r="EW47" i="6"/>
  <c r="EX47" i="6"/>
  <c r="EY47" i="6"/>
  <c r="FA47" i="6"/>
  <c r="FB47" i="6"/>
  <c r="FC47" i="6"/>
  <c r="FD47" i="6"/>
  <c r="FE47" i="6"/>
  <c r="FF47" i="6"/>
  <c r="FG47" i="6"/>
  <c r="FH47" i="6"/>
  <c r="FJ47" i="6"/>
  <c r="FK47" i="6"/>
  <c r="FL47" i="6"/>
  <c r="FM47" i="6"/>
  <c r="FN47" i="6"/>
  <c r="FO47" i="6"/>
  <c r="FQ47" i="6"/>
  <c r="FR47" i="6"/>
  <c r="FS47" i="6"/>
  <c r="FT47" i="6"/>
  <c r="FV47" i="6"/>
  <c r="FW47" i="6"/>
  <c r="FX47" i="6"/>
  <c r="FZ47" i="6"/>
  <c r="GA47" i="6"/>
  <c r="J48" i="6"/>
  <c r="K48" i="6"/>
  <c r="L48" i="6"/>
  <c r="M48" i="6"/>
  <c r="O48" i="6"/>
  <c r="P48" i="6"/>
  <c r="Q48" i="6"/>
  <c r="R48" i="6"/>
  <c r="T48" i="6"/>
  <c r="U48" i="6"/>
  <c r="V48" i="6"/>
  <c r="X48" i="6"/>
  <c r="Y48" i="6"/>
  <c r="Z48" i="6"/>
  <c r="AA48" i="6"/>
  <c r="AB48" i="6"/>
  <c r="AC48" i="6"/>
  <c r="AE48" i="6"/>
  <c r="AF48" i="6"/>
  <c r="AG48" i="6"/>
  <c r="AH48" i="6"/>
  <c r="AJ48" i="6"/>
  <c r="AK48" i="6"/>
  <c r="AL48" i="6"/>
  <c r="AN48" i="6"/>
  <c r="AO48" i="6"/>
  <c r="AP48" i="6"/>
  <c r="AQ48" i="6"/>
  <c r="AR48" i="6"/>
  <c r="AU48" i="6"/>
  <c r="AV48" i="6"/>
  <c r="AW48" i="6"/>
  <c r="AX48" i="6"/>
  <c r="AZ48" i="6"/>
  <c r="BA48" i="6"/>
  <c r="BB48" i="6"/>
  <c r="BD48" i="6"/>
  <c r="BE48" i="6"/>
  <c r="BF48" i="6"/>
  <c r="BG48" i="6"/>
  <c r="BH48" i="6"/>
  <c r="BI48" i="6"/>
  <c r="BK48" i="6"/>
  <c r="BL48" i="6"/>
  <c r="BM48" i="6"/>
  <c r="BN48" i="6"/>
  <c r="BP48" i="6"/>
  <c r="BQ48" i="6"/>
  <c r="BR48" i="6"/>
  <c r="BT48" i="6"/>
  <c r="BU48" i="6"/>
  <c r="BV48" i="6"/>
  <c r="BW48" i="6"/>
  <c r="BX48" i="6"/>
  <c r="BY48" i="6"/>
  <c r="CA48" i="6"/>
  <c r="CB48" i="6"/>
  <c r="CC48" i="6"/>
  <c r="CD48" i="6"/>
  <c r="CE48" i="6"/>
  <c r="CF48" i="6"/>
  <c r="CG48" i="6"/>
  <c r="CH48" i="6"/>
  <c r="CJ48" i="6"/>
  <c r="CK48" i="6"/>
  <c r="CL48" i="6"/>
  <c r="CM48" i="6"/>
  <c r="CN48" i="6"/>
  <c r="CO48" i="6"/>
  <c r="CQ48" i="6"/>
  <c r="CR48" i="6"/>
  <c r="CS48" i="6"/>
  <c r="CT48" i="6"/>
  <c r="CU48" i="6"/>
  <c r="CV48" i="6"/>
  <c r="CW48" i="6"/>
  <c r="CX48" i="6"/>
  <c r="CZ48" i="6"/>
  <c r="DA48" i="6"/>
  <c r="DB48" i="6"/>
  <c r="DC48" i="6"/>
  <c r="DD48" i="6"/>
  <c r="DE48" i="6"/>
  <c r="DG48" i="6"/>
  <c r="DH48" i="6"/>
  <c r="DI48" i="6"/>
  <c r="DJ48" i="6"/>
  <c r="DK48" i="6"/>
  <c r="DL48" i="6"/>
  <c r="DM48" i="6"/>
  <c r="DN48" i="6"/>
  <c r="DP48" i="6"/>
  <c r="DQ48" i="6"/>
  <c r="DR48" i="6"/>
  <c r="DS48" i="6"/>
  <c r="DT48" i="6"/>
  <c r="DU48" i="6"/>
  <c r="DW48" i="6"/>
  <c r="DX48" i="6"/>
  <c r="DY48" i="6"/>
  <c r="DZ48" i="6"/>
  <c r="EB48" i="6"/>
  <c r="EC48" i="6"/>
  <c r="ED48" i="6"/>
  <c r="EF48" i="6"/>
  <c r="EG48" i="6"/>
  <c r="EH48" i="6"/>
  <c r="EI48" i="6"/>
  <c r="EJ48" i="6"/>
  <c r="EK48" i="6"/>
  <c r="EM48" i="6"/>
  <c r="EN48" i="6"/>
  <c r="EO48" i="6"/>
  <c r="EP48" i="6"/>
  <c r="ER48" i="6"/>
  <c r="ES48" i="6"/>
  <c r="ET48" i="6"/>
  <c r="EV48" i="6"/>
  <c r="EW48" i="6"/>
  <c r="EX48" i="6"/>
  <c r="EY48" i="6"/>
  <c r="EZ48" i="6"/>
  <c r="FA48" i="6"/>
  <c r="FC48" i="6"/>
  <c r="FD48" i="6"/>
  <c r="FE48" i="6"/>
  <c r="FF48" i="6"/>
  <c r="FH48" i="6"/>
  <c r="FI48" i="6"/>
  <c r="FJ48" i="6"/>
  <c r="FL48" i="6"/>
  <c r="FM48" i="6"/>
  <c r="FN48" i="6"/>
  <c r="FO48" i="6"/>
  <c r="FP48" i="6"/>
  <c r="FQ48" i="6"/>
  <c r="FS48" i="6"/>
  <c r="FT48" i="6"/>
  <c r="FU48" i="6"/>
  <c r="FV48" i="6"/>
  <c r="FX48" i="6"/>
  <c r="FY48" i="6"/>
  <c r="FZ48" i="6"/>
  <c r="J49" i="6"/>
  <c r="K49" i="6"/>
  <c r="L49" i="6"/>
  <c r="M49" i="6"/>
  <c r="N49" i="6"/>
  <c r="O49" i="6"/>
  <c r="Q49" i="6"/>
  <c r="R49" i="6"/>
  <c r="S49" i="6"/>
  <c r="T49" i="6"/>
  <c r="V49" i="6"/>
  <c r="W49" i="6"/>
  <c r="X49" i="6"/>
  <c r="Z49" i="6"/>
  <c r="AA49" i="6"/>
  <c r="AB49" i="6"/>
  <c r="AC49" i="6"/>
  <c r="AD49" i="6"/>
  <c r="AE49" i="6"/>
  <c r="AE82" i="6" s="1"/>
  <c r="AG49" i="6"/>
  <c r="AH49" i="6"/>
  <c r="AI49" i="6"/>
  <c r="AJ49" i="6"/>
  <c r="AL49" i="6"/>
  <c r="AM49" i="6"/>
  <c r="AN49" i="6"/>
  <c r="AQ49" i="6"/>
  <c r="AR49" i="6"/>
  <c r="AT49" i="6"/>
  <c r="AU49" i="6"/>
  <c r="AW49" i="6"/>
  <c r="AX49" i="6"/>
  <c r="AY49" i="6"/>
  <c r="AZ49" i="6"/>
  <c r="BB49" i="6"/>
  <c r="BC49" i="6"/>
  <c r="BD49" i="6"/>
  <c r="BG49" i="6"/>
  <c r="BH49" i="6"/>
  <c r="BI49" i="6"/>
  <c r="BJ49" i="6"/>
  <c r="BK49" i="6"/>
  <c r="BM49" i="6"/>
  <c r="BN49" i="6"/>
  <c r="BO49" i="6"/>
  <c r="BP49" i="6"/>
  <c r="BR49" i="6"/>
  <c r="BS49" i="6"/>
  <c r="BT49" i="6"/>
  <c r="BW49" i="6"/>
  <c r="BX49" i="6"/>
  <c r="BY49" i="6"/>
  <c r="BZ49" i="6"/>
  <c r="CA49" i="6"/>
  <c r="CC49" i="6"/>
  <c r="CD49" i="6"/>
  <c r="CE49" i="6"/>
  <c r="CF49" i="6"/>
  <c r="CH49" i="6"/>
  <c r="CI49" i="6"/>
  <c r="CJ49" i="6"/>
  <c r="CM49" i="6"/>
  <c r="CN49" i="6"/>
  <c r="CO49" i="6"/>
  <c r="CP49" i="6"/>
  <c r="CQ49" i="6"/>
  <c r="CS49" i="6"/>
  <c r="CT49" i="6"/>
  <c r="CU49" i="6"/>
  <c r="CV49" i="6"/>
  <c r="CX49" i="6"/>
  <c r="CY49" i="6"/>
  <c r="CZ49" i="6"/>
  <c r="DC49" i="6"/>
  <c r="DD49" i="6"/>
  <c r="DE49" i="6"/>
  <c r="DF49" i="6"/>
  <c r="DG49" i="6"/>
  <c r="DI49" i="6"/>
  <c r="DJ49" i="6"/>
  <c r="DK49" i="6"/>
  <c r="DL49" i="6"/>
  <c r="DN49" i="6"/>
  <c r="DO49" i="6"/>
  <c r="DP49" i="6"/>
  <c r="DS49" i="6"/>
  <c r="DT49" i="6"/>
  <c r="DU49" i="6"/>
  <c r="DV49" i="6"/>
  <c r="DW49" i="6"/>
  <c r="DY49" i="6"/>
  <c r="DZ49" i="6"/>
  <c r="EA49" i="6"/>
  <c r="EB49" i="6"/>
  <c r="ED49" i="6"/>
  <c r="EE49" i="6"/>
  <c r="EF49" i="6"/>
  <c r="EI49" i="6"/>
  <c r="EJ49" i="6"/>
  <c r="EK49" i="6"/>
  <c r="EL49" i="6"/>
  <c r="EM49" i="6"/>
  <c r="EO49" i="6"/>
  <c r="EP49" i="6"/>
  <c r="EQ49" i="6"/>
  <c r="ER49" i="6"/>
  <c r="ET49" i="6"/>
  <c r="EU49" i="6"/>
  <c r="EY49" i="6"/>
  <c r="EZ49" i="6"/>
  <c r="FA49" i="6"/>
  <c r="FB49" i="6"/>
  <c r="FC49" i="6"/>
  <c r="FE49" i="6"/>
  <c r="FF49" i="6"/>
  <c r="FG49" i="6"/>
  <c r="FH49" i="6"/>
  <c r="FJ49" i="6"/>
  <c r="FK49" i="6"/>
  <c r="FO49" i="6"/>
  <c r="FP49" i="6"/>
  <c r="FQ49" i="6"/>
  <c r="FR49" i="6"/>
  <c r="FS49" i="6"/>
  <c r="FU49" i="6"/>
  <c r="FV49" i="6"/>
  <c r="FW49" i="6"/>
  <c r="FX49" i="6"/>
  <c r="FZ49" i="6"/>
  <c r="GA49" i="6"/>
  <c r="M53" i="6"/>
  <c r="N53" i="6"/>
  <c r="P53" i="6"/>
  <c r="Q53" i="6"/>
  <c r="S53" i="6"/>
  <c r="T53" i="6"/>
  <c r="U53" i="6"/>
  <c r="X53" i="6"/>
  <c r="Y53" i="6"/>
  <c r="AC53" i="6"/>
  <c r="AD53" i="6"/>
  <c r="AF53" i="6"/>
  <c r="AG53" i="6"/>
  <c r="AI53" i="6"/>
  <c r="AJ53" i="6"/>
  <c r="AJ61" i="6" s="1"/>
  <c r="AK53" i="6"/>
  <c r="AM53" i="6"/>
  <c r="AN53" i="6"/>
  <c r="AO53" i="6"/>
  <c r="AS53" i="6"/>
  <c r="AT53" i="6"/>
  <c r="AV53" i="6"/>
  <c r="AW53" i="6"/>
  <c r="AY53" i="6"/>
  <c r="AZ53" i="6"/>
  <c r="BA53" i="6"/>
  <c r="BD53" i="6"/>
  <c r="BE53" i="6"/>
  <c r="BI53" i="6"/>
  <c r="BJ53" i="6"/>
  <c r="BL53" i="6"/>
  <c r="BM53" i="6"/>
  <c r="BO53" i="6"/>
  <c r="BP53" i="6"/>
  <c r="BQ53" i="6"/>
  <c r="BS53" i="6"/>
  <c r="BT53" i="6"/>
  <c r="BU53" i="6"/>
  <c r="BY53" i="6"/>
  <c r="BZ53" i="6"/>
  <c r="CB53" i="6"/>
  <c r="CC53" i="6"/>
  <c r="CE53" i="6"/>
  <c r="CF53" i="6"/>
  <c r="CF61" i="6" s="1"/>
  <c r="CG53" i="6"/>
  <c r="CI53" i="6"/>
  <c r="CJ53" i="6"/>
  <c r="CK53" i="6"/>
  <c r="CO53" i="6"/>
  <c r="CP53" i="6"/>
  <c r="CR53" i="6"/>
  <c r="CS53" i="6"/>
  <c r="CU53" i="6"/>
  <c r="CV53" i="6"/>
  <c r="CW53" i="6"/>
  <c r="CZ53" i="6"/>
  <c r="CZ61" i="6" s="1"/>
  <c r="CZ70" i="6" s="1"/>
  <c r="CZ81" i="6" s="1"/>
  <c r="DA53" i="6"/>
  <c r="DE53" i="6"/>
  <c r="DF53" i="6"/>
  <c r="DH53" i="6"/>
  <c r="DI53" i="6"/>
  <c r="DK53" i="6"/>
  <c r="DL53" i="6"/>
  <c r="DM53" i="6"/>
  <c r="DP53" i="6"/>
  <c r="DQ53" i="6"/>
  <c r="DU53" i="6"/>
  <c r="DV53" i="6"/>
  <c r="DX53" i="6"/>
  <c r="DY53" i="6"/>
  <c r="EA53" i="6"/>
  <c r="EB53" i="6"/>
  <c r="EC53" i="6"/>
  <c r="EF53" i="6"/>
  <c r="EG53" i="6"/>
  <c r="EK53" i="6"/>
  <c r="EL53" i="6"/>
  <c r="EN53" i="6"/>
  <c r="EO53" i="6"/>
  <c r="EQ53" i="6"/>
  <c r="ER53" i="6"/>
  <c r="ES53" i="6"/>
  <c r="EV53" i="6"/>
  <c r="EW53" i="6"/>
  <c r="FA53" i="6"/>
  <c r="FB53" i="6"/>
  <c r="FD53" i="6"/>
  <c r="FE53" i="6"/>
  <c r="FG53" i="6"/>
  <c r="FH53" i="6"/>
  <c r="FH61" i="6" s="1"/>
  <c r="FI53" i="6"/>
  <c r="FK53" i="6"/>
  <c r="FL53" i="6"/>
  <c r="FM53" i="6"/>
  <c r="FQ53" i="6"/>
  <c r="FR53" i="6"/>
  <c r="FT53" i="6"/>
  <c r="FU53" i="6"/>
  <c r="FW53" i="6"/>
  <c r="FX53" i="6"/>
  <c r="FY53" i="6"/>
  <c r="J54" i="6"/>
  <c r="J62" i="6" s="1"/>
  <c r="J71" i="6" s="1"/>
  <c r="K54" i="6"/>
  <c r="L54" i="6"/>
  <c r="M54" i="6"/>
  <c r="N54" i="6"/>
  <c r="O54" i="6"/>
  <c r="P54" i="6"/>
  <c r="Q54" i="6"/>
  <c r="R54" i="6"/>
  <c r="S54" i="6"/>
  <c r="T54" i="6"/>
  <c r="U54" i="6"/>
  <c r="V54" i="6"/>
  <c r="V62" i="6" s="1"/>
  <c r="X54" i="6"/>
  <c r="X62" i="6" s="1"/>
  <c r="Y54" i="6"/>
  <c r="Y62" i="6" s="1"/>
  <c r="Z54" i="6"/>
  <c r="AA54" i="6"/>
  <c r="AA62" i="6" s="1"/>
  <c r="AB54" i="6"/>
  <c r="AC54" i="6"/>
  <c r="AD54" i="6"/>
  <c r="AE54" i="6"/>
  <c r="AE62" i="6" s="1"/>
  <c r="AE71" i="6" s="1"/>
  <c r="AF54" i="6"/>
  <c r="AG54" i="6"/>
  <c r="AH54" i="6"/>
  <c r="AI54" i="6"/>
  <c r="AJ54" i="6"/>
  <c r="AK54" i="6"/>
  <c r="AL54" i="6"/>
  <c r="AN54" i="6"/>
  <c r="AO54" i="6"/>
  <c r="AO62" i="6" s="1"/>
  <c r="AO71" i="6" s="1"/>
  <c r="AP54" i="6"/>
  <c r="AQ54" i="6"/>
  <c r="AR54" i="6"/>
  <c r="AR62" i="6" s="1"/>
  <c r="AS54" i="6"/>
  <c r="AS62" i="6" s="1"/>
  <c r="AT54" i="6"/>
  <c r="AU54" i="6"/>
  <c r="AV54" i="6"/>
  <c r="AW54" i="6"/>
  <c r="AX54" i="6"/>
  <c r="AY54" i="6"/>
  <c r="AZ54" i="6"/>
  <c r="BA54" i="6"/>
  <c r="BB54" i="6"/>
  <c r="BB62" i="6" s="1"/>
  <c r="BD54" i="6"/>
  <c r="BE54" i="6"/>
  <c r="BE62" i="6" s="1"/>
  <c r="BE71" i="6" s="1"/>
  <c r="BF54" i="6"/>
  <c r="BF62" i="6" s="1"/>
  <c r="BG54" i="6"/>
  <c r="BH54" i="6"/>
  <c r="BI54" i="6"/>
  <c r="BI62" i="6" s="1"/>
  <c r="BJ54" i="6"/>
  <c r="BK54" i="6"/>
  <c r="BL54" i="6"/>
  <c r="BM54" i="6"/>
  <c r="BM62" i="6" s="1"/>
  <c r="BN54" i="6"/>
  <c r="BO54" i="6"/>
  <c r="BP54" i="6"/>
  <c r="BQ54" i="6"/>
  <c r="BR54" i="6"/>
  <c r="BT54" i="6"/>
  <c r="BU54" i="6"/>
  <c r="BV54" i="6"/>
  <c r="BV62" i="6" s="1"/>
  <c r="BV71" i="6" s="1"/>
  <c r="BV86" i="6" s="1"/>
  <c r="BW54" i="6"/>
  <c r="BW62" i="6" s="1"/>
  <c r="BX54" i="6"/>
  <c r="BY54" i="6"/>
  <c r="BZ54" i="6"/>
  <c r="BZ62" i="6" s="1"/>
  <c r="CA54" i="6"/>
  <c r="CB54" i="6"/>
  <c r="CC54" i="6"/>
  <c r="CD54" i="6"/>
  <c r="CD62" i="6" s="1"/>
  <c r="CE54" i="6"/>
  <c r="CF54" i="6"/>
  <c r="CG54" i="6"/>
  <c r="CH54" i="6"/>
  <c r="CH62" i="6" s="1"/>
  <c r="CJ54" i="6"/>
  <c r="CK54" i="6"/>
  <c r="CK62" i="6" s="1"/>
  <c r="CK71" i="6" s="1"/>
  <c r="CL54" i="6"/>
  <c r="CM54" i="6"/>
  <c r="CN54" i="6"/>
  <c r="CN62" i="6" s="1"/>
  <c r="CO54" i="6"/>
  <c r="CP54" i="6"/>
  <c r="CQ54" i="6"/>
  <c r="CQ62" i="6" s="1"/>
  <c r="CR54" i="6"/>
  <c r="CS54" i="6"/>
  <c r="CT54" i="6"/>
  <c r="CU54" i="6"/>
  <c r="CU62" i="6" s="1"/>
  <c r="CV54" i="6"/>
  <c r="CW54" i="6"/>
  <c r="CX54" i="6"/>
  <c r="CZ54" i="6"/>
  <c r="DA54" i="6"/>
  <c r="DB54" i="6"/>
  <c r="DC54" i="6"/>
  <c r="DD54" i="6"/>
  <c r="DE54" i="6"/>
  <c r="DE62" i="6" s="1"/>
  <c r="DF54" i="6"/>
  <c r="DG54" i="6"/>
  <c r="DH54" i="6"/>
  <c r="DH62" i="6" s="1"/>
  <c r="DI54" i="6"/>
  <c r="DJ54" i="6"/>
  <c r="DK54" i="6"/>
  <c r="DL54" i="6"/>
  <c r="DL62" i="6" s="1"/>
  <c r="DM54" i="6"/>
  <c r="DN54" i="6"/>
  <c r="DN62" i="6" s="1"/>
  <c r="DP54" i="6"/>
  <c r="DQ54" i="6"/>
  <c r="DQ62" i="6" s="1"/>
  <c r="DQ71" i="6" s="1"/>
  <c r="DR54" i="6"/>
  <c r="DS54" i="6"/>
  <c r="DT54" i="6"/>
  <c r="DU54" i="6"/>
  <c r="DV54" i="6"/>
  <c r="DV62" i="6" s="1"/>
  <c r="DW54" i="6"/>
  <c r="DX54" i="6"/>
  <c r="DY54" i="6"/>
  <c r="DY62" i="6" s="1"/>
  <c r="DZ54" i="6"/>
  <c r="EA54" i="6"/>
  <c r="EB54" i="6"/>
  <c r="EC54" i="6"/>
  <c r="EC62" i="6" s="1"/>
  <c r="ED54" i="6"/>
  <c r="EF54" i="6"/>
  <c r="EG54" i="6"/>
  <c r="EH54" i="6"/>
  <c r="EI54" i="6"/>
  <c r="EJ54" i="6"/>
  <c r="EK54" i="6"/>
  <c r="EL54" i="6"/>
  <c r="EM54" i="6"/>
  <c r="EM62" i="6" s="1"/>
  <c r="EN54" i="6"/>
  <c r="EO54" i="6"/>
  <c r="EP54" i="6"/>
  <c r="EP62" i="6" s="1"/>
  <c r="EQ54" i="6"/>
  <c r="ER54" i="6"/>
  <c r="ES54" i="6"/>
  <c r="ET54" i="6"/>
  <c r="ET62" i="6" s="1"/>
  <c r="ET83" i="6" s="1"/>
  <c r="EV54" i="6"/>
  <c r="EW54" i="6"/>
  <c r="EW62" i="6" s="1"/>
  <c r="EW71" i="6" s="1"/>
  <c r="EX54" i="6"/>
  <c r="EY54" i="6"/>
  <c r="EZ54" i="6"/>
  <c r="FA54" i="6"/>
  <c r="FB54" i="6"/>
  <c r="FC54" i="6"/>
  <c r="FD54" i="6"/>
  <c r="FD62" i="6" s="1"/>
  <c r="FE54" i="6"/>
  <c r="FF54" i="6"/>
  <c r="FG54" i="6"/>
  <c r="FG62" i="6" s="1"/>
  <c r="FH54" i="6"/>
  <c r="FI54" i="6"/>
  <c r="FJ54" i="6"/>
  <c r="FJ62" i="6" s="1"/>
  <c r="FL54" i="6"/>
  <c r="FL62" i="6" s="1"/>
  <c r="FM54" i="6"/>
  <c r="FN54" i="6"/>
  <c r="FO54" i="6"/>
  <c r="FP54" i="6"/>
  <c r="FQ54" i="6"/>
  <c r="FR54" i="6"/>
  <c r="FS54" i="6"/>
  <c r="FT54" i="6"/>
  <c r="FT62" i="6" s="1"/>
  <c r="FU54" i="6"/>
  <c r="FU62" i="6" s="1"/>
  <c r="FV54" i="6"/>
  <c r="FW54" i="6"/>
  <c r="FX54" i="6"/>
  <c r="FX62" i="6" s="1"/>
  <c r="FY54" i="6"/>
  <c r="FZ54" i="6"/>
  <c r="J55" i="6"/>
  <c r="K55" i="6"/>
  <c r="K63" i="6" s="1"/>
  <c r="K72" i="6" s="1"/>
  <c r="L55" i="6"/>
  <c r="M55" i="6"/>
  <c r="N55" i="6"/>
  <c r="O55" i="6"/>
  <c r="P55" i="6"/>
  <c r="Q55" i="6"/>
  <c r="R55" i="6"/>
  <c r="S55" i="6"/>
  <c r="T55" i="6"/>
  <c r="U55" i="6"/>
  <c r="V55" i="6"/>
  <c r="W55" i="6"/>
  <c r="W63" i="6" s="1"/>
  <c r="W72" i="6" s="1"/>
  <c r="W86" i="6" s="1"/>
  <c r="X55" i="6"/>
  <c r="X63" i="6" s="1"/>
  <c r="Z55" i="6"/>
  <c r="AA55" i="6"/>
  <c r="AA63" i="6" s="1"/>
  <c r="AA72" i="6" s="1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N63" i="6" s="1"/>
  <c r="AN72" i="6" s="1"/>
  <c r="AP55" i="6"/>
  <c r="AQ55" i="6"/>
  <c r="AR55" i="6"/>
  <c r="AR63" i="6" s="1"/>
  <c r="AR72" i="6" s="1"/>
  <c r="AT55" i="6"/>
  <c r="AU55" i="6"/>
  <c r="AV55" i="6"/>
  <c r="AW55" i="6"/>
  <c r="AX55" i="6"/>
  <c r="AY55" i="6"/>
  <c r="AZ55" i="6"/>
  <c r="BA55" i="6"/>
  <c r="BB55" i="6"/>
  <c r="BC55" i="6"/>
  <c r="BC63" i="6" s="1"/>
  <c r="BD55" i="6"/>
  <c r="BF55" i="6"/>
  <c r="BF63" i="6" s="1"/>
  <c r="BF72" i="6" s="1"/>
  <c r="BG55" i="6"/>
  <c r="BH55" i="6"/>
  <c r="BI55" i="6"/>
  <c r="BI63" i="6" s="1"/>
  <c r="BI72" i="6" s="1"/>
  <c r="BJ55" i="6"/>
  <c r="BK55" i="6"/>
  <c r="BL55" i="6"/>
  <c r="BM55" i="6"/>
  <c r="BN55" i="6"/>
  <c r="BO55" i="6"/>
  <c r="BP55" i="6"/>
  <c r="BQ55" i="6"/>
  <c r="BR55" i="6"/>
  <c r="BS55" i="6"/>
  <c r="BT55" i="6"/>
  <c r="BT63" i="6" s="1"/>
  <c r="BT72" i="6" s="1"/>
  <c r="BV55" i="6"/>
  <c r="BW55" i="6"/>
  <c r="BW63" i="6" s="1"/>
  <c r="BW72" i="6" s="1"/>
  <c r="BX55" i="6"/>
  <c r="BY55" i="6"/>
  <c r="BZ55" i="6"/>
  <c r="CA55" i="6"/>
  <c r="CB55" i="6"/>
  <c r="CC55" i="6"/>
  <c r="CD55" i="6"/>
  <c r="CE55" i="6"/>
  <c r="CF55" i="6"/>
  <c r="CG55" i="6"/>
  <c r="CH55" i="6"/>
  <c r="CI55" i="6"/>
  <c r="CI63" i="6" s="1"/>
  <c r="CI72" i="6" s="1"/>
  <c r="CJ55" i="6"/>
  <c r="CL55" i="6"/>
  <c r="CM55" i="6"/>
  <c r="CN55" i="6"/>
  <c r="CN63" i="6" s="1"/>
  <c r="CN72" i="6" s="1"/>
  <c r="CO55" i="6"/>
  <c r="CP55" i="6"/>
  <c r="CQ55" i="6"/>
  <c r="CR55" i="6"/>
  <c r="CS55" i="6"/>
  <c r="CT55" i="6"/>
  <c r="CU55" i="6"/>
  <c r="CV55" i="6"/>
  <c r="CW55" i="6"/>
  <c r="CX55" i="6"/>
  <c r="CY55" i="6"/>
  <c r="CZ55" i="6"/>
  <c r="CZ63" i="6" s="1"/>
  <c r="DB55" i="6"/>
  <c r="DC55" i="6"/>
  <c r="DC63" i="6" s="1"/>
  <c r="DC72" i="6" s="1"/>
  <c r="DD55" i="6"/>
  <c r="DE55" i="6"/>
  <c r="DE63" i="6" s="1"/>
  <c r="DE72" i="6" s="1"/>
  <c r="DF55" i="6"/>
  <c r="DG55" i="6"/>
  <c r="DH55" i="6"/>
  <c r="DI55" i="6"/>
  <c r="DJ55" i="6"/>
  <c r="DK55" i="6"/>
  <c r="DL55" i="6"/>
  <c r="DM55" i="6"/>
  <c r="DN55" i="6"/>
  <c r="DO55" i="6"/>
  <c r="DP55" i="6"/>
  <c r="DR55" i="6"/>
  <c r="DS55" i="6"/>
  <c r="DT55" i="6"/>
  <c r="DU55" i="6"/>
  <c r="DV55" i="6"/>
  <c r="DV63" i="6" s="1"/>
  <c r="DV72" i="6" s="1"/>
  <c r="DW55" i="6"/>
  <c r="DX55" i="6"/>
  <c r="DY55" i="6"/>
  <c r="DZ55" i="6"/>
  <c r="EA55" i="6"/>
  <c r="EB55" i="6"/>
  <c r="EC55" i="6"/>
  <c r="ED55" i="6"/>
  <c r="EE55" i="6"/>
  <c r="EF55" i="6"/>
  <c r="EF63" i="6" s="1"/>
  <c r="EH55" i="6"/>
  <c r="EI55" i="6"/>
  <c r="EI63" i="6" s="1"/>
  <c r="EI72" i="6" s="1"/>
  <c r="EJ55" i="6"/>
  <c r="EK55" i="6"/>
  <c r="EL55" i="6"/>
  <c r="EM55" i="6"/>
  <c r="EM63" i="6" s="1"/>
  <c r="EM72" i="6" s="1"/>
  <c r="EN55" i="6"/>
  <c r="EO55" i="6"/>
  <c r="EP55" i="6"/>
  <c r="EQ55" i="6"/>
  <c r="ER55" i="6"/>
  <c r="ES55" i="6"/>
  <c r="ET55" i="6"/>
  <c r="EU55" i="6"/>
  <c r="EV55" i="6"/>
  <c r="EX55" i="6"/>
  <c r="EY55" i="6"/>
  <c r="EZ55" i="6"/>
  <c r="EZ63" i="6" s="1"/>
  <c r="EZ72" i="6" s="1"/>
  <c r="FA55" i="6"/>
  <c r="FB55" i="6"/>
  <c r="FC55" i="6"/>
  <c r="FD55" i="6"/>
  <c r="FD63" i="6" s="1"/>
  <c r="FD72" i="6" s="1"/>
  <c r="FE55" i="6"/>
  <c r="FF55" i="6"/>
  <c r="FG55" i="6"/>
  <c r="FH55" i="6"/>
  <c r="FI55" i="6"/>
  <c r="FJ55" i="6"/>
  <c r="FK55" i="6"/>
  <c r="FL55" i="6"/>
  <c r="FL63" i="6" s="1"/>
  <c r="FN55" i="6"/>
  <c r="FO55" i="6"/>
  <c r="FP55" i="6"/>
  <c r="FQ55" i="6"/>
  <c r="FR55" i="6"/>
  <c r="FS55" i="6"/>
  <c r="FT55" i="6"/>
  <c r="FU55" i="6"/>
  <c r="FU63" i="6" s="1"/>
  <c r="FU72" i="6" s="1"/>
  <c r="FV55" i="6"/>
  <c r="FW55" i="6"/>
  <c r="FX55" i="6"/>
  <c r="FY55" i="6"/>
  <c r="FZ55" i="6"/>
  <c r="GA55" i="6"/>
  <c r="J56" i="6"/>
  <c r="K56" i="6"/>
  <c r="L56" i="6"/>
  <c r="M56" i="6"/>
  <c r="N56" i="6"/>
  <c r="O56" i="6"/>
  <c r="P56" i="6"/>
  <c r="R56" i="6"/>
  <c r="S56" i="6"/>
  <c r="T56" i="6"/>
  <c r="T64" i="6" s="1"/>
  <c r="T73" i="6" s="1"/>
  <c r="U56" i="6"/>
  <c r="V56" i="6"/>
  <c r="W56" i="6"/>
  <c r="X56" i="6"/>
  <c r="Y56" i="6"/>
  <c r="Z56" i="6"/>
  <c r="Z64" i="6" s="1"/>
  <c r="AA56" i="6"/>
  <c r="AB56" i="6"/>
  <c r="AD56" i="6"/>
  <c r="AE56" i="6"/>
  <c r="AF56" i="6"/>
  <c r="AH56" i="6"/>
  <c r="AI56" i="6"/>
  <c r="AJ56" i="6"/>
  <c r="AK56" i="6"/>
  <c r="AL56" i="6"/>
  <c r="AL64" i="6" s="1"/>
  <c r="AM56" i="6"/>
  <c r="AN56" i="6"/>
  <c r="AO56" i="6"/>
  <c r="AO64" i="6" s="1"/>
  <c r="AO73" i="6" s="1"/>
  <c r="AP56" i="6"/>
  <c r="AQ56" i="6"/>
  <c r="AR56" i="6"/>
  <c r="AS56" i="6"/>
  <c r="AS64" i="6" s="1"/>
  <c r="AS73" i="6" s="1"/>
  <c r="AT56" i="6"/>
  <c r="AU56" i="6"/>
  <c r="AV56" i="6"/>
  <c r="AX56" i="6"/>
  <c r="AY56" i="6"/>
  <c r="AZ56" i="6"/>
  <c r="BA56" i="6"/>
  <c r="BB56" i="6"/>
  <c r="BC56" i="6"/>
  <c r="BC64" i="6" s="1"/>
  <c r="BC73" i="6" s="1"/>
  <c r="BD56" i="6"/>
  <c r="BE56" i="6"/>
  <c r="BF56" i="6"/>
  <c r="BF64" i="6" s="1"/>
  <c r="BG56" i="6"/>
  <c r="BH56" i="6"/>
  <c r="BI56" i="6"/>
  <c r="BJ56" i="6"/>
  <c r="BK56" i="6"/>
  <c r="BL56" i="6"/>
  <c r="BN56" i="6"/>
  <c r="BO56" i="6"/>
  <c r="BP56" i="6"/>
  <c r="BQ56" i="6"/>
  <c r="BR56" i="6"/>
  <c r="BS56" i="6"/>
  <c r="BT56" i="6"/>
  <c r="BT64" i="6" s="1"/>
  <c r="BT73" i="6" s="1"/>
  <c r="BU56" i="6"/>
  <c r="BV56" i="6"/>
  <c r="BV64" i="6" s="1"/>
  <c r="BW56" i="6"/>
  <c r="BW64" i="6" s="1"/>
  <c r="BW73" i="6" s="1"/>
  <c r="BX56" i="6"/>
  <c r="BY56" i="6"/>
  <c r="BZ56" i="6"/>
  <c r="CA56" i="6"/>
  <c r="CB56" i="6"/>
  <c r="CD56" i="6"/>
  <c r="CE56" i="6"/>
  <c r="CF56" i="6"/>
  <c r="CG56" i="6"/>
  <c r="CH56" i="6"/>
  <c r="CI56" i="6"/>
  <c r="CJ56" i="6"/>
  <c r="CK56" i="6"/>
  <c r="CK64" i="6" s="1"/>
  <c r="CK73" i="6" s="1"/>
  <c r="CL56" i="6"/>
  <c r="CM56" i="6"/>
  <c r="CN56" i="6"/>
  <c r="CN64" i="6" s="1"/>
  <c r="CN73" i="6" s="1"/>
  <c r="CO56" i="6"/>
  <c r="CP56" i="6"/>
  <c r="CQ56" i="6"/>
  <c r="CR56" i="6"/>
  <c r="CT56" i="6"/>
  <c r="CU56" i="6"/>
  <c r="CV56" i="6"/>
  <c r="CW56" i="6"/>
  <c r="CX56" i="6"/>
  <c r="CY56" i="6"/>
  <c r="CZ56" i="6"/>
  <c r="DA56" i="6"/>
  <c r="DB56" i="6"/>
  <c r="DB64" i="6" s="1"/>
  <c r="DB73" i="6" s="1"/>
  <c r="DC56" i="6"/>
  <c r="DD56" i="6"/>
  <c r="DD64" i="6" s="1"/>
  <c r="DE56" i="6"/>
  <c r="DE64" i="6" s="1"/>
  <c r="DE73" i="6" s="1"/>
  <c r="DF56" i="6"/>
  <c r="DG56" i="6"/>
  <c r="DH56" i="6"/>
  <c r="DJ56" i="6"/>
  <c r="DK56" i="6"/>
  <c r="DL56" i="6"/>
  <c r="DM56" i="6"/>
  <c r="DN56" i="6"/>
  <c r="DO56" i="6"/>
  <c r="DP56" i="6"/>
  <c r="DQ56" i="6"/>
  <c r="DR56" i="6"/>
  <c r="DR64" i="6" s="1"/>
  <c r="DS56" i="6"/>
  <c r="DT56" i="6"/>
  <c r="DU56" i="6"/>
  <c r="DV56" i="6"/>
  <c r="DV64" i="6" s="1"/>
  <c r="DV73" i="6" s="1"/>
  <c r="DW56" i="6"/>
  <c r="DX56" i="6"/>
  <c r="DZ56" i="6"/>
  <c r="EA56" i="6"/>
  <c r="EB56" i="6"/>
  <c r="EC56" i="6"/>
  <c r="ED56" i="6"/>
  <c r="EE56" i="6"/>
  <c r="EF56" i="6"/>
  <c r="EG56" i="6"/>
  <c r="EH56" i="6"/>
  <c r="EI56" i="6"/>
  <c r="EJ56" i="6"/>
  <c r="EJ64" i="6" s="1"/>
  <c r="EJ73" i="6" s="1"/>
  <c r="EL56" i="6"/>
  <c r="EM56" i="6"/>
  <c r="EN56" i="6"/>
  <c r="EN64" i="6" s="1"/>
  <c r="EN73" i="6" s="1"/>
  <c r="EP56" i="6"/>
  <c r="EQ56" i="6"/>
  <c r="ER56" i="6"/>
  <c r="ES56" i="6"/>
  <c r="ET56" i="6"/>
  <c r="EU56" i="6"/>
  <c r="EV56" i="6"/>
  <c r="EW56" i="6"/>
  <c r="EX56" i="6"/>
  <c r="EX64" i="6" s="1"/>
  <c r="EX73" i="6" s="1"/>
  <c r="EY56" i="6"/>
  <c r="EZ56" i="6"/>
  <c r="FA56" i="6"/>
  <c r="FB56" i="6"/>
  <c r="FB64" i="6" s="1"/>
  <c r="FB73" i="6" s="1"/>
  <c r="FC56" i="6"/>
  <c r="FD56" i="6"/>
  <c r="FF56" i="6"/>
  <c r="FF64" i="6" s="1"/>
  <c r="FF73" i="6" s="1"/>
  <c r="FG56" i="6"/>
  <c r="FH56" i="6"/>
  <c r="FH64" i="6" s="1"/>
  <c r="FI56" i="6"/>
  <c r="FJ56" i="6"/>
  <c r="FK56" i="6"/>
  <c r="FL56" i="6"/>
  <c r="FM56" i="6"/>
  <c r="FN56" i="6"/>
  <c r="FN64" i="6" s="1"/>
  <c r="FO56" i="6"/>
  <c r="FP56" i="6"/>
  <c r="FQ56" i="6"/>
  <c r="FR56" i="6"/>
  <c r="FS56" i="6"/>
  <c r="FS64" i="6" s="1"/>
  <c r="FS73" i="6" s="1"/>
  <c r="FT56" i="6"/>
  <c r="FV56" i="6"/>
  <c r="FW56" i="6"/>
  <c r="FW64" i="6" s="1"/>
  <c r="FW73" i="6" s="1"/>
  <c r="FX56" i="6"/>
  <c r="FY56" i="6"/>
  <c r="FZ56" i="6"/>
  <c r="GA56" i="6"/>
  <c r="J57" i="6"/>
  <c r="K57" i="6"/>
  <c r="L57" i="6"/>
  <c r="L65" i="6" s="1"/>
  <c r="M57" i="6"/>
  <c r="N57" i="6"/>
  <c r="N65" i="6" s="1"/>
  <c r="N74" i="6" s="1"/>
  <c r="O57" i="6"/>
  <c r="P57" i="6"/>
  <c r="Q57" i="6"/>
  <c r="R57" i="6"/>
  <c r="R65" i="6" s="1"/>
  <c r="R74" i="6" s="1"/>
  <c r="T57" i="6"/>
  <c r="U57" i="6"/>
  <c r="V57" i="6"/>
  <c r="V65" i="6" s="1"/>
  <c r="V74" i="6" s="1"/>
  <c r="V86" i="6" s="1"/>
  <c r="W57" i="6"/>
  <c r="X57" i="6"/>
  <c r="Y57" i="6"/>
  <c r="Z57" i="6"/>
  <c r="AA57" i="6"/>
  <c r="AB57" i="6"/>
  <c r="AB65" i="6" s="1"/>
  <c r="AC57" i="6"/>
  <c r="AD57" i="6"/>
  <c r="AE57" i="6"/>
  <c r="AE65" i="6" s="1"/>
  <c r="AE74" i="6" s="1"/>
  <c r="AF57" i="6"/>
  <c r="AG57" i="6"/>
  <c r="AH57" i="6"/>
  <c r="AJ57" i="6"/>
  <c r="AJ65" i="6" s="1"/>
  <c r="AJ74" i="6" s="1"/>
  <c r="AK57" i="6"/>
  <c r="AL57" i="6"/>
  <c r="AM57" i="6"/>
  <c r="AM65" i="6" s="1"/>
  <c r="AM74" i="6" s="1"/>
  <c r="AN57" i="6"/>
  <c r="AO57" i="6"/>
  <c r="AP57" i="6"/>
  <c r="AQ57" i="6"/>
  <c r="AR57" i="6"/>
  <c r="AR65" i="6" s="1"/>
  <c r="AS57" i="6"/>
  <c r="AS65" i="6" s="1"/>
  <c r="AS74" i="6" s="1"/>
  <c r="AT57" i="6"/>
  <c r="AU57" i="6"/>
  <c r="AV57" i="6"/>
  <c r="AW57" i="6"/>
  <c r="AX57" i="6"/>
  <c r="AZ57" i="6"/>
  <c r="BA57" i="6"/>
  <c r="BA65" i="6" s="1"/>
  <c r="BA74" i="6" s="1"/>
  <c r="BB57" i="6"/>
  <c r="BC57" i="6"/>
  <c r="BD57" i="6"/>
  <c r="BD65" i="6" s="1"/>
  <c r="BD74" i="6" s="1"/>
  <c r="BE57" i="6"/>
  <c r="BF57" i="6"/>
  <c r="BG57" i="6"/>
  <c r="BH57" i="6"/>
  <c r="BH65" i="6" s="1"/>
  <c r="BI57" i="6"/>
  <c r="BJ57" i="6"/>
  <c r="BK57" i="6"/>
  <c r="BK65" i="6" s="1"/>
  <c r="BL57" i="6"/>
  <c r="BM57" i="6"/>
  <c r="BN57" i="6"/>
  <c r="BP57" i="6"/>
  <c r="BQ57" i="6"/>
  <c r="BR57" i="6"/>
  <c r="BR65" i="6" s="1"/>
  <c r="BR74" i="6" s="1"/>
  <c r="BS57" i="6"/>
  <c r="BT57" i="6"/>
  <c r="BU57" i="6"/>
  <c r="BU65" i="6" s="1"/>
  <c r="BU74" i="6" s="1"/>
  <c r="BV57" i="6"/>
  <c r="BW57" i="6"/>
  <c r="BX57" i="6"/>
  <c r="BX65" i="6" s="1"/>
  <c r="BY57" i="6"/>
  <c r="BZ57" i="6"/>
  <c r="CA57" i="6"/>
  <c r="CA65" i="6" s="1"/>
  <c r="CA74" i="6" s="1"/>
  <c r="CB57" i="6"/>
  <c r="CC57" i="6"/>
  <c r="CD57" i="6"/>
  <c r="CF57" i="6"/>
  <c r="CG57" i="6"/>
  <c r="CH57" i="6"/>
  <c r="CI57" i="6"/>
  <c r="CI65" i="6" s="1"/>
  <c r="CI74" i="6" s="1"/>
  <c r="CJ57" i="6"/>
  <c r="CK57" i="6"/>
  <c r="CL57" i="6"/>
  <c r="CL65" i="6" s="1"/>
  <c r="CL74" i="6" s="1"/>
  <c r="CM57" i="6"/>
  <c r="CN57" i="6"/>
  <c r="CN65" i="6" s="1"/>
  <c r="CO57" i="6"/>
  <c r="CP57" i="6"/>
  <c r="CP65" i="6" s="1"/>
  <c r="CQ57" i="6"/>
  <c r="CR57" i="6"/>
  <c r="CS57" i="6"/>
  <c r="CT57" i="6"/>
  <c r="CV57" i="6"/>
  <c r="CW57" i="6"/>
  <c r="CX57" i="6"/>
  <c r="CY57" i="6"/>
  <c r="CZ57" i="6"/>
  <c r="CZ65" i="6" s="1"/>
  <c r="CZ74" i="6" s="1"/>
  <c r="DA57" i="6"/>
  <c r="DB57" i="6"/>
  <c r="DC57" i="6"/>
  <c r="DC65" i="6" s="1"/>
  <c r="DC74" i="6" s="1"/>
  <c r="DD57" i="6"/>
  <c r="DD65" i="6" s="1"/>
  <c r="DE57" i="6"/>
  <c r="DF57" i="6"/>
  <c r="DG57" i="6"/>
  <c r="DH57" i="6"/>
  <c r="DI57" i="6"/>
  <c r="DJ57" i="6"/>
  <c r="DL57" i="6"/>
  <c r="DM57" i="6"/>
  <c r="DN57" i="6"/>
  <c r="DO57" i="6"/>
  <c r="DP57" i="6"/>
  <c r="DQ57" i="6"/>
  <c r="DR57" i="6"/>
  <c r="DS57" i="6"/>
  <c r="DT57" i="6"/>
  <c r="DT65" i="6" s="1"/>
  <c r="DU57" i="6"/>
  <c r="DV57" i="6"/>
  <c r="DV65" i="6" s="1"/>
  <c r="DW57" i="6"/>
  <c r="DX57" i="6"/>
  <c r="DY57" i="6"/>
  <c r="DZ57" i="6"/>
  <c r="EB57" i="6"/>
  <c r="EC57" i="6"/>
  <c r="ED57" i="6"/>
  <c r="ED65" i="6" s="1"/>
  <c r="ED74" i="6" s="1"/>
  <c r="EE57" i="6"/>
  <c r="EF57" i="6"/>
  <c r="EF65" i="6" s="1"/>
  <c r="EG57" i="6"/>
  <c r="EH57" i="6"/>
  <c r="EH65" i="6" s="1"/>
  <c r="EH74" i="6" s="1"/>
  <c r="EI57" i="6"/>
  <c r="EJ57" i="6"/>
  <c r="EJ65" i="6" s="1"/>
  <c r="EK57" i="6"/>
  <c r="EK65" i="6" s="1"/>
  <c r="EK74" i="6" s="1"/>
  <c r="EL57" i="6"/>
  <c r="EM57" i="6"/>
  <c r="EN57" i="6"/>
  <c r="EO57" i="6"/>
  <c r="EP57" i="6"/>
  <c r="ER57" i="6"/>
  <c r="ES57" i="6"/>
  <c r="ET57" i="6"/>
  <c r="EU57" i="6"/>
  <c r="EV57" i="6"/>
  <c r="EW57" i="6"/>
  <c r="EX57" i="6"/>
  <c r="EY57" i="6"/>
  <c r="EY65" i="6" s="1"/>
  <c r="EY74" i="6" s="1"/>
  <c r="EZ57" i="6"/>
  <c r="EZ65" i="6" s="1"/>
  <c r="FA57" i="6"/>
  <c r="FB57" i="6"/>
  <c r="FB65" i="6" s="1"/>
  <c r="FB74" i="6" s="1"/>
  <c r="FC57" i="6"/>
  <c r="FD57" i="6"/>
  <c r="FE57" i="6"/>
  <c r="FF57" i="6"/>
  <c r="FH57" i="6"/>
  <c r="FI57" i="6"/>
  <c r="FJ57" i="6"/>
  <c r="FK57" i="6"/>
  <c r="FL57" i="6"/>
  <c r="FL65" i="6" s="1"/>
  <c r="FL74" i="6" s="1"/>
  <c r="FM57" i="6"/>
  <c r="FN57" i="6"/>
  <c r="FO57" i="6"/>
  <c r="FP57" i="6"/>
  <c r="FP65" i="6" s="1"/>
  <c r="FP74" i="6" s="1"/>
  <c r="FQ57" i="6"/>
  <c r="FR57" i="6"/>
  <c r="FS57" i="6"/>
  <c r="FS65" i="6" s="1"/>
  <c r="FS74" i="6" s="1"/>
  <c r="FT57" i="6"/>
  <c r="FU57" i="6"/>
  <c r="FV57" i="6"/>
  <c r="FX57" i="6"/>
  <c r="FY57" i="6"/>
  <c r="FZ57" i="6"/>
  <c r="GA57" i="6"/>
  <c r="J58" i="6"/>
  <c r="K58" i="6"/>
  <c r="L58" i="6"/>
  <c r="M58" i="6"/>
  <c r="N58" i="6"/>
  <c r="N66" i="6" s="1"/>
  <c r="O58" i="6"/>
  <c r="O66" i="6" s="1"/>
  <c r="P58" i="6"/>
  <c r="Q58" i="6"/>
  <c r="Q66" i="6" s="1"/>
  <c r="Q75" i="6" s="1"/>
  <c r="R58" i="6"/>
  <c r="R66" i="6" s="1"/>
  <c r="R75" i="6" s="1"/>
  <c r="S58" i="6"/>
  <c r="T58" i="6"/>
  <c r="V58" i="6"/>
  <c r="W58" i="6"/>
  <c r="X58" i="6"/>
  <c r="Y58" i="6"/>
  <c r="Z58" i="6"/>
  <c r="AA58" i="6"/>
  <c r="AB58" i="6"/>
  <c r="AC58" i="6"/>
  <c r="AD58" i="6"/>
  <c r="AD66" i="6" s="1"/>
  <c r="AE58" i="6"/>
  <c r="AF58" i="6"/>
  <c r="AF66" i="6" s="1"/>
  <c r="AF75" i="6" s="1"/>
  <c r="AG58" i="6"/>
  <c r="AG66" i="6" s="1"/>
  <c r="AH58" i="6"/>
  <c r="AI58" i="6"/>
  <c r="AI66" i="6" s="1"/>
  <c r="AJ58" i="6"/>
  <c r="AL58" i="6"/>
  <c r="AM58" i="6"/>
  <c r="AN58" i="6"/>
  <c r="AO58" i="6"/>
  <c r="AP58" i="6"/>
  <c r="AQ58" i="6"/>
  <c r="AR58" i="6"/>
  <c r="AT58" i="6"/>
  <c r="AT66" i="6" s="1"/>
  <c r="AU58" i="6"/>
  <c r="AV58" i="6"/>
  <c r="AV66" i="6" s="1"/>
  <c r="AW58" i="6"/>
  <c r="AW66" i="6" s="1"/>
  <c r="AW75" i="6" s="1"/>
  <c r="AX58" i="6"/>
  <c r="AY58" i="6"/>
  <c r="AY66" i="6" s="1"/>
  <c r="AY75" i="6" s="1"/>
  <c r="AZ58" i="6"/>
  <c r="BB58" i="6"/>
  <c r="BC58" i="6"/>
  <c r="BD58" i="6"/>
  <c r="BE58" i="6"/>
  <c r="BF58" i="6"/>
  <c r="BG58" i="6"/>
  <c r="BH58" i="6"/>
  <c r="BI58" i="6"/>
  <c r="BJ58" i="6"/>
  <c r="BJ66" i="6" s="1"/>
  <c r="BK58" i="6"/>
  <c r="BL58" i="6"/>
  <c r="BM58" i="6"/>
  <c r="BN58" i="6"/>
  <c r="BN66" i="6" s="1"/>
  <c r="BN75" i="6" s="1"/>
  <c r="BO58" i="6"/>
  <c r="BP58" i="6"/>
  <c r="BR58" i="6"/>
  <c r="BR66" i="6" s="1"/>
  <c r="BR75" i="6" s="1"/>
  <c r="BS58" i="6"/>
  <c r="BT58" i="6"/>
  <c r="BT66" i="6" s="1"/>
  <c r="BT75" i="6" s="1"/>
  <c r="BU58" i="6"/>
  <c r="BV58" i="6"/>
  <c r="BW58" i="6"/>
  <c r="BX58" i="6"/>
  <c r="BY58" i="6"/>
  <c r="BZ58" i="6"/>
  <c r="BZ66" i="6" s="1"/>
  <c r="CA58" i="6"/>
  <c r="CB58" i="6"/>
  <c r="CC58" i="6"/>
  <c r="CD58" i="6"/>
  <c r="CE58" i="6"/>
  <c r="CE66" i="6" s="1"/>
  <c r="CE75" i="6" s="1"/>
  <c r="CF58" i="6"/>
  <c r="CF66" i="6" s="1"/>
  <c r="CF75" i="6" s="1"/>
  <c r="CH58" i="6"/>
  <c r="CI58" i="6"/>
  <c r="CI66" i="6" s="1"/>
  <c r="CI75" i="6" s="1"/>
  <c r="CJ58" i="6"/>
  <c r="CK58" i="6"/>
  <c r="CL58" i="6"/>
  <c r="CL66" i="6" s="1"/>
  <c r="CM58" i="6"/>
  <c r="CN58" i="6"/>
  <c r="CO58" i="6"/>
  <c r="CP58" i="6"/>
  <c r="CP66" i="6" s="1"/>
  <c r="CQ58" i="6"/>
  <c r="CR58" i="6"/>
  <c r="CR66" i="6" s="1"/>
  <c r="CR75" i="6" s="1"/>
  <c r="CS58" i="6"/>
  <c r="CT58" i="6"/>
  <c r="CU58" i="6"/>
  <c r="CV58" i="6"/>
  <c r="CV66" i="6" s="1"/>
  <c r="CV75" i="6" s="1"/>
  <c r="CX58" i="6"/>
  <c r="CY58" i="6"/>
  <c r="CZ58" i="6"/>
  <c r="CZ66" i="6" s="1"/>
  <c r="CZ75" i="6" s="1"/>
  <c r="DA58" i="6"/>
  <c r="DB58" i="6"/>
  <c r="DB66" i="6" s="1"/>
  <c r="DC58" i="6"/>
  <c r="DD58" i="6"/>
  <c r="DD66" i="6" s="1"/>
  <c r="DE58" i="6"/>
  <c r="DF58" i="6"/>
  <c r="DF66" i="6" s="1"/>
  <c r="DG58" i="6"/>
  <c r="DH58" i="6"/>
  <c r="DI58" i="6"/>
  <c r="DJ58" i="6"/>
  <c r="DK58" i="6"/>
  <c r="DL58" i="6"/>
  <c r="DL66" i="6" s="1"/>
  <c r="DN58" i="6"/>
  <c r="DN66" i="6" s="1"/>
  <c r="DN75" i="6" s="1"/>
  <c r="DO58" i="6"/>
  <c r="DP58" i="6"/>
  <c r="DQ58" i="6"/>
  <c r="DQ66" i="6" s="1"/>
  <c r="DQ75" i="6" s="1"/>
  <c r="DR58" i="6"/>
  <c r="DS58" i="6"/>
  <c r="DT58" i="6"/>
  <c r="DT66" i="6" s="1"/>
  <c r="DU58" i="6"/>
  <c r="DV58" i="6"/>
  <c r="DV66" i="6" s="1"/>
  <c r="DW58" i="6"/>
  <c r="DX58" i="6"/>
  <c r="DY58" i="6"/>
  <c r="DZ58" i="6"/>
  <c r="EA58" i="6"/>
  <c r="EB58" i="6"/>
  <c r="ED58" i="6"/>
  <c r="EE58" i="6"/>
  <c r="EE66" i="6" s="1"/>
  <c r="EE75" i="6" s="1"/>
  <c r="EF58" i="6"/>
  <c r="EG58" i="6"/>
  <c r="EH58" i="6"/>
  <c r="EH66" i="6" s="1"/>
  <c r="EH75" i="6" s="1"/>
  <c r="EI58" i="6"/>
  <c r="EJ58" i="6"/>
  <c r="EK58" i="6"/>
  <c r="EL58" i="6"/>
  <c r="EL66" i="6" s="1"/>
  <c r="EM58" i="6"/>
  <c r="EN58" i="6"/>
  <c r="EO58" i="6"/>
  <c r="EO66" i="6" s="1"/>
  <c r="EP58" i="6"/>
  <c r="EQ58" i="6"/>
  <c r="ER58" i="6"/>
  <c r="ET58" i="6"/>
  <c r="EU58" i="6"/>
  <c r="EV58" i="6"/>
  <c r="EV66" i="6" s="1"/>
  <c r="EV75" i="6" s="1"/>
  <c r="EW58" i="6"/>
  <c r="EX58" i="6"/>
  <c r="EY58" i="6"/>
  <c r="EY66" i="6" s="1"/>
  <c r="EY75" i="6" s="1"/>
  <c r="EZ58" i="6"/>
  <c r="FA58" i="6"/>
  <c r="FB58" i="6"/>
  <c r="FB66" i="6" s="1"/>
  <c r="FC58" i="6"/>
  <c r="FD58" i="6"/>
  <c r="FE58" i="6"/>
  <c r="FE66" i="6" s="1"/>
  <c r="FE75" i="6" s="1"/>
  <c r="FF58" i="6"/>
  <c r="FG58" i="6"/>
  <c r="FH58" i="6"/>
  <c r="FH66" i="6" s="1"/>
  <c r="FH75" i="6" s="1"/>
  <c r="FJ58" i="6"/>
  <c r="FK58" i="6"/>
  <c r="FL58" i="6"/>
  <c r="FM58" i="6"/>
  <c r="FM66" i="6" s="1"/>
  <c r="FM75" i="6" s="1"/>
  <c r="FN58" i="6"/>
  <c r="FO58" i="6"/>
  <c r="FP58" i="6"/>
  <c r="FP66" i="6" s="1"/>
  <c r="FP75" i="6" s="1"/>
  <c r="FQ58" i="6"/>
  <c r="FR58" i="6"/>
  <c r="FR66" i="6" s="1"/>
  <c r="FS58" i="6"/>
  <c r="FT58" i="6"/>
  <c r="FT66" i="6" s="1"/>
  <c r="FU58" i="6"/>
  <c r="FV58" i="6"/>
  <c r="FW58" i="6"/>
  <c r="FW66" i="6" s="1"/>
  <c r="FW75" i="6" s="1"/>
  <c r="FX58" i="6"/>
  <c r="FZ58" i="6"/>
  <c r="FZ66" i="6" s="1"/>
  <c r="FZ75" i="6" s="1"/>
  <c r="GA58" i="6"/>
  <c r="J61" i="6"/>
  <c r="J70" i="6" s="1"/>
  <c r="J81" i="6" s="1"/>
  <c r="L61" i="6"/>
  <c r="M61" i="6"/>
  <c r="N61" i="6"/>
  <c r="P61" i="6"/>
  <c r="P70" i="6" s="1"/>
  <c r="Q61" i="6"/>
  <c r="R61" i="6"/>
  <c r="S61" i="6"/>
  <c r="T61" i="6"/>
  <c r="U61" i="6"/>
  <c r="V61" i="6"/>
  <c r="X61" i="6"/>
  <c r="X70" i="6" s="1"/>
  <c r="X81" i="6" s="1"/>
  <c r="Y61" i="6"/>
  <c r="Z61" i="6"/>
  <c r="AB61" i="6"/>
  <c r="AC61" i="6"/>
  <c r="AD61" i="6"/>
  <c r="AD70" i="6" s="1"/>
  <c r="AD81" i="6" s="1"/>
  <c r="AF61" i="6"/>
  <c r="AF70" i="6" s="1"/>
  <c r="AG61" i="6"/>
  <c r="AH61" i="6"/>
  <c r="AH70" i="6" s="1"/>
  <c r="AH81" i="6" s="1"/>
  <c r="AI61" i="6"/>
  <c r="AK61" i="6"/>
  <c r="AK70" i="6" s="1"/>
  <c r="AK81" i="6" s="1"/>
  <c r="AL61" i="6"/>
  <c r="AM61" i="6"/>
  <c r="AN61" i="6"/>
  <c r="AO61" i="6"/>
  <c r="AP61" i="6"/>
  <c r="AR61" i="6"/>
  <c r="AS61" i="6"/>
  <c r="AT61" i="6"/>
  <c r="AV61" i="6"/>
  <c r="AV70" i="6" s="1"/>
  <c r="AV81" i="6" s="1"/>
  <c r="AW61" i="6"/>
  <c r="AX61" i="6"/>
  <c r="AX70" i="6" s="1"/>
  <c r="AX81" i="6" s="1"/>
  <c r="AY61" i="6"/>
  <c r="AY70" i="6" s="1"/>
  <c r="AZ61" i="6"/>
  <c r="BA61" i="6"/>
  <c r="BB61" i="6"/>
  <c r="BD61" i="6"/>
  <c r="BD70" i="6" s="1"/>
  <c r="BD81" i="6" s="1"/>
  <c r="BD85" i="6" s="1"/>
  <c r="BE61" i="6"/>
  <c r="BF61" i="6"/>
  <c r="BH61" i="6"/>
  <c r="BI61" i="6"/>
  <c r="BJ61" i="6"/>
  <c r="BL61" i="6"/>
  <c r="BL70" i="6" s="1"/>
  <c r="BM61" i="6"/>
  <c r="BO61" i="6"/>
  <c r="BP61" i="6"/>
  <c r="BQ61" i="6"/>
  <c r="BQ70" i="6" s="1"/>
  <c r="BQ81" i="6" s="1"/>
  <c r="BR61" i="6"/>
  <c r="BS61" i="6"/>
  <c r="BT61" i="6"/>
  <c r="BU61" i="6"/>
  <c r="BV61" i="6"/>
  <c r="BV70" i="6" s="1"/>
  <c r="BV81" i="6" s="1"/>
  <c r="BV85" i="6" s="1"/>
  <c r="BX61" i="6"/>
  <c r="BY61" i="6"/>
  <c r="BZ61" i="6"/>
  <c r="BZ70" i="6" s="1"/>
  <c r="CB61" i="6"/>
  <c r="CB70" i="6" s="1"/>
  <c r="CC61" i="6"/>
  <c r="CE61" i="6"/>
  <c r="CG61" i="6"/>
  <c r="CH61" i="6"/>
  <c r="CH70" i="6" s="1"/>
  <c r="CI61" i="6"/>
  <c r="CJ61" i="6"/>
  <c r="CK61" i="6"/>
  <c r="CL61" i="6"/>
  <c r="CL70" i="6" s="1"/>
  <c r="CL81" i="6" s="1"/>
  <c r="CN61" i="6"/>
  <c r="CO61" i="6"/>
  <c r="CP61" i="6"/>
  <c r="CP70" i="6" s="1"/>
  <c r="CP81" i="6" s="1"/>
  <c r="CR61" i="6"/>
  <c r="CR70" i="6" s="1"/>
  <c r="CS61" i="6"/>
  <c r="CT61" i="6"/>
  <c r="CU61" i="6"/>
  <c r="CV61" i="6"/>
  <c r="CW61" i="6"/>
  <c r="CX61" i="6"/>
  <c r="DA61" i="6"/>
  <c r="DB61" i="6"/>
  <c r="DD61" i="6"/>
  <c r="DD70" i="6" s="1"/>
  <c r="DE61" i="6"/>
  <c r="DF61" i="6"/>
  <c r="DH61" i="6"/>
  <c r="DH70" i="6" s="1"/>
  <c r="DI61" i="6"/>
  <c r="DJ61" i="6"/>
  <c r="DJ70" i="6" s="1"/>
  <c r="DK61" i="6"/>
  <c r="DL61" i="6"/>
  <c r="DM61" i="6"/>
  <c r="DN61" i="6"/>
  <c r="DP61" i="6"/>
  <c r="DQ61" i="6"/>
  <c r="DR61" i="6"/>
  <c r="DR70" i="6" s="1"/>
  <c r="DR81" i="6" s="1"/>
  <c r="DT61" i="6"/>
  <c r="DU61" i="6"/>
  <c r="DV61" i="6"/>
  <c r="DX61" i="6"/>
  <c r="DX70" i="6" s="1"/>
  <c r="DY61" i="6"/>
  <c r="DZ61" i="6"/>
  <c r="DZ70" i="6" s="1"/>
  <c r="DZ81" i="6" s="1"/>
  <c r="EA61" i="6"/>
  <c r="EB61" i="6"/>
  <c r="EC61" i="6"/>
  <c r="ED61" i="6"/>
  <c r="EF61" i="6"/>
  <c r="EG61" i="6"/>
  <c r="EH61" i="6"/>
  <c r="EJ61" i="6"/>
  <c r="EK61" i="6"/>
  <c r="EL61" i="6"/>
  <c r="EN61" i="6"/>
  <c r="EN70" i="6" s="1"/>
  <c r="EO61" i="6"/>
  <c r="EP61" i="6"/>
  <c r="EQ61" i="6"/>
  <c r="ER61" i="6"/>
  <c r="ES61" i="6"/>
  <c r="ES70" i="6" s="1"/>
  <c r="ES81" i="6" s="1"/>
  <c r="ES85" i="6" s="1"/>
  <c r="ET61" i="6"/>
  <c r="ET70" i="6" s="1"/>
  <c r="EV61" i="6"/>
  <c r="EW61" i="6"/>
  <c r="EX61" i="6"/>
  <c r="EZ61" i="6"/>
  <c r="FA61" i="6"/>
  <c r="FB61" i="6"/>
  <c r="FB70" i="6" s="1"/>
  <c r="FD61" i="6"/>
  <c r="FD70" i="6" s="1"/>
  <c r="FE61" i="6"/>
  <c r="FF61" i="6"/>
  <c r="FG61" i="6"/>
  <c r="FI61" i="6"/>
  <c r="FI70" i="6" s="1"/>
  <c r="FI81" i="6" s="1"/>
  <c r="FI85" i="6" s="1"/>
  <c r="FJ61" i="6"/>
  <c r="FK61" i="6"/>
  <c r="FL61" i="6"/>
  <c r="FL70" i="6" s="1"/>
  <c r="FL81" i="6" s="1"/>
  <c r="FM61" i="6"/>
  <c r="FN61" i="6"/>
  <c r="FP61" i="6"/>
  <c r="FQ61" i="6"/>
  <c r="FR61" i="6"/>
  <c r="FT61" i="6"/>
  <c r="FT70" i="6" s="1"/>
  <c r="FU61" i="6"/>
  <c r="FV61" i="6"/>
  <c r="FW61" i="6"/>
  <c r="FX61" i="6"/>
  <c r="FY61" i="6"/>
  <c r="FZ61" i="6"/>
  <c r="K62" i="6"/>
  <c r="L62" i="6"/>
  <c r="M62" i="6"/>
  <c r="N62" i="6"/>
  <c r="N71" i="6" s="1"/>
  <c r="O62" i="6"/>
  <c r="P62" i="6"/>
  <c r="Q62" i="6"/>
  <c r="Q71" i="6" s="1"/>
  <c r="R62" i="6"/>
  <c r="R71" i="6" s="1"/>
  <c r="S62" i="6"/>
  <c r="T62" i="6"/>
  <c r="T71" i="6" s="1"/>
  <c r="U62" i="6"/>
  <c r="U71" i="6" s="1"/>
  <c r="W62" i="6"/>
  <c r="Z62" i="6"/>
  <c r="AB62" i="6"/>
  <c r="AC62" i="6"/>
  <c r="AD62" i="6"/>
  <c r="AF62" i="6"/>
  <c r="AF71" i="6" s="1"/>
  <c r="AG62" i="6"/>
  <c r="AH62" i="6"/>
  <c r="AH71" i="6" s="1"/>
  <c r="AI62" i="6"/>
  <c r="AI71" i="6" s="1"/>
  <c r="AJ62" i="6"/>
  <c r="AK62" i="6"/>
  <c r="AL62" i="6"/>
  <c r="AM62" i="6"/>
  <c r="AM71" i="6" s="1"/>
  <c r="AN62" i="6"/>
  <c r="AP62" i="6"/>
  <c r="AP71" i="6" s="1"/>
  <c r="AQ62" i="6"/>
  <c r="AT62" i="6"/>
  <c r="AT83" i="6" s="1"/>
  <c r="AU62" i="6"/>
  <c r="AV62" i="6"/>
  <c r="AV83" i="6" s="1"/>
  <c r="AW62" i="6"/>
  <c r="AX62" i="6"/>
  <c r="AX71" i="6" s="1"/>
  <c r="AX86" i="6" s="1"/>
  <c r="AY62" i="6"/>
  <c r="AY71" i="6" s="1"/>
  <c r="AY86" i="6" s="1"/>
  <c r="AZ62" i="6"/>
  <c r="BA62" i="6"/>
  <c r="BA83" i="6" s="1"/>
  <c r="BC62" i="6"/>
  <c r="BC71" i="6" s="1"/>
  <c r="BC86" i="6" s="1"/>
  <c r="BD62" i="6"/>
  <c r="BD71" i="6" s="1"/>
  <c r="BD86" i="6" s="1"/>
  <c r="BG62" i="6"/>
  <c r="BH62" i="6"/>
  <c r="BJ62" i="6"/>
  <c r="BJ83" i="6" s="1"/>
  <c r="BK62" i="6"/>
  <c r="BL62" i="6"/>
  <c r="BN62" i="6"/>
  <c r="BN71" i="6" s="1"/>
  <c r="BN86" i="6" s="1"/>
  <c r="BO62" i="6"/>
  <c r="BP62" i="6"/>
  <c r="BQ62" i="6"/>
  <c r="BQ83" i="6" s="1"/>
  <c r="BR62" i="6"/>
  <c r="BS62" i="6"/>
  <c r="BS83" i="6" s="1"/>
  <c r="BT62" i="6"/>
  <c r="BU62" i="6"/>
  <c r="BU83" i="6" s="1"/>
  <c r="BX62" i="6"/>
  <c r="BX83" i="6" s="1"/>
  <c r="BY62" i="6"/>
  <c r="CA62" i="6"/>
  <c r="CB62" i="6"/>
  <c r="CB71" i="6" s="1"/>
  <c r="CB86" i="6" s="1"/>
  <c r="CC62" i="6"/>
  <c r="CE62" i="6"/>
  <c r="CE83" i="6" s="1"/>
  <c r="CF62" i="6"/>
  <c r="CG62" i="6"/>
  <c r="CG83" i="6" s="1"/>
  <c r="CI62" i="6"/>
  <c r="CI83" i="6" s="1"/>
  <c r="CJ62" i="6"/>
  <c r="CL62" i="6"/>
  <c r="CM62" i="6"/>
  <c r="CO62" i="6"/>
  <c r="CP62" i="6"/>
  <c r="CP83" i="6" s="1"/>
  <c r="CR62" i="6"/>
  <c r="CS62" i="6"/>
  <c r="CT62" i="6"/>
  <c r="CT71" i="6" s="1"/>
  <c r="CT86" i="6" s="1"/>
  <c r="CV62" i="6"/>
  <c r="CV71" i="6" s="1"/>
  <c r="CW62" i="6"/>
  <c r="CW71" i="6" s="1"/>
  <c r="CW86" i="6" s="1"/>
  <c r="CX62" i="6"/>
  <c r="CY62" i="6"/>
  <c r="CZ62" i="6"/>
  <c r="CZ71" i="6" s="1"/>
  <c r="CZ86" i="6" s="1"/>
  <c r="DA62" i="6"/>
  <c r="DB62" i="6"/>
  <c r="DC62" i="6"/>
  <c r="DD62" i="6"/>
  <c r="DD71" i="6" s="1"/>
  <c r="DD86" i="6" s="1"/>
  <c r="DF62" i="6"/>
  <c r="DF83" i="6" s="1"/>
  <c r="DG62" i="6"/>
  <c r="DI62" i="6"/>
  <c r="DJ62" i="6"/>
  <c r="DJ71" i="6" s="1"/>
  <c r="DK62" i="6"/>
  <c r="DM62" i="6"/>
  <c r="DM71" i="6" s="1"/>
  <c r="DM86" i="6" s="1"/>
  <c r="DO62" i="6"/>
  <c r="DO71" i="6" s="1"/>
  <c r="DO86" i="6" s="1"/>
  <c r="DP62" i="6"/>
  <c r="DR62" i="6"/>
  <c r="DR71" i="6" s="1"/>
  <c r="DR86" i="6" s="1"/>
  <c r="DS62" i="6"/>
  <c r="DT62" i="6"/>
  <c r="DU62" i="6"/>
  <c r="DW62" i="6"/>
  <c r="DX62" i="6"/>
  <c r="DZ62" i="6"/>
  <c r="DZ71" i="6" s="1"/>
  <c r="EA62" i="6"/>
  <c r="EB62" i="6"/>
  <c r="ED62" i="6"/>
  <c r="EE62" i="6"/>
  <c r="EE71" i="6" s="1"/>
  <c r="EE86" i="6" s="1"/>
  <c r="EF62" i="6"/>
  <c r="EF71" i="6" s="1"/>
  <c r="EG62" i="6"/>
  <c r="EG71" i="6" s="1"/>
  <c r="EG86" i="6" s="1"/>
  <c r="EH62" i="6"/>
  <c r="EH83" i="6" s="1"/>
  <c r="EI62" i="6"/>
  <c r="EJ62" i="6"/>
  <c r="EK62" i="6"/>
  <c r="EL62" i="6"/>
  <c r="EL71" i="6" s="1"/>
  <c r="EL86" i="6" s="1"/>
  <c r="EN62" i="6"/>
  <c r="EN71" i="6" s="1"/>
  <c r="EN86" i="6" s="1"/>
  <c r="EO62" i="6"/>
  <c r="EQ62" i="6"/>
  <c r="ER62" i="6"/>
  <c r="ES62" i="6"/>
  <c r="ES71" i="6" s="1"/>
  <c r="EU62" i="6"/>
  <c r="EU83" i="6" s="1"/>
  <c r="EV62" i="6"/>
  <c r="EV71" i="6" s="1"/>
  <c r="EV86" i="6" s="1"/>
  <c r="EX62" i="6"/>
  <c r="EY62" i="6"/>
  <c r="EZ62" i="6"/>
  <c r="EZ71" i="6" s="1"/>
  <c r="EZ86" i="6" s="1"/>
  <c r="FA62" i="6"/>
  <c r="FB62" i="6"/>
  <c r="FC62" i="6"/>
  <c r="FE62" i="6"/>
  <c r="FF62" i="6"/>
  <c r="FF71" i="6" s="1"/>
  <c r="FF86" i="6" s="1"/>
  <c r="FH62" i="6"/>
  <c r="FI62" i="6"/>
  <c r="FK62" i="6"/>
  <c r="FK71" i="6" s="1"/>
  <c r="FM62" i="6"/>
  <c r="FM71" i="6" s="1"/>
  <c r="FM86" i="6" s="1"/>
  <c r="FN62" i="6"/>
  <c r="FN83" i="6" s="1"/>
  <c r="FO62" i="6"/>
  <c r="FP62" i="6"/>
  <c r="FP83" i="6" s="1"/>
  <c r="FQ62" i="6"/>
  <c r="FQ71" i="6" s="1"/>
  <c r="FQ86" i="6" s="1"/>
  <c r="FR62" i="6"/>
  <c r="FS62" i="6"/>
  <c r="FV62" i="6"/>
  <c r="FV71" i="6" s="1"/>
  <c r="FV86" i="6" s="1"/>
  <c r="FW62" i="6"/>
  <c r="FY62" i="6"/>
  <c r="FZ62" i="6"/>
  <c r="GA62" i="6"/>
  <c r="J63" i="6"/>
  <c r="L63" i="6"/>
  <c r="L72" i="6" s="1"/>
  <c r="M63" i="6"/>
  <c r="M72" i="6" s="1"/>
  <c r="N63" i="6"/>
  <c r="O63" i="6"/>
  <c r="P63" i="6"/>
  <c r="P72" i="6" s="1"/>
  <c r="Q63" i="6"/>
  <c r="R63" i="6"/>
  <c r="S63" i="6"/>
  <c r="T63" i="6"/>
  <c r="T72" i="6" s="1"/>
  <c r="U63" i="6"/>
  <c r="V63" i="6"/>
  <c r="Y63" i="6"/>
  <c r="Y72" i="6" s="1"/>
  <c r="Z63" i="6"/>
  <c r="AB63" i="6"/>
  <c r="AC63" i="6"/>
  <c r="AD63" i="6"/>
  <c r="AD72" i="6" s="1"/>
  <c r="AE63" i="6"/>
  <c r="AF63" i="6"/>
  <c r="AG63" i="6"/>
  <c r="AG72" i="6" s="1"/>
  <c r="AH63" i="6"/>
  <c r="AI63" i="6"/>
  <c r="AI72" i="6" s="1"/>
  <c r="AJ63" i="6"/>
  <c r="AJ72" i="6" s="1"/>
  <c r="AK63" i="6"/>
  <c r="AL63" i="6"/>
  <c r="AM63" i="6"/>
  <c r="AO63" i="6"/>
  <c r="AP63" i="6"/>
  <c r="AQ63" i="6"/>
  <c r="AQ72" i="6" s="1"/>
  <c r="AT63" i="6"/>
  <c r="AU63" i="6"/>
  <c r="AU72" i="6" s="1"/>
  <c r="AV63" i="6"/>
  <c r="AV72" i="6" s="1"/>
  <c r="AW63" i="6"/>
  <c r="AX63" i="6"/>
  <c r="AY63" i="6"/>
  <c r="AY72" i="6" s="1"/>
  <c r="AZ63" i="6"/>
  <c r="AZ72" i="6" s="1"/>
  <c r="BA63" i="6"/>
  <c r="BB63" i="6"/>
  <c r="BD63" i="6"/>
  <c r="BE63" i="6"/>
  <c r="BG63" i="6"/>
  <c r="BG72" i="6" s="1"/>
  <c r="BH63" i="6"/>
  <c r="BJ63" i="6"/>
  <c r="BJ72" i="6" s="1"/>
  <c r="BK63" i="6"/>
  <c r="BL63" i="6"/>
  <c r="BL72" i="6" s="1"/>
  <c r="BM63" i="6"/>
  <c r="BN63" i="6"/>
  <c r="BO63" i="6"/>
  <c r="BO72" i="6" s="1"/>
  <c r="BP63" i="6"/>
  <c r="BP72" i="6" s="1"/>
  <c r="BQ63" i="6"/>
  <c r="BR63" i="6"/>
  <c r="BS63" i="6"/>
  <c r="BU63" i="6"/>
  <c r="BV63" i="6"/>
  <c r="BX63" i="6"/>
  <c r="BX72" i="6" s="1"/>
  <c r="BY63" i="6"/>
  <c r="BZ63" i="6"/>
  <c r="CA63" i="6"/>
  <c r="CB63" i="6"/>
  <c r="CB72" i="6" s="1"/>
  <c r="CC63" i="6"/>
  <c r="CD63" i="6"/>
  <c r="CD72" i="6" s="1"/>
  <c r="CE63" i="6"/>
  <c r="CF63" i="6"/>
  <c r="CF72" i="6" s="1"/>
  <c r="CG63" i="6"/>
  <c r="CG72" i="6" s="1"/>
  <c r="CH63" i="6"/>
  <c r="CJ63" i="6"/>
  <c r="CK63" i="6"/>
  <c r="CL63" i="6"/>
  <c r="CL72" i="6" s="1"/>
  <c r="CM63" i="6"/>
  <c r="CM72" i="6" s="1"/>
  <c r="CO63" i="6"/>
  <c r="CP63" i="6"/>
  <c r="CQ63" i="6"/>
  <c r="CR63" i="6"/>
  <c r="CR72" i="6" s="1"/>
  <c r="CS63" i="6"/>
  <c r="CT63" i="6"/>
  <c r="CT72" i="6" s="1"/>
  <c r="CU63" i="6"/>
  <c r="CU72" i="6" s="1"/>
  <c r="CV63" i="6"/>
  <c r="CV72" i="6" s="1"/>
  <c r="CW63" i="6"/>
  <c r="CX63" i="6"/>
  <c r="CX72" i="6" s="1"/>
  <c r="CY63" i="6"/>
  <c r="CY72" i="6" s="1"/>
  <c r="DA63" i="6"/>
  <c r="DB63" i="6"/>
  <c r="DB72" i="6" s="1"/>
  <c r="DD63" i="6"/>
  <c r="DD72" i="6" s="1"/>
  <c r="DF63" i="6"/>
  <c r="DG63" i="6"/>
  <c r="DH63" i="6"/>
  <c r="DI63" i="6"/>
  <c r="DJ63" i="6"/>
  <c r="DJ72" i="6" s="1"/>
  <c r="DK63" i="6"/>
  <c r="DL63" i="6"/>
  <c r="DL72" i="6" s="1"/>
  <c r="DM63" i="6"/>
  <c r="DM72" i="6" s="1"/>
  <c r="DN63" i="6"/>
  <c r="DO63" i="6"/>
  <c r="DO72" i="6" s="1"/>
  <c r="DP63" i="6"/>
  <c r="DP72" i="6" s="1"/>
  <c r="DQ63" i="6"/>
  <c r="DQ72" i="6" s="1"/>
  <c r="DR63" i="6"/>
  <c r="DS63" i="6"/>
  <c r="DS72" i="6" s="1"/>
  <c r="DT63" i="6"/>
  <c r="DT72" i="6" s="1"/>
  <c r="DU63" i="6"/>
  <c r="DW63" i="6"/>
  <c r="DX63" i="6"/>
  <c r="DY63" i="6"/>
  <c r="DZ63" i="6"/>
  <c r="EA63" i="6"/>
  <c r="EB63" i="6"/>
  <c r="EB72" i="6" s="1"/>
  <c r="EC63" i="6"/>
  <c r="EC72" i="6" s="1"/>
  <c r="ED63" i="6"/>
  <c r="EE63" i="6"/>
  <c r="EE72" i="6" s="1"/>
  <c r="EG63" i="6"/>
  <c r="EG72" i="6" s="1"/>
  <c r="EH63" i="6"/>
  <c r="EJ63" i="6"/>
  <c r="EK63" i="6"/>
  <c r="EL63" i="6"/>
  <c r="EL72" i="6" s="1"/>
  <c r="EN63" i="6"/>
  <c r="EO63" i="6"/>
  <c r="EP63" i="6"/>
  <c r="EQ63" i="6"/>
  <c r="ER63" i="6"/>
  <c r="ER72" i="6" s="1"/>
  <c r="ES63" i="6"/>
  <c r="ET63" i="6"/>
  <c r="EU63" i="6"/>
  <c r="EU72" i="6" s="1"/>
  <c r="EV63" i="6"/>
  <c r="EW63" i="6"/>
  <c r="EW72" i="6" s="1"/>
  <c r="EX63" i="6"/>
  <c r="EX72" i="6" s="1"/>
  <c r="EY63" i="6"/>
  <c r="EY72" i="6" s="1"/>
  <c r="FA63" i="6"/>
  <c r="FB63" i="6"/>
  <c r="FB72" i="6" s="1"/>
  <c r="FC63" i="6"/>
  <c r="FE63" i="6"/>
  <c r="FF63" i="6"/>
  <c r="FF72" i="6" s="1"/>
  <c r="FG63" i="6"/>
  <c r="FG72" i="6" s="1"/>
  <c r="FH63" i="6"/>
  <c r="FH72" i="6" s="1"/>
  <c r="FI63" i="6"/>
  <c r="FJ63" i="6"/>
  <c r="FK63" i="6"/>
  <c r="FM63" i="6"/>
  <c r="FM72" i="6" s="1"/>
  <c r="FN63" i="6"/>
  <c r="FN72" i="6" s="1"/>
  <c r="FO63" i="6"/>
  <c r="FO72" i="6" s="1"/>
  <c r="FP63" i="6"/>
  <c r="FP72" i="6" s="1"/>
  <c r="FQ63" i="6"/>
  <c r="FR63" i="6"/>
  <c r="FS63" i="6"/>
  <c r="FT63" i="6"/>
  <c r="FV63" i="6"/>
  <c r="FW63" i="6"/>
  <c r="FW72" i="6" s="1"/>
  <c r="FX63" i="6"/>
  <c r="FX72" i="6" s="1"/>
  <c r="FY63" i="6"/>
  <c r="FZ63" i="6"/>
  <c r="FZ72" i="6" s="1"/>
  <c r="GA63" i="6"/>
  <c r="J64" i="6"/>
  <c r="K64" i="6"/>
  <c r="K73" i="6" s="1"/>
  <c r="L64" i="6"/>
  <c r="L73" i="6" s="1"/>
  <c r="M64" i="6"/>
  <c r="M73" i="6" s="1"/>
  <c r="N64" i="6"/>
  <c r="N73" i="6" s="1"/>
  <c r="O64" i="6"/>
  <c r="P64" i="6"/>
  <c r="P73" i="6" s="1"/>
  <c r="R64" i="6"/>
  <c r="R73" i="6" s="1"/>
  <c r="S64" i="6"/>
  <c r="U64" i="6"/>
  <c r="V64" i="6"/>
  <c r="V73" i="6" s="1"/>
  <c r="W64" i="6"/>
  <c r="X64" i="6"/>
  <c r="X73" i="6" s="1"/>
  <c r="Y64" i="6"/>
  <c r="AA64" i="6"/>
  <c r="AB64" i="6"/>
  <c r="AC64" i="6"/>
  <c r="AC73" i="6" s="1"/>
  <c r="AD64" i="6"/>
  <c r="AD73" i="6" s="1"/>
  <c r="AE64" i="6"/>
  <c r="AF64" i="6"/>
  <c r="AH64" i="6"/>
  <c r="AH73" i="6" s="1"/>
  <c r="AI64" i="6"/>
  <c r="AJ64" i="6"/>
  <c r="AK64" i="6"/>
  <c r="AM64" i="6"/>
  <c r="AN64" i="6"/>
  <c r="AN73" i="6" s="1"/>
  <c r="AP64" i="6"/>
  <c r="AQ64" i="6"/>
  <c r="AR64" i="6"/>
  <c r="AR73" i="6" s="1"/>
  <c r="AT64" i="6"/>
  <c r="AU64" i="6"/>
  <c r="AU73" i="6" s="1"/>
  <c r="AV64" i="6"/>
  <c r="AX64" i="6"/>
  <c r="AY64" i="6"/>
  <c r="AY73" i="6" s="1"/>
  <c r="AZ64" i="6"/>
  <c r="AZ73" i="6" s="1"/>
  <c r="BA64" i="6"/>
  <c r="BA73" i="6" s="1"/>
  <c r="BB64" i="6"/>
  <c r="BB73" i="6" s="1"/>
  <c r="BD64" i="6"/>
  <c r="BE64" i="6"/>
  <c r="BE73" i="6" s="1"/>
  <c r="BG64" i="6"/>
  <c r="BH64" i="6"/>
  <c r="BH73" i="6" s="1"/>
  <c r="BI64" i="6"/>
  <c r="BI73" i="6" s="1"/>
  <c r="BJ64" i="6"/>
  <c r="BK64" i="6"/>
  <c r="BK73" i="6" s="1"/>
  <c r="BL64" i="6"/>
  <c r="BN64" i="6"/>
  <c r="BN73" i="6" s="1"/>
  <c r="BO64" i="6"/>
  <c r="BP64" i="6"/>
  <c r="BQ64" i="6"/>
  <c r="BQ73" i="6" s="1"/>
  <c r="BR64" i="6"/>
  <c r="BR73" i="6" s="1"/>
  <c r="BS64" i="6"/>
  <c r="BU64" i="6"/>
  <c r="BX64" i="6"/>
  <c r="BY64" i="6"/>
  <c r="BY73" i="6" s="1"/>
  <c r="BZ64" i="6"/>
  <c r="CA64" i="6"/>
  <c r="CA73" i="6" s="1"/>
  <c r="CB64" i="6"/>
  <c r="CD64" i="6"/>
  <c r="CE64" i="6"/>
  <c r="CF64" i="6"/>
  <c r="CF73" i="6" s="1"/>
  <c r="CG64" i="6"/>
  <c r="CG73" i="6" s="1"/>
  <c r="CH64" i="6"/>
  <c r="CH73" i="6" s="1"/>
  <c r="CI64" i="6"/>
  <c r="CJ64" i="6"/>
  <c r="CJ73" i="6" s="1"/>
  <c r="CL64" i="6"/>
  <c r="CM64" i="6"/>
  <c r="CM73" i="6" s="1"/>
  <c r="CO64" i="6"/>
  <c r="CO73" i="6" s="1"/>
  <c r="CP64" i="6"/>
  <c r="CP73" i="6" s="1"/>
  <c r="CQ64" i="6"/>
  <c r="CQ73" i="6" s="1"/>
  <c r="CR64" i="6"/>
  <c r="CT64" i="6"/>
  <c r="CU64" i="6"/>
  <c r="CV64" i="6"/>
  <c r="CW64" i="6"/>
  <c r="CX64" i="6"/>
  <c r="CX73" i="6" s="1"/>
  <c r="CY64" i="6"/>
  <c r="CY73" i="6" s="1"/>
  <c r="CZ64" i="6"/>
  <c r="DA64" i="6"/>
  <c r="DC64" i="6"/>
  <c r="DC73" i="6" s="1"/>
  <c r="DF64" i="6"/>
  <c r="DG64" i="6"/>
  <c r="DG73" i="6" s="1"/>
  <c r="DH64" i="6"/>
  <c r="DH73" i="6" s="1"/>
  <c r="DJ64" i="6"/>
  <c r="DK64" i="6"/>
  <c r="DL64" i="6"/>
  <c r="DM64" i="6"/>
  <c r="DM73" i="6" s="1"/>
  <c r="DN64" i="6"/>
  <c r="DN73" i="6" s="1"/>
  <c r="DO64" i="6"/>
  <c r="DP64" i="6"/>
  <c r="DQ64" i="6"/>
  <c r="DS64" i="6"/>
  <c r="DT64" i="6"/>
  <c r="DU64" i="6"/>
  <c r="DU73" i="6" s="1"/>
  <c r="DW64" i="6"/>
  <c r="DW73" i="6" s="1"/>
  <c r="DX64" i="6"/>
  <c r="DZ64" i="6"/>
  <c r="DZ73" i="6" s="1"/>
  <c r="EA64" i="6"/>
  <c r="EB64" i="6"/>
  <c r="EC64" i="6"/>
  <c r="EC73" i="6" s="1"/>
  <c r="ED64" i="6"/>
  <c r="ED73" i="6" s="1"/>
  <c r="EE64" i="6"/>
  <c r="EF64" i="6"/>
  <c r="EG64" i="6"/>
  <c r="EH64" i="6"/>
  <c r="EI64" i="6"/>
  <c r="EK64" i="6"/>
  <c r="EK73" i="6" s="1"/>
  <c r="EL64" i="6"/>
  <c r="EL73" i="6" s="1"/>
  <c r="EM64" i="6"/>
  <c r="EP64" i="6"/>
  <c r="EP73" i="6" s="1"/>
  <c r="EQ64" i="6"/>
  <c r="ER64" i="6"/>
  <c r="ER73" i="6" s="1"/>
  <c r="ES64" i="6"/>
  <c r="ES73" i="6" s="1"/>
  <c r="ET64" i="6"/>
  <c r="ET73" i="6" s="1"/>
  <c r="EU64" i="6"/>
  <c r="EV64" i="6"/>
  <c r="EV73" i="6" s="1"/>
  <c r="EW64" i="6"/>
  <c r="EY64" i="6"/>
  <c r="EZ64" i="6"/>
  <c r="FA64" i="6"/>
  <c r="FA73" i="6" s="1"/>
  <c r="FC64" i="6"/>
  <c r="FD64" i="6"/>
  <c r="FD73" i="6" s="1"/>
  <c r="FG64" i="6"/>
  <c r="FI64" i="6"/>
  <c r="FI73" i="6" s="1"/>
  <c r="FJ64" i="6"/>
  <c r="FJ73" i="6" s="1"/>
  <c r="FK64" i="6"/>
  <c r="FL64" i="6"/>
  <c r="FM64" i="6"/>
  <c r="FO64" i="6"/>
  <c r="FP64" i="6"/>
  <c r="FQ64" i="6"/>
  <c r="FQ73" i="6" s="1"/>
  <c r="FR64" i="6"/>
  <c r="FT64" i="6"/>
  <c r="FV64" i="6"/>
  <c r="FX64" i="6"/>
  <c r="FX73" i="6" s="1"/>
  <c r="FY64" i="6"/>
  <c r="FZ64" i="6"/>
  <c r="FZ73" i="6" s="1"/>
  <c r="GA64" i="6"/>
  <c r="GA73" i="6" s="1"/>
  <c r="J65" i="6"/>
  <c r="K65" i="6"/>
  <c r="K74" i="6" s="1"/>
  <c r="M65" i="6"/>
  <c r="O65" i="6"/>
  <c r="O74" i="6" s="1"/>
  <c r="P65" i="6"/>
  <c r="Q65" i="6"/>
  <c r="Q74" i="6" s="1"/>
  <c r="T65" i="6"/>
  <c r="U65" i="6"/>
  <c r="W65" i="6"/>
  <c r="W74" i="6" s="1"/>
  <c r="X65" i="6"/>
  <c r="X74" i="6" s="1"/>
  <c r="Y65" i="6"/>
  <c r="Y74" i="6" s="1"/>
  <c r="Z65" i="6"/>
  <c r="AA65" i="6"/>
  <c r="AC65" i="6"/>
  <c r="AC74" i="6" s="1"/>
  <c r="AD65" i="6"/>
  <c r="AF65" i="6"/>
  <c r="AF74" i="6" s="1"/>
  <c r="AG65" i="6"/>
  <c r="AG74" i="6" s="1"/>
  <c r="AH65" i="6"/>
  <c r="AK65" i="6"/>
  <c r="AL65" i="6"/>
  <c r="AN65" i="6"/>
  <c r="AN74" i="6" s="1"/>
  <c r="AO65" i="6"/>
  <c r="AP65" i="6"/>
  <c r="AQ65" i="6"/>
  <c r="AQ74" i="6" s="1"/>
  <c r="AT65" i="6"/>
  <c r="AU65" i="6"/>
  <c r="AU74" i="6" s="1"/>
  <c r="AV65" i="6"/>
  <c r="AV74" i="6" s="1"/>
  <c r="AW65" i="6"/>
  <c r="AX65" i="6"/>
  <c r="AX74" i="6" s="1"/>
  <c r="AZ65" i="6"/>
  <c r="BB65" i="6"/>
  <c r="BB74" i="6" s="1"/>
  <c r="BC65" i="6"/>
  <c r="BE65" i="6"/>
  <c r="BF65" i="6"/>
  <c r="BG65" i="6"/>
  <c r="BI65" i="6"/>
  <c r="BJ65" i="6"/>
  <c r="BL65" i="6"/>
  <c r="BL74" i="6" s="1"/>
  <c r="BM65" i="6"/>
  <c r="BM74" i="6" s="1"/>
  <c r="BN65" i="6"/>
  <c r="BP65" i="6"/>
  <c r="BP74" i="6" s="1"/>
  <c r="BQ65" i="6"/>
  <c r="BS65" i="6"/>
  <c r="BT65" i="6"/>
  <c r="BV65" i="6"/>
  <c r="BW65" i="6"/>
  <c r="BY65" i="6"/>
  <c r="BY74" i="6" s="1"/>
  <c r="BZ65" i="6"/>
  <c r="CB65" i="6"/>
  <c r="CC65" i="6"/>
  <c r="CD65" i="6"/>
  <c r="CF65" i="6"/>
  <c r="CF74" i="6" s="1"/>
  <c r="CG65" i="6"/>
  <c r="CH65" i="6"/>
  <c r="CH74" i="6" s="1"/>
  <c r="CJ65" i="6"/>
  <c r="CK65" i="6"/>
  <c r="CM65" i="6"/>
  <c r="CO65" i="6"/>
  <c r="CO74" i="6" s="1"/>
  <c r="CQ65" i="6"/>
  <c r="CR65" i="6"/>
  <c r="CS65" i="6"/>
  <c r="CT65" i="6"/>
  <c r="CV65" i="6"/>
  <c r="CW65" i="6"/>
  <c r="CX65" i="6"/>
  <c r="CX74" i="6" s="1"/>
  <c r="CY65" i="6"/>
  <c r="CY74" i="6" s="1"/>
  <c r="DA65" i="6"/>
  <c r="DB65" i="6"/>
  <c r="DB74" i="6" s="1"/>
  <c r="DE65" i="6"/>
  <c r="DE74" i="6" s="1"/>
  <c r="DF65" i="6"/>
  <c r="DG65" i="6"/>
  <c r="DH65" i="6"/>
  <c r="DI65" i="6"/>
  <c r="DI74" i="6" s="1"/>
  <c r="DJ65" i="6"/>
  <c r="DL65" i="6"/>
  <c r="DM65" i="6"/>
  <c r="DN65" i="6"/>
  <c r="DO65" i="6"/>
  <c r="DP65" i="6"/>
  <c r="DQ65" i="6"/>
  <c r="DQ74" i="6" s="1"/>
  <c r="DR65" i="6"/>
  <c r="DS65" i="6"/>
  <c r="DU65" i="6"/>
  <c r="DU74" i="6" s="1"/>
  <c r="DW65" i="6"/>
  <c r="DW74" i="6" s="1"/>
  <c r="DX65" i="6"/>
  <c r="DX74" i="6" s="1"/>
  <c r="DY65" i="6"/>
  <c r="DY74" i="6" s="1"/>
  <c r="DZ65" i="6"/>
  <c r="EB65" i="6"/>
  <c r="EB74" i="6" s="1"/>
  <c r="EC65" i="6"/>
  <c r="EE65" i="6"/>
  <c r="EG65" i="6"/>
  <c r="EI65" i="6"/>
  <c r="EL65" i="6"/>
  <c r="EM65" i="6"/>
  <c r="EM74" i="6" s="1"/>
  <c r="EN65" i="6"/>
  <c r="EO65" i="6"/>
  <c r="EO74" i="6" s="1"/>
  <c r="EP65" i="6"/>
  <c r="EP74" i="6" s="1"/>
  <c r="ER65" i="6"/>
  <c r="ER74" i="6" s="1"/>
  <c r="ES65" i="6"/>
  <c r="ET65" i="6"/>
  <c r="ET74" i="6" s="1"/>
  <c r="EU65" i="6"/>
  <c r="EV65" i="6"/>
  <c r="EW65" i="6"/>
  <c r="EX65" i="6"/>
  <c r="FA65" i="6"/>
  <c r="FA74" i="6" s="1"/>
  <c r="FC65" i="6"/>
  <c r="FD65" i="6"/>
  <c r="FE65" i="6"/>
  <c r="FE74" i="6" s="1"/>
  <c r="FF65" i="6"/>
  <c r="FH65" i="6"/>
  <c r="FH74" i="6" s="1"/>
  <c r="FI65" i="6"/>
  <c r="FI74" i="6" s="1"/>
  <c r="FJ65" i="6"/>
  <c r="FJ74" i="6" s="1"/>
  <c r="FK65" i="6"/>
  <c r="FM65" i="6"/>
  <c r="FN65" i="6"/>
  <c r="FO65" i="6"/>
  <c r="FQ65" i="6"/>
  <c r="FR65" i="6"/>
  <c r="FT65" i="6"/>
  <c r="FU65" i="6"/>
  <c r="FU74" i="6" s="1"/>
  <c r="FV65" i="6"/>
  <c r="FV74" i="6" s="1"/>
  <c r="FX65" i="6"/>
  <c r="FX74" i="6" s="1"/>
  <c r="FY65" i="6"/>
  <c r="FY74" i="6" s="1"/>
  <c r="FZ65" i="6"/>
  <c r="FZ74" i="6" s="1"/>
  <c r="GA65" i="6"/>
  <c r="GA74" i="6" s="1"/>
  <c r="J66" i="6"/>
  <c r="J75" i="6" s="1"/>
  <c r="K66" i="6"/>
  <c r="L66" i="6"/>
  <c r="M66" i="6"/>
  <c r="P66" i="6"/>
  <c r="S66" i="6"/>
  <c r="S75" i="6" s="1"/>
  <c r="T66" i="6"/>
  <c r="V66" i="6"/>
  <c r="V75" i="6" s="1"/>
  <c r="W66" i="6"/>
  <c r="X66" i="6"/>
  <c r="X75" i="6" s="1"/>
  <c r="Y66" i="6"/>
  <c r="Z66" i="6"/>
  <c r="Z75" i="6" s="1"/>
  <c r="AA66" i="6"/>
  <c r="AB66" i="6"/>
  <c r="AB75" i="6" s="1"/>
  <c r="AC66" i="6"/>
  <c r="AE66" i="6"/>
  <c r="AE75" i="6" s="1"/>
  <c r="AH66" i="6"/>
  <c r="AJ66" i="6"/>
  <c r="AJ75" i="6" s="1"/>
  <c r="AL66" i="6"/>
  <c r="AL75" i="6" s="1"/>
  <c r="AM66" i="6"/>
  <c r="AN66" i="6"/>
  <c r="AN75" i="6" s="1"/>
  <c r="AO66" i="6"/>
  <c r="AP66" i="6"/>
  <c r="AQ66" i="6"/>
  <c r="AR66" i="6"/>
  <c r="AR75" i="6" s="1"/>
  <c r="AU66" i="6"/>
  <c r="AU75" i="6" s="1"/>
  <c r="AX66" i="6"/>
  <c r="AX75" i="6" s="1"/>
  <c r="AZ66" i="6"/>
  <c r="AZ75" i="6" s="1"/>
  <c r="BB66" i="6"/>
  <c r="BC66" i="6"/>
  <c r="BD66" i="6"/>
  <c r="BD75" i="6" s="1"/>
  <c r="BE66" i="6"/>
  <c r="BE75" i="6" s="1"/>
  <c r="BF66" i="6"/>
  <c r="BG66" i="6"/>
  <c r="BH66" i="6"/>
  <c r="BH75" i="6" s="1"/>
  <c r="BI66" i="6"/>
  <c r="BK66" i="6"/>
  <c r="BK75" i="6" s="1"/>
  <c r="BL66" i="6"/>
  <c r="BL75" i="6" s="1"/>
  <c r="BM66" i="6"/>
  <c r="BM75" i="6" s="1"/>
  <c r="BO66" i="6"/>
  <c r="BO75" i="6" s="1"/>
  <c r="BP66" i="6"/>
  <c r="BS66" i="6"/>
  <c r="BU66" i="6"/>
  <c r="BU75" i="6" s="1"/>
  <c r="BV66" i="6"/>
  <c r="BV75" i="6" s="1"/>
  <c r="BW66" i="6"/>
  <c r="BX66" i="6"/>
  <c r="BY66" i="6"/>
  <c r="BY75" i="6" s="1"/>
  <c r="CA66" i="6"/>
  <c r="CA75" i="6" s="1"/>
  <c r="CB66" i="6"/>
  <c r="CC66" i="6"/>
  <c r="CC75" i="6" s="1"/>
  <c r="CD66" i="6"/>
  <c r="CH66" i="6"/>
  <c r="CH75" i="6" s="1"/>
  <c r="CJ66" i="6"/>
  <c r="CK66" i="6"/>
  <c r="CK75" i="6" s="1"/>
  <c r="CM66" i="6"/>
  <c r="CN66" i="6"/>
  <c r="CN75" i="6" s="1"/>
  <c r="CO66" i="6"/>
  <c r="CO75" i="6" s="1"/>
  <c r="CQ66" i="6"/>
  <c r="CQ75" i="6" s="1"/>
  <c r="CS66" i="6"/>
  <c r="CT66" i="6"/>
  <c r="CU66" i="6"/>
  <c r="CU75" i="6" s="1"/>
  <c r="CX66" i="6"/>
  <c r="CX75" i="6" s="1"/>
  <c r="CY66" i="6"/>
  <c r="DA66" i="6"/>
  <c r="DC66" i="6"/>
  <c r="DE66" i="6"/>
  <c r="DG66" i="6"/>
  <c r="DG75" i="6" s="1"/>
  <c r="DH66" i="6"/>
  <c r="DH75" i="6" s="1"/>
  <c r="DI66" i="6"/>
  <c r="DI75" i="6" s="1"/>
  <c r="DJ66" i="6"/>
  <c r="DJ75" i="6" s="1"/>
  <c r="DK66" i="6"/>
  <c r="DK75" i="6" s="1"/>
  <c r="DO66" i="6"/>
  <c r="DP66" i="6"/>
  <c r="DP75" i="6" s="1"/>
  <c r="DR66" i="6"/>
  <c r="DS66" i="6"/>
  <c r="DU66" i="6"/>
  <c r="DW66" i="6"/>
  <c r="DX66" i="6"/>
  <c r="DX75" i="6" s="1"/>
  <c r="DY66" i="6"/>
  <c r="DZ66" i="6"/>
  <c r="EA66" i="6"/>
  <c r="EA75" i="6" s="1"/>
  <c r="EB66" i="6"/>
  <c r="ED66" i="6"/>
  <c r="ED75" i="6" s="1"/>
  <c r="EF66" i="6"/>
  <c r="EF75" i="6" s="1"/>
  <c r="EG66" i="6"/>
  <c r="EG75" i="6" s="1"/>
  <c r="EI66" i="6"/>
  <c r="EJ66" i="6"/>
  <c r="EK66" i="6"/>
  <c r="EM66" i="6"/>
  <c r="EN66" i="6"/>
  <c r="EP66" i="6"/>
  <c r="EQ66" i="6"/>
  <c r="EQ75" i="6" s="1"/>
  <c r="ER66" i="6"/>
  <c r="ER75" i="6" s="1"/>
  <c r="ET66" i="6"/>
  <c r="ET75" i="6" s="1"/>
  <c r="EU66" i="6"/>
  <c r="EW66" i="6"/>
  <c r="EW75" i="6" s="1"/>
  <c r="EX66" i="6"/>
  <c r="EX75" i="6" s="1"/>
  <c r="EZ66" i="6"/>
  <c r="FA66" i="6"/>
  <c r="FC66" i="6"/>
  <c r="FC75" i="6" s="1"/>
  <c r="FD66" i="6"/>
  <c r="FF66" i="6"/>
  <c r="FG66" i="6"/>
  <c r="FJ66" i="6"/>
  <c r="FJ75" i="6" s="1"/>
  <c r="FK66" i="6"/>
  <c r="FL66" i="6"/>
  <c r="FL75" i="6" s="1"/>
  <c r="FN66" i="6"/>
  <c r="FO66" i="6"/>
  <c r="FQ66" i="6"/>
  <c r="FQ75" i="6" s="1"/>
  <c r="FS66" i="6"/>
  <c r="FS75" i="6" s="1"/>
  <c r="FU66" i="6"/>
  <c r="FV66" i="6"/>
  <c r="FX66" i="6"/>
  <c r="FX75" i="6" s="1"/>
  <c r="GA66" i="6"/>
  <c r="L70" i="6"/>
  <c r="M70" i="6"/>
  <c r="N70" i="6"/>
  <c r="N81" i="6" s="1"/>
  <c r="N85" i="6" s="1"/>
  <c r="Q70" i="6"/>
  <c r="Q81" i="6" s="1"/>
  <c r="Q85" i="6" s="1"/>
  <c r="R70" i="6"/>
  <c r="S70" i="6"/>
  <c r="T70" i="6"/>
  <c r="U70" i="6"/>
  <c r="U81" i="6" s="1"/>
  <c r="U85" i="6" s="1"/>
  <c r="V70" i="6"/>
  <c r="V81" i="6" s="1"/>
  <c r="V85" i="6" s="1"/>
  <c r="Y70" i="6"/>
  <c r="Z70" i="6"/>
  <c r="AB70" i="6"/>
  <c r="AB81" i="6" s="1"/>
  <c r="AC70" i="6"/>
  <c r="AE70" i="6"/>
  <c r="AG70" i="6"/>
  <c r="AG81" i="6" s="1"/>
  <c r="AI70" i="6"/>
  <c r="AJ70" i="6"/>
  <c r="AL70" i="6"/>
  <c r="AM70" i="6"/>
  <c r="AN70" i="6"/>
  <c r="AN81" i="6" s="1"/>
  <c r="AO70" i="6"/>
  <c r="AP70" i="6"/>
  <c r="AP81" i="6" s="1"/>
  <c r="AR70" i="6"/>
  <c r="AR81" i="6" s="1"/>
  <c r="AS70" i="6"/>
  <c r="AT70" i="6"/>
  <c r="AU70" i="6"/>
  <c r="AW70" i="6"/>
  <c r="AW81" i="6" s="1"/>
  <c r="AZ70" i="6"/>
  <c r="BA70" i="6"/>
  <c r="BA81" i="6" s="1"/>
  <c r="BB70" i="6"/>
  <c r="BE70" i="6"/>
  <c r="BF70" i="6"/>
  <c r="BF81" i="6" s="1"/>
  <c r="BF85" i="6" s="1"/>
  <c r="BG70" i="6"/>
  <c r="BH70" i="6"/>
  <c r="BI70" i="6"/>
  <c r="BJ70" i="6"/>
  <c r="BJ81" i="6" s="1"/>
  <c r="BK70" i="6"/>
  <c r="BK81" i="6" s="1"/>
  <c r="BM70" i="6"/>
  <c r="BM81" i="6" s="1"/>
  <c r="BO70" i="6"/>
  <c r="BP70" i="6"/>
  <c r="BR70" i="6"/>
  <c r="BS70" i="6"/>
  <c r="BT70" i="6"/>
  <c r="BT81" i="6" s="1"/>
  <c r="BU70" i="6"/>
  <c r="BW70" i="6"/>
  <c r="BX70" i="6"/>
  <c r="BY70" i="6"/>
  <c r="CC70" i="6"/>
  <c r="CC81" i="6" s="1"/>
  <c r="CD70" i="6"/>
  <c r="CE70" i="6"/>
  <c r="CE81" i="6" s="1"/>
  <c r="CF70" i="6"/>
  <c r="CF81" i="6" s="1"/>
  <c r="CF85" i="6" s="1"/>
  <c r="CG70" i="6"/>
  <c r="CG81" i="6" s="1"/>
  <c r="CI70" i="6"/>
  <c r="CJ70" i="6"/>
  <c r="CJ81" i="6" s="1"/>
  <c r="CK70" i="6"/>
  <c r="CM70" i="6"/>
  <c r="CN70" i="6"/>
  <c r="CN81" i="6" s="1"/>
  <c r="CO70" i="6"/>
  <c r="CS70" i="6"/>
  <c r="CS81" i="6" s="1"/>
  <c r="CT70" i="6"/>
  <c r="CT81" i="6" s="1"/>
  <c r="CU70" i="6"/>
  <c r="CV70" i="6"/>
  <c r="CW70" i="6"/>
  <c r="CW81" i="6" s="1"/>
  <c r="CX70" i="6"/>
  <c r="CX81" i="6" s="1"/>
  <c r="DA70" i="6"/>
  <c r="DA81" i="6" s="1"/>
  <c r="DA85" i="6" s="1"/>
  <c r="DB70" i="6"/>
  <c r="DB81" i="6" s="1"/>
  <c r="DB85" i="6" s="1"/>
  <c r="DC70" i="6"/>
  <c r="DE70" i="6"/>
  <c r="DF70" i="6"/>
  <c r="DF81" i="6" s="1"/>
  <c r="DI70" i="6"/>
  <c r="DI81" i="6" s="1"/>
  <c r="DK70" i="6"/>
  <c r="DL70" i="6"/>
  <c r="DM70" i="6"/>
  <c r="DM81" i="6" s="1"/>
  <c r="DN70" i="6"/>
  <c r="DP70" i="6"/>
  <c r="DP81" i="6" s="1"/>
  <c r="DP85" i="6" s="1"/>
  <c r="DQ70" i="6"/>
  <c r="DQ81" i="6" s="1"/>
  <c r="DQ85" i="6" s="1"/>
  <c r="DS70" i="6"/>
  <c r="DT70" i="6"/>
  <c r="DU70" i="6"/>
  <c r="DV70" i="6"/>
  <c r="DW70" i="6"/>
  <c r="DW81" i="6" s="1"/>
  <c r="DY70" i="6"/>
  <c r="DY81" i="6" s="1"/>
  <c r="EA70" i="6"/>
  <c r="EB70" i="6"/>
  <c r="EC70" i="6"/>
  <c r="EC81" i="6" s="1"/>
  <c r="EC85" i="6" s="1"/>
  <c r="ED70" i="6"/>
  <c r="EF70" i="6"/>
  <c r="EF81" i="6" s="1"/>
  <c r="EG70" i="6"/>
  <c r="EH70" i="6"/>
  <c r="EH81" i="6" s="1"/>
  <c r="EI70" i="6"/>
  <c r="EJ70" i="6"/>
  <c r="EK70" i="6"/>
  <c r="EL70" i="6"/>
  <c r="EO70" i="6"/>
  <c r="EP70" i="6"/>
  <c r="EP81" i="6" s="1"/>
  <c r="EQ70" i="6"/>
  <c r="EQ81" i="6" s="1"/>
  <c r="ER70" i="6"/>
  <c r="EV70" i="6"/>
  <c r="EV81" i="6" s="1"/>
  <c r="EW70" i="6"/>
  <c r="EX70" i="6"/>
  <c r="EX81" i="6" s="1"/>
  <c r="EY70" i="6"/>
  <c r="EZ70" i="6"/>
  <c r="EZ81" i="6" s="1"/>
  <c r="FA70" i="6"/>
  <c r="FE70" i="6"/>
  <c r="FE81" i="6" s="1"/>
  <c r="FF70" i="6"/>
  <c r="FF81" i="6" s="1"/>
  <c r="FG70" i="6"/>
  <c r="FH70" i="6"/>
  <c r="FJ70" i="6"/>
  <c r="FK70" i="6"/>
  <c r="FM70" i="6"/>
  <c r="FM81" i="6" s="1"/>
  <c r="FM85" i="6" s="1"/>
  <c r="FN70" i="6"/>
  <c r="FN81" i="6" s="1"/>
  <c r="FO70" i="6"/>
  <c r="FP70" i="6"/>
  <c r="FP81" i="6" s="1"/>
  <c r="FQ70" i="6"/>
  <c r="FR70" i="6"/>
  <c r="FU70" i="6"/>
  <c r="FU81" i="6" s="1"/>
  <c r="FU85" i="6" s="1"/>
  <c r="FV70" i="6"/>
  <c r="FW70" i="6"/>
  <c r="FX70" i="6"/>
  <c r="FY70" i="6"/>
  <c r="FY81" i="6" s="1"/>
  <c r="FZ70" i="6"/>
  <c r="K71" i="6"/>
  <c r="M71" i="6"/>
  <c r="M86" i="6" s="1"/>
  <c r="O71" i="6"/>
  <c r="P71" i="6"/>
  <c r="S71" i="6"/>
  <c r="V71" i="6"/>
  <c r="W71" i="6"/>
  <c r="Z71" i="6"/>
  <c r="AC71" i="6"/>
  <c r="AG71" i="6"/>
  <c r="AJ71" i="6"/>
  <c r="AK71" i="6"/>
  <c r="AL71" i="6"/>
  <c r="AN71" i="6"/>
  <c r="AQ71" i="6"/>
  <c r="AT71" i="6"/>
  <c r="AU71" i="6"/>
  <c r="AU86" i="6" s="1"/>
  <c r="AW71" i="6"/>
  <c r="AZ71" i="6"/>
  <c r="BB71" i="6"/>
  <c r="BG71" i="6"/>
  <c r="BK71" i="6"/>
  <c r="BK86" i="6" s="1"/>
  <c r="BL71" i="6"/>
  <c r="BL86" i="6" s="1"/>
  <c r="BO71" i="6"/>
  <c r="BP71" i="6"/>
  <c r="BR71" i="6"/>
  <c r="BS71" i="6"/>
  <c r="BS86" i="6" s="1"/>
  <c r="BT71" i="6"/>
  <c r="BT86" i="6" s="1"/>
  <c r="BX71" i="6"/>
  <c r="BX86" i="6" s="1"/>
  <c r="BY71" i="6"/>
  <c r="CA71" i="6"/>
  <c r="CC71" i="6"/>
  <c r="CF71" i="6"/>
  <c r="CF86" i="6" s="1"/>
  <c r="CG71" i="6"/>
  <c r="CH71" i="6"/>
  <c r="CI71" i="6"/>
  <c r="CI86" i="6" s="1"/>
  <c r="CL71" i="6"/>
  <c r="CL86" i="6" s="1"/>
  <c r="CM71" i="6"/>
  <c r="CO71" i="6"/>
  <c r="CO86" i="6" s="1"/>
  <c r="CR71" i="6"/>
  <c r="CR86" i="6" s="1"/>
  <c r="CS71" i="6"/>
  <c r="CS86" i="6" s="1"/>
  <c r="CX71" i="6"/>
  <c r="CX86" i="6" s="1"/>
  <c r="CY71" i="6"/>
  <c r="DA71" i="6"/>
  <c r="DB71" i="6"/>
  <c r="DB86" i="6" s="1"/>
  <c r="DC71" i="6"/>
  <c r="DG71" i="6"/>
  <c r="DI71" i="6"/>
  <c r="DK71" i="6"/>
  <c r="DK86" i="6" s="1"/>
  <c r="DN71" i="6"/>
  <c r="DP71" i="6"/>
  <c r="DS71" i="6"/>
  <c r="DT71" i="6"/>
  <c r="DU71" i="6"/>
  <c r="DU86" i="6" s="1"/>
  <c r="DW71" i="6"/>
  <c r="DX71" i="6"/>
  <c r="DX86" i="6" s="1"/>
  <c r="EA71" i="6"/>
  <c r="EB71" i="6"/>
  <c r="EB86" i="6" s="1"/>
  <c r="ED71" i="6"/>
  <c r="EH71" i="6"/>
  <c r="EH86" i="6" s="1"/>
  <c r="EI71" i="6"/>
  <c r="EJ71" i="6"/>
  <c r="EK71" i="6"/>
  <c r="EO71" i="6"/>
  <c r="EO86" i="6" s="1"/>
  <c r="EQ71" i="6"/>
  <c r="ER71" i="6"/>
  <c r="ET71" i="6"/>
  <c r="ET86" i="6" s="1"/>
  <c r="EU71" i="6"/>
  <c r="EU86" i="6" s="1"/>
  <c r="EX71" i="6"/>
  <c r="EY71" i="6"/>
  <c r="EY86" i="6" s="1"/>
  <c r="FA71" i="6"/>
  <c r="FA86" i="6" s="1"/>
  <c r="FB71" i="6"/>
  <c r="FC71" i="6"/>
  <c r="FC86" i="6" s="1"/>
  <c r="FE71" i="6"/>
  <c r="FH71" i="6"/>
  <c r="FI71" i="6"/>
  <c r="FJ71" i="6"/>
  <c r="FO71" i="6"/>
  <c r="FO86" i="6" s="1"/>
  <c r="FP71" i="6"/>
  <c r="FP86" i="6" s="1"/>
  <c r="FS71" i="6"/>
  <c r="FS86" i="6" s="1"/>
  <c r="FT71" i="6"/>
  <c r="FT86" i="6" s="1"/>
  <c r="FW71" i="6"/>
  <c r="FW86" i="6" s="1"/>
  <c r="FZ71" i="6"/>
  <c r="GA71" i="6"/>
  <c r="GA86" i="6" s="1"/>
  <c r="J72" i="6"/>
  <c r="N72" i="6"/>
  <c r="O72" i="6"/>
  <c r="Q72" i="6"/>
  <c r="R72" i="6"/>
  <c r="S72" i="6"/>
  <c r="U72" i="6"/>
  <c r="V72" i="6"/>
  <c r="X72" i="6"/>
  <c r="Z72" i="6"/>
  <c r="AB72" i="6"/>
  <c r="AC72" i="6"/>
  <c r="AE72" i="6"/>
  <c r="AF72" i="6"/>
  <c r="AH72" i="6"/>
  <c r="AK72" i="6"/>
  <c r="AL72" i="6"/>
  <c r="AM72" i="6"/>
  <c r="AO72" i="6"/>
  <c r="AP72" i="6"/>
  <c r="AT72" i="6"/>
  <c r="AW72" i="6"/>
  <c r="AX72" i="6"/>
  <c r="BA72" i="6"/>
  <c r="BB72" i="6"/>
  <c r="BC72" i="6"/>
  <c r="BD72" i="6"/>
  <c r="BE72" i="6"/>
  <c r="BH72" i="6"/>
  <c r="BK72" i="6"/>
  <c r="BM72" i="6"/>
  <c r="BN72" i="6"/>
  <c r="BQ72" i="6"/>
  <c r="BR72" i="6"/>
  <c r="BS72" i="6"/>
  <c r="BU72" i="6"/>
  <c r="BV72" i="6"/>
  <c r="BY72" i="6"/>
  <c r="BZ72" i="6"/>
  <c r="CA72" i="6"/>
  <c r="CC72" i="6"/>
  <c r="CE72" i="6"/>
  <c r="CH72" i="6"/>
  <c r="CJ72" i="6"/>
  <c r="CK72" i="6"/>
  <c r="CO72" i="6"/>
  <c r="CP72" i="6"/>
  <c r="CQ72" i="6"/>
  <c r="CS72" i="6"/>
  <c r="CW72" i="6"/>
  <c r="CZ72" i="6"/>
  <c r="DA72" i="6"/>
  <c r="DF72" i="6"/>
  <c r="DG72" i="6"/>
  <c r="DH72" i="6"/>
  <c r="DI72" i="6"/>
  <c r="DK72" i="6"/>
  <c r="DN72" i="6"/>
  <c r="DR72" i="6"/>
  <c r="DU72" i="6"/>
  <c r="DW72" i="6"/>
  <c r="DX72" i="6"/>
  <c r="DY72" i="6"/>
  <c r="DZ72" i="6"/>
  <c r="EA72" i="6"/>
  <c r="ED72" i="6"/>
  <c r="EF72" i="6"/>
  <c r="EH72" i="6"/>
  <c r="EJ72" i="6"/>
  <c r="EK72" i="6"/>
  <c r="EN72" i="6"/>
  <c r="EO72" i="6"/>
  <c r="EP72" i="6"/>
  <c r="EQ72" i="6"/>
  <c r="ES72" i="6"/>
  <c r="ET72" i="6"/>
  <c r="EV72" i="6"/>
  <c r="FA72" i="6"/>
  <c r="FC72" i="6"/>
  <c r="FE72" i="6"/>
  <c r="FI72" i="6"/>
  <c r="FJ72" i="6"/>
  <c r="FK72" i="6"/>
  <c r="FL72" i="6"/>
  <c r="FQ72" i="6"/>
  <c r="FR72" i="6"/>
  <c r="FS72" i="6"/>
  <c r="FT72" i="6"/>
  <c r="FV72" i="6"/>
  <c r="FY72" i="6"/>
  <c r="GA72" i="6"/>
  <c r="J73" i="6"/>
  <c r="O73" i="6"/>
  <c r="Q73" i="6"/>
  <c r="S73" i="6"/>
  <c r="U73" i="6"/>
  <c r="W73" i="6"/>
  <c r="Y73" i="6"/>
  <c r="Z73" i="6"/>
  <c r="AA73" i="6"/>
  <c r="AB73" i="6"/>
  <c r="AE73" i="6"/>
  <c r="AF73" i="6"/>
  <c r="AG73" i="6"/>
  <c r="AI73" i="6"/>
  <c r="AJ73" i="6"/>
  <c r="AK73" i="6"/>
  <c r="AM73" i="6"/>
  <c r="AP73" i="6"/>
  <c r="AQ73" i="6"/>
  <c r="AT73" i="6"/>
  <c r="AV73" i="6"/>
  <c r="AW73" i="6"/>
  <c r="AX73" i="6"/>
  <c r="BD73" i="6"/>
  <c r="BF73" i="6"/>
  <c r="BG73" i="6"/>
  <c r="BJ73" i="6"/>
  <c r="BL73" i="6"/>
  <c r="BM73" i="6"/>
  <c r="BO73" i="6"/>
  <c r="BP73" i="6"/>
  <c r="BS73" i="6"/>
  <c r="BU73" i="6"/>
  <c r="BV73" i="6"/>
  <c r="BX73" i="6"/>
  <c r="BZ73" i="6"/>
  <c r="CB73" i="6"/>
  <c r="CC73" i="6"/>
  <c r="CD73" i="6"/>
  <c r="CE73" i="6"/>
  <c r="CI73" i="6"/>
  <c r="CL73" i="6"/>
  <c r="CR73" i="6"/>
  <c r="CS73" i="6"/>
  <c r="CT73" i="6"/>
  <c r="CU73" i="6"/>
  <c r="CV73" i="6"/>
  <c r="CW73" i="6"/>
  <c r="CZ73" i="6"/>
  <c r="DA73" i="6"/>
  <c r="DD73" i="6"/>
  <c r="DF73" i="6"/>
  <c r="DI73" i="6"/>
  <c r="DJ73" i="6"/>
  <c r="DK73" i="6"/>
  <c r="DL73" i="6"/>
  <c r="DO73" i="6"/>
  <c r="DP73" i="6"/>
  <c r="DQ73" i="6"/>
  <c r="DR73" i="6"/>
  <c r="DS73" i="6"/>
  <c r="DT73" i="6"/>
  <c r="DX73" i="6"/>
  <c r="DY73" i="6"/>
  <c r="EA73" i="6"/>
  <c r="EB73" i="6"/>
  <c r="EE73" i="6"/>
  <c r="EF73" i="6"/>
  <c r="EG73" i="6"/>
  <c r="EH73" i="6"/>
  <c r="EI73" i="6"/>
  <c r="EM73" i="6"/>
  <c r="EO73" i="6"/>
  <c r="EQ73" i="6"/>
  <c r="EU73" i="6"/>
  <c r="EW73" i="6"/>
  <c r="EY73" i="6"/>
  <c r="EZ73" i="6"/>
  <c r="FC73" i="6"/>
  <c r="FE73" i="6"/>
  <c r="FG73" i="6"/>
  <c r="FH73" i="6"/>
  <c r="FK73" i="6"/>
  <c r="FL73" i="6"/>
  <c r="FM73" i="6"/>
  <c r="FN73" i="6"/>
  <c r="FO73" i="6"/>
  <c r="FP73" i="6"/>
  <c r="FR73" i="6"/>
  <c r="FT73" i="6"/>
  <c r="FU73" i="6"/>
  <c r="FV73" i="6"/>
  <c r="FY73" i="6"/>
  <c r="J74" i="6"/>
  <c r="L74" i="6"/>
  <c r="M74" i="6"/>
  <c r="P74" i="6"/>
  <c r="S74" i="6"/>
  <c r="T74" i="6"/>
  <c r="U74" i="6"/>
  <c r="Z74" i="6"/>
  <c r="AA74" i="6"/>
  <c r="AB74" i="6"/>
  <c r="AD74" i="6"/>
  <c r="AH74" i="6"/>
  <c r="AI74" i="6"/>
  <c r="AK74" i="6"/>
  <c r="AL74" i="6"/>
  <c r="AO74" i="6"/>
  <c r="AP74" i="6"/>
  <c r="AR74" i="6"/>
  <c r="AT74" i="6"/>
  <c r="AW74" i="6"/>
  <c r="AY74" i="6"/>
  <c r="AZ74" i="6"/>
  <c r="BC74" i="6"/>
  <c r="BE74" i="6"/>
  <c r="BF74" i="6"/>
  <c r="BG74" i="6"/>
  <c r="BH74" i="6"/>
  <c r="BI74" i="6"/>
  <c r="BJ74" i="6"/>
  <c r="BK74" i="6"/>
  <c r="BN74" i="6"/>
  <c r="BO74" i="6"/>
  <c r="BQ74" i="6"/>
  <c r="BS74" i="6"/>
  <c r="BT74" i="6"/>
  <c r="BV74" i="6"/>
  <c r="BW74" i="6"/>
  <c r="BX74" i="6"/>
  <c r="BZ74" i="6"/>
  <c r="CB74" i="6"/>
  <c r="CC74" i="6"/>
  <c r="CD74" i="6"/>
  <c r="CE74" i="6"/>
  <c r="CG74" i="6"/>
  <c r="CJ74" i="6"/>
  <c r="CK74" i="6"/>
  <c r="CM74" i="6"/>
  <c r="CN74" i="6"/>
  <c r="CP74" i="6"/>
  <c r="CQ74" i="6"/>
  <c r="CR74" i="6"/>
  <c r="CS74" i="6"/>
  <c r="CT74" i="6"/>
  <c r="CU74" i="6"/>
  <c r="CV74" i="6"/>
  <c r="CW74" i="6"/>
  <c r="DA74" i="6"/>
  <c r="DD74" i="6"/>
  <c r="DF74" i="6"/>
  <c r="DG74" i="6"/>
  <c r="DH74" i="6"/>
  <c r="DJ74" i="6"/>
  <c r="DK74" i="6"/>
  <c r="DL74" i="6"/>
  <c r="DM74" i="6"/>
  <c r="DN74" i="6"/>
  <c r="DO74" i="6"/>
  <c r="DP74" i="6"/>
  <c r="DR74" i="6"/>
  <c r="DS74" i="6"/>
  <c r="DT74" i="6"/>
  <c r="DV74" i="6"/>
  <c r="DZ74" i="6"/>
  <c r="EA74" i="6"/>
  <c r="EC74" i="6"/>
  <c r="EE74" i="6"/>
  <c r="EF74" i="6"/>
  <c r="EG74" i="6"/>
  <c r="EI74" i="6"/>
  <c r="EJ74" i="6"/>
  <c r="EL74" i="6"/>
  <c r="EN74" i="6"/>
  <c r="EQ74" i="6"/>
  <c r="ES74" i="6"/>
  <c r="EU74" i="6"/>
  <c r="EV74" i="6"/>
  <c r="EW74" i="6"/>
  <c r="EX74" i="6"/>
  <c r="EZ74" i="6"/>
  <c r="FC74" i="6"/>
  <c r="FD74" i="6"/>
  <c r="FF74" i="6"/>
  <c r="FG74" i="6"/>
  <c r="FK74" i="6"/>
  <c r="FM74" i="6"/>
  <c r="FN74" i="6"/>
  <c r="FO74" i="6"/>
  <c r="FQ74" i="6"/>
  <c r="FR74" i="6"/>
  <c r="FT74" i="6"/>
  <c r="FW74" i="6"/>
  <c r="K75" i="6"/>
  <c r="L75" i="6"/>
  <c r="M75" i="6"/>
  <c r="N75" i="6"/>
  <c r="P75" i="6"/>
  <c r="T75" i="6"/>
  <c r="U75" i="6"/>
  <c r="W75" i="6"/>
  <c r="Y75" i="6"/>
  <c r="AA75" i="6"/>
  <c r="AC75" i="6"/>
  <c r="AD75" i="6"/>
  <c r="AH75" i="6"/>
  <c r="AK75" i="6"/>
  <c r="AM75" i="6"/>
  <c r="AO75" i="6"/>
  <c r="AP75" i="6"/>
  <c r="AQ75" i="6"/>
  <c r="AT75" i="6"/>
  <c r="AV75" i="6"/>
  <c r="BA75" i="6"/>
  <c r="BB75" i="6"/>
  <c r="BC75" i="6"/>
  <c r="BF75" i="6"/>
  <c r="BG75" i="6"/>
  <c r="BI75" i="6"/>
  <c r="BJ75" i="6"/>
  <c r="BP75" i="6"/>
  <c r="BQ75" i="6"/>
  <c r="BS75" i="6"/>
  <c r="BW75" i="6"/>
  <c r="BX75" i="6"/>
  <c r="BZ75" i="6"/>
  <c r="CB75" i="6"/>
  <c r="CD75" i="6"/>
  <c r="CG75" i="6"/>
  <c r="CJ75" i="6"/>
  <c r="CL75" i="6"/>
  <c r="CM75" i="6"/>
  <c r="CP75" i="6"/>
  <c r="CS75" i="6"/>
  <c r="CT75" i="6"/>
  <c r="CW75" i="6"/>
  <c r="CY75" i="6"/>
  <c r="DA75" i="6"/>
  <c r="DB75" i="6"/>
  <c r="DC75" i="6"/>
  <c r="DD75" i="6"/>
  <c r="DE75" i="6"/>
  <c r="DF75" i="6"/>
  <c r="DL75" i="6"/>
  <c r="DM75" i="6"/>
  <c r="DO75" i="6"/>
  <c r="DR75" i="6"/>
  <c r="DS75" i="6"/>
  <c r="DT75" i="6"/>
  <c r="DU75" i="6"/>
  <c r="DV75" i="6"/>
  <c r="DW75" i="6"/>
  <c r="DY75" i="6"/>
  <c r="DZ75" i="6"/>
  <c r="EB75" i="6"/>
  <c r="EC75" i="6"/>
  <c r="EI75" i="6"/>
  <c r="EJ75" i="6"/>
  <c r="EK75" i="6"/>
  <c r="EL75" i="6"/>
  <c r="EM75" i="6"/>
  <c r="EN75" i="6"/>
  <c r="EO75" i="6"/>
  <c r="EP75" i="6"/>
  <c r="ES75" i="6"/>
  <c r="EU75" i="6"/>
  <c r="EZ75" i="6"/>
  <c r="FA75" i="6"/>
  <c r="FB75" i="6"/>
  <c r="FD75" i="6"/>
  <c r="FF75" i="6"/>
  <c r="FG75" i="6"/>
  <c r="FI75" i="6"/>
  <c r="FK75" i="6"/>
  <c r="FN75" i="6"/>
  <c r="FO75" i="6"/>
  <c r="FR75" i="6"/>
  <c r="FT75" i="6"/>
  <c r="FU75" i="6"/>
  <c r="FV75" i="6"/>
  <c r="FY75" i="6"/>
  <c r="GA75" i="6"/>
  <c r="L81" i="6"/>
  <c r="L85" i="6" s="1"/>
  <c r="M81" i="6"/>
  <c r="M85" i="6" s="1"/>
  <c r="P81" i="6"/>
  <c r="R81" i="6"/>
  <c r="S81" i="6"/>
  <c r="T81" i="6"/>
  <c r="W81" i="6"/>
  <c r="W85" i="6" s="1"/>
  <c r="Y81" i="6"/>
  <c r="Z81" i="6"/>
  <c r="AC81" i="6"/>
  <c r="AE81" i="6"/>
  <c r="AF81" i="6"/>
  <c r="AF85" i="6" s="1"/>
  <c r="AI81" i="6"/>
  <c r="AI85" i="6" s="1"/>
  <c r="AJ81" i="6"/>
  <c r="AL81" i="6"/>
  <c r="AL85" i="6" s="1"/>
  <c r="AM81" i="6"/>
  <c r="AM85" i="6" s="1"/>
  <c r="AO81" i="6"/>
  <c r="AQ81" i="6"/>
  <c r="AS81" i="6"/>
  <c r="AT81" i="6"/>
  <c r="AT85" i="6" s="1"/>
  <c r="AU81" i="6"/>
  <c r="AU85" i="6" s="1"/>
  <c r="AY81" i="6"/>
  <c r="AZ81" i="6"/>
  <c r="BB81" i="6"/>
  <c r="BB85" i="6" s="1"/>
  <c r="BC81" i="6"/>
  <c r="BC85" i="6" s="1"/>
  <c r="BE81" i="6"/>
  <c r="BG81" i="6"/>
  <c r="BH81" i="6"/>
  <c r="BI81" i="6"/>
  <c r="BL81" i="6"/>
  <c r="BL85" i="6" s="1"/>
  <c r="BO81" i="6"/>
  <c r="BP81" i="6"/>
  <c r="BP85" i="6" s="1"/>
  <c r="BR81" i="6"/>
  <c r="BS81" i="6"/>
  <c r="BS85" i="6" s="1"/>
  <c r="BU81" i="6"/>
  <c r="BW81" i="6"/>
  <c r="BW85" i="6" s="1"/>
  <c r="BX81" i="6"/>
  <c r="BX85" i="6" s="1"/>
  <c r="BY81" i="6"/>
  <c r="BY85" i="6" s="1"/>
  <c r="BZ81" i="6"/>
  <c r="BZ85" i="6" s="1"/>
  <c r="CB81" i="6"/>
  <c r="CB85" i="6" s="1"/>
  <c r="CD81" i="6"/>
  <c r="CH81" i="6"/>
  <c r="CI81" i="6"/>
  <c r="CI85" i="6" s="1"/>
  <c r="CK81" i="6"/>
  <c r="CM81" i="6"/>
  <c r="CM85" i="6" s="1"/>
  <c r="CO81" i="6"/>
  <c r="CQ81" i="6"/>
  <c r="CR81" i="6"/>
  <c r="CR85" i="6" s="1"/>
  <c r="CU81" i="6"/>
  <c r="CU85" i="6" s="1"/>
  <c r="CV81" i="6"/>
  <c r="CV85" i="6" s="1"/>
  <c r="CY81" i="6"/>
  <c r="DC81" i="6"/>
  <c r="DC85" i="6" s="1"/>
  <c r="DD81" i="6"/>
  <c r="DE81" i="6"/>
  <c r="DG81" i="6"/>
  <c r="DH81" i="6"/>
  <c r="DH85" i="6" s="1"/>
  <c r="DJ81" i="6"/>
  <c r="DK81" i="6"/>
  <c r="DL81" i="6"/>
  <c r="DN81" i="6"/>
  <c r="DN85" i="6" s="1"/>
  <c r="DO81" i="6"/>
  <c r="DO85" i="6" s="1"/>
  <c r="DS81" i="6"/>
  <c r="DS85" i="6" s="1"/>
  <c r="DT81" i="6"/>
  <c r="DU81" i="6"/>
  <c r="DV81" i="6"/>
  <c r="DV85" i="6" s="1"/>
  <c r="DX81" i="6"/>
  <c r="DX85" i="6" s="1"/>
  <c r="EA81" i="6"/>
  <c r="EB81" i="6"/>
  <c r="EB85" i="6" s="1"/>
  <c r="ED81" i="6"/>
  <c r="EE81" i="6"/>
  <c r="EE85" i="6" s="1"/>
  <c r="EG81" i="6"/>
  <c r="EI81" i="6"/>
  <c r="EI85" i="6" s="1"/>
  <c r="EJ81" i="6"/>
  <c r="EJ85" i="6" s="1"/>
  <c r="EK81" i="6"/>
  <c r="EK85" i="6" s="1"/>
  <c r="EL81" i="6"/>
  <c r="EL85" i="6" s="1"/>
  <c r="EN81" i="6"/>
  <c r="EN85" i="6" s="1"/>
  <c r="EO81" i="6"/>
  <c r="ER81" i="6"/>
  <c r="ER85" i="6" s="1"/>
  <c r="ET81" i="6"/>
  <c r="EU81" i="6"/>
  <c r="EU85" i="6" s="1"/>
  <c r="EW81" i="6"/>
  <c r="EW85" i="6" s="1"/>
  <c r="EY81" i="6"/>
  <c r="EY85" i="6" s="1"/>
  <c r="FA81" i="6"/>
  <c r="FB81" i="6"/>
  <c r="FB85" i="6" s="1"/>
  <c r="FD81" i="6"/>
  <c r="FD85" i="6" s="1"/>
  <c r="FG81" i="6"/>
  <c r="FH81" i="6"/>
  <c r="FH85" i="6" s="1"/>
  <c r="FJ81" i="6"/>
  <c r="FK81" i="6"/>
  <c r="FK85" i="6" s="1"/>
  <c r="FO81" i="6"/>
  <c r="FO85" i="6" s="1"/>
  <c r="FQ81" i="6"/>
  <c r="FR81" i="6"/>
  <c r="FR85" i="6" s="1"/>
  <c r="FT81" i="6"/>
  <c r="FT85" i="6" s="1"/>
  <c r="FV81" i="6"/>
  <c r="FW81" i="6"/>
  <c r="FX81" i="6"/>
  <c r="FZ81" i="6"/>
  <c r="FZ85" i="6" s="1"/>
  <c r="GA81" i="6"/>
  <c r="GA85" i="6" s="1"/>
  <c r="K82" i="6"/>
  <c r="L82" i="6"/>
  <c r="M82" i="6"/>
  <c r="O82" i="6"/>
  <c r="R82" i="6"/>
  <c r="V82" i="6"/>
  <c r="X82" i="6"/>
  <c r="AC82" i="6"/>
  <c r="AG82" i="6"/>
  <c r="AH82" i="6"/>
  <c r="AJ82" i="6"/>
  <c r="AL82" i="6"/>
  <c r="AN82" i="6"/>
  <c r="AQ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H82" i="6"/>
  <c r="BI82" i="6"/>
  <c r="BJ82" i="6"/>
  <c r="BK82" i="6"/>
  <c r="BL82" i="6"/>
  <c r="BM82" i="6"/>
  <c r="BN82" i="6"/>
  <c r="BO82" i="6"/>
  <c r="BP82" i="6"/>
  <c r="BQ82" i="6"/>
  <c r="BR82" i="6"/>
  <c r="BS82" i="6"/>
  <c r="BT82" i="6"/>
  <c r="BU82" i="6"/>
  <c r="BV82" i="6"/>
  <c r="BW82" i="6"/>
  <c r="BX82" i="6"/>
  <c r="BY82" i="6"/>
  <c r="BZ82" i="6"/>
  <c r="CB82" i="6"/>
  <c r="CC82" i="6"/>
  <c r="CD82" i="6"/>
  <c r="CE82" i="6"/>
  <c r="CF82" i="6"/>
  <c r="CG82" i="6"/>
  <c r="CH82" i="6"/>
  <c r="CI82" i="6"/>
  <c r="CJ82" i="6"/>
  <c r="CK82" i="6"/>
  <c r="CL82" i="6"/>
  <c r="CM82" i="6"/>
  <c r="CN82" i="6"/>
  <c r="CO82" i="6"/>
  <c r="CP82" i="6"/>
  <c r="CQ82" i="6"/>
  <c r="CR82" i="6"/>
  <c r="CS82" i="6"/>
  <c r="CU82" i="6"/>
  <c r="CV82" i="6"/>
  <c r="CW82" i="6"/>
  <c r="CX82" i="6"/>
  <c r="CY82" i="6"/>
  <c r="CZ82" i="6"/>
  <c r="DA82" i="6"/>
  <c r="DB82" i="6"/>
  <c r="DC82" i="6"/>
  <c r="DD82" i="6"/>
  <c r="DE82" i="6"/>
  <c r="DF82" i="6"/>
  <c r="DG82" i="6"/>
  <c r="DH82" i="6"/>
  <c r="DI82" i="6"/>
  <c r="DJ82" i="6"/>
  <c r="DK82" i="6"/>
  <c r="DM82" i="6"/>
  <c r="DN82" i="6"/>
  <c r="DO82" i="6"/>
  <c r="DP82" i="6"/>
  <c r="DQ82" i="6"/>
  <c r="DR82" i="6"/>
  <c r="DS82" i="6"/>
  <c r="DT82" i="6"/>
  <c r="DU82" i="6"/>
  <c r="DV82" i="6"/>
  <c r="DW82" i="6"/>
  <c r="DX82" i="6"/>
  <c r="DY82" i="6"/>
  <c r="DZ82" i="6"/>
  <c r="EA82" i="6"/>
  <c r="EB82" i="6"/>
  <c r="EC82" i="6"/>
  <c r="EE82" i="6"/>
  <c r="EF82" i="6"/>
  <c r="EG82" i="6"/>
  <c r="EH82" i="6"/>
  <c r="EI82" i="6"/>
  <c r="EJ82" i="6"/>
  <c r="EK82" i="6"/>
  <c r="EL82" i="6"/>
  <c r="EM82" i="6"/>
  <c r="EN82" i="6"/>
  <c r="EO82" i="6"/>
  <c r="EP82" i="6"/>
  <c r="EQ82" i="6"/>
  <c r="ER82" i="6"/>
  <c r="ES82" i="6"/>
  <c r="ET82" i="6"/>
  <c r="EU82" i="6"/>
  <c r="EV82" i="6"/>
  <c r="EW82" i="6"/>
  <c r="EX82" i="6"/>
  <c r="EY82" i="6"/>
  <c r="EZ82" i="6"/>
  <c r="FA82" i="6"/>
  <c r="FB82" i="6"/>
  <c r="FC82" i="6"/>
  <c r="FD82" i="6"/>
  <c r="FE82" i="6"/>
  <c r="FF82" i="6"/>
  <c r="FG82" i="6"/>
  <c r="FH82" i="6"/>
  <c r="FI82" i="6"/>
  <c r="FJ82" i="6"/>
  <c r="FK82" i="6"/>
  <c r="FL82" i="6"/>
  <c r="FM82" i="6"/>
  <c r="FN82" i="6"/>
  <c r="FO82" i="6"/>
  <c r="FP82" i="6"/>
  <c r="FQ82" i="6"/>
  <c r="FS82" i="6"/>
  <c r="FT82" i="6"/>
  <c r="FU82" i="6"/>
  <c r="FV82" i="6"/>
  <c r="FW82" i="6"/>
  <c r="FX82" i="6"/>
  <c r="FY82" i="6"/>
  <c r="FZ82" i="6"/>
  <c r="GA82" i="6"/>
  <c r="K83" i="6"/>
  <c r="M83" i="6"/>
  <c r="S83" i="6"/>
  <c r="AN83" i="6"/>
  <c r="AP83" i="6"/>
  <c r="AU83" i="6"/>
  <c r="AW83" i="6"/>
  <c r="AX83" i="6"/>
  <c r="AY83" i="6"/>
  <c r="AZ83" i="6"/>
  <c r="BB83" i="6"/>
  <c r="BC83" i="6"/>
  <c r="BD83" i="6"/>
  <c r="BE83" i="6"/>
  <c r="BG83" i="6"/>
  <c r="BK83" i="6"/>
  <c r="BL83" i="6"/>
  <c r="BO83" i="6"/>
  <c r="BP83" i="6"/>
  <c r="BR83" i="6"/>
  <c r="BT83" i="6"/>
  <c r="BV83" i="6"/>
  <c r="BY83" i="6"/>
  <c r="CA83" i="6"/>
  <c r="CB83" i="6"/>
  <c r="CC83" i="6"/>
  <c r="CF83" i="6"/>
  <c r="CH83" i="6"/>
  <c r="CK83" i="6"/>
  <c r="CL83" i="6"/>
  <c r="CM83" i="6"/>
  <c r="CO83" i="6"/>
  <c r="CR83" i="6"/>
  <c r="CS83" i="6"/>
  <c r="CT83" i="6"/>
  <c r="CV83" i="6"/>
  <c r="CX83" i="6"/>
  <c r="CY83" i="6"/>
  <c r="DA83" i="6"/>
  <c r="DB83" i="6"/>
  <c r="DC83" i="6"/>
  <c r="DG83" i="6"/>
  <c r="DI83" i="6"/>
  <c r="DJ83" i="6"/>
  <c r="DK83" i="6"/>
  <c r="DN83" i="6"/>
  <c r="DO83" i="6"/>
  <c r="DP83" i="6"/>
  <c r="DQ83" i="6"/>
  <c r="DS83" i="6"/>
  <c r="DT83" i="6"/>
  <c r="DU83" i="6"/>
  <c r="DW83" i="6"/>
  <c r="DX83" i="6"/>
  <c r="DZ83" i="6"/>
  <c r="EA83" i="6"/>
  <c r="EB83" i="6"/>
  <c r="ED83" i="6"/>
  <c r="EF83" i="6"/>
  <c r="EG83" i="6"/>
  <c r="EI83" i="6"/>
  <c r="EJ83" i="6"/>
  <c r="EK83" i="6"/>
  <c r="EL83" i="6"/>
  <c r="EN83" i="6"/>
  <c r="EO83" i="6"/>
  <c r="EQ83" i="6"/>
  <c r="ER83" i="6"/>
  <c r="ES83" i="6"/>
  <c r="EW83" i="6"/>
  <c r="EX83" i="6"/>
  <c r="EY83" i="6"/>
  <c r="EZ83" i="6"/>
  <c r="FA83" i="6"/>
  <c r="FB83" i="6"/>
  <c r="FC83" i="6"/>
  <c r="FE83" i="6"/>
  <c r="FH83" i="6"/>
  <c r="FI83" i="6"/>
  <c r="FJ83" i="6"/>
  <c r="FK83" i="6"/>
  <c r="FM83" i="6"/>
  <c r="FO83" i="6"/>
  <c r="FS83" i="6"/>
  <c r="FT83" i="6"/>
  <c r="FV83" i="6"/>
  <c r="FW83" i="6"/>
  <c r="FZ83" i="6"/>
  <c r="GA83" i="6"/>
  <c r="J85" i="6"/>
  <c r="T85" i="6"/>
  <c r="X85" i="6"/>
  <c r="Y85" i="6"/>
  <c r="Z85" i="6"/>
  <c r="AC85" i="6"/>
  <c r="AE85" i="6"/>
  <c r="AG85" i="6"/>
  <c r="AN85" i="6"/>
  <c r="AO85" i="6"/>
  <c r="AS85" i="6"/>
  <c r="AW85" i="6"/>
  <c r="AY85" i="6"/>
  <c r="AZ85" i="6"/>
  <c r="BA85" i="6"/>
  <c r="BE85" i="6"/>
  <c r="BO85" i="6"/>
  <c r="BQ85" i="6"/>
  <c r="BR85" i="6"/>
  <c r="BT85" i="6"/>
  <c r="BU85" i="6"/>
  <c r="CC85" i="6"/>
  <c r="CG85" i="6"/>
  <c r="CH85" i="6"/>
  <c r="CJ85" i="6"/>
  <c r="CK85" i="6"/>
  <c r="CL85" i="6"/>
  <c r="CO85" i="6"/>
  <c r="CQ85" i="6"/>
  <c r="CS85" i="6"/>
  <c r="CW85" i="6"/>
  <c r="CZ85" i="6"/>
  <c r="DD85" i="6"/>
  <c r="DE85" i="6"/>
  <c r="DI85" i="6"/>
  <c r="DJ85" i="6"/>
  <c r="DL85" i="6"/>
  <c r="DM85" i="6"/>
  <c r="DR85" i="6"/>
  <c r="EA85" i="6"/>
  <c r="ED85" i="6"/>
  <c r="EF85" i="6"/>
  <c r="EG85" i="6"/>
  <c r="EH85" i="6"/>
  <c r="EO85" i="6"/>
  <c r="ET85" i="6"/>
  <c r="EV85" i="6"/>
  <c r="EX85" i="6"/>
  <c r="FA85" i="6"/>
  <c r="FE85" i="6"/>
  <c r="FL85" i="6"/>
  <c r="FN85" i="6"/>
  <c r="FP85" i="6"/>
  <c r="FQ85" i="6"/>
  <c r="FW85" i="6"/>
  <c r="FX85" i="6"/>
  <c r="FY85" i="6"/>
  <c r="K86" i="6"/>
  <c r="AN86" i="6"/>
  <c r="AP86" i="6"/>
  <c r="AT86" i="6"/>
  <c r="AW86" i="6"/>
  <c r="AZ86" i="6"/>
  <c r="BB86" i="6"/>
  <c r="BE86" i="6"/>
  <c r="BG86" i="6"/>
  <c r="BO86" i="6"/>
  <c r="BP86" i="6"/>
  <c r="BR86" i="6"/>
  <c r="BY86" i="6"/>
  <c r="CA86" i="6"/>
  <c r="CC86" i="6"/>
  <c r="CG86" i="6"/>
  <c r="CH86" i="6"/>
  <c r="CK86" i="6"/>
  <c r="CM86" i="6"/>
  <c r="CV86" i="6"/>
  <c r="CY86" i="6"/>
  <c r="DA86" i="6"/>
  <c r="DC86" i="6"/>
  <c r="DG86" i="6"/>
  <c r="DI86" i="6"/>
  <c r="DJ86" i="6"/>
  <c r="DN86" i="6"/>
  <c r="DP86" i="6"/>
  <c r="DQ86" i="6"/>
  <c r="DS86" i="6"/>
  <c r="DT86" i="6"/>
  <c r="DW86" i="6"/>
  <c r="DZ86" i="6"/>
  <c r="EA86" i="6"/>
  <c r="ED86" i="6"/>
  <c r="EF86" i="6"/>
  <c r="EI86" i="6"/>
  <c r="EJ86" i="6"/>
  <c r="EK86" i="6"/>
  <c r="EQ86" i="6"/>
  <c r="ER86" i="6"/>
  <c r="ES86" i="6"/>
  <c r="EW86" i="6"/>
  <c r="EX86" i="6"/>
  <c r="FB86" i="6"/>
  <c r="FE86" i="6"/>
  <c r="FH86" i="6"/>
  <c r="FI86" i="6"/>
  <c r="FJ86" i="6"/>
  <c r="FK86" i="6"/>
  <c r="FZ86" i="6"/>
  <c r="D17" i="7" l="1"/>
  <c r="D75" i="7"/>
  <c r="D65" i="7"/>
  <c r="D53" i="7"/>
  <c r="D40" i="7"/>
  <c r="D26" i="7"/>
  <c r="D73" i="7"/>
  <c r="D63" i="7"/>
  <c r="D51" i="7"/>
  <c r="D32" i="7"/>
  <c r="D15" i="7"/>
  <c r="D38" i="7"/>
  <c r="D72" i="7"/>
  <c r="D62" i="7"/>
  <c r="D50" i="7"/>
  <c r="D31" i="7"/>
  <c r="G9" i="7" a="1"/>
  <c r="G9" i="7" s="1"/>
  <c r="D21" i="7"/>
  <c r="D49" i="7"/>
  <c r="D71" i="7"/>
  <c r="D61" i="7"/>
  <c r="D44" i="7"/>
  <c r="D30" i="7"/>
  <c r="D20" i="7"/>
  <c r="D59" i="7"/>
  <c r="D79" i="7"/>
  <c r="D60" i="7"/>
  <c r="D43" i="7"/>
  <c r="D29" i="7"/>
  <c r="D19" i="7"/>
  <c r="D70" i="7"/>
  <c r="D80" i="7"/>
  <c r="D55" i="7"/>
  <c r="D42" i="7"/>
  <c r="D28" i="7"/>
  <c r="D22" i="4"/>
  <c r="D18" i="7"/>
  <c r="D76" i="7"/>
  <c r="D84" i="7"/>
  <c r="D54" i="7"/>
  <c r="D41" i="7"/>
  <c r="D21" i="4"/>
  <c r="F7" i="7"/>
  <c r="AS84" i="7"/>
  <c r="AS80" i="7"/>
  <c r="D20" i="4"/>
  <c r="G6" i="7" a="1"/>
  <c r="G6" i="7" s="1"/>
  <c r="F6" i="7"/>
  <c r="D19" i="4"/>
  <c r="F5" i="7"/>
  <c r="D18" i="4"/>
  <c r="F4" i="7"/>
  <c r="D17" i="4"/>
  <c r="D16" i="4"/>
  <c r="F3" i="7"/>
  <c r="AS82" i="6"/>
  <c r="AS71" i="6"/>
  <c r="AS86" i="6" s="1"/>
  <c r="AS83" i="6"/>
  <c r="AK84" i="7"/>
  <c r="U84" i="7"/>
  <c r="AG84" i="7"/>
  <c r="Q84" i="7"/>
  <c r="AQ84" i="7"/>
  <c r="AA84" i="7"/>
  <c r="AO84" i="7"/>
  <c r="Y84" i="7"/>
  <c r="AK80" i="7"/>
  <c r="U80" i="7"/>
  <c r="AG80" i="7"/>
  <c r="Q80" i="7"/>
  <c r="AE80" i="7"/>
  <c r="O80" i="7"/>
  <c r="AC80" i="7"/>
  <c r="AO80" i="7"/>
  <c r="Y80" i="7"/>
  <c r="AH84" i="7"/>
  <c r="R84" i="7"/>
  <c r="AF84" i="7"/>
  <c r="P84" i="7"/>
  <c r="AR84" i="7"/>
  <c r="AB84" i="7"/>
  <c r="L84" i="7"/>
  <c r="AP84" i="7"/>
  <c r="Z84" i="7"/>
  <c r="J84" i="7"/>
  <c r="X84" i="7"/>
  <c r="AJ80" i="7"/>
  <c r="T80" i="7"/>
  <c r="AH80" i="7"/>
  <c r="R80" i="7"/>
  <c r="AF80" i="7"/>
  <c r="P80" i="7"/>
  <c r="AD80" i="7"/>
  <c r="N80" i="7"/>
  <c r="AR80" i="7"/>
  <c r="AB80" i="7"/>
  <c r="L80" i="7"/>
  <c r="X80" i="7"/>
  <c r="AI84" i="7"/>
  <c r="S84" i="7"/>
  <c r="AC84" i="7"/>
  <c r="AI80" i="7"/>
  <c r="S80" i="7"/>
  <c r="AG40" i="7"/>
  <c r="Q40" i="7"/>
  <c r="AF40" i="7"/>
  <c r="P40" i="7"/>
  <c r="AE40" i="7"/>
  <c r="O40" i="7"/>
  <c r="AD40" i="7"/>
  <c r="N40" i="7"/>
  <c r="AC40" i="7"/>
  <c r="AR40" i="7"/>
  <c r="AB40" i="7"/>
  <c r="L40" i="7"/>
  <c r="AQ40" i="7"/>
  <c r="AA40" i="7"/>
  <c r="AP40" i="7"/>
  <c r="Z40" i="7"/>
  <c r="J40" i="7"/>
  <c r="AO40" i="7"/>
  <c r="Y40" i="7"/>
  <c r="X40" i="7"/>
  <c r="AM40" i="7"/>
  <c r="W40" i="7"/>
  <c r="AL40" i="7"/>
  <c r="V40" i="7"/>
  <c r="AK40" i="7"/>
  <c r="U40" i="7"/>
  <c r="AJ40" i="7"/>
  <c r="T40" i="7"/>
  <c r="AH40" i="7"/>
  <c r="O83" i="6"/>
  <c r="O75" i="6"/>
  <c r="AL73" i="6"/>
  <c r="AL86" i="6" s="1"/>
  <c r="AL83" i="6"/>
  <c r="AM86" i="6"/>
  <c r="AH83" i="6"/>
  <c r="AC83" i="6"/>
  <c r="AK83" i="6"/>
  <c r="Z83" i="6"/>
  <c r="T83" i="6"/>
  <c r="N86" i="6"/>
  <c r="O86" i="6"/>
  <c r="P83" i="6"/>
  <c r="AK86" i="6"/>
  <c r="J86" i="6"/>
  <c r="Z86" i="6"/>
  <c r="AJ83" i="6"/>
  <c r="U86" i="6"/>
  <c r="T86" i="6"/>
  <c r="FL83" i="6"/>
  <c r="FL71" i="6"/>
  <c r="FL86" i="6" s="1"/>
  <c r="EC71" i="6"/>
  <c r="EC86" i="6" s="1"/>
  <c r="EC83" i="6"/>
  <c r="DL71" i="6"/>
  <c r="DL86" i="6" s="1"/>
  <c r="DL83" i="6"/>
  <c r="CU83" i="6"/>
  <c r="CU71" i="6"/>
  <c r="CU86" i="6" s="1"/>
  <c r="CD71" i="6"/>
  <c r="CD86" i="6" s="1"/>
  <c r="CD83" i="6"/>
  <c r="BM71" i="6"/>
  <c r="BM86" i="6" s="1"/>
  <c r="BM83" i="6"/>
  <c r="FX83" i="6"/>
  <c r="FX71" i="6"/>
  <c r="FX86" i="6" s="1"/>
  <c r="FG83" i="6"/>
  <c r="FG71" i="6"/>
  <c r="FG86" i="6" s="1"/>
  <c r="EP71" i="6"/>
  <c r="EP86" i="6" s="1"/>
  <c r="EP83" i="6"/>
  <c r="DY71" i="6"/>
  <c r="DY86" i="6" s="1"/>
  <c r="DY83" i="6"/>
  <c r="DH71" i="6"/>
  <c r="DH86" i="6" s="1"/>
  <c r="DH83" i="6"/>
  <c r="CQ83" i="6"/>
  <c r="CQ71" i="6"/>
  <c r="CQ86" i="6" s="1"/>
  <c r="BZ83" i="6"/>
  <c r="BZ71" i="6"/>
  <c r="BZ86" i="6" s="1"/>
  <c r="BI83" i="6"/>
  <c r="BI71" i="6"/>
  <c r="BI86" i="6" s="1"/>
  <c r="AA71" i="6"/>
  <c r="AA86" i="6" s="1"/>
  <c r="AA83" i="6"/>
  <c r="FU83" i="6"/>
  <c r="FU71" i="6"/>
  <c r="FU86" i="6" s="1"/>
  <c r="FD83" i="6"/>
  <c r="FD71" i="6"/>
  <c r="FD86" i="6" s="1"/>
  <c r="EM83" i="6"/>
  <c r="EM71" i="6"/>
  <c r="EM86" i="6" s="1"/>
  <c r="DV83" i="6"/>
  <c r="DV71" i="6"/>
  <c r="DV86" i="6" s="1"/>
  <c r="DE83" i="6"/>
  <c r="DE71" i="6"/>
  <c r="DE86" i="6" s="1"/>
  <c r="CN83" i="6"/>
  <c r="CN71" i="6"/>
  <c r="CN86" i="6" s="1"/>
  <c r="BW83" i="6"/>
  <c r="BW71" i="6"/>
  <c r="BW86" i="6" s="1"/>
  <c r="BF83" i="6"/>
  <c r="BF71" i="6"/>
  <c r="BF86" i="6" s="1"/>
  <c r="X71" i="6"/>
  <c r="X83" i="6"/>
  <c r="FQ83" i="6"/>
  <c r="DR83" i="6"/>
  <c r="BN83" i="6"/>
  <c r="FN71" i="6"/>
  <c r="FN86" i="6" s="1"/>
  <c r="CE71" i="6"/>
  <c r="CE86" i="6" s="1"/>
  <c r="CZ83" i="6"/>
  <c r="EV83" i="6"/>
  <c r="EE83" i="6"/>
  <c r="AM83" i="6"/>
  <c r="CW83" i="6"/>
  <c r="DM83" i="6"/>
  <c r="AO83" i="6"/>
  <c r="S86" i="6"/>
  <c r="BU71" i="6"/>
  <c r="BU86" i="6" s="1"/>
  <c r="U83" i="6"/>
  <c r="X86" i="6"/>
  <c r="Q86" i="6"/>
  <c r="BQ71" i="6"/>
  <c r="BQ86" i="6" s="1"/>
  <c r="DD83" i="6"/>
  <c r="Q83" i="6"/>
  <c r="W82" i="6"/>
  <c r="AK82" i="6"/>
  <c r="U82" i="6"/>
  <c r="AI82" i="6"/>
  <c r="S82" i="6"/>
  <c r="Q82" i="6"/>
  <c r="AP82" i="6"/>
  <c r="T82" i="6"/>
  <c r="AM82" i="6"/>
  <c r="EM85" i="6"/>
  <c r="CA85" i="6"/>
  <c r="FR83" i="6"/>
  <c r="FR71" i="6"/>
  <c r="FR86" i="6" s="1"/>
  <c r="CJ83" i="6"/>
  <c r="CJ71" i="6"/>
  <c r="CJ86" i="6" s="1"/>
  <c r="CP85" i="6"/>
  <c r="AH85" i="6"/>
  <c r="AG75" i="6"/>
  <c r="AG86" i="6" s="1"/>
  <c r="AG83" i="6"/>
  <c r="AA85" i="6"/>
  <c r="DK85" i="6"/>
  <c r="FG85" i="6"/>
  <c r="EP85" i="6"/>
  <c r="P86" i="6"/>
  <c r="CX85" i="6"/>
  <c r="FC85" i="6"/>
  <c r="AX85" i="6"/>
  <c r="AD85" i="6"/>
  <c r="S85" i="6"/>
  <c r="AJ86" i="6"/>
  <c r="CT85" i="6"/>
  <c r="AB85" i="6"/>
  <c r="AF83" i="6"/>
  <c r="CY85" i="6"/>
  <c r="AV85" i="6"/>
  <c r="P85" i="6"/>
  <c r="EQ85" i="6"/>
  <c r="BN85" i="6"/>
  <c r="FF85" i="6"/>
  <c r="CN85" i="6"/>
  <c r="DU85" i="6"/>
  <c r="AE86" i="6"/>
  <c r="AR85" i="6"/>
  <c r="EZ85" i="6"/>
  <c r="BM85" i="6"/>
  <c r="AJ85" i="6"/>
  <c r="DF85" i="6"/>
  <c r="BK85" i="6"/>
  <c r="BG85" i="6"/>
  <c r="BI85" i="6"/>
  <c r="BJ85" i="6"/>
  <c r="DZ85" i="6"/>
  <c r="K85" i="6"/>
  <c r="FS85" i="6"/>
  <c r="DY85" i="6"/>
  <c r="CE85" i="6"/>
  <c r="AK85" i="6"/>
  <c r="AI75" i="6"/>
  <c r="AI86" i="6" s="1"/>
  <c r="AI83" i="6"/>
  <c r="FJ85" i="6"/>
  <c r="CD85" i="6"/>
  <c r="AQ86" i="6"/>
  <c r="DW85" i="6"/>
  <c r="FV85" i="6"/>
  <c r="FF83" i="6"/>
  <c r="R83" i="6"/>
  <c r="CP71" i="6"/>
  <c r="CP86" i="6" s="1"/>
  <c r="BA71" i="6"/>
  <c r="BA86" i="6" s="1"/>
  <c r="AH86" i="6"/>
  <c r="DG85" i="6"/>
  <c r="AO86" i="6"/>
  <c r="DF71" i="6"/>
  <c r="DF86" i="6" s="1"/>
  <c r="Y71" i="6"/>
  <c r="Y86" i="6" s="1"/>
  <c r="Y83" i="6"/>
  <c r="R86" i="6"/>
  <c r="AF86" i="6"/>
  <c r="N83" i="6"/>
  <c r="AP85" i="6"/>
  <c r="AV71" i="6"/>
  <c r="AV86" i="6" s="1"/>
  <c r="AC86" i="6"/>
  <c r="AD71" i="6"/>
  <c r="AD86" i="6" s="1"/>
  <c r="AD83" i="6"/>
  <c r="L83" i="6"/>
  <c r="L71" i="6"/>
  <c r="L86" i="6" s="1"/>
  <c r="AE83" i="6"/>
  <c r="J83" i="6"/>
  <c r="AR83" i="6"/>
  <c r="AB71" i="6"/>
  <c r="AB86" i="6" s="1"/>
  <c r="AB83" i="6"/>
  <c r="DT85" i="6"/>
  <c r="BH85" i="6"/>
  <c r="R85" i="6"/>
  <c r="AR71" i="6"/>
  <c r="AR86" i="6" s="1"/>
  <c r="FY71" i="6"/>
  <c r="FY86" i="6" s="1"/>
  <c r="FY83" i="6"/>
  <c r="BH71" i="6"/>
  <c r="BH86" i="6" s="1"/>
  <c r="BH83" i="6"/>
  <c r="W83" i="6"/>
  <c r="AQ85" i="6"/>
  <c r="BJ71" i="6"/>
  <c r="BJ86" i="6" s="1"/>
  <c r="AQ83" i="6"/>
  <c r="V83" i="6"/>
  <c r="D4" i="6" l="1" a="1"/>
  <c r="D4" i="6" s="1"/>
  <c r="D5" i="6" a="1"/>
  <c r="D5" i="6" s="1"/>
  <c r="D6" i="6" a="1"/>
  <c r="D6" i="6" s="1"/>
  <c r="D7" i="6" a="1"/>
  <c r="D7" i="6" s="1"/>
  <c r="D8" i="6" a="1"/>
  <c r="D8" i="6" s="1"/>
  <c r="D9" i="6" a="1"/>
  <c r="D9" i="6" s="1"/>
  <c r="D10" i="6" a="1"/>
  <c r="D10" i="6" s="1"/>
  <c r="D11" i="6" a="1"/>
  <c r="D11" i="6" s="1"/>
  <c r="D12" i="6" a="1"/>
  <c r="D12" i="6" s="1"/>
  <c r="D57" i="6" s="1"/>
  <c r="D3" i="6" a="1"/>
  <c r="D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3" i="6" a="1"/>
  <c r="C3" i="6" s="1"/>
  <c r="G3" i="6" s="1" a="1"/>
  <c r="G3" i="6" s="1"/>
  <c r="F12" i="6" l="1"/>
  <c r="G12" i="6" a="1"/>
  <c r="G12" i="6" s="1"/>
  <c r="G11" i="6" a="1"/>
  <c r="G11" i="6" s="1"/>
  <c r="F11" i="6"/>
  <c r="G10" i="6" a="1"/>
  <c r="G10" i="6" s="1"/>
  <c r="F10" i="6"/>
  <c r="G9" i="6" a="1"/>
  <c r="G9" i="6" s="1"/>
  <c r="F9" i="6"/>
  <c r="G8" i="6" a="1"/>
  <c r="G8" i="6" s="1"/>
  <c r="F8" i="6"/>
  <c r="G7" i="6" a="1"/>
  <c r="G7" i="6" s="1"/>
  <c r="F7" i="6"/>
  <c r="G6" i="6" a="1"/>
  <c r="G6" i="6" s="1"/>
  <c r="F6" i="6"/>
  <c r="G5" i="6" a="1"/>
  <c r="G5" i="6" s="1"/>
  <c r="F5" i="6"/>
  <c r="G4" i="6" a="1"/>
  <c r="G4" i="6" s="1"/>
  <c r="F4" i="6"/>
  <c r="D71" i="6"/>
  <c r="D56" i="6"/>
  <c r="F3" i="6"/>
  <c r="D82" i="6"/>
  <c r="D55" i="6"/>
  <c r="D21" i="6"/>
  <c r="D86" i="6"/>
  <c r="D49" i="6"/>
  <c r="D30" i="6"/>
  <c r="D48" i="6"/>
  <c r="D29" i="6"/>
  <c r="D47" i="6"/>
  <c r="D28" i="6"/>
  <c r="D83" i="6"/>
  <c r="D46" i="6"/>
  <c r="D27" i="6"/>
  <c r="D75" i="6"/>
  <c r="D40" i="6"/>
  <c r="D26" i="6"/>
  <c r="D74" i="6"/>
  <c r="D39" i="6"/>
  <c r="D25" i="6"/>
  <c r="D73" i="6"/>
  <c r="D38" i="6"/>
  <c r="D24" i="6"/>
  <c r="D72" i="6"/>
  <c r="D37" i="6"/>
  <c r="D23" i="6"/>
  <c r="D66" i="6"/>
  <c r="D22" i="6"/>
  <c r="D65" i="6"/>
  <c r="D45" i="6"/>
  <c r="D63" i="6"/>
  <c r="D36" i="6"/>
  <c r="D64" i="6"/>
  <c r="D54" i="6"/>
  <c r="D58" i="6"/>
  <c r="D62" i="6"/>
  <c r="C49" i="7" a="1"/>
  <c r="C49" i="7" s="1"/>
  <c r="G49" i="7" s="1" a="1"/>
  <c r="G49" i="7" s="1"/>
  <c r="C50" i="7" a="1"/>
  <c r="C50" i="7" s="1"/>
  <c r="G50" i="7" s="1" a="1"/>
  <c r="G50" i="7" s="1"/>
  <c r="C54" i="7" a="1"/>
  <c r="C54" i="7" s="1"/>
  <c r="G54" i="7" s="1" a="1"/>
  <c r="G54" i="7" s="1"/>
  <c r="C53" i="7" l="1" a="1"/>
  <c r="C53" i="7" s="1"/>
  <c r="G53" i="7" s="1" a="1"/>
  <c r="G53" i="7" s="1"/>
  <c r="F54" i="7"/>
  <c r="C55" i="7" a="1"/>
  <c r="C55" i="7" s="1"/>
  <c r="G55" i="7" s="1" a="1"/>
  <c r="G55" i="7" s="1"/>
  <c r="F49" i="7"/>
  <c r="F50" i="7"/>
  <c r="C51" i="7" a="1"/>
  <c r="C51" i="7" s="1"/>
  <c r="G51" i="7" s="1" a="1"/>
  <c r="G51" i="7" s="1"/>
  <c r="C52" i="7" a="1"/>
  <c r="C52" i="7" s="1"/>
  <c r="G52" i="7" s="1" a="1"/>
  <c r="G52" i="7" s="1"/>
  <c r="I62" i="7"/>
  <c r="I59" i="7"/>
  <c r="C59" i="7" s="1" a="1"/>
  <c r="C59" i="7" s="1"/>
  <c r="I50" i="7"/>
  <c r="I60" i="7" s="1"/>
  <c r="I51" i="7"/>
  <c r="I61" i="7" s="1"/>
  <c r="I52" i="7"/>
  <c r="I53" i="7"/>
  <c r="I63" i="7" s="1"/>
  <c r="I54" i="7"/>
  <c r="I64" i="7" s="1"/>
  <c r="I55" i="7"/>
  <c r="I65" i="7" s="1"/>
  <c r="I49" i="7"/>
  <c r="I27" i="7"/>
  <c r="I28" i="7"/>
  <c r="I29" i="7"/>
  <c r="I30" i="7"/>
  <c r="I31" i="7"/>
  <c r="I32" i="7"/>
  <c r="I26" i="7"/>
  <c r="C26" i="7" s="1" a="1"/>
  <c r="C26" i="7" s="1"/>
  <c r="I16" i="7"/>
  <c r="I39" i="7" s="1"/>
  <c r="I17" i="7"/>
  <c r="I40" i="7" s="1"/>
  <c r="I18" i="7"/>
  <c r="I41" i="7" s="1"/>
  <c r="I19" i="7"/>
  <c r="I42" i="7" s="1"/>
  <c r="I20" i="7"/>
  <c r="I43" i="7" s="1"/>
  <c r="I21" i="7"/>
  <c r="I44" i="7" s="1"/>
  <c r="J2" i="7"/>
  <c r="J14" i="7" s="1"/>
  <c r="K2" i="7"/>
  <c r="K14" i="7" s="1"/>
  <c r="L2" i="7"/>
  <c r="L14" i="7" s="1"/>
  <c r="M2" i="7"/>
  <c r="M14" i="7" s="1"/>
  <c r="N2" i="7"/>
  <c r="N14" i="7" s="1"/>
  <c r="O2" i="7"/>
  <c r="O14" i="7" s="1"/>
  <c r="P2" i="7"/>
  <c r="P14" i="7" s="1"/>
  <c r="Q2" i="7"/>
  <c r="Q14" i="7" s="1"/>
  <c r="R2" i="7"/>
  <c r="R14" i="7" s="1"/>
  <c r="S2" i="7"/>
  <c r="S14" i="7" s="1"/>
  <c r="T2" i="7"/>
  <c r="T14" i="7" s="1"/>
  <c r="U2" i="7"/>
  <c r="U14" i="7" s="1"/>
  <c r="V2" i="7"/>
  <c r="V14" i="7" s="1"/>
  <c r="W2" i="7"/>
  <c r="W14" i="7" s="1"/>
  <c r="X2" i="7"/>
  <c r="X14" i="7" s="1"/>
  <c r="Y2" i="7"/>
  <c r="Y14" i="7" s="1"/>
  <c r="Z2" i="7"/>
  <c r="Z14" i="7" s="1"/>
  <c r="AA2" i="7"/>
  <c r="AA14" i="7" s="1"/>
  <c r="AB2" i="7"/>
  <c r="AB14" i="7" s="1"/>
  <c r="AC2" i="7"/>
  <c r="AC14" i="7" s="1"/>
  <c r="AD2" i="7"/>
  <c r="AD14" i="7" s="1"/>
  <c r="AE2" i="7"/>
  <c r="AE14" i="7" s="1"/>
  <c r="AF2" i="7"/>
  <c r="AF14" i="7" s="1"/>
  <c r="AG2" i="7"/>
  <c r="AG14" i="7" s="1"/>
  <c r="AH2" i="7"/>
  <c r="AH14" i="7" s="1"/>
  <c r="AI2" i="7"/>
  <c r="AI14" i="7" s="1"/>
  <c r="AJ2" i="7"/>
  <c r="AJ14" i="7" s="1"/>
  <c r="AK2" i="7"/>
  <c r="AK14" i="7" s="1"/>
  <c r="AL2" i="7"/>
  <c r="AL14" i="7" s="1"/>
  <c r="AM2" i="7"/>
  <c r="AM14" i="7" s="1"/>
  <c r="AN2" i="7"/>
  <c r="AN14" i="7" s="1"/>
  <c r="AO2" i="7"/>
  <c r="AO14" i="7" s="1"/>
  <c r="AP2" i="7"/>
  <c r="AP14" i="7" s="1"/>
  <c r="AQ2" i="7"/>
  <c r="AQ14" i="7" s="1"/>
  <c r="AR2" i="7"/>
  <c r="AR14" i="7" s="1"/>
  <c r="AS2" i="7"/>
  <c r="AS14" i="7" s="1"/>
  <c r="AT2" i="7"/>
  <c r="AT14" i="7" s="1"/>
  <c r="AU2" i="7"/>
  <c r="AU14" i="7" s="1"/>
  <c r="AV2" i="7"/>
  <c r="AV14" i="7" s="1"/>
  <c r="AW2" i="7"/>
  <c r="AW14" i="7" s="1"/>
  <c r="AX2" i="7"/>
  <c r="AX14" i="7" s="1"/>
  <c r="AY2" i="7"/>
  <c r="AY14" i="7" s="1"/>
  <c r="AZ2" i="7"/>
  <c r="AZ14" i="7" s="1"/>
  <c r="BA2" i="7"/>
  <c r="BA14" i="7" s="1"/>
  <c r="BB2" i="7"/>
  <c r="BB14" i="7" s="1"/>
  <c r="BC2" i="7"/>
  <c r="BC14" i="7" s="1"/>
  <c r="BD2" i="7"/>
  <c r="BD14" i="7" s="1"/>
  <c r="BE2" i="7"/>
  <c r="BE14" i="7" s="1"/>
  <c r="BF2" i="7"/>
  <c r="BF14" i="7" s="1"/>
  <c r="BG2" i="7"/>
  <c r="BG14" i="7" s="1"/>
  <c r="BH2" i="7"/>
  <c r="BH14" i="7" s="1"/>
  <c r="BI2" i="7"/>
  <c r="BI14" i="7" s="1"/>
  <c r="BJ2" i="7"/>
  <c r="BJ14" i="7" s="1"/>
  <c r="BK2" i="7"/>
  <c r="BK14" i="7" s="1"/>
  <c r="BL2" i="7"/>
  <c r="BL14" i="7" s="1"/>
  <c r="BM2" i="7"/>
  <c r="BM14" i="7" s="1"/>
  <c r="BN2" i="7"/>
  <c r="BN14" i="7" s="1"/>
  <c r="BO2" i="7"/>
  <c r="BO14" i="7" s="1"/>
  <c r="BP2" i="7"/>
  <c r="BP14" i="7" s="1"/>
  <c r="BQ2" i="7"/>
  <c r="BQ14" i="7" s="1"/>
  <c r="BR2" i="7"/>
  <c r="BR14" i="7" s="1"/>
  <c r="BS2" i="7"/>
  <c r="BS14" i="7" s="1"/>
  <c r="BT2" i="7"/>
  <c r="BT14" i="7" s="1"/>
  <c r="BU2" i="7"/>
  <c r="BU14" i="7" s="1"/>
  <c r="BV2" i="7"/>
  <c r="BV14" i="7" s="1"/>
  <c r="BW2" i="7"/>
  <c r="BW14" i="7" s="1"/>
  <c r="BX2" i="7"/>
  <c r="BX14" i="7" s="1"/>
  <c r="BY2" i="7"/>
  <c r="BY14" i="7" s="1"/>
  <c r="BZ2" i="7"/>
  <c r="BZ14" i="7" s="1"/>
  <c r="CA2" i="7"/>
  <c r="CA14" i="7" s="1"/>
  <c r="CB2" i="7"/>
  <c r="CB14" i="7" s="1"/>
  <c r="CC2" i="7"/>
  <c r="CC14" i="7" s="1"/>
  <c r="CD2" i="7"/>
  <c r="CD14" i="7" s="1"/>
  <c r="CE2" i="7"/>
  <c r="CE14" i="7" s="1"/>
  <c r="CF2" i="7"/>
  <c r="CF14" i="7" s="1"/>
  <c r="CG2" i="7"/>
  <c r="CG14" i="7" s="1"/>
  <c r="CH2" i="7"/>
  <c r="CH14" i="7" s="1"/>
  <c r="CI2" i="7"/>
  <c r="CI14" i="7" s="1"/>
  <c r="CJ2" i="7"/>
  <c r="CJ14" i="7" s="1"/>
  <c r="CK2" i="7"/>
  <c r="CK14" i="7" s="1"/>
  <c r="CL2" i="7"/>
  <c r="CL14" i="7" s="1"/>
  <c r="CM2" i="7"/>
  <c r="CM14" i="7" s="1"/>
  <c r="CN2" i="7"/>
  <c r="CN14" i="7" s="1"/>
  <c r="CO2" i="7"/>
  <c r="CO14" i="7" s="1"/>
  <c r="CP2" i="7"/>
  <c r="CP14" i="7" s="1"/>
  <c r="CQ2" i="7"/>
  <c r="CQ14" i="7" s="1"/>
  <c r="CR2" i="7"/>
  <c r="CR14" i="7" s="1"/>
  <c r="CS2" i="7"/>
  <c r="CS14" i="7" s="1"/>
  <c r="CT2" i="7"/>
  <c r="CT14" i="7" s="1"/>
  <c r="CU2" i="7"/>
  <c r="CU14" i="7" s="1"/>
  <c r="CV2" i="7"/>
  <c r="CV14" i="7" s="1"/>
  <c r="CW2" i="7"/>
  <c r="CW14" i="7" s="1"/>
  <c r="CX2" i="7"/>
  <c r="CX14" i="7" s="1"/>
  <c r="CY2" i="7"/>
  <c r="CY14" i="7" s="1"/>
  <c r="CZ2" i="7"/>
  <c r="CZ14" i="7" s="1"/>
  <c r="DA2" i="7"/>
  <c r="DA14" i="7" s="1"/>
  <c r="DB2" i="7"/>
  <c r="DB14" i="7" s="1"/>
  <c r="DC2" i="7"/>
  <c r="DC14" i="7" s="1"/>
  <c r="DD2" i="7"/>
  <c r="DD14" i="7" s="1"/>
  <c r="DE2" i="7"/>
  <c r="DE14" i="7" s="1"/>
  <c r="DF2" i="7"/>
  <c r="DF14" i="7" s="1"/>
  <c r="DG2" i="7"/>
  <c r="DG14" i="7" s="1"/>
  <c r="DH2" i="7"/>
  <c r="DH14" i="7" s="1"/>
  <c r="DI2" i="7"/>
  <c r="DI14" i="7" s="1"/>
  <c r="DJ2" i="7"/>
  <c r="DJ14" i="7" s="1"/>
  <c r="DK2" i="7"/>
  <c r="DK14" i="7" s="1"/>
  <c r="DL2" i="7"/>
  <c r="DL14" i="7" s="1"/>
  <c r="DM2" i="7"/>
  <c r="DM14" i="7" s="1"/>
  <c r="DN2" i="7"/>
  <c r="DN14" i="7" s="1"/>
  <c r="DO2" i="7"/>
  <c r="DO14" i="7" s="1"/>
  <c r="DP2" i="7"/>
  <c r="DP14" i="7" s="1"/>
  <c r="DQ2" i="7"/>
  <c r="DQ14" i="7" s="1"/>
  <c r="DR2" i="7"/>
  <c r="DR14" i="7" s="1"/>
  <c r="DS2" i="7"/>
  <c r="DS14" i="7" s="1"/>
  <c r="DT2" i="7"/>
  <c r="DT14" i="7" s="1"/>
  <c r="DU2" i="7"/>
  <c r="DU14" i="7" s="1"/>
  <c r="DV2" i="7"/>
  <c r="DV14" i="7" s="1"/>
  <c r="DW2" i="7"/>
  <c r="DW14" i="7" s="1"/>
  <c r="DX2" i="7"/>
  <c r="DX14" i="7" s="1"/>
  <c r="DY2" i="7"/>
  <c r="DY14" i="7" s="1"/>
  <c r="DZ2" i="7"/>
  <c r="DZ14" i="7" s="1"/>
  <c r="EA2" i="7"/>
  <c r="EA14" i="7" s="1"/>
  <c r="EB2" i="7"/>
  <c r="EB14" i="7" s="1"/>
  <c r="EC2" i="7"/>
  <c r="EC14" i="7" s="1"/>
  <c r="ED2" i="7"/>
  <c r="ED14" i="7" s="1"/>
  <c r="EE2" i="7"/>
  <c r="EE14" i="7" s="1"/>
  <c r="EF2" i="7"/>
  <c r="EF14" i="7" s="1"/>
  <c r="EG2" i="7"/>
  <c r="EG14" i="7" s="1"/>
  <c r="EH2" i="7"/>
  <c r="EH14" i="7" s="1"/>
  <c r="EI2" i="7"/>
  <c r="EI14" i="7" s="1"/>
  <c r="EJ2" i="7"/>
  <c r="EJ14" i="7" s="1"/>
  <c r="EK2" i="7"/>
  <c r="EK14" i="7" s="1"/>
  <c r="EL2" i="7"/>
  <c r="EL14" i="7" s="1"/>
  <c r="EM2" i="7"/>
  <c r="EM14" i="7" s="1"/>
  <c r="EN2" i="7"/>
  <c r="EN14" i="7" s="1"/>
  <c r="EO2" i="7"/>
  <c r="EO14" i="7" s="1"/>
  <c r="EP2" i="7"/>
  <c r="EP14" i="7" s="1"/>
  <c r="EQ2" i="7"/>
  <c r="EQ14" i="7" s="1"/>
  <c r="ER2" i="7"/>
  <c r="ER14" i="7" s="1"/>
  <c r="ES2" i="7"/>
  <c r="ES14" i="7" s="1"/>
  <c r="ET2" i="7"/>
  <c r="ET14" i="7" s="1"/>
  <c r="EU2" i="7"/>
  <c r="EU14" i="7" s="1"/>
  <c r="EV2" i="7"/>
  <c r="EV14" i="7" s="1"/>
  <c r="EW2" i="7"/>
  <c r="EW14" i="7" s="1"/>
  <c r="EX2" i="7"/>
  <c r="EX14" i="7" s="1"/>
  <c r="EY2" i="7"/>
  <c r="EY14" i="7" s="1"/>
  <c r="EZ2" i="7"/>
  <c r="EZ14" i="7" s="1"/>
  <c r="FA2" i="7"/>
  <c r="FA14" i="7" s="1"/>
  <c r="FB2" i="7"/>
  <c r="FB14" i="7" s="1"/>
  <c r="FC2" i="7"/>
  <c r="FC14" i="7" s="1"/>
  <c r="FD2" i="7"/>
  <c r="FD14" i="7" s="1"/>
  <c r="FE2" i="7"/>
  <c r="FE14" i="7" s="1"/>
  <c r="FF2" i="7"/>
  <c r="FF14" i="7" s="1"/>
  <c r="FG2" i="7"/>
  <c r="FG14" i="7" s="1"/>
  <c r="FH2" i="7"/>
  <c r="FH14" i="7" s="1"/>
  <c r="FI2" i="7"/>
  <c r="FI14" i="7" s="1"/>
  <c r="FJ2" i="7"/>
  <c r="FJ14" i="7" s="1"/>
  <c r="FK2" i="7"/>
  <c r="FK14" i="7" s="1"/>
  <c r="FL2" i="7"/>
  <c r="FL14" i="7" s="1"/>
  <c r="FM2" i="7"/>
  <c r="FM14" i="7" s="1"/>
  <c r="FN2" i="7"/>
  <c r="FN14" i="7" s="1"/>
  <c r="FO2" i="7"/>
  <c r="FO14" i="7" s="1"/>
  <c r="FP2" i="7"/>
  <c r="FP14" i="7" s="1"/>
  <c r="FQ2" i="7"/>
  <c r="FQ14" i="7" s="1"/>
  <c r="FR2" i="7"/>
  <c r="FR14" i="7" s="1"/>
  <c r="FS2" i="7"/>
  <c r="FS14" i="7" s="1"/>
  <c r="FT2" i="7"/>
  <c r="FT14" i="7" s="1"/>
  <c r="FU2" i="7"/>
  <c r="FU14" i="7" s="1"/>
  <c r="FV2" i="7"/>
  <c r="FV14" i="7" s="1"/>
  <c r="FW2" i="7"/>
  <c r="FW14" i="7" s="1"/>
  <c r="FX2" i="7"/>
  <c r="FX14" i="7" s="1"/>
  <c r="FY2" i="7"/>
  <c r="FY14" i="7" s="1"/>
  <c r="FZ2" i="7"/>
  <c r="FZ14" i="7" s="1"/>
  <c r="GA2" i="7"/>
  <c r="GA14" i="7" s="1"/>
  <c r="I15" i="7"/>
  <c r="I38" i="7" s="1"/>
  <c r="I2" i="7"/>
  <c r="I14" i="7" s="1"/>
  <c r="I25" i="7" s="1"/>
  <c r="I37" i="7" s="1"/>
  <c r="I48" i="7" s="1"/>
  <c r="I58" i="7" s="1"/>
  <c r="I69" i="7" s="1"/>
  <c r="I78" i="7" s="1"/>
  <c r="I83" i="7" s="1"/>
  <c r="I37" i="6"/>
  <c r="I38" i="6"/>
  <c r="I39" i="6"/>
  <c r="I40" i="6"/>
  <c r="I36" i="6"/>
  <c r="I22" i="6"/>
  <c r="I23" i="6"/>
  <c r="I24" i="6"/>
  <c r="I25" i="6"/>
  <c r="I26" i="6"/>
  <c r="I27" i="6"/>
  <c r="I28" i="6"/>
  <c r="I29" i="6"/>
  <c r="I30" i="6"/>
  <c r="I21" i="6"/>
  <c r="G26" i="7" l="1" a="1"/>
  <c r="G26" i="7" s="1"/>
  <c r="E16" i="4"/>
  <c r="G59" i="7" a="1"/>
  <c r="G59" i="7" s="1"/>
  <c r="G70" i="7" a="1"/>
  <c r="G70" i="7" s="1"/>
  <c r="N16" i="4" s="1"/>
  <c r="F16" i="4"/>
  <c r="F70" i="7"/>
  <c r="L16" i="4" s="1"/>
  <c r="I72" i="7"/>
  <c r="C72" i="7" s="1" a="1"/>
  <c r="C72" i="7" s="1"/>
  <c r="K18" i="4" s="1"/>
  <c r="C61" i="7" a="1"/>
  <c r="C61" i="7" s="1"/>
  <c r="C17" i="7" a="1"/>
  <c r="C17" i="7" s="1"/>
  <c r="G17" i="7" s="1" a="1"/>
  <c r="G17" i="7" s="1"/>
  <c r="H18" i="4" s="1"/>
  <c r="I71" i="7"/>
  <c r="C71" i="7" s="1" a="1"/>
  <c r="C71" i="7" s="1"/>
  <c r="K17" i="4" s="1"/>
  <c r="C60" i="7" a="1"/>
  <c r="C60" i="7" s="1"/>
  <c r="F26" i="7"/>
  <c r="F59" i="7"/>
  <c r="C18" i="7" a="1"/>
  <c r="C18" i="7" s="1"/>
  <c r="G18" i="7" s="1" a="1"/>
  <c r="G18" i="7" s="1"/>
  <c r="H19" i="4" s="1"/>
  <c r="C32" i="7" a="1"/>
  <c r="C32" i="7" s="1"/>
  <c r="I73" i="7"/>
  <c r="C73" i="7" s="1" a="1"/>
  <c r="C73" i="7" s="1"/>
  <c r="K19" i="4" s="1"/>
  <c r="C62" i="7" a="1"/>
  <c r="C62" i="7" s="1"/>
  <c r="C31" i="7" a="1"/>
  <c r="C31" i="7" s="1"/>
  <c r="C19" i="7" a="1"/>
  <c r="C19" i="7" s="1"/>
  <c r="G19" i="7" s="1" a="1"/>
  <c r="G19" i="7" s="1"/>
  <c r="H20" i="4" s="1"/>
  <c r="C30" i="7" a="1"/>
  <c r="C30" i="7" s="1"/>
  <c r="F52" i="7"/>
  <c r="C29" i="7" a="1"/>
  <c r="C29" i="7" s="1"/>
  <c r="F51" i="7"/>
  <c r="C20" i="7" a="1"/>
  <c r="C20" i="7" s="1"/>
  <c r="G20" i="7" s="1" a="1"/>
  <c r="G20" i="7" s="1"/>
  <c r="H21" i="4" s="1"/>
  <c r="C28" i="7" a="1"/>
  <c r="C28" i="7" s="1"/>
  <c r="C27" i="7" a="1"/>
  <c r="C27" i="7" s="1"/>
  <c r="C44" i="7" a="1"/>
  <c r="C44" i="7" s="1"/>
  <c r="G44" i="7" s="1" a="1"/>
  <c r="G44" i="7" s="1"/>
  <c r="C21" i="7" a="1"/>
  <c r="C21" i="7" s="1"/>
  <c r="G21" i="7" s="1" a="1"/>
  <c r="G21" i="7" s="1"/>
  <c r="H22" i="4" s="1"/>
  <c r="C43" i="7" a="1"/>
  <c r="C43" i="7" s="1"/>
  <c r="G43" i="7" s="1" a="1"/>
  <c r="G43" i="7" s="1"/>
  <c r="F55" i="7"/>
  <c r="C38" i="7" a="1"/>
  <c r="C38" i="7" s="1"/>
  <c r="G38" i="7" s="1" a="1"/>
  <c r="G38" i="7" s="1"/>
  <c r="C42" i="7" a="1"/>
  <c r="C42" i="7" s="1"/>
  <c r="G42" i="7" s="1" a="1"/>
  <c r="G42" i="7" s="1"/>
  <c r="I76" i="7"/>
  <c r="C76" i="7" s="1" a="1"/>
  <c r="C76" i="7" s="1"/>
  <c r="K22" i="4" s="1"/>
  <c r="C65" i="7" a="1"/>
  <c r="C65" i="7" s="1"/>
  <c r="C41" i="7" a="1"/>
  <c r="C41" i="7" s="1"/>
  <c r="G41" i="7" s="1" a="1"/>
  <c r="G41" i="7" s="1"/>
  <c r="C15" i="7" a="1"/>
  <c r="C15" i="7" s="1"/>
  <c r="G15" i="7" s="1" a="1"/>
  <c r="G15" i="7" s="1"/>
  <c r="H16" i="4" s="1"/>
  <c r="I75" i="7"/>
  <c r="C75" i="7" s="1" a="1"/>
  <c r="C75" i="7" s="1"/>
  <c r="K21" i="4" s="1"/>
  <c r="C64" i="7" a="1"/>
  <c r="C64" i="7" s="1"/>
  <c r="C40" i="7" a="1"/>
  <c r="C40" i="7" s="1"/>
  <c r="G40" i="7" s="1" a="1"/>
  <c r="G40" i="7" s="1"/>
  <c r="I74" i="7"/>
  <c r="C74" i="7" s="1" a="1"/>
  <c r="C74" i="7" s="1"/>
  <c r="K20" i="4" s="1"/>
  <c r="C63" i="7" a="1"/>
  <c r="C63" i="7" s="1"/>
  <c r="F53" i="7"/>
  <c r="C39" i="7" a="1"/>
  <c r="C39" i="7" s="1"/>
  <c r="G39" i="7" s="1" a="1"/>
  <c r="G39" i="7" s="1"/>
  <c r="C16" i="7" a="1"/>
  <c r="C16" i="7" s="1"/>
  <c r="G16" i="7" s="1" a="1"/>
  <c r="G16" i="7" s="1"/>
  <c r="H17" i="4" s="1"/>
  <c r="I79" i="7"/>
  <c r="I70" i="7"/>
  <c r="I80" i="7"/>
  <c r="C80" i="7" s="1" a="1"/>
  <c r="C80" i="7" s="1"/>
  <c r="C21" i="6" a="1"/>
  <c r="C21" i="6" s="1"/>
  <c r="G21" i="6" s="1" a="1"/>
  <c r="G21" i="6" s="1"/>
  <c r="C30" i="6" a="1"/>
  <c r="C30" i="6" s="1"/>
  <c r="G30" i="6" s="1" a="1"/>
  <c r="G30" i="6" s="1"/>
  <c r="C29" i="6" a="1"/>
  <c r="C29" i="6" s="1"/>
  <c r="G29" i="6" s="1" a="1"/>
  <c r="G29" i="6" s="1"/>
  <c r="C28" i="6" a="1"/>
  <c r="C28" i="6" s="1"/>
  <c r="G28" i="6" s="1" a="1"/>
  <c r="G28" i="6" s="1"/>
  <c r="C27" i="6" a="1"/>
  <c r="C27" i="6" s="1"/>
  <c r="G27" i="6" s="1" a="1"/>
  <c r="G27" i="6" s="1"/>
  <c r="C26" i="6" a="1"/>
  <c r="C26" i="6" s="1"/>
  <c r="G26" i="6" s="1" a="1"/>
  <c r="G26" i="6" s="1"/>
  <c r="C25" i="6" a="1"/>
  <c r="C25" i="6" s="1"/>
  <c r="G25" i="6" s="1" a="1"/>
  <c r="G25" i="6" s="1"/>
  <c r="C36" i="6" a="1"/>
  <c r="C36" i="6" s="1"/>
  <c r="C24" i="6" a="1"/>
  <c r="C24" i="6" s="1"/>
  <c r="G24" i="6" s="1" a="1"/>
  <c r="G24" i="6" s="1"/>
  <c r="C40" i="6" a="1"/>
  <c r="C40" i="6" s="1"/>
  <c r="C23" i="6" a="1"/>
  <c r="C23" i="6" s="1"/>
  <c r="G23" i="6" s="1" a="1"/>
  <c r="G23" i="6" s="1"/>
  <c r="C39" i="6" a="1"/>
  <c r="C39" i="6" s="1"/>
  <c r="C38" i="6" a="1"/>
  <c r="C38" i="6" s="1"/>
  <c r="C22" i="6" a="1"/>
  <c r="C22" i="6" s="1"/>
  <c r="G22" i="6" s="1" a="1"/>
  <c r="G22" i="6" s="1"/>
  <c r="C37" i="6" a="1"/>
  <c r="C37" i="6" s="1"/>
  <c r="I55" i="6"/>
  <c r="I56" i="6"/>
  <c r="I57" i="6"/>
  <c r="I58" i="6"/>
  <c r="I54" i="6"/>
  <c r="I46" i="6"/>
  <c r="I48" i="6"/>
  <c r="I45" i="6"/>
  <c r="I47" i="6"/>
  <c r="I49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DG20" i="6"/>
  <c r="DH20" i="6"/>
  <c r="DI20" i="6"/>
  <c r="DJ20" i="6"/>
  <c r="DK20" i="6"/>
  <c r="DL20" i="6"/>
  <c r="DM20" i="6"/>
  <c r="DN20" i="6"/>
  <c r="DO20" i="6"/>
  <c r="DP20" i="6"/>
  <c r="DQ20" i="6"/>
  <c r="DR20" i="6"/>
  <c r="DS20" i="6"/>
  <c r="DT20" i="6"/>
  <c r="DU20" i="6"/>
  <c r="DV20" i="6"/>
  <c r="DW20" i="6"/>
  <c r="DX20" i="6"/>
  <c r="DY20" i="6"/>
  <c r="DZ20" i="6"/>
  <c r="EA20" i="6"/>
  <c r="EB20" i="6"/>
  <c r="EC20" i="6"/>
  <c r="ED20" i="6"/>
  <c r="EE20" i="6"/>
  <c r="EF20" i="6"/>
  <c r="EG20" i="6"/>
  <c r="EH20" i="6"/>
  <c r="EI20" i="6"/>
  <c r="EJ20" i="6"/>
  <c r="EK20" i="6"/>
  <c r="EL20" i="6"/>
  <c r="EM20" i="6"/>
  <c r="EN20" i="6"/>
  <c r="EO20" i="6"/>
  <c r="EP20" i="6"/>
  <c r="EQ20" i="6"/>
  <c r="ER20" i="6"/>
  <c r="ES20" i="6"/>
  <c r="ET20" i="6"/>
  <c r="EU20" i="6"/>
  <c r="EV20" i="6"/>
  <c r="EW20" i="6"/>
  <c r="EX20" i="6"/>
  <c r="EY20" i="6"/>
  <c r="EZ20" i="6"/>
  <c r="FA20" i="6"/>
  <c r="FB20" i="6"/>
  <c r="FC20" i="6"/>
  <c r="FD20" i="6"/>
  <c r="FE20" i="6"/>
  <c r="FF20" i="6"/>
  <c r="FG20" i="6"/>
  <c r="FH20" i="6"/>
  <c r="FI20" i="6"/>
  <c r="FJ20" i="6"/>
  <c r="FK20" i="6"/>
  <c r="FL20" i="6"/>
  <c r="FM20" i="6"/>
  <c r="FN20" i="6"/>
  <c r="FO20" i="6"/>
  <c r="FP20" i="6"/>
  <c r="FQ20" i="6"/>
  <c r="FR20" i="6"/>
  <c r="FS20" i="6"/>
  <c r="FT20" i="6"/>
  <c r="FU20" i="6"/>
  <c r="FV20" i="6"/>
  <c r="FW20" i="6"/>
  <c r="FX20" i="6"/>
  <c r="FY20" i="6"/>
  <c r="FZ20" i="6"/>
  <c r="GA20" i="6"/>
  <c r="I20" i="6"/>
  <c r="I35" i="6" s="1"/>
  <c r="I44" i="6" s="1"/>
  <c r="I53" i="6" s="1"/>
  <c r="I61" i="6" s="1"/>
  <c r="I70" i="6" s="1"/>
  <c r="I81" i="6" s="1"/>
  <c r="G32" i="7" l="1" a="1"/>
  <c r="G32" i="7" s="1"/>
  <c r="E22" i="4"/>
  <c r="G76" i="7" a="1"/>
  <c r="G76" i="7" s="1"/>
  <c r="N22" i="4" s="1"/>
  <c r="G65" i="7" a="1"/>
  <c r="G65" i="7" s="1"/>
  <c r="F76" i="7"/>
  <c r="L22" i="4" s="1"/>
  <c r="F22" i="4"/>
  <c r="G75" i="7" a="1"/>
  <c r="G75" i="7" s="1"/>
  <c r="N21" i="4" s="1"/>
  <c r="G64" i="7" a="1"/>
  <c r="G64" i="7" s="1"/>
  <c r="F75" i="7"/>
  <c r="L21" i="4" s="1"/>
  <c r="F21" i="4"/>
  <c r="G31" i="7" a="1"/>
  <c r="G31" i="7" s="1"/>
  <c r="E21" i="4"/>
  <c r="G30" i="7" a="1"/>
  <c r="G30" i="7" s="1"/>
  <c r="E20" i="4"/>
  <c r="G74" i="7" a="1"/>
  <c r="G74" i="7" s="1"/>
  <c r="N20" i="4" s="1"/>
  <c r="G63" i="7" a="1"/>
  <c r="G63" i="7" s="1"/>
  <c r="F74" i="7"/>
  <c r="L20" i="4" s="1"/>
  <c r="F20" i="4"/>
  <c r="G29" i="7" a="1"/>
  <c r="G29" i="7" s="1"/>
  <c r="E19" i="4"/>
  <c r="G73" i="7" a="1"/>
  <c r="G73" i="7" s="1"/>
  <c r="N19" i="4" s="1"/>
  <c r="G62" i="7" a="1"/>
  <c r="G62" i="7" s="1"/>
  <c r="F19" i="4"/>
  <c r="F73" i="7"/>
  <c r="L19" i="4" s="1"/>
  <c r="G28" i="7" a="1"/>
  <c r="G28" i="7" s="1"/>
  <c r="E18" i="4"/>
  <c r="G72" i="7" a="1"/>
  <c r="G72" i="7" s="1"/>
  <c r="N18" i="4" s="1"/>
  <c r="G61" i="7" a="1"/>
  <c r="G61" i="7" s="1"/>
  <c r="F72" i="7"/>
  <c r="L18" i="4" s="1"/>
  <c r="F18" i="4"/>
  <c r="G71" i="7" a="1"/>
  <c r="G71" i="7" s="1"/>
  <c r="N17" i="4" s="1"/>
  <c r="G60" i="7" a="1"/>
  <c r="G60" i="7" s="1"/>
  <c r="F17" i="4"/>
  <c r="F71" i="7"/>
  <c r="L17" i="4" s="1"/>
  <c r="G27" i="7" a="1"/>
  <c r="G27" i="7" s="1"/>
  <c r="E17" i="4"/>
  <c r="G80" i="7" a="1"/>
  <c r="G80" i="7" s="1"/>
  <c r="F84" i="7"/>
  <c r="F24" i="4"/>
  <c r="G37" i="6" a="1"/>
  <c r="G37" i="6" s="1"/>
  <c r="H5" i="4" s="1"/>
  <c r="D5" i="4"/>
  <c r="G38" i="6" a="1"/>
  <c r="G38" i="6" s="1"/>
  <c r="H6" i="4" s="1"/>
  <c r="D6" i="4"/>
  <c r="G40" i="6" a="1"/>
  <c r="G40" i="6" s="1"/>
  <c r="H8" i="4" s="1"/>
  <c r="D8" i="4"/>
  <c r="G39" i="6" a="1"/>
  <c r="G39" i="6" s="1"/>
  <c r="H7" i="4" s="1"/>
  <c r="D7" i="4"/>
  <c r="G36" i="6" a="1"/>
  <c r="G36" i="6" s="1"/>
  <c r="H4" i="4" s="1"/>
  <c r="D4" i="4"/>
  <c r="F44" i="7"/>
  <c r="F39" i="7"/>
  <c r="F21" i="7"/>
  <c r="I22" i="4" s="1"/>
  <c r="F32" i="7"/>
  <c r="F64" i="7"/>
  <c r="F28" i="7"/>
  <c r="F27" i="7"/>
  <c r="F20" i="7"/>
  <c r="I21" i="4" s="1"/>
  <c r="F18" i="7"/>
  <c r="I19" i="4" s="1"/>
  <c r="F15" i="7"/>
  <c r="I16" i="4" s="1"/>
  <c r="F80" i="7"/>
  <c r="I84" i="7"/>
  <c r="C84" i="7" s="1" a="1"/>
  <c r="C84" i="7" s="1"/>
  <c r="K24" i="4" s="1"/>
  <c r="C70" i="7" a="1"/>
  <c r="C70" i="7" s="1"/>
  <c r="K16" i="4" s="1"/>
  <c r="F40" i="7"/>
  <c r="F41" i="7"/>
  <c r="F63" i="7"/>
  <c r="F65" i="7"/>
  <c r="F29" i="7"/>
  <c r="C79" i="7" a="1"/>
  <c r="C79" i="7" s="1"/>
  <c r="F42" i="7"/>
  <c r="F60" i="7"/>
  <c r="F30" i="7"/>
  <c r="F16" i="7"/>
  <c r="I17" i="4" s="1"/>
  <c r="F19" i="7"/>
  <c r="I20" i="4" s="1"/>
  <c r="F17" i="7"/>
  <c r="I18" i="4" s="1"/>
  <c r="F38" i="7"/>
  <c r="F43" i="7"/>
  <c r="F31" i="7"/>
  <c r="F61" i="7"/>
  <c r="F62" i="7"/>
  <c r="F37" i="6"/>
  <c r="I5" i="4" s="1"/>
  <c r="F38" i="6"/>
  <c r="I6" i="4" s="1"/>
  <c r="F39" i="6"/>
  <c r="I7" i="4" s="1"/>
  <c r="F40" i="6"/>
  <c r="I8" i="4" s="1"/>
  <c r="F22" i="6"/>
  <c r="F23" i="6"/>
  <c r="F24" i="6"/>
  <c r="F36" i="6"/>
  <c r="I4" i="4" s="1"/>
  <c r="F25" i="6"/>
  <c r="F26" i="6"/>
  <c r="F27" i="6"/>
  <c r="F28" i="6"/>
  <c r="F29" i="6"/>
  <c r="F30" i="6"/>
  <c r="F21" i="6"/>
  <c r="C45" i="6" a="1"/>
  <c r="C45" i="6" s="1"/>
  <c r="G45" i="6" s="1" a="1"/>
  <c r="G45" i="6" s="1"/>
  <c r="C48" i="6" a="1"/>
  <c r="C48" i="6" s="1"/>
  <c r="I62" i="6"/>
  <c r="C62" i="6" s="1" a="1"/>
  <c r="C62" i="6" s="1"/>
  <c r="G62" i="6" s="1" a="1"/>
  <c r="G62" i="6" s="1"/>
  <c r="C54" i="6" a="1"/>
  <c r="C54" i="6" s="1"/>
  <c r="G54" i="6" s="1" a="1"/>
  <c r="G54" i="6" s="1"/>
  <c r="C46" i="6" a="1"/>
  <c r="C46" i="6" s="1"/>
  <c r="I66" i="6"/>
  <c r="C58" i="6" a="1"/>
  <c r="C58" i="6" s="1"/>
  <c r="G58" i="6" s="1" a="1"/>
  <c r="G58" i="6" s="1"/>
  <c r="I65" i="6"/>
  <c r="C57" i="6" a="1"/>
  <c r="C57" i="6" s="1"/>
  <c r="G57" i="6" s="1" a="1"/>
  <c r="G57" i="6" s="1"/>
  <c r="I64" i="6"/>
  <c r="C56" i="6" a="1"/>
  <c r="C56" i="6" s="1"/>
  <c r="G56" i="6" s="1" a="1"/>
  <c r="G56" i="6" s="1"/>
  <c r="I63" i="6"/>
  <c r="C55" i="6" a="1"/>
  <c r="C55" i="6" s="1"/>
  <c r="G55" i="6" s="1" a="1"/>
  <c r="G55" i="6" s="1"/>
  <c r="C49" i="6" a="1"/>
  <c r="C49" i="6" s="1"/>
  <c r="C47" i="6" a="1"/>
  <c r="C47" i="6" s="1"/>
  <c r="I85" i="6"/>
  <c r="I82" i="6"/>
  <c r="G79" i="7" l="1" a="1"/>
  <c r="G79" i="7" s="1"/>
  <c r="H24" i="4" s="1"/>
  <c r="E24" i="4"/>
  <c r="G84" i="7" a="1"/>
  <c r="G84" i="7" s="1"/>
  <c r="N24" i="4" s="1"/>
  <c r="L24" i="4"/>
  <c r="E8" i="4"/>
  <c r="G49" i="6" a="1"/>
  <c r="G49" i="6" s="1"/>
  <c r="E6" i="4"/>
  <c r="G47" i="6" a="1"/>
  <c r="G47" i="6" s="1"/>
  <c r="E5" i="4"/>
  <c r="G46" i="6" a="1"/>
  <c r="G46" i="6" s="1"/>
  <c r="E7" i="4"/>
  <c r="G48" i="6" a="1"/>
  <c r="G48" i="6" s="1"/>
  <c r="I83" i="6"/>
  <c r="G71" i="6" a="1"/>
  <c r="G71" i="6" s="1"/>
  <c r="N4" i="4" s="1"/>
  <c r="F4" i="4"/>
  <c r="E4" i="4"/>
  <c r="F79" i="7"/>
  <c r="I24" i="4" s="1"/>
  <c r="F55" i="6"/>
  <c r="F56" i="6"/>
  <c r="F57" i="6"/>
  <c r="F58" i="6"/>
  <c r="F46" i="6"/>
  <c r="F71" i="6"/>
  <c r="L4" i="4" s="1"/>
  <c r="F48" i="6"/>
  <c r="F47" i="6"/>
  <c r="F49" i="6"/>
  <c r="F54" i="6"/>
  <c r="F62" i="6"/>
  <c r="F45" i="6"/>
  <c r="C83" i="6" a="1"/>
  <c r="C83" i="6" s="1"/>
  <c r="I71" i="6"/>
  <c r="C82" i="6" a="1"/>
  <c r="C82" i="6" s="1"/>
  <c r="I72" i="6"/>
  <c r="C72" i="6" s="1" a="1"/>
  <c r="C72" i="6" s="1"/>
  <c r="K5" i="4" s="1"/>
  <c r="C63" i="6" a="1"/>
  <c r="C63" i="6" s="1"/>
  <c r="G63" i="6" s="1" a="1"/>
  <c r="G63" i="6" s="1"/>
  <c r="I73" i="6"/>
  <c r="C73" i="6" s="1" a="1"/>
  <c r="C73" i="6" s="1"/>
  <c r="K6" i="4" s="1"/>
  <c r="C64" i="6" a="1"/>
  <c r="C64" i="6" s="1"/>
  <c r="G64" i="6" s="1" a="1"/>
  <c r="G64" i="6" s="1"/>
  <c r="I74" i="6"/>
  <c r="C74" i="6" s="1" a="1"/>
  <c r="C74" i="6" s="1"/>
  <c r="K7" i="4" s="1"/>
  <c r="C65" i="6" a="1"/>
  <c r="C65" i="6" s="1"/>
  <c r="G65" i="6" s="1" a="1"/>
  <c r="G65" i="6" s="1"/>
  <c r="I75" i="6"/>
  <c r="C75" i="6" s="1" a="1"/>
  <c r="C75" i="6" s="1"/>
  <c r="K8" i="4" s="1"/>
  <c r="C66" i="6" a="1"/>
  <c r="C66" i="6" s="1"/>
  <c r="G66" i="6" s="1" a="1"/>
  <c r="G66" i="6" s="1"/>
  <c r="G82" i="6" l="1" a="1"/>
  <c r="G82" i="6" s="1"/>
  <c r="H10" i="4" s="1"/>
  <c r="E10" i="4"/>
  <c r="F86" i="6"/>
  <c r="G83" i="6" a="1"/>
  <c r="G83" i="6" s="1"/>
  <c r="F10" i="4"/>
  <c r="G75" i="6" a="1"/>
  <c r="G75" i="6" s="1"/>
  <c r="N8" i="4" s="1"/>
  <c r="F8" i="4"/>
  <c r="G74" i="6" a="1"/>
  <c r="G74" i="6" s="1"/>
  <c r="N7" i="4" s="1"/>
  <c r="F7" i="4"/>
  <c r="G72" i="6" a="1"/>
  <c r="G72" i="6" s="1"/>
  <c r="N5" i="4" s="1"/>
  <c r="F5" i="4"/>
  <c r="G73" i="6" a="1"/>
  <c r="G73" i="6" s="1"/>
  <c r="N6" i="4" s="1"/>
  <c r="F6" i="4"/>
  <c r="F65" i="6"/>
  <c r="F74" i="6"/>
  <c r="L7" i="4" s="1"/>
  <c r="F64" i="6"/>
  <c r="F73" i="6"/>
  <c r="L6" i="4" s="1"/>
  <c r="F83" i="6"/>
  <c r="F63" i="6"/>
  <c r="F72" i="6"/>
  <c r="L5" i="4" s="1"/>
  <c r="F66" i="6"/>
  <c r="F75" i="6"/>
  <c r="L8" i="4" s="1"/>
  <c r="F82" i="6"/>
  <c r="I10" i="4" s="1"/>
  <c r="I86" i="6"/>
  <c r="C86" i="6" s="1" a="1"/>
  <c r="C86" i="6" s="1"/>
  <c r="K10" i="4" s="1"/>
  <c r="C71" i="6" a="1"/>
  <c r="C71" i="6" s="1"/>
  <c r="K4" i="4" s="1"/>
  <c r="G86" i="6" l="1" a="1"/>
  <c r="G86" i="6" s="1"/>
  <c r="N10" i="4" s="1"/>
  <c r="L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<sst xmlns="http://schemas.openxmlformats.org/spreadsheetml/2006/main" count="204" uniqueCount="75">
  <si>
    <t>Prisma 2</t>
  </si>
  <si>
    <t>Danger Zone</t>
  </si>
  <si>
    <t>Prisma</t>
  </si>
  <si>
    <t>Horizon</t>
  </si>
  <si>
    <t>CS20</t>
  </si>
  <si>
    <t>Fracture</t>
  </si>
  <si>
    <t>Clutch</t>
  </si>
  <si>
    <t>Spectrum 2</t>
  </si>
  <si>
    <t>Spectrum</t>
  </si>
  <si>
    <t>Shattered Web</t>
  </si>
  <si>
    <t>Market Values</t>
  </si>
  <si>
    <t>Sale Revenue</t>
  </si>
  <si>
    <t>Investments</t>
  </si>
  <si>
    <t>Total Value Investments</t>
  </si>
  <si>
    <t>Sale Revenue Investments on Steam Market</t>
  </si>
  <si>
    <t>Sale Revenue on skinbaron</t>
  </si>
  <si>
    <t>Profit</t>
  </si>
  <si>
    <t>Totals</t>
  </si>
  <si>
    <t>Total Value</t>
  </si>
  <si>
    <t>Total Sale Revenue</t>
  </si>
  <si>
    <t>Total Profit</t>
  </si>
  <si>
    <t>M4 Dark Blossom FN</t>
  </si>
  <si>
    <t>M4 Dark Blossom MW</t>
  </si>
  <si>
    <t>P90 Sunset Lily FN</t>
  </si>
  <si>
    <t>Tec-9 Rust Leaf FN</t>
  </si>
  <si>
    <t>Tec-9 Rust Leaf MW</t>
  </si>
  <si>
    <t>XM1014 Banana Leaf FN</t>
  </si>
  <si>
    <t>XM1014 Banana Leaf MW</t>
  </si>
  <si>
    <t>Sale Revenue Steam Market</t>
  </si>
  <si>
    <t>Total Sale Revenue Steam Market</t>
  </si>
  <si>
    <t>Revenue skinbaron</t>
  </si>
  <si>
    <t>Total Revenue skinbaron</t>
  </si>
  <si>
    <t>Revenue</t>
  </si>
  <si>
    <t>Cases</t>
  </si>
  <si>
    <t>Name</t>
  </si>
  <si>
    <t>Amount</t>
  </si>
  <si>
    <t>Value</t>
  </si>
  <si>
    <t>Sale-Value</t>
  </si>
  <si>
    <t>14-day</t>
  </si>
  <si>
    <t>Profit/ Investment</t>
  </si>
  <si>
    <t>Last value</t>
  </si>
  <si>
    <t>Row number</t>
  </si>
  <si>
    <t>Since start</t>
  </si>
  <si>
    <t>Single Value</t>
  </si>
  <si>
    <t>Since May 15th 2021</t>
  </si>
  <si>
    <t>Row of last value</t>
  </si>
  <si>
    <t>14day</t>
  </si>
  <si>
    <t>Profit/ Investement change last 14days</t>
  </si>
  <si>
    <t>Skins</t>
  </si>
  <si>
    <t>Total</t>
  </si>
  <si>
    <t>Bayonet Rust Coat BS</t>
  </si>
  <si>
    <t>Butterfly Tiger Tooth FN</t>
  </si>
  <si>
    <t>Flip Knife Freehand Fn</t>
  </si>
  <si>
    <t>Karambit Ultraviolet FT</t>
  </si>
  <si>
    <t>Knives</t>
  </si>
  <si>
    <t>Total Revenue</t>
  </si>
  <si>
    <t>AWP</t>
  </si>
  <si>
    <t>Last Value</t>
  </si>
  <si>
    <t>Since start of tracking</t>
  </si>
  <si>
    <t>Fewer Dream MW</t>
  </si>
  <si>
    <t>Elite Build FT</t>
  </si>
  <si>
    <t>Stattrak Hyper Beast FT</t>
  </si>
  <si>
    <t>Mortis MW</t>
  </si>
  <si>
    <t>Boom MW</t>
  </si>
  <si>
    <t>Neo-Noir FN</t>
  </si>
  <si>
    <t>Atheris MW</t>
  </si>
  <si>
    <t>Stattrak Dragon King MW</t>
  </si>
  <si>
    <t>Desolate Space MW</t>
  </si>
  <si>
    <t>Bullet Rain MW</t>
  </si>
  <si>
    <t>Evil Daimyo FN</t>
  </si>
  <si>
    <t>Hellfire MW</t>
  </si>
  <si>
    <t>Neo-Noir MW</t>
  </si>
  <si>
    <t>The Battlestar FN</t>
  </si>
  <si>
    <t>Stattrak Cyber Security MW</t>
  </si>
  <si>
    <t>M4A4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</si>
</sst>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1" applyNumberFormat="1" applyFont="1"/>
    <xf numFmtId="10" fontId="0" fillId="0" borderId="0" xfId="0" applyNumberFormat="1"/>
    <xf numFmtId="0" fontId="4" fillId="0" borderId="0" xfId="2" applyNumberFormat="1" applyFont="1" applyAlignment="1">
      <alignment vertical="center"/>
    </xf>
    <xf numFmtId="0" fontId="0" fillId="0" borderId="0" xfId="0" applyFill="1"/>
    <xf numFmtId="0" fontId="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220"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  <dxf>
      <fill>
        <patternFill>
          <bgColor rgb="FFFF818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AA343"/>
        </patternFill>
      </fill>
    </dxf>
  </dxfs>
  <tableStyles count="0" defaultTableStyle="TableStyleMedium2" defaultPivotStyle="PivotStyleLight16"/>
  <colors>
    <mruColors>
      <color rgb="FF6AA34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Knives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Knife!$A$3</c:f>
              <c:strCache>
                <c:ptCount val="1"/>
                <c:pt idx="0">
                  <c:v>Bayonet Rust Coat BS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Knife!$I$2:$GA$2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Knife!$I$3:$GA$3</c:f>
              <c:numCache>
                <c:formatCode>General</c:formatCode>
                <c:ptCount val="175"/>
                <c:pt idx="0">
                  <c:v>196.27</c:v>
                </c:pt>
                <c:pt idx="1">
                  <c:v>201.82</c:v>
                </c:pt>
                <c:pt idx="3">
                  <c:v>197</c:v>
                </c:pt>
                <c:pt idx="5">
                  <c:v>196.88</c:v>
                </c:pt>
                <c:pt idx="6">
                  <c:v>207.18</c:v>
                </c:pt>
                <c:pt idx="7">
                  <c:v>209.46</c:v>
                </c:pt>
                <c:pt idx="8">
                  <c:v>201.89</c:v>
                </c:pt>
                <c:pt idx="9">
                  <c:v>202.48</c:v>
                </c:pt>
                <c:pt idx="10">
                  <c:v>196.23</c:v>
                </c:pt>
                <c:pt idx="11">
                  <c:v>204.01</c:v>
                </c:pt>
                <c:pt idx="12">
                  <c:v>206.61</c:v>
                </c:pt>
                <c:pt idx="13">
                  <c:v>209.15</c:v>
                </c:pt>
                <c:pt idx="14">
                  <c:v>207.58</c:v>
                </c:pt>
                <c:pt idx="15">
                  <c:v>207.32</c:v>
                </c:pt>
                <c:pt idx="16">
                  <c:v>202.17</c:v>
                </c:pt>
                <c:pt idx="17">
                  <c:v>201.3</c:v>
                </c:pt>
                <c:pt idx="18">
                  <c:v>201.79</c:v>
                </c:pt>
                <c:pt idx="19">
                  <c:v>203.29</c:v>
                </c:pt>
                <c:pt idx="20">
                  <c:v>201.2</c:v>
                </c:pt>
                <c:pt idx="21">
                  <c:v>207</c:v>
                </c:pt>
                <c:pt idx="22">
                  <c:v>207.01</c:v>
                </c:pt>
                <c:pt idx="23">
                  <c:v>197.73</c:v>
                </c:pt>
                <c:pt idx="24">
                  <c:v>197.35</c:v>
                </c:pt>
                <c:pt idx="25">
                  <c:v>177</c:v>
                </c:pt>
                <c:pt idx="26">
                  <c:v>187.92</c:v>
                </c:pt>
                <c:pt idx="27">
                  <c:v>200.49</c:v>
                </c:pt>
                <c:pt idx="28">
                  <c:v>189.75</c:v>
                </c:pt>
                <c:pt idx="29">
                  <c:v>189.75</c:v>
                </c:pt>
                <c:pt idx="30">
                  <c:v>194.76</c:v>
                </c:pt>
                <c:pt idx="32">
                  <c:v>191.96</c:v>
                </c:pt>
                <c:pt idx="33">
                  <c:v>194.37</c:v>
                </c:pt>
                <c:pt idx="34">
                  <c:v>195.23</c:v>
                </c:pt>
                <c:pt idx="35">
                  <c:v>207.13</c:v>
                </c:pt>
                <c:pt idx="36">
                  <c:v>205.44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1-41AA-B874-00B10776449E}"/>
            </c:ext>
          </c:extLst>
        </c:ser>
        <c:ser>
          <c:idx val="1"/>
          <c:order val="1"/>
          <c:tx>
            <c:strRef>
              <c:f>Knife!$A$4</c:f>
              <c:strCache>
                <c:ptCount val="1"/>
                <c:pt idx="0">
                  <c:v>Butterfly Tiger Tooth FN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Knife!$I$2:$GA$2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Knife!$I$4:$GA$4</c:f>
              <c:numCache>
                <c:formatCode>General</c:formatCode>
                <c:ptCount val="175"/>
                <c:pt idx="0">
                  <c:v>1201.5999999999999</c:v>
                </c:pt>
                <c:pt idx="1">
                  <c:v>1205.46</c:v>
                </c:pt>
                <c:pt idx="3">
                  <c:v>1261.0999999999999</c:v>
                </c:pt>
                <c:pt idx="5">
                  <c:v>1261.06</c:v>
                </c:pt>
                <c:pt idx="6">
                  <c:v>1261.06</c:v>
                </c:pt>
                <c:pt idx="7">
                  <c:v>1230.57</c:v>
                </c:pt>
                <c:pt idx="8">
                  <c:v>1294.3599999999999</c:v>
                </c:pt>
                <c:pt idx="9">
                  <c:v>1294.3599999999999</c:v>
                </c:pt>
                <c:pt idx="10">
                  <c:v>1290.31</c:v>
                </c:pt>
                <c:pt idx="11">
                  <c:v>1427.45</c:v>
                </c:pt>
                <c:pt idx="12">
                  <c:v>1391</c:v>
                </c:pt>
                <c:pt idx="13">
                  <c:v>1383.65</c:v>
                </c:pt>
                <c:pt idx="14">
                  <c:v>1363.98</c:v>
                </c:pt>
                <c:pt idx="15">
                  <c:v>1354.05</c:v>
                </c:pt>
                <c:pt idx="16">
                  <c:v>1341.3</c:v>
                </c:pt>
                <c:pt idx="17">
                  <c:v>1341.3</c:v>
                </c:pt>
                <c:pt idx="18">
                  <c:v>1354.94</c:v>
                </c:pt>
                <c:pt idx="19">
                  <c:v>1364.6</c:v>
                </c:pt>
                <c:pt idx="20">
                  <c:v>1349.99</c:v>
                </c:pt>
                <c:pt idx="21">
                  <c:v>1413.09</c:v>
                </c:pt>
                <c:pt idx="22">
                  <c:v>1484.68</c:v>
                </c:pt>
                <c:pt idx="23">
                  <c:v>1478.37</c:v>
                </c:pt>
                <c:pt idx="24">
                  <c:v>1473.65</c:v>
                </c:pt>
                <c:pt idx="25">
                  <c:v>1480.13</c:v>
                </c:pt>
                <c:pt idx="26">
                  <c:v>1494.04</c:v>
                </c:pt>
                <c:pt idx="27">
                  <c:v>1483.36</c:v>
                </c:pt>
                <c:pt idx="28">
                  <c:v>1503.05</c:v>
                </c:pt>
                <c:pt idx="29">
                  <c:v>1503.05</c:v>
                </c:pt>
                <c:pt idx="30">
                  <c:v>1459.48</c:v>
                </c:pt>
                <c:pt idx="32">
                  <c:v>1521.42</c:v>
                </c:pt>
                <c:pt idx="33">
                  <c:v>1521.38</c:v>
                </c:pt>
                <c:pt idx="34">
                  <c:v>1537.35</c:v>
                </c:pt>
                <c:pt idx="35">
                  <c:v>1495.3</c:v>
                </c:pt>
                <c:pt idx="36">
                  <c:v>1495.3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1-41AA-B874-00B10776449E}"/>
            </c:ext>
          </c:extLst>
        </c:ser>
        <c:ser>
          <c:idx val="2"/>
          <c:order val="2"/>
          <c:tx>
            <c:strRef>
              <c:f>Knife!$A$5</c:f>
              <c:strCache>
                <c:ptCount val="1"/>
                <c:pt idx="0">
                  <c:v>Flip Knife Freehand Fn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Knife!$I$2:$GA$2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Knife!$I$5:$GA$5</c:f>
              <c:numCache>
                <c:formatCode>General</c:formatCode>
                <c:ptCount val="175"/>
                <c:pt idx="0">
                  <c:v>194.62</c:v>
                </c:pt>
                <c:pt idx="1">
                  <c:v>191.6</c:v>
                </c:pt>
                <c:pt idx="3">
                  <c:v>180.11</c:v>
                </c:pt>
                <c:pt idx="5">
                  <c:v>192.42</c:v>
                </c:pt>
                <c:pt idx="6">
                  <c:v>192.42</c:v>
                </c:pt>
                <c:pt idx="7">
                  <c:v>191.29</c:v>
                </c:pt>
                <c:pt idx="8">
                  <c:v>183.02</c:v>
                </c:pt>
                <c:pt idx="9">
                  <c:v>190.84</c:v>
                </c:pt>
                <c:pt idx="10">
                  <c:v>183.2</c:v>
                </c:pt>
                <c:pt idx="11">
                  <c:v>188.79</c:v>
                </c:pt>
                <c:pt idx="12">
                  <c:v>188.98</c:v>
                </c:pt>
                <c:pt idx="13">
                  <c:v>181.09</c:v>
                </c:pt>
                <c:pt idx="14">
                  <c:v>190.1</c:v>
                </c:pt>
                <c:pt idx="15">
                  <c:v>189.75</c:v>
                </c:pt>
                <c:pt idx="16">
                  <c:v>180.74</c:v>
                </c:pt>
                <c:pt idx="17">
                  <c:v>189.61</c:v>
                </c:pt>
                <c:pt idx="18">
                  <c:v>186.36</c:v>
                </c:pt>
                <c:pt idx="19">
                  <c:v>180.21</c:v>
                </c:pt>
                <c:pt idx="20">
                  <c:v>164.58</c:v>
                </c:pt>
                <c:pt idx="21">
                  <c:v>169.76</c:v>
                </c:pt>
                <c:pt idx="22">
                  <c:v>185.28</c:v>
                </c:pt>
                <c:pt idx="23">
                  <c:v>178.84</c:v>
                </c:pt>
                <c:pt idx="24">
                  <c:v>182.71</c:v>
                </c:pt>
                <c:pt idx="25">
                  <c:v>183</c:v>
                </c:pt>
                <c:pt idx="26">
                  <c:v>180.69</c:v>
                </c:pt>
                <c:pt idx="27">
                  <c:v>181.39</c:v>
                </c:pt>
                <c:pt idx="28">
                  <c:v>182.07</c:v>
                </c:pt>
                <c:pt idx="29">
                  <c:v>179.68</c:v>
                </c:pt>
                <c:pt idx="30">
                  <c:v>177.52</c:v>
                </c:pt>
                <c:pt idx="32">
                  <c:v>174.42</c:v>
                </c:pt>
                <c:pt idx="33">
                  <c:v>162.15</c:v>
                </c:pt>
                <c:pt idx="34">
                  <c:v>186.19</c:v>
                </c:pt>
                <c:pt idx="35">
                  <c:v>171.12</c:v>
                </c:pt>
                <c:pt idx="36">
                  <c:v>168.49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21-41AA-B874-00B10776449E}"/>
            </c:ext>
          </c:extLst>
        </c:ser>
        <c:ser>
          <c:idx val="3"/>
          <c:order val="3"/>
          <c:tx>
            <c:strRef>
              <c:f>Knife!$A$6</c:f>
              <c:strCache>
                <c:ptCount val="1"/>
                <c:pt idx="0">
                  <c:v>Karambit Ultraviolet FT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Knife!$I$2:$GA$2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Knife!$I$6:$GA$6</c:f>
              <c:numCache>
                <c:formatCode>General</c:formatCode>
                <c:ptCount val="175"/>
                <c:pt idx="0">
                  <c:v>380.55</c:v>
                </c:pt>
                <c:pt idx="1">
                  <c:v>383.02</c:v>
                </c:pt>
                <c:pt idx="3">
                  <c:v>361.9</c:v>
                </c:pt>
                <c:pt idx="5">
                  <c:v>361.97</c:v>
                </c:pt>
                <c:pt idx="6">
                  <c:v>372.41</c:v>
                </c:pt>
                <c:pt idx="7">
                  <c:v>365.9</c:v>
                </c:pt>
                <c:pt idx="8">
                  <c:v>334.61</c:v>
                </c:pt>
                <c:pt idx="9">
                  <c:v>355.59</c:v>
                </c:pt>
                <c:pt idx="10">
                  <c:v>350.79</c:v>
                </c:pt>
                <c:pt idx="11">
                  <c:v>385.29</c:v>
                </c:pt>
                <c:pt idx="12">
                  <c:v>391.15</c:v>
                </c:pt>
                <c:pt idx="13">
                  <c:v>391.41</c:v>
                </c:pt>
                <c:pt idx="14">
                  <c:v>370.36</c:v>
                </c:pt>
                <c:pt idx="15">
                  <c:v>386.6</c:v>
                </c:pt>
                <c:pt idx="16">
                  <c:v>386.45</c:v>
                </c:pt>
                <c:pt idx="17">
                  <c:v>382.76</c:v>
                </c:pt>
                <c:pt idx="18">
                  <c:v>397.01</c:v>
                </c:pt>
                <c:pt idx="19">
                  <c:v>406.58</c:v>
                </c:pt>
                <c:pt idx="20">
                  <c:v>384.98</c:v>
                </c:pt>
                <c:pt idx="21">
                  <c:v>385.96</c:v>
                </c:pt>
                <c:pt idx="22">
                  <c:v>424.73</c:v>
                </c:pt>
                <c:pt idx="23">
                  <c:v>394.27</c:v>
                </c:pt>
                <c:pt idx="24">
                  <c:v>404.05</c:v>
                </c:pt>
                <c:pt idx="25">
                  <c:v>403.38</c:v>
                </c:pt>
                <c:pt idx="26">
                  <c:v>361.27</c:v>
                </c:pt>
                <c:pt idx="27">
                  <c:v>384.52</c:v>
                </c:pt>
                <c:pt idx="28">
                  <c:v>374.17</c:v>
                </c:pt>
                <c:pt idx="29">
                  <c:v>371.65</c:v>
                </c:pt>
                <c:pt idx="30">
                  <c:v>380.71</c:v>
                </c:pt>
                <c:pt idx="32">
                  <c:v>391.2</c:v>
                </c:pt>
                <c:pt idx="33">
                  <c:v>385.11</c:v>
                </c:pt>
                <c:pt idx="34">
                  <c:v>377.15</c:v>
                </c:pt>
                <c:pt idx="35">
                  <c:v>397.84</c:v>
                </c:pt>
                <c:pt idx="36">
                  <c:v>404.42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21-41AA-B874-00B107764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477008"/>
        <c:axId val="1483478256"/>
      </c:lineChart>
      <c:dateAx>
        <c:axId val="1483477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83478256"/>
        <c:crosses val="autoZero"/>
        <c:auto val="1"/>
        <c:lblOffset val="100"/>
        <c:baseTimeUnit val="days"/>
      </c:dateAx>
      <c:valAx>
        <c:axId val="14834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8347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AWP!$A$3</c:f>
              <c:strCache>
                <c:ptCount val="1"/>
                <c:pt idx="0">
                  <c:v>Fewer Dream MW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AWP!$I$2:$GA$2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AWP!$I$3:$GA$3</c:f>
              <c:numCache>
                <c:formatCode>General</c:formatCode>
                <c:ptCount val="175"/>
                <c:pt idx="0">
                  <c:v>7.47</c:v>
                </c:pt>
                <c:pt idx="1">
                  <c:v>7.52</c:v>
                </c:pt>
                <c:pt idx="3">
                  <c:v>7.36</c:v>
                </c:pt>
                <c:pt idx="5">
                  <c:v>7.24</c:v>
                </c:pt>
                <c:pt idx="6">
                  <c:v>7.42</c:v>
                </c:pt>
                <c:pt idx="7">
                  <c:v>7.21</c:v>
                </c:pt>
                <c:pt idx="8">
                  <c:v>7.03</c:v>
                </c:pt>
                <c:pt idx="9">
                  <c:v>7.44</c:v>
                </c:pt>
                <c:pt idx="10">
                  <c:v>7.33</c:v>
                </c:pt>
                <c:pt idx="11">
                  <c:v>6.98</c:v>
                </c:pt>
                <c:pt idx="12">
                  <c:v>6.95</c:v>
                </c:pt>
                <c:pt idx="13">
                  <c:v>6.92</c:v>
                </c:pt>
                <c:pt idx="14">
                  <c:v>7.05</c:v>
                </c:pt>
                <c:pt idx="15">
                  <c:v>6.62</c:v>
                </c:pt>
                <c:pt idx="16">
                  <c:v>6.71</c:v>
                </c:pt>
                <c:pt idx="17">
                  <c:v>7.14</c:v>
                </c:pt>
                <c:pt idx="18">
                  <c:v>6.86</c:v>
                </c:pt>
                <c:pt idx="19">
                  <c:v>7.3</c:v>
                </c:pt>
                <c:pt idx="20">
                  <c:v>7.04</c:v>
                </c:pt>
                <c:pt idx="21">
                  <c:v>6.9</c:v>
                </c:pt>
                <c:pt idx="22">
                  <c:v>7.02</c:v>
                </c:pt>
                <c:pt idx="23">
                  <c:v>7.37</c:v>
                </c:pt>
                <c:pt idx="24">
                  <c:v>7.3</c:v>
                </c:pt>
                <c:pt idx="25">
                  <c:v>7.22</c:v>
                </c:pt>
                <c:pt idx="26">
                  <c:v>6.99</c:v>
                </c:pt>
                <c:pt idx="27">
                  <c:v>6.85</c:v>
                </c:pt>
                <c:pt idx="28">
                  <c:v>7.14</c:v>
                </c:pt>
                <c:pt idx="29">
                  <c:v>7.02</c:v>
                </c:pt>
                <c:pt idx="30">
                  <c:v>6.63</c:v>
                </c:pt>
                <c:pt idx="32">
                  <c:v>7.16</c:v>
                </c:pt>
                <c:pt idx="33">
                  <c:v>6.84</c:v>
                </c:pt>
                <c:pt idx="34">
                  <c:v>7.09</c:v>
                </c:pt>
                <c:pt idx="35">
                  <c:v>7.09</c:v>
                </c:pt>
                <c:pt idx="36">
                  <c:v>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3-43C1-AD78-92BE7437E122}"/>
            </c:ext>
          </c:extLst>
        </c:ser>
        <c:ser>
          <c:idx val="1"/>
          <c:order val="1"/>
          <c:tx>
            <c:strRef>
              <c:f>AWP!$A$4</c:f>
              <c:strCache>
                <c:ptCount val="1"/>
                <c:pt idx="0">
                  <c:v>Elite Build FT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AWP!$I$2:$GA$2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AWP!$I$4:$GA$4</c:f>
              <c:numCache>
                <c:formatCode>General</c:formatCode>
                <c:ptCount val="175"/>
                <c:pt idx="0">
                  <c:v>6.81</c:v>
                </c:pt>
                <c:pt idx="1">
                  <c:v>7.26</c:v>
                </c:pt>
                <c:pt idx="3">
                  <c:v>7.22</c:v>
                </c:pt>
                <c:pt idx="5">
                  <c:v>6.73</c:v>
                </c:pt>
                <c:pt idx="6">
                  <c:v>6.71</c:v>
                </c:pt>
                <c:pt idx="7">
                  <c:v>6.73</c:v>
                </c:pt>
                <c:pt idx="8">
                  <c:v>6.97</c:v>
                </c:pt>
                <c:pt idx="9">
                  <c:v>7.34</c:v>
                </c:pt>
                <c:pt idx="10">
                  <c:v>7.18</c:v>
                </c:pt>
                <c:pt idx="11">
                  <c:v>6.93</c:v>
                </c:pt>
                <c:pt idx="12">
                  <c:v>6.5</c:v>
                </c:pt>
                <c:pt idx="13">
                  <c:v>6.4</c:v>
                </c:pt>
                <c:pt idx="14">
                  <c:v>7.28</c:v>
                </c:pt>
                <c:pt idx="15">
                  <c:v>7.32</c:v>
                </c:pt>
                <c:pt idx="16">
                  <c:v>7.71</c:v>
                </c:pt>
                <c:pt idx="17">
                  <c:v>7.27</c:v>
                </c:pt>
                <c:pt idx="18">
                  <c:v>7.36</c:v>
                </c:pt>
                <c:pt idx="19">
                  <c:v>7.14</c:v>
                </c:pt>
                <c:pt idx="20">
                  <c:v>7.32</c:v>
                </c:pt>
                <c:pt idx="21">
                  <c:v>7.2</c:v>
                </c:pt>
                <c:pt idx="22">
                  <c:v>7.6</c:v>
                </c:pt>
                <c:pt idx="23">
                  <c:v>7.54</c:v>
                </c:pt>
                <c:pt idx="24">
                  <c:v>7.66</c:v>
                </c:pt>
                <c:pt idx="25">
                  <c:v>7.49</c:v>
                </c:pt>
                <c:pt idx="26">
                  <c:v>7.08</c:v>
                </c:pt>
                <c:pt idx="27">
                  <c:v>7.24</c:v>
                </c:pt>
                <c:pt idx="28">
                  <c:v>7.41</c:v>
                </c:pt>
                <c:pt idx="29">
                  <c:v>7.1</c:v>
                </c:pt>
                <c:pt idx="30">
                  <c:v>7.33</c:v>
                </c:pt>
                <c:pt idx="32">
                  <c:v>6.91</c:v>
                </c:pt>
                <c:pt idx="33">
                  <c:v>7.03</c:v>
                </c:pt>
                <c:pt idx="34">
                  <c:v>7.38</c:v>
                </c:pt>
                <c:pt idx="35">
                  <c:v>7.19</c:v>
                </c:pt>
                <c:pt idx="36">
                  <c:v>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3-43C1-AD78-92BE7437E122}"/>
            </c:ext>
          </c:extLst>
        </c:ser>
        <c:ser>
          <c:idx val="2"/>
          <c:order val="2"/>
          <c:tx>
            <c:strRef>
              <c:f>AWP!$A$5</c:f>
              <c:strCache>
                <c:ptCount val="1"/>
                <c:pt idx="0">
                  <c:v>Stattrak Hyper Beast FT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AWP!$I$2:$GA$2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AWP!$I$5:$GA$5</c:f>
              <c:numCache>
                <c:formatCode>General</c:formatCode>
                <c:ptCount val="175"/>
                <c:pt idx="0">
                  <c:v>74.08</c:v>
                </c:pt>
                <c:pt idx="1">
                  <c:v>71.31</c:v>
                </c:pt>
                <c:pt idx="3">
                  <c:v>71.88</c:v>
                </c:pt>
                <c:pt idx="5">
                  <c:v>71.23</c:v>
                </c:pt>
                <c:pt idx="6">
                  <c:v>70.58</c:v>
                </c:pt>
                <c:pt idx="7">
                  <c:v>65.36</c:v>
                </c:pt>
                <c:pt idx="8">
                  <c:v>73.31</c:v>
                </c:pt>
                <c:pt idx="9">
                  <c:v>73.31</c:v>
                </c:pt>
                <c:pt idx="10">
                  <c:v>72.87</c:v>
                </c:pt>
                <c:pt idx="11">
                  <c:v>84.58</c:v>
                </c:pt>
                <c:pt idx="12">
                  <c:v>84.44</c:v>
                </c:pt>
                <c:pt idx="13">
                  <c:v>75.84</c:v>
                </c:pt>
                <c:pt idx="14">
                  <c:v>76.16</c:v>
                </c:pt>
                <c:pt idx="15">
                  <c:v>69.569999999999993</c:v>
                </c:pt>
                <c:pt idx="16">
                  <c:v>74.78</c:v>
                </c:pt>
                <c:pt idx="17">
                  <c:v>75.67</c:v>
                </c:pt>
                <c:pt idx="18">
                  <c:v>83.34</c:v>
                </c:pt>
                <c:pt idx="19">
                  <c:v>78.56</c:v>
                </c:pt>
                <c:pt idx="20">
                  <c:v>78.23</c:v>
                </c:pt>
                <c:pt idx="21">
                  <c:v>78.48</c:v>
                </c:pt>
                <c:pt idx="22">
                  <c:v>76.790000000000006</c:v>
                </c:pt>
                <c:pt idx="23">
                  <c:v>79.09</c:v>
                </c:pt>
                <c:pt idx="24">
                  <c:v>85.65</c:v>
                </c:pt>
                <c:pt idx="25">
                  <c:v>78.77</c:v>
                </c:pt>
                <c:pt idx="26">
                  <c:v>75</c:v>
                </c:pt>
                <c:pt idx="27">
                  <c:v>74.31</c:v>
                </c:pt>
                <c:pt idx="28">
                  <c:v>78.83</c:v>
                </c:pt>
                <c:pt idx="29">
                  <c:v>78.819999999999993</c:v>
                </c:pt>
                <c:pt idx="30">
                  <c:v>67.58</c:v>
                </c:pt>
                <c:pt idx="32">
                  <c:v>73.14</c:v>
                </c:pt>
                <c:pt idx="33">
                  <c:v>72.540000000000006</c:v>
                </c:pt>
                <c:pt idx="34">
                  <c:v>69.97</c:v>
                </c:pt>
                <c:pt idx="35">
                  <c:v>75.739999999999995</c:v>
                </c:pt>
                <c:pt idx="36">
                  <c:v>73.540000000000006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03-43C1-AD78-92BE7437E122}"/>
            </c:ext>
          </c:extLst>
        </c:ser>
        <c:ser>
          <c:idx val="3"/>
          <c:order val="3"/>
          <c:tx>
            <c:strRef>
              <c:f>AWP!$A$6</c:f>
              <c:strCache>
                <c:ptCount val="1"/>
                <c:pt idx="0">
                  <c:v>Mortis MW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AWP!$I$2:$GA$2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AWP!$I$6:$GA$6</c:f>
              <c:numCache>
                <c:formatCode>General</c:formatCode>
                <c:ptCount val="175"/>
                <c:pt idx="0">
                  <c:v>3.23</c:v>
                </c:pt>
                <c:pt idx="1">
                  <c:v>3.14</c:v>
                </c:pt>
                <c:pt idx="3">
                  <c:v>3.5</c:v>
                </c:pt>
                <c:pt idx="5">
                  <c:v>3.27</c:v>
                </c:pt>
                <c:pt idx="6">
                  <c:v>3.28</c:v>
                </c:pt>
                <c:pt idx="7">
                  <c:v>3.41</c:v>
                </c:pt>
                <c:pt idx="8">
                  <c:v>3.47</c:v>
                </c:pt>
                <c:pt idx="9">
                  <c:v>3.16</c:v>
                </c:pt>
                <c:pt idx="10">
                  <c:v>3.26</c:v>
                </c:pt>
                <c:pt idx="11">
                  <c:v>3.28</c:v>
                </c:pt>
                <c:pt idx="12">
                  <c:v>3.29</c:v>
                </c:pt>
                <c:pt idx="13">
                  <c:v>3.38</c:v>
                </c:pt>
                <c:pt idx="14">
                  <c:v>3.25</c:v>
                </c:pt>
                <c:pt idx="15">
                  <c:v>3.26</c:v>
                </c:pt>
                <c:pt idx="16">
                  <c:v>3.19</c:v>
                </c:pt>
                <c:pt idx="17">
                  <c:v>3.39</c:v>
                </c:pt>
                <c:pt idx="18">
                  <c:v>3.14</c:v>
                </c:pt>
                <c:pt idx="19">
                  <c:v>3.14</c:v>
                </c:pt>
                <c:pt idx="20">
                  <c:v>3.13</c:v>
                </c:pt>
                <c:pt idx="21">
                  <c:v>2.92</c:v>
                </c:pt>
                <c:pt idx="22">
                  <c:v>3.15</c:v>
                </c:pt>
                <c:pt idx="23">
                  <c:v>2.99</c:v>
                </c:pt>
                <c:pt idx="24">
                  <c:v>2.89</c:v>
                </c:pt>
                <c:pt idx="25">
                  <c:v>3.17</c:v>
                </c:pt>
                <c:pt idx="26">
                  <c:v>3.17</c:v>
                </c:pt>
                <c:pt idx="27">
                  <c:v>3.26</c:v>
                </c:pt>
                <c:pt idx="28">
                  <c:v>3.25</c:v>
                </c:pt>
                <c:pt idx="29">
                  <c:v>3.15</c:v>
                </c:pt>
                <c:pt idx="30">
                  <c:v>3.17</c:v>
                </c:pt>
                <c:pt idx="32">
                  <c:v>2.94</c:v>
                </c:pt>
                <c:pt idx="33">
                  <c:v>3.07</c:v>
                </c:pt>
                <c:pt idx="34">
                  <c:v>3.12</c:v>
                </c:pt>
                <c:pt idx="35">
                  <c:v>2.95</c:v>
                </c:pt>
                <c:pt idx="3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03-43C1-AD78-92BE7437E122}"/>
            </c:ext>
          </c:extLst>
        </c:ser>
        <c:ser>
          <c:idx val="4"/>
          <c:order val="4"/>
          <c:tx>
            <c:strRef>
              <c:f>AWP!$A$7</c:f>
              <c:strCache>
                <c:ptCount val="1"/>
                <c:pt idx="0">
                  <c:v>Boom MW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AWP!$I$2:$GA$2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AWP!$I$7:$GA$7</c:f>
              <c:numCache>
                <c:formatCode>General</c:formatCode>
                <c:ptCount val="175"/>
                <c:pt idx="0">
                  <c:v>52.57</c:v>
                </c:pt>
                <c:pt idx="1">
                  <c:v>50.84</c:v>
                </c:pt>
                <c:pt idx="3">
                  <c:v>61.12</c:v>
                </c:pt>
                <c:pt idx="5">
                  <c:v>54.92</c:v>
                </c:pt>
                <c:pt idx="6">
                  <c:v>54.99</c:v>
                </c:pt>
                <c:pt idx="7">
                  <c:v>52.25</c:v>
                </c:pt>
                <c:pt idx="8">
                  <c:v>56.03</c:v>
                </c:pt>
                <c:pt idx="9">
                  <c:v>55.57</c:v>
                </c:pt>
                <c:pt idx="10">
                  <c:v>54.76</c:v>
                </c:pt>
                <c:pt idx="11">
                  <c:v>54.99</c:v>
                </c:pt>
                <c:pt idx="12">
                  <c:v>54.7</c:v>
                </c:pt>
                <c:pt idx="13">
                  <c:v>52.32</c:v>
                </c:pt>
                <c:pt idx="14">
                  <c:v>54.62</c:v>
                </c:pt>
                <c:pt idx="15">
                  <c:v>55.38</c:v>
                </c:pt>
                <c:pt idx="16">
                  <c:v>53.77</c:v>
                </c:pt>
                <c:pt idx="17">
                  <c:v>56.08</c:v>
                </c:pt>
                <c:pt idx="18">
                  <c:v>56.08</c:v>
                </c:pt>
                <c:pt idx="19">
                  <c:v>57.36</c:v>
                </c:pt>
                <c:pt idx="20">
                  <c:v>55.4</c:v>
                </c:pt>
                <c:pt idx="21">
                  <c:v>55.27</c:v>
                </c:pt>
                <c:pt idx="22">
                  <c:v>54.17</c:v>
                </c:pt>
                <c:pt idx="23">
                  <c:v>54.77</c:v>
                </c:pt>
                <c:pt idx="24">
                  <c:v>55.31</c:v>
                </c:pt>
                <c:pt idx="25">
                  <c:v>55.82</c:v>
                </c:pt>
                <c:pt idx="26">
                  <c:v>55.54</c:v>
                </c:pt>
                <c:pt idx="27">
                  <c:v>56.84</c:v>
                </c:pt>
                <c:pt idx="28">
                  <c:v>57.3</c:v>
                </c:pt>
                <c:pt idx="29">
                  <c:v>59.89</c:v>
                </c:pt>
                <c:pt idx="30">
                  <c:v>57.73</c:v>
                </c:pt>
                <c:pt idx="32">
                  <c:v>57.74</c:v>
                </c:pt>
                <c:pt idx="33">
                  <c:v>58.36</c:v>
                </c:pt>
                <c:pt idx="34">
                  <c:v>56.78</c:v>
                </c:pt>
                <c:pt idx="35">
                  <c:v>57.68</c:v>
                </c:pt>
                <c:pt idx="36">
                  <c:v>56.97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03-43C1-AD78-92BE7437E122}"/>
            </c:ext>
          </c:extLst>
        </c:ser>
        <c:ser>
          <c:idx val="5"/>
          <c:order val="5"/>
          <c:tx>
            <c:strRef>
              <c:f>AWP!$A$8</c:f>
              <c:strCache>
                <c:ptCount val="1"/>
                <c:pt idx="0">
                  <c:v>Neo-Noir FN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AWP!$I$2:$GA$2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AWP!$I$8:$GA$8</c:f>
              <c:numCache>
                <c:formatCode>General</c:formatCode>
                <c:ptCount val="175"/>
                <c:pt idx="0">
                  <c:v>47</c:v>
                </c:pt>
                <c:pt idx="1">
                  <c:v>45.93</c:v>
                </c:pt>
                <c:pt idx="3">
                  <c:v>44.54</c:v>
                </c:pt>
                <c:pt idx="5">
                  <c:v>45.51</c:v>
                </c:pt>
                <c:pt idx="6">
                  <c:v>46.05</c:v>
                </c:pt>
                <c:pt idx="7">
                  <c:v>46.08</c:v>
                </c:pt>
                <c:pt idx="8">
                  <c:v>46.57</c:v>
                </c:pt>
                <c:pt idx="9">
                  <c:v>47.69</c:v>
                </c:pt>
                <c:pt idx="10">
                  <c:v>44.11</c:v>
                </c:pt>
                <c:pt idx="11">
                  <c:v>44.01</c:v>
                </c:pt>
                <c:pt idx="12">
                  <c:v>45.22</c:v>
                </c:pt>
                <c:pt idx="13">
                  <c:v>46.55</c:v>
                </c:pt>
                <c:pt idx="14">
                  <c:v>46.98</c:v>
                </c:pt>
                <c:pt idx="15">
                  <c:v>43.94</c:v>
                </c:pt>
                <c:pt idx="16">
                  <c:v>46.39</c:v>
                </c:pt>
                <c:pt idx="17">
                  <c:v>46.37</c:v>
                </c:pt>
                <c:pt idx="18">
                  <c:v>47.84</c:v>
                </c:pt>
                <c:pt idx="19">
                  <c:v>44.88</c:v>
                </c:pt>
                <c:pt idx="20">
                  <c:v>48.07</c:v>
                </c:pt>
                <c:pt idx="21">
                  <c:v>48.33</c:v>
                </c:pt>
                <c:pt idx="22">
                  <c:v>47.69</c:v>
                </c:pt>
                <c:pt idx="23">
                  <c:v>46.01</c:v>
                </c:pt>
                <c:pt idx="24">
                  <c:v>47.06</c:v>
                </c:pt>
                <c:pt idx="25">
                  <c:v>45.28</c:v>
                </c:pt>
                <c:pt idx="26">
                  <c:v>42.61</c:v>
                </c:pt>
                <c:pt idx="27">
                  <c:v>46.48</c:v>
                </c:pt>
                <c:pt idx="28">
                  <c:v>45.71</c:v>
                </c:pt>
                <c:pt idx="29">
                  <c:v>47.04</c:v>
                </c:pt>
                <c:pt idx="30">
                  <c:v>47.29</c:v>
                </c:pt>
                <c:pt idx="32">
                  <c:v>43.7</c:v>
                </c:pt>
                <c:pt idx="33">
                  <c:v>44.32</c:v>
                </c:pt>
                <c:pt idx="34">
                  <c:v>44.73</c:v>
                </c:pt>
                <c:pt idx="35">
                  <c:v>44.31</c:v>
                </c:pt>
                <c:pt idx="36">
                  <c:v>45.72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03-43C1-AD78-92BE7437E122}"/>
            </c:ext>
          </c:extLst>
        </c:ser>
        <c:ser>
          <c:idx val="6"/>
          <c:order val="6"/>
          <c:tx>
            <c:strRef>
              <c:f>AWP!$A$9</c:f>
              <c:strCache>
                <c:ptCount val="1"/>
                <c:pt idx="0">
                  <c:v>Atheris MW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AWP!$I$2:$GA$2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AWP!$I$9:$GA$9</c:f>
              <c:numCache>
                <c:formatCode>General</c:formatCode>
                <c:ptCount val="175"/>
                <c:pt idx="0">
                  <c:v>4.3099999999999996</c:v>
                </c:pt>
                <c:pt idx="1">
                  <c:v>4.54</c:v>
                </c:pt>
                <c:pt idx="3">
                  <c:v>4.37</c:v>
                </c:pt>
                <c:pt idx="5">
                  <c:v>4.41</c:v>
                </c:pt>
                <c:pt idx="6">
                  <c:v>4.16</c:v>
                </c:pt>
                <c:pt idx="7">
                  <c:v>4.4000000000000004</c:v>
                </c:pt>
                <c:pt idx="8">
                  <c:v>4.7300000000000004</c:v>
                </c:pt>
                <c:pt idx="9">
                  <c:v>4.6900000000000004</c:v>
                </c:pt>
                <c:pt idx="10">
                  <c:v>4.54</c:v>
                </c:pt>
                <c:pt idx="11">
                  <c:v>4.53</c:v>
                </c:pt>
                <c:pt idx="12">
                  <c:v>4.55</c:v>
                </c:pt>
                <c:pt idx="13">
                  <c:v>4.22</c:v>
                </c:pt>
                <c:pt idx="14">
                  <c:v>4.3899999999999997</c:v>
                </c:pt>
                <c:pt idx="15">
                  <c:v>4.2300000000000004</c:v>
                </c:pt>
                <c:pt idx="16">
                  <c:v>4.0599999999999996</c:v>
                </c:pt>
                <c:pt idx="17">
                  <c:v>4.2300000000000004</c:v>
                </c:pt>
                <c:pt idx="18">
                  <c:v>4.62</c:v>
                </c:pt>
                <c:pt idx="19">
                  <c:v>4.07</c:v>
                </c:pt>
                <c:pt idx="20">
                  <c:v>4.3</c:v>
                </c:pt>
                <c:pt idx="21">
                  <c:v>4.2300000000000004</c:v>
                </c:pt>
                <c:pt idx="22">
                  <c:v>4.21</c:v>
                </c:pt>
                <c:pt idx="23">
                  <c:v>4.25</c:v>
                </c:pt>
                <c:pt idx="24">
                  <c:v>4.25</c:v>
                </c:pt>
                <c:pt idx="25">
                  <c:v>4.22</c:v>
                </c:pt>
                <c:pt idx="26">
                  <c:v>4.2699999999999996</c:v>
                </c:pt>
                <c:pt idx="27">
                  <c:v>4.43</c:v>
                </c:pt>
                <c:pt idx="28">
                  <c:v>4.25</c:v>
                </c:pt>
                <c:pt idx="29">
                  <c:v>4.18</c:v>
                </c:pt>
                <c:pt idx="30">
                  <c:v>4.38</c:v>
                </c:pt>
                <c:pt idx="32">
                  <c:v>4.32</c:v>
                </c:pt>
                <c:pt idx="33">
                  <c:v>4.37</c:v>
                </c:pt>
                <c:pt idx="34">
                  <c:v>4.05</c:v>
                </c:pt>
                <c:pt idx="35">
                  <c:v>4.0199999999999996</c:v>
                </c:pt>
                <c:pt idx="36">
                  <c:v>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03-43C1-AD78-92BE7437E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195376"/>
        <c:axId val="1869195792"/>
      </c:lineChart>
      <c:dateAx>
        <c:axId val="1869195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69195792"/>
        <c:crosses val="autoZero"/>
        <c:auto val="1"/>
        <c:lblOffset val="100"/>
        <c:baseTimeUnit val="days"/>
      </c:dateAx>
      <c:valAx>
        <c:axId val="186919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691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M4A4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M4A4!$A$3</c:f>
              <c:strCache>
                <c:ptCount val="1"/>
                <c:pt idx="0">
                  <c:v>Stattrak Dragon King MW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M4A4!$I$2:$GA$2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M4A4!$I$3:$GA$3</c:f>
              <c:numCache>
                <c:formatCode>General</c:formatCode>
                <c:ptCount val="175"/>
                <c:pt idx="0">
                  <c:v>37.31</c:v>
                </c:pt>
                <c:pt idx="1">
                  <c:v>36.880000000000003</c:v>
                </c:pt>
                <c:pt idx="3">
                  <c:v>38.799999999999997</c:v>
                </c:pt>
                <c:pt idx="5">
                  <c:v>37.92</c:v>
                </c:pt>
                <c:pt idx="6">
                  <c:v>39.03</c:v>
                </c:pt>
                <c:pt idx="7">
                  <c:v>38.35</c:v>
                </c:pt>
                <c:pt idx="8">
                  <c:v>37.799999999999997</c:v>
                </c:pt>
                <c:pt idx="9">
                  <c:v>36.909999999999997</c:v>
                </c:pt>
                <c:pt idx="10">
                  <c:v>35.35</c:v>
                </c:pt>
                <c:pt idx="11">
                  <c:v>38.06</c:v>
                </c:pt>
                <c:pt idx="12">
                  <c:v>35.93</c:v>
                </c:pt>
                <c:pt idx="13">
                  <c:v>36.22</c:v>
                </c:pt>
                <c:pt idx="14">
                  <c:v>35.090000000000003</c:v>
                </c:pt>
                <c:pt idx="15">
                  <c:v>36.14</c:v>
                </c:pt>
                <c:pt idx="16">
                  <c:v>36.81</c:v>
                </c:pt>
                <c:pt idx="17">
                  <c:v>37.950000000000003</c:v>
                </c:pt>
                <c:pt idx="18">
                  <c:v>39.409999999999997</c:v>
                </c:pt>
                <c:pt idx="19">
                  <c:v>37.04</c:v>
                </c:pt>
                <c:pt idx="20">
                  <c:v>39.44</c:v>
                </c:pt>
                <c:pt idx="21">
                  <c:v>37.85</c:v>
                </c:pt>
                <c:pt idx="22">
                  <c:v>36.15</c:v>
                </c:pt>
                <c:pt idx="23">
                  <c:v>36.14</c:v>
                </c:pt>
                <c:pt idx="24">
                  <c:v>36.14</c:v>
                </c:pt>
                <c:pt idx="25">
                  <c:v>37.04</c:v>
                </c:pt>
                <c:pt idx="26">
                  <c:v>36.04</c:v>
                </c:pt>
                <c:pt idx="27">
                  <c:v>38.33</c:v>
                </c:pt>
                <c:pt idx="28">
                  <c:v>36.92</c:v>
                </c:pt>
                <c:pt idx="29">
                  <c:v>35.79</c:v>
                </c:pt>
                <c:pt idx="30">
                  <c:v>36.840000000000003</c:v>
                </c:pt>
                <c:pt idx="32">
                  <c:v>35.78</c:v>
                </c:pt>
                <c:pt idx="33">
                  <c:v>38.729999999999997</c:v>
                </c:pt>
                <c:pt idx="34">
                  <c:v>38.299999999999997</c:v>
                </c:pt>
                <c:pt idx="35">
                  <c:v>36.729999999999997</c:v>
                </c:pt>
                <c:pt idx="36">
                  <c:v>36.72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2-41CF-B93C-B51E2713D598}"/>
            </c:ext>
          </c:extLst>
        </c:ser>
        <c:ser>
          <c:idx val="1"/>
          <c:order val="1"/>
          <c:tx>
            <c:strRef>
              <c:f>M4A4!$A$4</c:f>
              <c:strCache>
                <c:ptCount val="1"/>
                <c:pt idx="0">
                  <c:v>Desolate Space MW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M4A4!$I$2:$GA$2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M4A4!$I$4:$GA$4</c:f>
              <c:numCache>
                <c:formatCode>General</c:formatCode>
                <c:ptCount val="175"/>
                <c:pt idx="0">
                  <c:v>13.77</c:v>
                </c:pt>
                <c:pt idx="1">
                  <c:v>14.43</c:v>
                </c:pt>
                <c:pt idx="3">
                  <c:v>13.96</c:v>
                </c:pt>
                <c:pt idx="5">
                  <c:v>13.19</c:v>
                </c:pt>
                <c:pt idx="6">
                  <c:v>14.41</c:v>
                </c:pt>
                <c:pt idx="7">
                  <c:v>14.08</c:v>
                </c:pt>
                <c:pt idx="8">
                  <c:v>14.66</c:v>
                </c:pt>
                <c:pt idx="9">
                  <c:v>13.65</c:v>
                </c:pt>
                <c:pt idx="10">
                  <c:v>13.29</c:v>
                </c:pt>
                <c:pt idx="11">
                  <c:v>13.64</c:v>
                </c:pt>
                <c:pt idx="12">
                  <c:v>13.24</c:v>
                </c:pt>
                <c:pt idx="13">
                  <c:v>13.22</c:v>
                </c:pt>
                <c:pt idx="14">
                  <c:v>13.98</c:v>
                </c:pt>
                <c:pt idx="15">
                  <c:v>13.53</c:v>
                </c:pt>
                <c:pt idx="16">
                  <c:v>13.74</c:v>
                </c:pt>
                <c:pt idx="17">
                  <c:v>13.68</c:v>
                </c:pt>
                <c:pt idx="18">
                  <c:v>13.85</c:v>
                </c:pt>
                <c:pt idx="19">
                  <c:v>12.95</c:v>
                </c:pt>
                <c:pt idx="20">
                  <c:v>13.12</c:v>
                </c:pt>
                <c:pt idx="21">
                  <c:v>13.6</c:v>
                </c:pt>
                <c:pt idx="22">
                  <c:v>13.04</c:v>
                </c:pt>
                <c:pt idx="23">
                  <c:v>14</c:v>
                </c:pt>
                <c:pt idx="24">
                  <c:v>13.51</c:v>
                </c:pt>
                <c:pt idx="25">
                  <c:v>13.59</c:v>
                </c:pt>
                <c:pt idx="26">
                  <c:v>13.03</c:v>
                </c:pt>
                <c:pt idx="27">
                  <c:v>12.55</c:v>
                </c:pt>
                <c:pt idx="28">
                  <c:v>13.36</c:v>
                </c:pt>
                <c:pt idx="29">
                  <c:v>12.62</c:v>
                </c:pt>
                <c:pt idx="30">
                  <c:v>13.47</c:v>
                </c:pt>
                <c:pt idx="32">
                  <c:v>13.58</c:v>
                </c:pt>
                <c:pt idx="33">
                  <c:v>12.59</c:v>
                </c:pt>
                <c:pt idx="34">
                  <c:v>13.77</c:v>
                </c:pt>
                <c:pt idx="35">
                  <c:v>13.84</c:v>
                </c:pt>
                <c:pt idx="36">
                  <c:v>12.76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2-41CF-B93C-B51E2713D598}"/>
            </c:ext>
          </c:extLst>
        </c:ser>
        <c:ser>
          <c:idx val="2"/>
          <c:order val="2"/>
          <c:tx>
            <c:strRef>
              <c:f>M4A4!$A$5</c:f>
              <c:strCache>
                <c:ptCount val="1"/>
                <c:pt idx="0">
                  <c:v>Bullet Rain MW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M4A4!$I$2:$GA$2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M4A4!$I$5:$GA$5</c:f>
              <c:numCache>
                <c:formatCode>General</c:formatCode>
                <c:ptCount val="175"/>
                <c:pt idx="0">
                  <c:v>17.309999999999999</c:v>
                </c:pt>
                <c:pt idx="1">
                  <c:v>16.39</c:v>
                </c:pt>
                <c:pt idx="3">
                  <c:v>18.760000000000002</c:v>
                </c:pt>
                <c:pt idx="5">
                  <c:v>18.239999999999998</c:v>
                </c:pt>
                <c:pt idx="6">
                  <c:v>18.28</c:v>
                </c:pt>
                <c:pt idx="7">
                  <c:v>17.510000000000002</c:v>
                </c:pt>
                <c:pt idx="8">
                  <c:v>17.170000000000002</c:v>
                </c:pt>
                <c:pt idx="9">
                  <c:v>18.43</c:v>
                </c:pt>
                <c:pt idx="10">
                  <c:v>17.95</c:v>
                </c:pt>
                <c:pt idx="11">
                  <c:v>18.690000000000001</c:v>
                </c:pt>
                <c:pt idx="12">
                  <c:v>17.260000000000002</c:v>
                </c:pt>
                <c:pt idx="13">
                  <c:v>18.41</c:v>
                </c:pt>
                <c:pt idx="14">
                  <c:v>18.350000000000001</c:v>
                </c:pt>
                <c:pt idx="15">
                  <c:v>18.91</c:v>
                </c:pt>
                <c:pt idx="16">
                  <c:v>17.68</c:v>
                </c:pt>
                <c:pt idx="17">
                  <c:v>18.25</c:v>
                </c:pt>
                <c:pt idx="18">
                  <c:v>18.32</c:v>
                </c:pt>
                <c:pt idx="19">
                  <c:v>18.260000000000002</c:v>
                </c:pt>
                <c:pt idx="20">
                  <c:v>17.87</c:v>
                </c:pt>
                <c:pt idx="21">
                  <c:v>18.21</c:v>
                </c:pt>
                <c:pt idx="22">
                  <c:v>18.78</c:v>
                </c:pt>
                <c:pt idx="23">
                  <c:v>17.96</c:v>
                </c:pt>
                <c:pt idx="24">
                  <c:v>16.98</c:v>
                </c:pt>
                <c:pt idx="25">
                  <c:v>17.059999999999999</c:v>
                </c:pt>
                <c:pt idx="26">
                  <c:v>17.260000000000002</c:v>
                </c:pt>
                <c:pt idx="27">
                  <c:v>17.79</c:v>
                </c:pt>
                <c:pt idx="28">
                  <c:v>17.079999999999998</c:v>
                </c:pt>
                <c:pt idx="29">
                  <c:v>17.43</c:v>
                </c:pt>
                <c:pt idx="30">
                  <c:v>17.100000000000001</c:v>
                </c:pt>
                <c:pt idx="32">
                  <c:v>17.04</c:v>
                </c:pt>
                <c:pt idx="33">
                  <c:v>18.010000000000002</c:v>
                </c:pt>
                <c:pt idx="34">
                  <c:v>18.59</c:v>
                </c:pt>
                <c:pt idx="35">
                  <c:v>17.54</c:v>
                </c:pt>
                <c:pt idx="36">
                  <c:v>17.149999999999999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62-41CF-B93C-B51E2713D598}"/>
            </c:ext>
          </c:extLst>
        </c:ser>
        <c:ser>
          <c:idx val="3"/>
          <c:order val="3"/>
          <c:tx>
            <c:strRef>
              <c:f>M4A4!$A$6</c:f>
              <c:strCache>
                <c:ptCount val="1"/>
                <c:pt idx="0">
                  <c:v>Evil Daimyo FN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M4A4!$I$2:$GA$2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M4A4!$I$6:$GA$6</c:f>
              <c:numCache>
                <c:formatCode>General</c:formatCode>
                <c:ptCount val="175"/>
                <c:pt idx="0">
                  <c:v>6.9</c:v>
                </c:pt>
                <c:pt idx="1">
                  <c:v>7.37</c:v>
                </c:pt>
                <c:pt idx="3">
                  <c:v>6.99</c:v>
                </c:pt>
                <c:pt idx="5">
                  <c:v>6.87</c:v>
                </c:pt>
                <c:pt idx="6">
                  <c:v>6.82</c:v>
                </c:pt>
                <c:pt idx="7">
                  <c:v>7.06</c:v>
                </c:pt>
                <c:pt idx="8">
                  <c:v>6.74</c:v>
                </c:pt>
                <c:pt idx="9">
                  <c:v>7.04</c:v>
                </c:pt>
                <c:pt idx="10">
                  <c:v>6.99</c:v>
                </c:pt>
                <c:pt idx="11">
                  <c:v>7.14</c:v>
                </c:pt>
                <c:pt idx="12">
                  <c:v>6.68</c:v>
                </c:pt>
                <c:pt idx="13">
                  <c:v>6.85</c:v>
                </c:pt>
                <c:pt idx="14">
                  <c:v>6.98</c:v>
                </c:pt>
                <c:pt idx="15">
                  <c:v>7.03</c:v>
                </c:pt>
                <c:pt idx="16">
                  <c:v>6.48</c:v>
                </c:pt>
                <c:pt idx="17">
                  <c:v>6.63</c:v>
                </c:pt>
                <c:pt idx="18">
                  <c:v>6.64</c:v>
                </c:pt>
                <c:pt idx="19">
                  <c:v>7.06</c:v>
                </c:pt>
                <c:pt idx="20">
                  <c:v>6.58</c:v>
                </c:pt>
                <c:pt idx="21">
                  <c:v>6.51</c:v>
                </c:pt>
                <c:pt idx="22">
                  <c:v>6.59</c:v>
                </c:pt>
                <c:pt idx="23">
                  <c:v>7.03</c:v>
                </c:pt>
                <c:pt idx="24">
                  <c:v>6.6</c:v>
                </c:pt>
                <c:pt idx="25">
                  <c:v>6.98</c:v>
                </c:pt>
                <c:pt idx="26">
                  <c:v>6.76</c:v>
                </c:pt>
                <c:pt idx="27">
                  <c:v>6.75</c:v>
                </c:pt>
                <c:pt idx="28">
                  <c:v>6.81</c:v>
                </c:pt>
                <c:pt idx="29">
                  <c:v>6.74</c:v>
                </c:pt>
                <c:pt idx="30">
                  <c:v>6.3</c:v>
                </c:pt>
                <c:pt idx="32">
                  <c:v>6.5</c:v>
                </c:pt>
                <c:pt idx="33">
                  <c:v>6.61</c:v>
                </c:pt>
                <c:pt idx="34">
                  <c:v>6.36</c:v>
                </c:pt>
                <c:pt idx="35">
                  <c:v>6.27</c:v>
                </c:pt>
                <c:pt idx="36">
                  <c:v>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62-41CF-B93C-B51E2713D598}"/>
            </c:ext>
          </c:extLst>
        </c:ser>
        <c:ser>
          <c:idx val="4"/>
          <c:order val="4"/>
          <c:tx>
            <c:strRef>
              <c:f>M4A4!$A$7</c:f>
              <c:strCache>
                <c:ptCount val="1"/>
                <c:pt idx="0">
                  <c:v>Hellfire MW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M4A4!$I$2:$GA$2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M4A4!$I$7:$GA$7</c:f>
              <c:numCache>
                <c:formatCode>General</c:formatCode>
                <c:ptCount val="175"/>
                <c:pt idx="0">
                  <c:v>26.86</c:v>
                </c:pt>
                <c:pt idx="1">
                  <c:v>25.93</c:v>
                </c:pt>
                <c:pt idx="3">
                  <c:v>25.2</c:v>
                </c:pt>
                <c:pt idx="5">
                  <c:v>26.25</c:v>
                </c:pt>
                <c:pt idx="6">
                  <c:v>26.3</c:v>
                </c:pt>
                <c:pt idx="7">
                  <c:v>26.9</c:v>
                </c:pt>
                <c:pt idx="8">
                  <c:v>24.86</c:v>
                </c:pt>
                <c:pt idx="9">
                  <c:v>27.3</c:v>
                </c:pt>
                <c:pt idx="10">
                  <c:v>25.21</c:v>
                </c:pt>
                <c:pt idx="11">
                  <c:v>26.11</c:v>
                </c:pt>
                <c:pt idx="12">
                  <c:v>27.42</c:v>
                </c:pt>
                <c:pt idx="13">
                  <c:v>27.34</c:v>
                </c:pt>
                <c:pt idx="14">
                  <c:v>27.33</c:v>
                </c:pt>
                <c:pt idx="15">
                  <c:v>28.52</c:v>
                </c:pt>
                <c:pt idx="16">
                  <c:v>28.58</c:v>
                </c:pt>
                <c:pt idx="17">
                  <c:v>29.09</c:v>
                </c:pt>
                <c:pt idx="18">
                  <c:v>29.49</c:v>
                </c:pt>
                <c:pt idx="19">
                  <c:v>28.06</c:v>
                </c:pt>
                <c:pt idx="20">
                  <c:v>32.92</c:v>
                </c:pt>
                <c:pt idx="21">
                  <c:v>38.33</c:v>
                </c:pt>
                <c:pt idx="22">
                  <c:v>35.700000000000003</c:v>
                </c:pt>
                <c:pt idx="23">
                  <c:v>31.47</c:v>
                </c:pt>
                <c:pt idx="24">
                  <c:v>31.14</c:v>
                </c:pt>
                <c:pt idx="25">
                  <c:v>31.54</c:v>
                </c:pt>
                <c:pt idx="26">
                  <c:v>31.16</c:v>
                </c:pt>
                <c:pt idx="27">
                  <c:v>30.56</c:v>
                </c:pt>
                <c:pt idx="28">
                  <c:v>28.3</c:v>
                </c:pt>
                <c:pt idx="29">
                  <c:v>28.18</c:v>
                </c:pt>
                <c:pt idx="30">
                  <c:v>30.93</c:v>
                </c:pt>
                <c:pt idx="32">
                  <c:v>29.64</c:v>
                </c:pt>
                <c:pt idx="33">
                  <c:v>29.97</c:v>
                </c:pt>
                <c:pt idx="34">
                  <c:v>29.16</c:v>
                </c:pt>
                <c:pt idx="35">
                  <c:v>31.3</c:v>
                </c:pt>
                <c:pt idx="36">
                  <c:v>31.97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62-41CF-B93C-B51E2713D598}"/>
            </c:ext>
          </c:extLst>
        </c:ser>
        <c:ser>
          <c:idx val="5"/>
          <c:order val="5"/>
          <c:tx>
            <c:strRef>
              <c:f>M4A4!$A$8</c:f>
              <c:strCache>
                <c:ptCount val="1"/>
                <c:pt idx="0">
                  <c:v>Neo-Noir MW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M4A4!$I$2:$GA$2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M4A4!$I$8:$GA$8</c:f>
              <c:numCache>
                <c:formatCode>General</c:formatCode>
                <c:ptCount val="175"/>
                <c:pt idx="0">
                  <c:v>29.07</c:v>
                </c:pt>
                <c:pt idx="1">
                  <c:v>29.37</c:v>
                </c:pt>
                <c:pt idx="3">
                  <c:v>26.79</c:v>
                </c:pt>
                <c:pt idx="5">
                  <c:v>27.5</c:v>
                </c:pt>
                <c:pt idx="6">
                  <c:v>27.26</c:v>
                </c:pt>
                <c:pt idx="7">
                  <c:v>28.86</c:v>
                </c:pt>
                <c:pt idx="8">
                  <c:v>27.29</c:v>
                </c:pt>
                <c:pt idx="9">
                  <c:v>25.83</c:v>
                </c:pt>
                <c:pt idx="10">
                  <c:v>26.17</c:v>
                </c:pt>
                <c:pt idx="11">
                  <c:v>25.72</c:v>
                </c:pt>
                <c:pt idx="12">
                  <c:v>27.42</c:v>
                </c:pt>
                <c:pt idx="13">
                  <c:v>25.94</c:v>
                </c:pt>
                <c:pt idx="14">
                  <c:v>26.04</c:v>
                </c:pt>
                <c:pt idx="15">
                  <c:v>25.26</c:v>
                </c:pt>
                <c:pt idx="16">
                  <c:v>27.4</c:v>
                </c:pt>
                <c:pt idx="17">
                  <c:v>27.17</c:v>
                </c:pt>
                <c:pt idx="18">
                  <c:v>26.02</c:v>
                </c:pt>
                <c:pt idx="19">
                  <c:v>26.27</c:v>
                </c:pt>
                <c:pt idx="20">
                  <c:v>27.83</c:v>
                </c:pt>
                <c:pt idx="21">
                  <c:v>26.99</c:v>
                </c:pt>
                <c:pt idx="22">
                  <c:v>25.85</c:v>
                </c:pt>
                <c:pt idx="23">
                  <c:v>28.1</c:v>
                </c:pt>
                <c:pt idx="24">
                  <c:v>26.37</c:v>
                </c:pt>
                <c:pt idx="25">
                  <c:v>26.59</c:v>
                </c:pt>
                <c:pt idx="26">
                  <c:v>25.22</c:v>
                </c:pt>
                <c:pt idx="27">
                  <c:v>24.19</c:v>
                </c:pt>
                <c:pt idx="28">
                  <c:v>27.33</c:v>
                </c:pt>
                <c:pt idx="29">
                  <c:v>26.95</c:v>
                </c:pt>
                <c:pt idx="30">
                  <c:v>25.25</c:v>
                </c:pt>
                <c:pt idx="32">
                  <c:v>25.64</c:v>
                </c:pt>
                <c:pt idx="33">
                  <c:v>25.32</c:v>
                </c:pt>
                <c:pt idx="34">
                  <c:v>26</c:v>
                </c:pt>
                <c:pt idx="35">
                  <c:v>26.58</c:v>
                </c:pt>
                <c:pt idx="36">
                  <c:v>24.86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62-41CF-B93C-B51E2713D598}"/>
            </c:ext>
          </c:extLst>
        </c:ser>
        <c:ser>
          <c:idx val="6"/>
          <c:order val="6"/>
          <c:tx>
            <c:strRef>
              <c:f>M4A4!$A$9</c:f>
              <c:strCache>
                <c:ptCount val="1"/>
                <c:pt idx="0">
                  <c:v>The Battlestar FN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M4A4!$I$2:$GA$2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M4A4!$I$9:$GA$9</c:f>
              <c:numCache>
                <c:formatCode>General</c:formatCode>
                <c:ptCount val="175"/>
                <c:pt idx="0">
                  <c:v>14.52</c:v>
                </c:pt>
                <c:pt idx="1">
                  <c:v>13.27</c:v>
                </c:pt>
                <c:pt idx="3">
                  <c:v>13.26</c:v>
                </c:pt>
                <c:pt idx="5">
                  <c:v>14.11</c:v>
                </c:pt>
                <c:pt idx="6">
                  <c:v>14.06</c:v>
                </c:pt>
                <c:pt idx="7">
                  <c:v>14.27</c:v>
                </c:pt>
                <c:pt idx="8">
                  <c:v>13.84</c:v>
                </c:pt>
                <c:pt idx="9">
                  <c:v>13.34</c:v>
                </c:pt>
                <c:pt idx="10">
                  <c:v>12.49</c:v>
                </c:pt>
                <c:pt idx="11">
                  <c:v>12.85</c:v>
                </c:pt>
                <c:pt idx="12">
                  <c:v>12.48</c:v>
                </c:pt>
                <c:pt idx="13">
                  <c:v>13.5</c:v>
                </c:pt>
                <c:pt idx="14">
                  <c:v>13.54</c:v>
                </c:pt>
                <c:pt idx="15">
                  <c:v>13.54</c:v>
                </c:pt>
                <c:pt idx="16">
                  <c:v>14.22</c:v>
                </c:pt>
                <c:pt idx="17">
                  <c:v>13.54</c:v>
                </c:pt>
                <c:pt idx="18">
                  <c:v>13.19</c:v>
                </c:pt>
                <c:pt idx="19">
                  <c:v>13.66</c:v>
                </c:pt>
                <c:pt idx="20">
                  <c:v>12.69</c:v>
                </c:pt>
                <c:pt idx="21">
                  <c:v>13.66</c:v>
                </c:pt>
                <c:pt idx="22">
                  <c:v>13.27</c:v>
                </c:pt>
                <c:pt idx="23">
                  <c:v>13.63</c:v>
                </c:pt>
                <c:pt idx="24">
                  <c:v>13.64</c:v>
                </c:pt>
                <c:pt idx="25">
                  <c:v>13.66</c:v>
                </c:pt>
                <c:pt idx="26">
                  <c:v>13.69</c:v>
                </c:pt>
                <c:pt idx="27">
                  <c:v>13.68</c:v>
                </c:pt>
                <c:pt idx="28">
                  <c:v>14.64</c:v>
                </c:pt>
                <c:pt idx="29">
                  <c:v>14.77</c:v>
                </c:pt>
                <c:pt idx="30">
                  <c:v>12.47</c:v>
                </c:pt>
                <c:pt idx="32">
                  <c:v>13.45</c:v>
                </c:pt>
                <c:pt idx="33">
                  <c:v>13.29</c:v>
                </c:pt>
                <c:pt idx="34">
                  <c:v>13.54</c:v>
                </c:pt>
                <c:pt idx="35">
                  <c:v>14.43</c:v>
                </c:pt>
                <c:pt idx="36">
                  <c:v>14.51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62-41CF-B93C-B51E2713D598}"/>
            </c:ext>
          </c:extLst>
        </c:ser>
        <c:ser>
          <c:idx val="7"/>
          <c:order val="7"/>
          <c:tx>
            <c:strRef>
              <c:f>M4A4!$A$10</c:f>
              <c:strCache>
                <c:ptCount val="1"/>
                <c:pt idx="0">
                  <c:v>Stattrak Cyber Security MW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M4A4!$I$2:$GA$2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M4A4!$I$10:$GA$10</c:f>
              <c:numCache>
                <c:formatCode>General</c:formatCode>
                <c:ptCount val="175"/>
                <c:pt idx="0">
                  <c:v>33.21</c:v>
                </c:pt>
                <c:pt idx="1">
                  <c:v>31.65</c:v>
                </c:pt>
                <c:pt idx="3">
                  <c:v>29.18</c:v>
                </c:pt>
                <c:pt idx="5">
                  <c:v>31.74</c:v>
                </c:pt>
                <c:pt idx="6">
                  <c:v>29.35</c:v>
                </c:pt>
                <c:pt idx="7">
                  <c:v>30.3</c:v>
                </c:pt>
                <c:pt idx="8">
                  <c:v>30.75</c:v>
                </c:pt>
                <c:pt idx="9">
                  <c:v>28.8</c:v>
                </c:pt>
                <c:pt idx="10">
                  <c:v>30.22</c:v>
                </c:pt>
                <c:pt idx="11">
                  <c:v>28.81</c:v>
                </c:pt>
                <c:pt idx="12">
                  <c:v>28.69</c:v>
                </c:pt>
                <c:pt idx="13">
                  <c:v>27.92</c:v>
                </c:pt>
                <c:pt idx="14">
                  <c:v>28.87</c:v>
                </c:pt>
                <c:pt idx="15">
                  <c:v>29.99</c:v>
                </c:pt>
                <c:pt idx="16">
                  <c:v>28.9</c:v>
                </c:pt>
                <c:pt idx="17">
                  <c:v>29.12</c:v>
                </c:pt>
                <c:pt idx="18">
                  <c:v>29.62</c:v>
                </c:pt>
                <c:pt idx="19">
                  <c:v>28.55</c:v>
                </c:pt>
                <c:pt idx="20">
                  <c:v>29.16</c:v>
                </c:pt>
                <c:pt idx="21">
                  <c:v>29.07</c:v>
                </c:pt>
                <c:pt idx="22">
                  <c:v>29.04</c:v>
                </c:pt>
                <c:pt idx="23">
                  <c:v>30.67</c:v>
                </c:pt>
                <c:pt idx="24">
                  <c:v>28.92</c:v>
                </c:pt>
                <c:pt idx="25">
                  <c:v>29.44</c:v>
                </c:pt>
                <c:pt idx="26">
                  <c:v>30.41</c:v>
                </c:pt>
                <c:pt idx="27">
                  <c:v>29.82</c:v>
                </c:pt>
                <c:pt idx="28">
                  <c:v>31.28</c:v>
                </c:pt>
                <c:pt idx="29">
                  <c:v>28.31</c:v>
                </c:pt>
                <c:pt idx="30">
                  <c:v>29.37</c:v>
                </c:pt>
                <c:pt idx="32">
                  <c:v>29.15</c:v>
                </c:pt>
                <c:pt idx="33">
                  <c:v>28.64</c:v>
                </c:pt>
                <c:pt idx="34">
                  <c:v>28.25</c:v>
                </c:pt>
                <c:pt idx="35">
                  <c:v>28.63</c:v>
                </c:pt>
                <c:pt idx="36">
                  <c:v>29.58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62-41CF-B93C-B51E2713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900352"/>
        <c:axId val="1880897024"/>
      </c:lineChart>
      <c:dateAx>
        <c:axId val="18809003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80897024"/>
        <c:crosses val="autoZero"/>
        <c:auto val="1"/>
        <c:lblOffset val="100"/>
        <c:baseTimeUnit val="days"/>
      </c:dateAx>
      <c:valAx>
        <c:axId val="18808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8090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Case-Investments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Value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Cases!$I$81:$GA$81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Cases!$I$82:$GA$82</c:f>
              <c:numCache>
                <c:formatCode>General</c:formatCode>
                <c:ptCount val="175"/>
                <c:pt idx="0">
                  <c:v>379.7</c:v>
                </c:pt>
                <c:pt idx="1">
                  <c:v>379.7</c:v>
                </c:pt>
                <c:pt idx="2">
                  <c:v>#N/A</c:v>
                </c:pt>
                <c:pt idx="3">
                  <c:v>379.7</c:v>
                </c:pt>
                <c:pt idx="4">
                  <c:v>#N/A</c:v>
                </c:pt>
                <c:pt idx="5">
                  <c:v>393.7</c:v>
                </c:pt>
                <c:pt idx="6">
                  <c:v>392.2</c:v>
                </c:pt>
                <c:pt idx="7">
                  <c:v>398.2</c:v>
                </c:pt>
                <c:pt idx="8">
                  <c:v>372.2</c:v>
                </c:pt>
                <c:pt idx="9">
                  <c:v>392.2</c:v>
                </c:pt>
                <c:pt idx="10">
                  <c:v>393.7</c:v>
                </c:pt>
                <c:pt idx="11">
                  <c:v>392.2</c:v>
                </c:pt>
                <c:pt idx="12">
                  <c:v>393.7</c:v>
                </c:pt>
                <c:pt idx="13">
                  <c:v>382.2</c:v>
                </c:pt>
                <c:pt idx="14">
                  <c:v>385.2</c:v>
                </c:pt>
                <c:pt idx="15">
                  <c:v>375.2</c:v>
                </c:pt>
                <c:pt idx="16">
                  <c:v>398.2</c:v>
                </c:pt>
                <c:pt idx="17">
                  <c:v>392.2</c:v>
                </c:pt>
                <c:pt idx="18">
                  <c:v>395.2</c:v>
                </c:pt>
                <c:pt idx="19">
                  <c:v>392.2</c:v>
                </c:pt>
                <c:pt idx="20">
                  <c:v>546.9</c:v>
                </c:pt>
                <c:pt idx="21">
                  <c:v>627.65</c:v>
                </c:pt>
                <c:pt idx="22">
                  <c:v>524.54999999999995</c:v>
                </c:pt>
                <c:pt idx="23">
                  <c:v>576.70000000000005</c:v>
                </c:pt>
                <c:pt idx="24">
                  <c:v>573.70000000000005</c:v>
                </c:pt>
                <c:pt idx="25">
                  <c:v>569.5</c:v>
                </c:pt>
                <c:pt idx="26">
                  <c:v>584.45000000000005</c:v>
                </c:pt>
                <c:pt idx="27">
                  <c:v>606.6</c:v>
                </c:pt>
                <c:pt idx="28">
                  <c:v>635.20000000000005</c:v>
                </c:pt>
                <c:pt idx="29">
                  <c:v>616.70000000000005</c:v>
                </c:pt>
                <c:pt idx="30">
                  <c:v>576.04999999999995</c:v>
                </c:pt>
                <c:pt idx="31">
                  <c:v>#N/A</c:v>
                </c:pt>
                <c:pt idx="32">
                  <c:v>545.95000000000005</c:v>
                </c:pt>
                <c:pt idx="33">
                  <c:v>532.95000000000005</c:v>
                </c:pt>
                <c:pt idx="34">
                  <c:v>530.15</c:v>
                </c:pt>
                <c:pt idx="35">
                  <c:v>557.45000000000005</c:v>
                </c:pt>
                <c:pt idx="36">
                  <c:v>551.65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4-45DD-96F2-834EE5EA7EFA}"/>
            </c:ext>
          </c:extLst>
        </c:ser>
        <c:ser>
          <c:idx val="1"/>
          <c:order val="1"/>
          <c:tx>
            <c:v>Sale Revenue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Cases!$I$81:$GA$81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Cases!$I$83:$GA$83</c:f>
              <c:numCache>
                <c:formatCode>General</c:formatCode>
                <c:ptCount val="175"/>
                <c:pt idx="0">
                  <c:v>199.79</c:v>
                </c:pt>
                <c:pt idx="1">
                  <c:v>199.79</c:v>
                </c:pt>
                <c:pt idx="2">
                  <c:v>#N/A</c:v>
                </c:pt>
                <c:pt idx="3">
                  <c:v>199.79</c:v>
                </c:pt>
                <c:pt idx="4">
                  <c:v>#N/A</c:v>
                </c:pt>
                <c:pt idx="5">
                  <c:v>210.29</c:v>
                </c:pt>
                <c:pt idx="6">
                  <c:v>210.29</c:v>
                </c:pt>
                <c:pt idx="7">
                  <c:v>213.67</c:v>
                </c:pt>
                <c:pt idx="8">
                  <c:v>195.29</c:v>
                </c:pt>
                <c:pt idx="9">
                  <c:v>210.29</c:v>
                </c:pt>
                <c:pt idx="10">
                  <c:v>210.29</c:v>
                </c:pt>
                <c:pt idx="11">
                  <c:v>210.29</c:v>
                </c:pt>
                <c:pt idx="12">
                  <c:v>210.29</c:v>
                </c:pt>
                <c:pt idx="13">
                  <c:v>202.79</c:v>
                </c:pt>
                <c:pt idx="14">
                  <c:v>203.92</c:v>
                </c:pt>
                <c:pt idx="15">
                  <c:v>196.42</c:v>
                </c:pt>
                <c:pt idx="16">
                  <c:v>213.67</c:v>
                </c:pt>
                <c:pt idx="17">
                  <c:v>210.29</c:v>
                </c:pt>
                <c:pt idx="18">
                  <c:v>211.42</c:v>
                </c:pt>
                <c:pt idx="19">
                  <c:v>210.29</c:v>
                </c:pt>
                <c:pt idx="20">
                  <c:v>308.58</c:v>
                </c:pt>
                <c:pt idx="21">
                  <c:v>365.92</c:v>
                </c:pt>
                <c:pt idx="22">
                  <c:v>291.82</c:v>
                </c:pt>
                <c:pt idx="23">
                  <c:v>330.93</c:v>
                </c:pt>
                <c:pt idx="24">
                  <c:v>329.8</c:v>
                </c:pt>
                <c:pt idx="25">
                  <c:v>325.53000000000003</c:v>
                </c:pt>
                <c:pt idx="26">
                  <c:v>334.64</c:v>
                </c:pt>
                <c:pt idx="27">
                  <c:v>351.25</c:v>
                </c:pt>
                <c:pt idx="28">
                  <c:v>372.7</c:v>
                </c:pt>
                <c:pt idx="29">
                  <c:v>357.7</c:v>
                </c:pt>
                <c:pt idx="30">
                  <c:v>327.22000000000003</c:v>
                </c:pt>
                <c:pt idx="31">
                  <c:v>#N/A</c:v>
                </c:pt>
                <c:pt idx="32">
                  <c:v>304.64</c:v>
                </c:pt>
                <c:pt idx="33">
                  <c:v>296.02</c:v>
                </c:pt>
                <c:pt idx="34">
                  <c:v>293.92</c:v>
                </c:pt>
                <c:pt idx="35">
                  <c:v>313.27</c:v>
                </c:pt>
                <c:pt idx="36">
                  <c:v>308.92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4-45DD-96F2-834EE5EA7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022207"/>
        <c:axId val="1434115743"/>
      </c:lineChart>
      <c:dateAx>
        <c:axId val="15900222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434115743"/>
        <c:crosses val="autoZero"/>
        <c:auto val="1"/>
        <c:lblOffset val="100"/>
        <c:baseTimeUnit val="days"/>
      </c:dateAx>
      <c:valAx>
        <c:axId val="14341157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9002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Estimated Profit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Cases!$B$86</c:f>
              <c:strCache>
                <c:ptCount val="1"/>
                <c:pt idx="0">
                  <c:v>Total Profit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Cases!$I$85:$GA$85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Cases!$I$86:$GA$86</c:f>
              <c:numCache>
                <c:formatCode>General</c:formatCode>
                <c:ptCount val="175"/>
                <c:pt idx="0">
                  <c:v>-301.51</c:v>
                </c:pt>
                <c:pt idx="1">
                  <c:v>-301.51</c:v>
                </c:pt>
                <c:pt idx="2">
                  <c:v>#N/A</c:v>
                </c:pt>
                <c:pt idx="3">
                  <c:v>-301.51</c:v>
                </c:pt>
                <c:pt idx="4">
                  <c:v>#N/A</c:v>
                </c:pt>
                <c:pt idx="5">
                  <c:v>-291.01</c:v>
                </c:pt>
                <c:pt idx="6">
                  <c:v>-291.01</c:v>
                </c:pt>
                <c:pt idx="7">
                  <c:v>-287.63</c:v>
                </c:pt>
                <c:pt idx="8">
                  <c:v>-306.01</c:v>
                </c:pt>
                <c:pt idx="9">
                  <c:v>-291.01</c:v>
                </c:pt>
                <c:pt idx="10">
                  <c:v>-291.01</c:v>
                </c:pt>
                <c:pt idx="11">
                  <c:v>-291.01</c:v>
                </c:pt>
                <c:pt idx="12">
                  <c:v>-291.01</c:v>
                </c:pt>
                <c:pt idx="13">
                  <c:v>-298.51</c:v>
                </c:pt>
                <c:pt idx="14">
                  <c:v>-297.38</c:v>
                </c:pt>
                <c:pt idx="15">
                  <c:v>-304.88</c:v>
                </c:pt>
                <c:pt idx="16">
                  <c:v>-287.63</c:v>
                </c:pt>
                <c:pt idx="17">
                  <c:v>-291.01</c:v>
                </c:pt>
                <c:pt idx="18">
                  <c:v>-289.88</c:v>
                </c:pt>
                <c:pt idx="19">
                  <c:v>-291.01</c:v>
                </c:pt>
                <c:pt idx="20">
                  <c:v>-192.72</c:v>
                </c:pt>
                <c:pt idx="21">
                  <c:v>-135.38</c:v>
                </c:pt>
                <c:pt idx="22">
                  <c:v>-209.48</c:v>
                </c:pt>
                <c:pt idx="23">
                  <c:v>-170.37</c:v>
                </c:pt>
                <c:pt idx="24">
                  <c:v>-171.5</c:v>
                </c:pt>
                <c:pt idx="25">
                  <c:v>-175.76999999999998</c:v>
                </c:pt>
                <c:pt idx="26">
                  <c:v>-166.66</c:v>
                </c:pt>
                <c:pt idx="27">
                  <c:v>-150.05000000000001</c:v>
                </c:pt>
                <c:pt idx="28">
                  <c:v>-128.6</c:v>
                </c:pt>
                <c:pt idx="29">
                  <c:v>-143.6</c:v>
                </c:pt>
                <c:pt idx="30">
                  <c:v>-174.07999999999998</c:v>
                </c:pt>
                <c:pt idx="31">
                  <c:v>#N/A</c:v>
                </c:pt>
                <c:pt idx="32">
                  <c:v>-196.66</c:v>
                </c:pt>
                <c:pt idx="33">
                  <c:v>-205.28</c:v>
                </c:pt>
                <c:pt idx="34">
                  <c:v>-207.38</c:v>
                </c:pt>
                <c:pt idx="35">
                  <c:v>-188.03</c:v>
                </c:pt>
                <c:pt idx="36">
                  <c:v>-192.38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6-4DFB-8300-3F40EF814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938383"/>
        <c:axId val="1377709407"/>
      </c:lineChart>
      <c:dateAx>
        <c:axId val="15759383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77709407"/>
        <c:crosses val="autoZero"/>
        <c:auto val="1"/>
        <c:lblOffset val="100"/>
        <c:baseTimeUnit val="days"/>
      </c:dateAx>
      <c:valAx>
        <c:axId val="1377709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57593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Values of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Cases!$B$3</c:f>
              <c:strCache>
                <c:ptCount val="1"/>
                <c:pt idx="0">
                  <c:v>Prisma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Cases!$I$3:$GA$3</c:f>
              <c:numCache>
                <c:formatCode>General</c:formatCode>
                <c:ptCount val="175"/>
                <c:pt idx="0">
                  <c:v>0.05</c:v>
                </c:pt>
                <c:pt idx="1">
                  <c:v>0.05</c:v>
                </c:pt>
                <c:pt idx="3">
                  <c:v>0.05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0.05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0.05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7.0000000000000007E-2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0.08</c:v>
                </c:pt>
                <c:pt idx="24">
                  <c:v>0.08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6-41D7-BB04-168DBF1B0584}"/>
            </c:ext>
          </c:extLst>
        </c:ser>
        <c:ser>
          <c:idx val="1"/>
          <c:order val="1"/>
          <c:tx>
            <c:strRef>
              <c:f>Cases!$B$4</c:f>
              <c:strCache>
                <c:ptCount val="1"/>
                <c:pt idx="0">
                  <c:v>Danger Zone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Cases!$I$4:$GA$4</c:f>
              <c:numCache>
                <c:formatCode>General</c:formatCode>
                <c:ptCount val="175"/>
                <c:pt idx="0">
                  <c:v>7.0000000000000007E-2</c:v>
                </c:pt>
                <c:pt idx="1">
                  <c:v>7.0000000000000007E-2</c:v>
                </c:pt>
                <c:pt idx="3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0.08</c:v>
                </c:pt>
                <c:pt idx="21">
                  <c:v>0.09</c:v>
                </c:pt>
                <c:pt idx="22">
                  <c:v>0.08</c:v>
                </c:pt>
                <c:pt idx="23">
                  <c:v>0.09</c:v>
                </c:pt>
                <c:pt idx="24">
                  <c:v>0.09</c:v>
                </c:pt>
                <c:pt idx="25">
                  <c:v>0.08</c:v>
                </c:pt>
                <c:pt idx="26">
                  <c:v>0.09</c:v>
                </c:pt>
                <c:pt idx="27">
                  <c:v>0.09</c:v>
                </c:pt>
                <c:pt idx="28">
                  <c:v>0.09</c:v>
                </c:pt>
                <c:pt idx="29">
                  <c:v>0.09</c:v>
                </c:pt>
                <c:pt idx="30">
                  <c:v>0.09</c:v>
                </c:pt>
                <c:pt idx="32">
                  <c:v>0.09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C6-41D7-BB04-168DBF1B0584}"/>
            </c:ext>
          </c:extLst>
        </c:ser>
        <c:ser>
          <c:idx val="2"/>
          <c:order val="2"/>
          <c:tx>
            <c:strRef>
              <c:f>Cases!$B$5</c:f>
              <c:strCache>
                <c:ptCount val="1"/>
                <c:pt idx="0">
                  <c:v>Prisma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Cases!$I$5:$GA$5</c:f>
              <c:numCache>
                <c:formatCode>General</c:formatCode>
                <c:ptCount val="175"/>
                <c:pt idx="0">
                  <c:v>7.0000000000000007E-2</c:v>
                </c:pt>
                <c:pt idx="1">
                  <c:v>7.0000000000000007E-2</c:v>
                </c:pt>
                <c:pt idx="3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0.08</c:v>
                </c:pt>
                <c:pt idx="19">
                  <c:v>0.08</c:v>
                </c:pt>
                <c:pt idx="20">
                  <c:v>0.09</c:v>
                </c:pt>
                <c:pt idx="21">
                  <c:v>0.12</c:v>
                </c:pt>
                <c:pt idx="22">
                  <c:v>0.1</c:v>
                </c:pt>
                <c:pt idx="23">
                  <c:v>0.1</c:v>
                </c:pt>
                <c:pt idx="24">
                  <c:v>0.09</c:v>
                </c:pt>
                <c:pt idx="25">
                  <c:v>0.1</c:v>
                </c:pt>
                <c:pt idx="26">
                  <c:v>0.09</c:v>
                </c:pt>
                <c:pt idx="27">
                  <c:v>0.09</c:v>
                </c:pt>
                <c:pt idx="28">
                  <c:v>0.09</c:v>
                </c:pt>
                <c:pt idx="29">
                  <c:v>0.09</c:v>
                </c:pt>
                <c:pt idx="30">
                  <c:v>0.09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C6-41D7-BB04-168DBF1B0584}"/>
            </c:ext>
          </c:extLst>
        </c:ser>
        <c:ser>
          <c:idx val="3"/>
          <c:order val="3"/>
          <c:tx>
            <c:strRef>
              <c:f>Cases!$B$6</c:f>
              <c:strCache>
                <c:ptCount val="1"/>
                <c:pt idx="0">
                  <c:v>Horizon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Cases!$I$6:$GA$6</c:f>
              <c:numCache>
                <c:formatCode>General</c:formatCode>
                <c:ptCount val="175"/>
                <c:pt idx="0">
                  <c:v>7.0000000000000007E-2</c:v>
                </c:pt>
                <c:pt idx="1">
                  <c:v>7.0000000000000007E-2</c:v>
                </c:pt>
                <c:pt idx="3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0.12</c:v>
                </c:pt>
                <c:pt idx="21">
                  <c:v>0.14000000000000001</c:v>
                </c:pt>
                <c:pt idx="22">
                  <c:v>0.11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0.12</c:v>
                </c:pt>
                <c:pt idx="27">
                  <c:v>0.13</c:v>
                </c:pt>
                <c:pt idx="28">
                  <c:v>0.14000000000000001</c:v>
                </c:pt>
                <c:pt idx="29">
                  <c:v>0.13</c:v>
                </c:pt>
                <c:pt idx="30">
                  <c:v>0.12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0.12</c:v>
                </c:pt>
                <c:pt idx="3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C6-41D7-BB04-168DBF1B0584}"/>
            </c:ext>
          </c:extLst>
        </c:ser>
        <c:ser>
          <c:idx val="4"/>
          <c:order val="4"/>
          <c:tx>
            <c:strRef>
              <c:f>Cases!$B$7</c:f>
              <c:strCache>
                <c:ptCount val="1"/>
                <c:pt idx="0">
                  <c:v>CS20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Cases!$I$7:$GA$7</c:f>
              <c:numCache>
                <c:formatCode>General</c:formatCode>
                <c:ptCount val="175"/>
                <c:pt idx="0">
                  <c:v>0.08</c:v>
                </c:pt>
                <c:pt idx="1">
                  <c:v>0.08</c:v>
                </c:pt>
                <c:pt idx="3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0.08</c:v>
                </c:pt>
                <c:pt idx="19">
                  <c:v>0.08</c:v>
                </c:pt>
                <c:pt idx="20">
                  <c:v>0.16</c:v>
                </c:pt>
                <c:pt idx="21">
                  <c:v>0.21</c:v>
                </c:pt>
                <c:pt idx="22">
                  <c:v>0.17</c:v>
                </c:pt>
                <c:pt idx="23">
                  <c:v>0.18</c:v>
                </c:pt>
                <c:pt idx="24">
                  <c:v>0.18</c:v>
                </c:pt>
                <c:pt idx="25">
                  <c:v>0.2</c:v>
                </c:pt>
                <c:pt idx="26">
                  <c:v>0.23</c:v>
                </c:pt>
                <c:pt idx="27">
                  <c:v>0.24</c:v>
                </c:pt>
                <c:pt idx="28">
                  <c:v>0.28000000000000003</c:v>
                </c:pt>
                <c:pt idx="29">
                  <c:v>0.28000000000000003</c:v>
                </c:pt>
                <c:pt idx="30">
                  <c:v>0.27</c:v>
                </c:pt>
                <c:pt idx="32">
                  <c:v>0.23</c:v>
                </c:pt>
                <c:pt idx="33">
                  <c:v>0.23</c:v>
                </c:pt>
                <c:pt idx="34">
                  <c:v>0.21</c:v>
                </c:pt>
                <c:pt idx="35">
                  <c:v>0.23</c:v>
                </c:pt>
                <c:pt idx="36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C6-41D7-BB04-168DBF1B0584}"/>
            </c:ext>
          </c:extLst>
        </c:ser>
        <c:ser>
          <c:idx val="5"/>
          <c:order val="5"/>
          <c:tx>
            <c:strRef>
              <c:f>Cases!$B$8</c:f>
              <c:strCache>
                <c:ptCount val="1"/>
                <c:pt idx="0">
                  <c:v>Fracture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Cases!$I$8:$GA$8</c:f>
              <c:numCache>
                <c:formatCode>General</c:formatCode>
                <c:ptCount val="175"/>
                <c:pt idx="0">
                  <c:v>0.35</c:v>
                </c:pt>
                <c:pt idx="1">
                  <c:v>0.35</c:v>
                </c:pt>
                <c:pt idx="3">
                  <c:v>0.35</c:v>
                </c:pt>
                <c:pt idx="5">
                  <c:v>0.31</c:v>
                </c:pt>
                <c:pt idx="6">
                  <c:v>0.3</c:v>
                </c:pt>
                <c:pt idx="7">
                  <c:v>0.34</c:v>
                </c:pt>
                <c:pt idx="8">
                  <c:v>0.3</c:v>
                </c:pt>
                <c:pt idx="9">
                  <c:v>0.3</c:v>
                </c:pt>
                <c:pt idx="10">
                  <c:v>0.31</c:v>
                </c:pt>
                <c:pt idx="11">
                  <c:v>0.3</c:v>
                </c:pt>
                <c:pt idx="12">
                  <c:v>0.31</c:v>
                </c:pt>
                <c:pt idx="13">
                  <c:v>0.3</c:v>
                </c:pt>
                <c:pt idx="14">
                  <c:v>0.32</c:v>
                </c:pt>
                <c:pt idx="15">
                  <c:v>0.32</c:v>
                </c:pt>
                <c:pt idx="16">
                  <c:v>0.34</c:v>
                </c:pt>
                <c:pt idx="17">
                  <c:v>0.3</c:v>
                </c:pt>
                <c:pt idx="18">
                  <c:v>0.32</c:v>
                </c:pt>
                <c:pt idx="19">
                  <c:v>0.3</c:v>
                </c:pt>
                <c:pt idx="20">
                  <c:v>0.35</c:v>
                </c:pt>
                <c:pt idx="21">
                  <c:v>0.35</c:v>
                </c:pt>
                <c:pt idx="22">
                  <c:v>0.32</c:v>
                </c:pt>
                <c:pt idx="23">
                  <c:v>0.32</c:v>
                </c:pt>
                <c:pt idx="24">
                  <c:v>0.3</c:v>
                </c:pt>
                <c:pt idx="25">
                  <c:v>0.31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2">
                  <c:v>0.31</c:v>
                </c:pt>
                <c:pt idx="33">
                  <c:v>0.28999999999999998</c:v>
                </c:pt>
                <c:pt idx="34">
                  <c:v>0.3</c:v>
                </c:pt>
                <c:pt idx="35">
                  <c:v>0.32</c:v>
                </c:pt>
                <c:pt idx="36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C6-41D7-BB04-168DBF1B0584}"/>
            </c:ext>
          </c:extLst>
        </c:ser>
        <c:ser>
          <c:idx val="6"/>
          <c:order val="6"/>
          <c:tx>
            <c:strRef>
              <c:f>Cases!$B$9</c:f>
              <c:strCache>
                <c:ptCount val="1"/>
                <c:pt idx="0">
                  <c:v>Clutch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Cases!$I$9:$GA$9</c:f>
              <c:numCache>
                <c:formatCode>General</c:formatCode>
                <c:ptCount val="175"/>
                <c:pt idx="0">
                  <c:v>0.21</c:v>
                </c:pt>
                <c:pt idx="1">
                  <c:v>0.21</c:v>
                </c:pt>
                <c:pt idx="3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0.21</c:v>
                </c:pt>
                <c:pt idx="9">
                  <c:v>0.21</c:v>
                </c:pt>
                <c:pt idx="10">
                  <c:v>0.21</c:v>
                </c:pt>
                <c:pt idx="11">
                  <c:v>0.2</c:v>
                </c:pt>
                <c:pt idx="12">
                  <c:v>0.2</c:v>
                </c:pt>
                <c:pt idx="13">
                  <c:v>0.21</c:v>
                </c:pt>
                <c:pt idx="14">
                  <c:v>0.21</c:v>
                </c:pt>
                <c:pt idx="15">
                  <c:v>0.24</c:v>
                </c:pt>
                <c:pt idx="16">
                  <c:v>0.24</c:v>
                </c:pt>
                <c:pt idx="17">
                  <c:v>0.24</c:v>
                </c:pt>
                <c:pt idx="18">
                  <c:v>0.26</c:v>
                </c:pt>
                <c:pt idx="19">
                  <c:v>0.27</c:v>
                </c:pt>
                <c:pt idx="20">
                  <c:v>0.34</c:v>
                </c:pt>
                <c:pt idx="21">
                  <c:v>0.43</c:v>
                </c:pt>
                <c:pt idx="22">
                  <c:v>0.3</c:v>
                </c:pt>
                <c:pt idx="23">
                  <c:v>0.31</c:v>
                </c:pt>
                <c:pt idx="24">
                  <c:v>0.34</c:v>
                </c:pt>
                <c:pt idx="25">
                  <c:v>0.31</c:v>
                </c:pt>
                <c:pt idx="26">
                  <c:v>0.36</c:v>
                </c:pt>
                <c:pt idx="27">
                  <c:v>0.38</c:v>
                </c:pt>
                <c:pt idx="28">
                  <c:v>0.36</c:v>
                </c:pt>
                <c:pt idx="29">
                  <c:v>0.36</c:v>
                </c:pt>
                <c:pt idx="30">
                  <c:v>0.34</c:v>
                </c:pt>
                <c:pt idx="32">
                  <c:v>0.32</c:v>
                </c:pt>
                <c:pt idx="33">
                  <c:v>0.3</c:v>
                </c:pt>
                <c:pt idx="34">
                  <c:v>0.31</c:v>
                </c:pt>
                <c:pt idx="35">
                  <c:v>0.34</c:v>
                </c:pt>
                <c:pt idx="36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C6-41D7-BB04-168DBF1B0584}"/>
            </c:ext>
          </c:extLst>
        </c:ser>
        <c:ser>
          <c:idx val="7"/>
          <c:order val="7"/>
          <c:tx>
            <c:strRef>
              <c:f>Cases!$B$10</c:f>
              <c:strCache>
                <c:ptCount val="1"/>
                <c:pt idx="0">
                  <c:v>Spectrum 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Cases!$I$10:$GA$10</c:f>
              <c:numCache>
                <c:formatCode>General</c:formatCode>
                <c:ptCount val="175"/>
                <c:pt idx="0">
                  <c:v>0.17</c:v>
                </c:pt>
                <c:pt idx="1">
                  <c:v>0.17</c:v>
                </c:pt>
                <c:pt idx="3">
                  <c:v>0.19</c:v>
                </c:pt>
                <c:pt idx="5">
                  <c:v>0.19</c:v>
                </c:pt>
                <c:pt idx="6">
                  <c:v>0.17</c:v>
                </c:pt>
                <c:pt idx="7">
                  <c:v>0.18</c:v>
                </c:pt>
                <c:pt idx="8">
                  <c:v>0.18</c:v>
                </c:pt>
                <c:pt idx="9">
                  <c:v>0.17</c:v>
                </c:pt>
                <c:pt idx="10">
                  <c:v>0.17</c:v>
                </c:pt>
                <c:pt idx="11">
                  <c:v>0.18</c:v>
                </c:pt>
                <c:pt idx="12">
                  <c:v>0.18</c:v>
                </c:pt>
                <c:pt idx="13">
                  <c:v>0.19</c:v>
                </c:pt>
                <c:pt idx="14">
                  <c:v>0.2</c:v>
                </c:pt>
                <c:pt idx="15">
                  <c:v>0.21</c:v>
                </c:pt>
                <c:pt idx="16">
                  <c:v>0.21</c:v>
                </c:pt>
                <c:pt idx="17">
                  <c:v>0.24</c:v>
                </c:pt>
                <c:pt idx="18">
                  <c:v>0.24</c:v>
                </c:pt>
                <c:pt idx="19">
                  <c:v>0.23</c:v>
                </c:pt>
                <c:pt idx="20">
                  <c:v>0.34</c:v>
                </c:pt>
                <c:pt idx="21">
                  <c:v>0.39</c:v>
                </c:pt>
                <c:pt idx="22">
                  <c:v>0.34</c:v>
                </c:pt>
                <c:pt idx="23">
                  <c:v>0.36</c:v>
                </c:pt>
                <c:pt idx="24">
                  <c:v>0.36</c:v>
                </c:pt>
                <c:pt idx="25">
                  <c:v>0.37</c:v>
                </c:pt>
                <c:pt idx="26">
                  <c:v>0.36</c:v>
                </c:pt>
                <c:pt idx="27">
                  <c:v>0.38</c:v>
                </c:pt>
                <c:pt idx="28">
                  <c:v>0.4</c:v>
                </c:pt>
                <c:pt idx="29">
                  <c:v>0.39</c:v>
                </c:pt>
                <c:pt idx="30">
                  <c:v>0.37</c:v>
                </c:pt>
                <c:pt idx="32">
                  <c:v>0.36</c:v>
                </c:pt>
                <c:pt idx="33">
                  <c:v>0.37</c:v>
                </c:pt>
                <c:pt idx="34">
                  <c:v>0.37</c:v>
                </c:pt>
                <c:pt idx="35">
                  <c:v>0.36</c:v>
                </c:pt>
                <c:pt idx="36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C6-41D7-BB04-168DBF1B0584}"/>
            </c:ext>
          </c:extLst>
        </c:ser>
        <c:ser>
          <c:idx val="8"/>
          <c:order val="8"/>
          <c:tx>
            <c:strRef>
              <c:f>Cases!$B$11</c:f>
              <c:strCache>
                <c:ptCount val="1"/>
                <c:pt idx="0">
                  <c:v>Spectrum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Cases!$I$11:$GA$11</c:f>
              <c:numCache>
                <c:formatCode>General</c:formatCode>
                <c:ptCount val="175"/>
                <c:pt idx="0">
                  <c:v>0.59</c:v>
                </c:pt>
                <c:pt idx="1">
                  <c:v>0.57999999999999996</c:v>
                </c:pt>
                <c:pt idx="3">
                  <c:v>0.55000000000000004</c:v>
                </c:pt>
                <c:pt idx="5">
                  <c:v>0.53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0.61</c:v>
                </c:pt>
                <c:pt idx="10">
                  <c:v>0.57999999999999996</c:v>
                </c:pt>
                <c:pt idx="11">
                  <c:v>0.61</c:v>
                </c:pt>
                <c:pt idx="12">
                  <c:v>0.57999999999999996</c:v>
                </c:pt>
                <c:pt idx="13">
                  <c:v>0.62</c:v>
                </c:pt>
                <c:pt idx="14">
                  <c:v>0.65</c:v>
                </c:pt>
                <c:pt idx="15">
                  <c:v>0.66</c:v>
                </c:pt>
                <c:pt idx="16">
                  <c:v>0.65</c:v>
                </c:pt>
                <c:pt idx="17">
                  <c:v>0.66</c:v>
                </c:pt>
                <c:pt idx="18">
                  <c:v>0.64</c:v>
                </c:pt>
                <c:pt idx="19">
                  <c:v>0.64</c:v>
                </c:pt>
                <c:pt idx="20">
                  <c:v>0.72</c:v>
                </c:pt>
                <c:pt idx="21">
                  <c:v>0.86</c:v>
                </c:pt>
                <c:pt idx="22">
                  <c:v>0.73</c:v>
                </c:pt>
                <c:pt idx="23">
                  <c:v>0.64</c:v>
                </c:pt>
                <c:pt idx="24">
                  <c:v>0.65</c:v>
                </c:pt>
                <c:pt idx="25">
                  <c:v>0.74</c:v>
                </c:pt>
                <c:pt idx="26">
                  <c:v>0.71</c:v>
                </c:pt>
                <c:pt idx="27">
                  <c:v>0.72</c:v>
                </c:pt>
                <c:pt idx="28">
                  <c:v>0.72</c:v>
                </c:pt>
                <c:pt idx="29">
                  <c:v>0.73</c:v>
                </c:pt>
                <c:pt idx="30">
                  <c:v>0.66</c:v>
                </c:pt>
                <c:pt idx="32">
                  <c:v>0.62</c:v>
                </c:pt>
                <c:pt idx="33">
                  <c:v>0.63</c:v>
                </c:pt>
                <c:pt idx="34">
                  <c:v>0.72</c:v>
                </c:pt>
                <c:pt idx="35">
                  <c:v>0.69</c:v>
                </c:pt>
                <c:pt idx="3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C6-41D7-BB04-168DBF1B0584}"/>
            </c:ext>
          </c:extLst>
        </c:ser>
        <c:ser>
          <c:idx val="9"/>
          <c:order val="9"/>
          <c:tx>
            <c:strRef>
              <c:f>Cases!$B$12</c:f>
              <c:strCache>
                <c:ptCount val="1"/>
                <c:pt idx="0">
                  <c:v>Shattered Web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Cases!$I$2:$GA$2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Cases!$I$12:$GA$12</c:f>
              <c:numCache>
                <c:formatCode>General</c:formatCode>
                <c:ptCount val="175"/>
                <c:pt idx="0">
                  <c:v>1.1200000000000001</c:v>
                </c:pt>
                <c:pt idx="1">
                  <c:v>1.1200000000000001</c:v>
                </c:pt>
                <c:pt idx="3">
                  <c:v>1.2</c:v>
                </c:pt>
                <c:pt idx="5">
                  <c:v>1.24</c:v>
                </c:pt>
                <c:pt idx="6">
                  <c:v>1.21</c:v>
                </c:pt>
                <c:pt idx="7">
                  <c:v>1.26</c:v>
                </c:pt>
                <c:pt idx="8">
                  <c:v>1.27</c:v>
                </c:pt>
                <c:pt idx="9">
                  <c:v>1.31</c:v>
                </c:pt>
                <c:pt idx="10">
                  <c:v>1.53</c:v>
                </c:pt>
                <c:pt idx="11">
                  <c:v>1.45</c:v>
                </c:pt>
                <c:pt idx="12">
                  <c:v>1.51</c:v>
                </c:pt>
                <c:pt idx="13">
                  <c:v>1.49</c:v>
                </c:pt>
                <c:pt idx="14">
                  <c:v>1.41</c:v>
                </c:pt>
                <c:pt idx="15">
                  <c:v>1.39</c:v>
                </c:pt>
                <c:pt idx="16">
                  <c:v>1.31</c:v>
                </c:pt>
                <c:pt idx="17">
                  <c:v>1.34</c:v>
                </c:pt>
                <c:pt idx="18">
                  <c:v>1.31</c:v>
                </c:pt>
                <c:pt idx="19">
                  <c:v>1.35</c:v>
                </c:pt>
                <c:pt idx="20">
                  <c:v>1.35</c:v>
                </c:pt>
                <c:pt idx="21">
                  <c:v>1.35</c:v>
                </c:pt>
                <c:pt idx="22">
                  <c:v>1.46</c:v>
                </c:pt>
                <c:pt idx="23">
                  <c:v>1.46</c:v>
                </c:pt>
                <c:pt idx="24">
                  <c:v>1.42</c:v>
                </c:pt>
                <c:pt idx="25">
                  <c:v>1.49</c:v>
                </c:pt>
                <c:pt idx="26">
                  <c:v>1.33</c:v>
                </c:pt>
                <c:pt idx="27">
                  <c:v>1.41</c:v>
                </c:pt>
                <c:pt idx="28">
                  <c:v>1.35</c:v>
                </c:pt>
                <c:pt idx="29">
                  <c:v>1.44</c:v>
                </c:pt>
                <c:pt idx="30">
                  <c:v>1.41</c:v>
                </c:pt>
                <c:pt idx="32">
                  <c:v>1.24</c:v>
                </c:pt>
                <c:pt idx="33">
                  <c:v>1.3</c:v>
                </c:pt>
                <c:pt idx="34">
                  <c:v>1.35</c:v>
                </c:pt>
                <c:pt idx="35">
                  <c:v>1.32</c:v>
                </c:pt>
                <c:pt idx="36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AC6-41D7-BB04-168DBF1B0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368623"/>
        <c:axId val="1363752287"/>
      </c:lineChart>
      <c:dateAx>
        <c:axId val="13683686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63752287"/>
        <c:crosses val="autoZero"/>
        <c:auto val="1"/>
        <c:lblOffset val="100"/>
        <c:baseTimeUnit val="days"/>
      </c:dateAx>
      <c:valAx>
        <c:axId val="13637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683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Cases!$B$71</c:f>
              <c:strCache>
                <c:ptCount val="1"/>
                <c:pt idx="0">
                  <c:v>Prisma 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Cases!$I$70:$GA$70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Cases!$I$71:$GA$71</c:f>
              <c:numCache>
                <c:formatCode>General</c:formatCode>
                <c:ptCount val="175"/>
                <c:pt idx="0">
                  <c:v>-75</c:v>
                </c:pt>
                <c:pt idx="1">
                  <c:v>-75</c:v>
                </c:pt>
                <c:pt idx="2">
                  <c:v>#N/A</c:v>
                </c:pt>
                <c:pt idx="3">
                  <c:v>-75</c:v>
                </c:pt>
                <c:pt idx="4">
                  <c:v>#N/A</c:v>
                </c:pt>
                <c:pt idx="5">
                  <c:v>-60</c:v>
                </c:pt>
                <c:pt idx="6">
                  <c:v>-60</c:v>
                </c:pt>
                <c:pt idx="7">
                  <c:v>-60</c:v>
                </c:pt>
                <c:pt idx="8">
                  <c:v>-75</c:v>
                </c:pt>
                <c:pt idx="9">
                  <c:v>-60</c:v>
                </c:pt>
                <c:pt idx="10">
                  <c:v>-60</c:v>
                </c:pt>
                <c:pt idx="11">
                  <c:v>-60</c:v>
                </c:pt>
                <c:pt idx="12">
                  <c:v>-60</c:v>
                </c:pt>
                <c:pt idx="13">
                  <c:v>-60</c:v>
                </c:pt>
                <c:pt idx="14">
                  <c:v>-60</c:v>
                </c:pt>
                <c:pt idx="15">
                  <c:v>-75</c:v>
                </c:pt>
                <c:pt idx="16">
                  <c:v>-60</c:v>
                </c:pt>
                <c:pt idx="17">
                  <c:v>-60</c:v>
                </c:pt>
                <c:pt idx="18">
                  <c:v>-60</c:v>
                </c:pt>
                <c:pt idx="19">
                  <c:v>-60</c:v>
                </c:pt>
                <c:pt idx="20">
                  <c:v>-45</c:v>
                </c:pt>
                <c:pt idx="21">
                  <c:v>-30</c:v>
                </c:pt>
                <c:pt idx="22">
                  <c:v>-45</c:v>
                </c:pt>
                <c:pt idx="23">
                  <c:v>-30</c:v>
                </c:pt>
                <c:pt idx="24">
                  <c:v>-30</c:v>
                </c:pt>
                <c:pt idx="25">
                  <c:v>-30</c:v>
                </c:pt>
                <c:pt idx="26">
                  <c:v>-30</c:v>
                </c:pt>
                <c:pt idx="27">
                  <c:v>-30</c:v>
                </c:pt>
                <c:pt idx="28">
                  <c:v>-30</c:v>
                </c:pt>
                <c:pt idx="29">
                  <c:v>-30</c:v>
                </c:pt>
                <c:pt idx="30">
                  <c:v>-45</c:v>
                </c:pt>
                <c:pt idx="31">
                  <c:v>#N/A</c:v>
                </c:pt>
                <c:pt idx="32">
                  <c:v>-45</c:v>
                </c:pt>
                <c:pt idx="33">
                  <c:v>-45</c:v>
                </c:pt>
                <c:pt idx="34">
                  <c:v>-45</c:v>
                </c:pt>
                <c:pt idx="35">
                  <c:v>-45</c:v>
                </c:pt>
                <c:pt idx="36">
                  <c:v>-45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F-4751-B01D-1769FDDA36B5}"/>
            </c:ext>
          </c:extLst>
        </c:ser>
        <c:ser>
          <c:idx val="1"/>
          <c:order val="1"/>
          <c:tx>
            <c:strRef>
              <c:f>Cases!$B$72</c:f>
              <c:strCache>
                <c:ptCount val="1"/>
                <c:pt idx="0">
                  <c:v>Danger Zone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Cases!$I$70:$GA$70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Cases!$I$72:$GA$72</c:f>
              <c:numCache>
                <c:formatCode>General</c:formatCode>
                <c:ptCount val="175"/>
                <c:pt idx="0">
                  <c:v>-32.5</c:v>
                </c:pt>
                <c:pt idx="1">
                  <c:v>-32.5</c:v>
                </c:pt>
                <c:pt idx="2">
                  <c:v>#N/A</c:v>
                </c:pt>
                <c:pt idx="3">
                  <c:v>-32.5</c:v>
                </c:pt>
                <c:pt idx="4">
                  <c:v>#N/A</c:v>
                </c:pt>
                <c:pt idx="5">
                  <c:v>-32.5</c:v>
                </c:pt>
                <c:pt idx="6">
                  <c:v>-32.5</c:v>
                </c:pt>
                <c:pt idx="7">
                  <c:v>-32.5</c:v>
                </c:pt>
                <c:pt idx="8">
                  <c:v>-32.5</c:v>
                </c:pt>
                <c:pt idx="9">
                  <c:v>-32.5</c:v>
                </c:pt>
                <c:pt idx="10">
                  <c:v>-32.5</c:v>
                </c:pt>
                <c:pt idx="11">
                  <c:v>-32.5</c:v>
                </c:pt>
                <c:pt idx="12">
                  <c:v>-32.5</c:v>
                </c:pt>
                <c:pt idx="13">
                  <c:v>-40</c:v>
                </c:pt>
                <c:pt idx="14">
                  <c:v>-40</c:v>
                </c:pt>
                <c:pt idx="15">
                  <c:v>-32.5</c:v>
                </c:pt>
                <c:pt idx="16">
                  <c:v>-32.5</c:v>
                </c:pt>
                <c:pt idx="17">
                  <c:v>-32.5</c:v>
                </c:pt>
                <c:pt idx="18">
                  <c:v>-32.5</c:v>
                </c:pt>
                <c:pt idx="19">
                  <c:v>-32.5</c:v>
                </c:pt>
                <c:pt idx="20">
                  <c:v>-25</c:v>
                </c:pt>
                <c:pt idx="21">
                  <c:v>-17.5</c:v>
                </c:pt>
                <c:pt idx="22">
                  <c:v>-25</c:v>
                </c:pt>
                <c:pt idx="23">
                  <c:v>-17.5</c:v>
                </c:pt>
                <c:pt idx="24">
                  <c:v>-17.5</c:v>
                </c:pt>
                <c:pt idx="25">
                  <c:v>-25</c:v>
                </c:pt>
                <c:pt idx="26">
                  <c:v>-17.5</c:v>
                </c:pt>
                <c:pt idx="27">
                  <c:v>-17.5</c:v>
                </c:pt>
                <c:pt idx="28">
                  <c:v>-17.5</c:v>
                </c:pt>
                <c:pt idx="29">
                  <c:v>-17.5</c:v>
                </c:pt>
                <c:pt idx="30">
                  <c:v>-17.5</c:v>
                </c:pt>
                <c:pt idx="31">
                  <c:v>#N/A</c:v>
                </c:pt>
                <c:pt idx="32">
                  <c:v>-17.5</c:v>
                </c:pt>
                <c:pt idx="33">
                  <c:v>-25</c:v>
                </c:pt>
                <c:pt idx="34">
                  <c:v>-25</c:v>
                </c:pt>
                <c:pt idx="35">
                  <c:v>-25</c:v>
                </c:pt>
                <c:pt idx="36">
                  <c:v>-25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F-4751-B01D-1769FDDA36B5}"/>
            </c:ext>
          </c:extLst>
        </c:ser>
        <c:ser>
          <c:idx val="2"/>
          <c:order val="2"/>
          <c:tx>
            <c:strRef>
              <c:f>Cases!$B$73</c:f>
              <c:strCache>
                <c:ptCount val="1"/>
                <c:pt idx="0">
                  <c:v>Horizon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Cases!$I$70:$GA$70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Cases!$I$73:$GA$73</c:f>
              <c:numCache>
                <c:formatCode>General</c:formatCode>
                <c:ptCount val="175"/>
                <c:pt idx="0">
                  <c:v>-125</c:v>
                </c:pt>
                <c:pt idx="1">
                  <c:v>-125</c:v>
                </c:pt>
                <c:pt idx="2">
                  <c:v>#N/A</c:v>
                </c:pt>
                <c:pt idx="3">
                  <c:v>-125</c:v>
                </c:pt>
                <c:pt idx="4">
                  <c:v>#N/A</c:v>
                </c:pt>
                <c:pt idx="5">
                  <c:v>-125</c:v>
                </c:pt>
                <c:pt idx="6">
                  <c:v>-125</c:v>
                </c:pt>
                <c:pt idx="7">
                  <c:v>-125</c:v>
                </c:pt>
                <c:pt idx="8">
                  <c:v>-125</c:v>
                </c:pt>
                <c:pt idx="9">
                  <c:v>-125</c:v>
                </c:pt>
                <c:pt idx="10">
                  <c:v>-125</c:v>
                </c:pt>
                <c:pt idx="11">
                  <c:v>-125</c:v>
                </c:pt>
                <c:pt idx="12">
                  <c:v>-125</c:v>
                </c:pt>
                <c:pt idx="13">
                  <c:v>-125</c:v>
                </c:pt>
                <c:pt idx="14">
                  <c:v>-125</c:v>
                </c:pt>
                <c:pt idx="15">
                  <c:v>-125</c:v>
                </c:pt>
                <c:pt idx="16">
                  <c:v>-125</c:v>
                </c:pt>
                <c:pt idx="17">
                  <c:v>-125</c:v>
                </c:pt>
                <c:pt idx="18">
                  <c:v>-125</c:v>
                </c:pt>
                <c:pt idx="19">
                  <c:v>-125</c:v>
                </c:pt>
                <c:pt idx="20">
                  <c:v>-65</c:v>
                </c:pt>
                <c:pt idx="21">
                  <c:v>-35</c:v>
                </c:pt>
                <c:pt idx="22">
                  <c:v>-80</c:v>
                </c:pt>
                <c:pt idx="23">
                  <c:v>-65</c:v>
                </c:pt>
                <c:pt idx="24">
                  <c:v>-65</c:v>
                </c:pt>
                <c:pt idx="25">
                  <c:v>-65</c:v>
                </c:pt>
                <c:pt idx="26">
                  <c:v>-65</c:v>
                </c:pt>
                <c:pt idx="27">
                  <c:v>-50</c:v>
                </c:pt>
                <c:pt idx="28">
                  <c:v>-35</c:v>
                </c:pt>
                <c:pt idx="29">
                  <c:v>-50</c:v>
                </c:pt>
                <c:pt idx="30">
                  <c:v>-65</c:v>
                </c:pt>
                <c:pt idx="31">
                  <c:v>#N/A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-65</c:v>
                </c:pt>
                <c:pt idx="36">
                  <c:v>-65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2F-4751-B01D-1769FDDA36B5}"/>
            </c:ext>
          </c:extLst>
        </c:ser>
        <c:ser>
          <c:idx val="3"/>
          <c:order val="3"/>
          <c:tx>
            <c:strRef>
              <c:f>Cases!$B$74</c:f>
              <c:strCache>
                <c:ptCount val="1"/>
                <c:pt idx="0">
                  <c:v>CS20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Cases!$I$70:$GA$70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Cases!$I$74:$GA$74</c:f>
              <c:numCache>
                <c:formatCode>General</c:formatCode>
                <c:ptCount val="175"/>
                <c:pt idx="0">
                  <c:v>-16.130000000000003</c:v>
                </c:pt>
                <c:pt idx="1">
                  <c:v>-16.130000000000003</c:v>
                </c:pt>
                <c:pt idx="2">
                  <c:v>#N/A</c:v>
                </c:pt>
                <c:pt idx="3">
                  <c:v>-16.130000000000003</c:v>
                </c:pt>
                <c:pt idx="4">
                  <c:v>#N/A</c:v>
                </c:pt>
                <c:pt idx="5">
                  <c:v>-16.130000000000003</c:v>
                </c:pt>
                <c:pt idx="6">
                  <c:v>-16.130000000000003</c:v>
                </c:pt>
                <c:pt idx="7">
                  <c:v>-16.130000000000003</c:v>
                </c:pt>
                <c:pt idx="8">
                  <c:v>-16.130000000000003</c:v>
                </c:pt>
                <c:pt idx="9">
                  <c:v>-16.130000000000003</c:v>
                </c:pt>
                <c:pt idx="10">
                  <c:v>-16.130000000000003</c:v>
                </c:pt>
                <c:pt idx="11">
                  <c:v>-16.130000000000003</c:v>
                </c:pt>
                <c:pt idx="12">
                  <c:v>-16.130000000000003</c:v>
                </c:pt>
                <c:pt idx="13">
                  <c:v>-16.130000000000003</c:v>
                </c:pt>
                <c:pt idx="14">
                  <c:v>-16.130000000000003</c:v>
                </c:pt>
                <c:pt idx="15">
                  <c:v>-16.130000000000003</c:v>
                </c:pt>
                <c:pt idx="16">
                  <c:v>-16.130000000000003</c:v>
                </c:pt>
                <c:pt idx="17">
                  <c:v>-16.130000000000003</c:v>
                </c:pt>
                <c:pt idx="18">
                  <c:v>-16.130000000000003</c:v>
                </c:pt>
                <c:pt idx="19">
                  <c:v>-16.130000000000003</c:v>
                </c:pt>
                <c:pt idx="20">
                  <c:v>-4.84</c:v>
                </c:pt>
                <c:pt idx="21">
                  <c:v>0</c:v>
                </c:pt>
                <c:pt idx="22">
                  <c:v>-3.2300000000000004</c:v>
                </c:pt>
                <c:pt idx="23">
                  <c:v>-1.620000000000001</c:v>
                </c:pt>
                <c:pt idx="24">
                  <c:v>-1.620000000000001</c:v>
                </c:pt>
                <c:pt idx="25">
                  <c:v>1.6099999999999994</c:v>
                </c:pt>
                <c:pt idx="26">
                  <c:v>3.2199999999999989</c:v>
                </c:pt>
                <c:pt idx="27">
                  <c:v>4.8299999999999983</c:v>
                </c:pt>
                <c:pt idx="28">
                  <c:v>11.279999999999998</c:v>
                </c:pt>
                <c:pt idx="29">
                  <c:v>11.279999999999998</c:v>
                </c:pt>
                <c:pt idx="30">
                  <c:v>9.6699999999999982</c:v>
                </c:pt>
                <c:pt idx="31">
                  <c:v>#N/A</c:v>
                </c:pt>
                <c:pt idx="32">
                  <c:v>3.2199999999999989</c:v>
                </c:pt>
                <c:pt idx="33">
                  <c:v>3.2199999999999989</c:v>
                </c:pt>
                <c:pt idx="34">
                  <c:v>0</c:v>
                </c:pt>
                <c:pt idx="35">
                  <c:v>3.2199999999999989</c:v>
                </c:pt>
                <c:pt idx="36">
                  <c:v>0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2F-4751-B01D-1769FDDA36B5}"/>
            </c:ext>
          </c:extLst>
        </c:ser>
        <c:ser>
          <c:idx val="4"/>
          <c:order val="4"/>
          <c:tx>
            <c:strRef>
              <c:f>Cases!$B$75</c:f>
              <c:strCache>
                <c:ptCount val="1"/>
                <c:pt idx="0">
                  <c:v>Fracture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Cases!$I$70:$GA$70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Cases!$I$75:$GA$75</c:f>
              <c:numCache>
                <c:formatCode>General</c:formatCode>
                <c:ptCount val="175"/>
                <c:pt idx="0">
                  <c:v>-52.88</c:v>
                </c:pt>
                <c:pt idx="1">
                  <c:v>-52.88</c:v>
                </c:pt>
                <c:pt idx="2">
                  <c:v>#N/A</c:v>
                </c:pt>
                <c:pt idx="3">
                  <c:v>-52.88</c:v>
                </c:pt>
                <c:pt idx="4">
                  <c:v>#N/A</c:v>
                </c:pt>
                <c:pt idx="5">
                  <c:v>-57.379999999999995</c:v>
                </c:pt>
                <c:pt idx="6">
                  <c:v>-57.379999999999995</c:v>
                </c:pt>
                <c:pt idx="7">
                  <c:v>-54</c:v>
                </c:pt>
                <c:pt idx="8">
                  <c:v>-57.379999999999995</c:v>
                </c:pt>
                <c:pt idx="9">
                  <c:v>-57.379999999999995</c:v>
                </c:pt>
                <c:pt idx="10">
                  <c:v>-57.379999999999995</c:v>
                </c:pt>
                <c:pt idx="11">
                  <c:v>-57.379999999999995</c:v>
                </c:pt>
                <c:pt idx="12">
                  <c:v>-57.379999999999995</c:v>
                </c:pt>
                <c:pt idx="13">
                  <c:v>-57.379999999999995</c:v>
                </c:pt>
                <c:pt idx="14">
                  <c:v>-56.25</c:v>
                </c:pt>
                <c:pt idx="15">
                  <c:v>-56.25</c:v>
                </c:pt>
                <c:pt idx="16">
                  <c:v>-54</c:v>
                </c:pt>
                <c:pt idx="17">
                  <c:v>-57.379999999999995</c:v>
                </c:pt>
                <c:pt idx="18">
                  <c:v>-56.25</c:v>
                </c:pt>
                <c:pt idx="19">
                  <c:v>-57.379999999999995</c:v>
                </c:pt>
                <c:pt idx="20">
                  <c:v>-52.88</c:v>
                </c:pt>
                <c:pt idx="21">
                  <c:v>-52.88</c:v>
                </c:pt>
                <c:pt idx="22">
                  <c:v>-56.25</c:v>
                </c:pt>
                <c:pt idx="23">
                  <c:v>-56.25</c:v>
                </c:pt>
                <c:pt idx="24">
                  <c:v>-57.379999999999995</c:v>
                </c:pt>
                <c:pt idx="25">
                  <c:v>-57.379999999999995</c:v>
                </c:pt>
                <c:pt idx="26">
                  <c:v>-57.379999999999995</c:v>
                </c:pt>
                <c:pt idx="27">
                  <c:v>-57.379999999999995</c:v>
                </c:pt>
                <c:pt idx="28">
                  <c:v>-57.379999999999995</c:v>
                </c:pt>
                <c:pt idx="29">
                  <c:v>-57.379999999999995</c:v>
                </c:pt>
                <c:pt idx="30">
                  <c:v>-56.25</c:v>
                </c:pt>
                <c:pt idx="31">
                  <c:v>#N/A</c:v>
                </c:pt>
                <c:pt idx="32">
                  <c:v>-57.379999999999995</c:v>
                </c:pt>
                <c:pt idx="33">
                  <c:v>-58.5</c:v>
                </c:pt>
                <c:pt idx="34">
                  <c:v>-57.379999999999995</c:v>
                </c:pt>
                <c:pt idx="35">
                  <c:v>-56.25</c:v>
                </c:pt>
                <c:pt idx="36">
                  <c:v>-57.379999999999995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2F-4751-B01D-1769FDDA3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657951"/>
        <c:axId val="1665492847"/>
      </c:lineChart>
      <c:dateAx>
        <c:axId val="16576579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65492847"/>
        <c:crosses val="autoZero"/>
        <c:auto val="1"/>
        <c:lblOffset val="100"/>
        <c:baseTimeUnit val="days"/>
      </c:dateAx>
      <c:valAx>
        <c:axId val="16654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5765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Skin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'Skin-Investments'!$B$3</c:f>
              <c:strCache>
                <c:ptCount val="1"/>
                <c:pt idx="0">
                  <c:v>M4 Dark Blossom FN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'Skin-Investments'!$I$3:$GA$3</c:f>
              <c:numCache>
                <c:formatCode>General</c:formatCode>
                <c:ptCount val="175"/>
                <c:pt idx="0">
                  <c:v>3.88</c:v>
                </c:pt>
                <c:pt idx="1">
                  <c:v>3.68</c:v>
                </c:pt>
                <c:pt idx="3">
                  <c:v>3.95</c:v>
                </c:pt>
                <c:pt idx="5">
                  <c:v>4.45</c:v>
                </c:pt>
                <c:pt idx="6">
                  <c:v>4.41</c:v>
                </c:pt>
                <c:pt idx="7">
                  <c:v>5.99</c:v>
                </c:pt>
                <c:pt idx="8">
                  <c:v>5.89</c:v>
                </c:pt>
                <c:pt idx="9">
                  <c:v>6.51</c:v>
                </c:pt>
                <c:pt idx="10">
                  <c:v>6.53</c:v>
                </c:pt>
                <c:pt idx="11">
                  <c:v>7.68</c:v>
                </c:pt>
                <c:pt idx="12">
                  <c:v>8.69</c:v>
                </c:pt>
                <c:pt idx="13">
                  <c:v>8.59</c:v>
                </c:pt>
                <c:pt idx="14">
                  <c:v>7.72</c:v>
                </c:pt>
                <c:pt idx="15">
                  <c:v>7.24</c:v>
                </c:pt>
                <c:pt idx="16">
                  <c:v>6.86</c:v>
                </c:pt>
                <c:pt idx="17">
                  <c:v>7.73</c:v>
                </c:pt>
                <c:pt idx="18">
                  <c:v>8.58</c:v>
                </c:pt>
                <c:pt idx="19">
                  <c:v>9.0500000000000007</c:v>
                </c:pt>
                <c:pt idx="20">
                  <c:v>9.33</c:v>
                </c:pt>
                <c:pt idx="21">
                  <c:v>10.95</c:v>
                </c:pt>
                <c:pt idx="22">
                  <c:v>9.56</c:v>
                </c:pt>
                <c:pt idx="23">
                  <c:v>9.48</c:v>
                </c:pt>
                <c:pt idx="24">
                  <c:v>9.57</c:v>
                </c:pt>
                <c:pt idx="25">
                  <c:v>9.52</c:v>
                </c:pt>
                <c:pt idx="26">
                  <c:v>9.51</c:v>
                </c:pt>
                <c:pt idx="27">
                  <c:v>9.25</c:v>
                </c:pt>
                <c:pt idx="28">
                  <c:v>9.6999999999999993</c:v>
                </c:pt>
                <c:pt idx="29">
                  <c:v>9.9600000000000009</c:v>
                </c:pt>
                <c:pt idx="30">
                  <c:v>9.6999999999999993</c:v>
                </c:pt>
                <c:pt idx="32">
                  <c:v>9.74</c:v>
                </c:pt>
                <c:pt idx="33">
                  <c:v>9.59</c:v>
                </c:pt>
                <c:pt idx="34">
                  <c:v>9.14</c:v>
                </c:pt>
                <c:pt idx="35">
                  <c:v>9.23</c:v>
                </c:pt>
                <c:pt idx="36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B-4159-AD1A-6996A70DE282}"/>
            </c:ext>
          </c:extLst>
        </c:ser>
        <c:ser>
          <c:idx val="1"/>
          <c:order val="1"/>
          <c:tx>
            <c:strRef>
              <c:f>'Skin-Investments'!$B$4</c:f>
              <c:strCache>
                <c:ptCount val="1"/>
                <c:pt idx="0">
                  <c:v>M4 Dark Blossom MW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'Skin-Investments'!$I$4:$GA$4</c:f>
              <c:numCache>
                <c:formatCode>General</c:formatCode>
                <c:ptCount val="175"/>
                <c:pt idx="0">
                  <c:v>3.48</c:v>
                </c:pt>
                <c:pt idx="1">
                  <c:v>3.52</c:v>
                </c:pt>
                <c:pt idx="3">
                  <c:v>3.93</c:v>
                </c:pt>
                <c:pt idx="5">
                  <c:v>4.28</c:v>
                </c:pt>
                <c:pt idx="6">
                  <c:v>4.5</c:v>
                </c:pt>
                <c:pt idx="7">
                  <c:v>5.8</c:v>
                </c:pt>
                <c:pt idx="8">
                  <c:v>5.7</c:v>
                </c:pt>
                <c:pt idx="9">
                  <c:v>6.3</c:v>
                </c:pt>
                <c:pt idx="10">
                  <c:v>6.26</c:v>
                </c:pt>
                <c:pt idx="11">
                  <c:v>7.32</c:v>
                </c:pt>
                <c:pt idx="12">
                  <c:v>7.99</c:v>
                </c:pt>
                <c:pt idx="13">
                  <c:v>8.44</c:v>
                </c:pt>
                <c:pt idx="14">
                  <c:v>8.14</c:v>
                </c:pt>
                <c:pt idx="15">
                  <c:v>7.19</c:v>
                </c:pt>
                <c:pt idx="16">
                  <c:v>6.37</c:v>
                </c:pt>
                <c:pt idx="17">
                  <c:v>6.86</c:v>
                </c:pt>
                <c:pt idx="18">
                  <c:v>8.0500000000000007</c:v>
                </c:pt>
                <c:pt idx="19">
                  <c:v>8.85</c:v>
                </c:pt>
                <c:pt idx="20">
                  <c:v>9.02</c:v>
                </c:pt>
                <c:pt idx="21">
                  <c:v>9.75</c:v>
                </c:pt>
                <c:pt idx="22">
                  <c:v>9.83</c:v>
                </c:pt>
                <c:pt idx="23">
                  <c:v>8.81</c:v>
                </c:pt>
                <c:pt idx="24">
                  <c:v>9.0299999999999994</c:v>
                </c:pt>
                <c:pt idx="25">
                  <c:v>9.2799999999999994</c:v>
                </c:pt>
                <c:pt idx="26">
                  <c:v>9.1300000000000008</c:v>
                </c:pt>
                <c:pt idx="27">
                  <c:v>9.23</c:v>
                </c:pt>
                <c:pt idx="28">
                  <c:v>9.01</c:v>
                </c:pt>
                <c:pt idx="29">
                  <c:v>9.89</c:v>
                </c:pt>
                <c:pt idx="30">
                  <c:v>9.69</c:v>
                </c:pt>
                <c:pt idx="32">
                  <c:v>9.32</c:v>
                </c:pt>
                <c:pt idx="33">
                  <c:v>8.89</c:v>
                </c:pt>
                <c:pt idx="34">
                  <c:v>8.89</c:v>
                </c:pt>
                <c:pt idx="35">
                  <c:v>9.31</c:v>
                </c:pt>
                <c:pt idx="36">
                  <c:v>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B-4159-AD1A-6996A70DE282}"/>
            </c:ext>
          </c:extLst>
        </c:ser>
        <c:ser>
          <c:idx val="2"/>
          <c:order val="2"/>
          <c:tx>
            <c:strRef>
              <c:f>'Skin-Investments'!$B$5</c:f>
              <c:strCache>
                <c:ptCount val="1"/>
                <c:pt idx="0">
                  <c:v>P90 Sunset Lily FN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'Skin-Investments'!$I$5:$GA$5</c:f>
              <c:numCache>
                <c:formatCode>General</c:formatCode>
                <c:ptCount val="175"/>
                <c:pt idx="0">
                  <c:v>3.5</c:v>
                </c:pt>
                <c:pt idx="1">
                  <c:v>3.7</c:v>
                </c:pt>
                <c:pt idx="3">
                  <c:v>3.9</c:v>
                </c:pt>
                <c:pt idx="5">
                  <c:v>4.2</c:v>
                </c:pt>
                <c:pt idx="6">
                  <c:v>4.5</c:v>
                </c:pt>
                <c:pt idx="7">
                  <c:v>6.6</c:v>
                </c:pt>
                <c:pt idx="8">
                  <c:v>6.41</c:v>
                </c:pt>
                <c:pt idx="9">
                  <c:v>6.41</c:v>
                </c:pt>
                <c:pt idx="10">
                  <c:v>6.56</c:v>
                </c:pt>
                <c:pt idx="11">
                  <c:v>8.83</c:v>
                </c:pt>
                <c:pt idx="12">
                  <c:v>9.61</c:v>
                </c:pt>
                <c:pt idx="13">
                  <c:v>9.02</c:v>
                </c:pt>
                <c:pt idx="14">
                  <c:v>8.69</c:v>
                </c:pt>
                <c:pt idx="15">
                  <c:v>8.19</c:v>
                </c:pt>
                <c:pt idx="16">
                  <c:v>7.37</c:v>
                </c:pt>
                <c:pt idx="17">
                  <c:v>7.63</c:v>
                </c:pt>
                <c:pt idx="18">
                  <c:v>8.23</c:v>
                </c:pt>
                <c:pt idx="19">
                  <c:v>9.16</c:v>
                </c:pt>
                <c:pt idx="20">
                  <c:v>9.89</c:v>
                </c:pt>
                <c:pt idx="21">
                  <c:v>11.16</c:v>
                </c:pt>
                <c:pt idx="22">
                  <c:v>11.16</c:v>
                </c:pt>
                <c:pt idx="23">
                  <c:v>10.029999999999999</c:v>
                </c:pt>
                <c:pt idx="24">
                  <c:v>9.81</c:v>
                </c:pt>
                <c:pt idx="25">
                  <c:v>9.52</c:v>
                </c:pt>
                <c:pt idx="26">
                  <c:v>9.67</c:v>
                </c:pt>
                <c:pt idx="27">
                  <c:v>9.61</c:v>
                </c:pt>
                <c:pt idx="28">
                  <c:v>11.52</c:v>
                </c:pt>
                <c:pt idx="29">
                  <c:v>10.94</c:v>
                </c:pt>
                <c:pt idx="30">
                  <c:v>10.44</c:v>
                </c:pt>
                <c:pt idx="32">
                  <c:v>10.72</c:v>
                </c:pt>
                <c:pt idx="33">
                  <c:v>10.029999999999999</c:v>
                </c:pt>
                <c:pt idx="34">
                  <c:v>10.050000000000001</c:v>
                </c:pt>
                <c:pt idx="35">
                  <c:v>9.85</c:v>
                </c:pt>
                <c:pt idx="36">
                  <c:v>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B-4159-AD1A-6996A70DE282}"/>
            </c:ext>
          </c:extLst>
        </c:ser>
        <c:ser>
          <c:idx val="3"/>
          <c:order val="3"/>
          <c:tx>
            <c:strRef>
              <c:f>'Skin-Investments'!$B$6</c:f>
              <c:strCache>
                <c:ptCount val="1"/>
                <c:pt idx="0">
                  <c:v>Tec-9 Rust Leaf FN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'Skin-Investments'!$I$6:$GA$6</c:f>
              <c:numCache>
                <c:formatCode>General</c:formatCode>
                <c:ptCount val="175"/>
                <c:pt idx="0">
                  <c:v>3.49</c:v>
                </c:pt>
                <c:pt idx="1">
                  <c:v>3.76</c:v>
                </c:pt>
                <c:pt idx="3">
                  <c:v>4.03</c:v>
                </c:pt>
                <c:pt idx="5">
                  <c:v>4.41</c:v>
                </c:pt>
                <c:pt idx="6">
                  <c:v>4.76</c:v>
                </c:pt>
                <c:pt idx="7">
                  <c:v>6.12</c:v>
                </c:pt>
                <c:pt idx="8">
                  <c:v>6.58</c:v>
                </c:pt>
                <c:pt idx="9">
                  <c:v>6.58</c:v>
                </c:pt>
                <c:pt idx="10">
                  <c:v>6.57</c:v>
                </c:pt>
                <c:pt idx="11">
                  <c:v>7.69</c:v>
                </c:pt>
                <c:pt idx="12">
                  <c:v>8.5299999999999994</c:v>
                </c:pt>
                <c:pt idx="13">
                  <c:v>8.4600000000000009</c:v>
                </c:pt>
                <c:pt idx="14">
                  <c:v>8.48</c:v>
                </c:pt>
                <c:pt idx="15">
                  <c:v>7.97</c:v>
                </c:pt>
                <c:pt idx="16">
                  <c:v>7.9</c:v>
                </c:pt>
                <c:pt idx="17">
                  <c:v>7.89</c:v>
                </c:pt>
                <c:pt idx="18">
                  <c:v>8.59</c:v>
                </c:pt>
                <c:pt idx="19">
                  <c:v>9.3699999999999992</c:v>
                </c:pt>
                <c:pt idx="20">
                  <c:v>11.08</c:v>
                </c:pt>
                <c:pt idx="21">
                  <c:v>10.94</c:v>
                </c:pt>
                <c:pt idx="22">
                  <c:v>9.91</c:v>
                </c:pt>
                <c:pt idx="23">
                  <c:v>9.39</c:v>
                </c:pt>
                <c:pt idx="24">
                  <c:v>9.7100000000000009</c:v>
                </c:pt>
                <c:pt idx="25">
                  <c:v>9.3800000000000008</c:v>
                </c:pt>
                <c:pt idx="26">
                  <c:v>9.84</c:v>
                </c:pt>
                <c:pt idx="27">
                  <c:v>9.82</c:v>
                </c:pt>
                <c:pt idx="28">
                  <c:v>12.53</c:v>
                </c:pt>
                <c:pt idx="29">
                  <c:v>10.210000000000001</c:v>
                </c:pt>
                <c:pt idx="30">
                  <c:v>10.02</c:v>
                </c:pt>
                <c:pt idx="32">
                  <c:v>10.9</c:v>
                </c:pt>
                <c:pt idx="33">
                  <c:v>10.28</c:v>
                </c:pt>
                <c:pt idx="34">
                  <c:v>10.07</c:v>
                </c:pt>
                <c:pt idx="35">
                  <c:v>10.02</c:v>
                </c:pt>
                <c:pt idx="36">
                  <c:v>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AB-4159-AD1A-6996A70DE282}"/>
            </c:ext>
          </c:extLst>
        </c:ser>
        <c:ser>
          <c:idx val="4"/>
          <c:order val="4"/>
          <c:tx>
            <c:strRef>
              <c:f>'Skin-Investments'!$B$7</c:f>
              <c:strCache>
                <c:ptCount val="1"/>
                <c:pt idx="0">
                  <c:v>Tec-9 Rust Leaf MW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'Skin-Investments'!$I$7:$GA$7</c:f>
              <c:numCache>
                <c:formatCode>General</c:formatCode>
                <c:ptCount val="175"/>
                <c:pt idx="0">
                  <c:v>3.57</c:v>
                </c:pt>
                <c:pt idx="1">
                  <c:v>3.56</c:v>
                </c:pt>
                <c:pt idx="3">
                  <c:v>3.84</c:v>
                </c:pt>
                <c:pt idx="5">
                  <c:v>4.29</c:v>
                </c:pt>
                <c:pt idx="6">
                  <c:v>4.4000000000000004</c:v>
                </c:pt>
                <c:pt idx="7">
                  <c:v>5.67</c:v>
                </c:pt>
                <c:pt idx="8">
                  <c:v>5.87</c:v>
                </c:pt>
                <c:pt idx="9">
                  <c:v>6.3</c:v>
                </c:pt>
                <c:pt idx="10">
                  <c:v>6.23</c:v>
                </c:pt>
                <c:pt idx="11">
                  <c:v>7.42</c:v>
                </c:pt>
                <c:pt idx="12">
                  <c:v>7.86</c:v>
                </c:pt>
                <c:pt idx="13">
                  <c:v>8.2100000000000009</c:v>
                </c:pt>
                <c:pt idx="14">
                  <c:v>8.0500000000000007</c:v>
                </c:pt>
                <c:pt idx="15">
                  <c:v>7.96</c:v>
                </c:pt>
                <c:pt idx="16">
                  <c:v>7.24</c:v>
                </c:pt>
                <c:pt idx="17">
                  <c:v>6.93</c:v>
                </c:pt>
                <c:pt idx="18">
                  <c:v>7.97</c:v>
                </c:pt>
                <c:pt idx="19">
                  <c:v>8.89</c:v>
                </c:pt>
                <c:pt idx="20">
                  <c:v>9.69</c:v>
                </c:pt>
                <c:pt idx="21">
                  <c:v>11.46</c:v>
                </c:pt>
                <c:pt idx="22">
                  <c:v>9.69</c:v>
                </c:pt>
                <c:pt idx="23">
                  <c:v>9.33</c:v>
                </c:pt>
                <c:pt idx="24">
                  <c:v>9.2799999999999994</c:v>
                </c:pt>
                <c:pt idx="25">
                  <c:v>9.34</c:v>
                </c:pt>
                <c:pt idx="26">
                  <c:v>9.26</c:v>
                </c:pt>
                <c:pt idx="27">
                  <c:v>9.15</c:v>
                </c:pt>
                <c:pt idx="28">
                  <c:v>9.89</c:v>
                </c:pt>
                <c:pt idx="29">
                  <c:v>10.51</c:v>
                </c:pt>
                <c:pt idx="30">
                  <c:v>9.6199999999999992</c:v>
                </c:pt>
                <c:pt idx="32">
                  <c:v>9.27</c:v>
                </c:pt>
                <c:pt idx="33">
                  <c:v>9.77</c:v>
                </c:pt>
                <c:pt idx="34">
                  <c:v>9.39</c:v>
                </c:pt>
                <c:pt idx="35">
                  <c:v>9.01</c:v>
                </c:pt>
                <c:pt idx="36">
                  <c:v>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AB-4159-AD1A-6996A70DE282}"/>
            </c:ext>
          </c:extLst>
        </c:ser>
        <c:ser>
          <c:idx val="5"/>
          <c:order val="5"/>
          <c:tx>
            <c:strRef>
              <c:f>'Skin-Investments'!$B$8</c:f>
              <c:strCache>
                <c:ptCount val="1"/>
                <c:pt idx="0">
                  <c:v>XM1014 Banana Leaf FN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'Skin-Investments'!$I$8:$GA$8</c:f>
              <c:numCache>
                <c:formatCode>General</c:formatCode>
                <c:ptCount val="175"/>
                <c:pt idx="0">
                  <c:v>4.1399999999999997</c:v>
                </c:pt>
                <c:pt idx="1">
                  <c:v>3.9</c:v>
                </c:pt>
                <c:pt idx="3">
                  <c:v>3.9</c:v>
                </c:pt>
                <c:pt idx="5">
                  <c:v>4.72</c:v>
                </c:pt>
                <c:pt idx="6">
                  <c:v>5.0999999999999996</c:v>
                </c:pt>
                <c:pt idx="7">
                  <c:v>5.9</c:v>
                </c:pt>
                <c:pt idx="8">
                  <c:v>6.56</c:v>
                </c:pt>
                <c:pt idx="9">
                  <c:v>7.13</c:v>
                </c:pt>
                <c:pt idx="10">
                  <c:v>7.19</c:v>
                </c:pt>
                <c:pt idx="11">
                  <c:v>7.96</c:v>
                </c:pt>
                <c:pt idx="12">
                  <c:v>8.5399999999999991</c:v>
                </c:pt>
                <c:pt idx="13">
                  <c:v>8.32</c:v>
                </c:pt>
                <c:pt idx="14">
                  <c:v>8.1999999999999993</c:v>
                </c:pt>
                <c:pt idx="15">
                  <c:v>7.6</c:v>
                </c:pt>
                <c:pt idx="16">
                  <c:v>7.55</c:v>
                </c:pt>
                <c:pt idx="17">
                  <c:v>7.85</c:v>
                </c:pt>
                <c:pt idx="18">
                  <c:v>8.7799999999999994</c:v>
                </c:pt>
                <c:pt idx="19">
                  <c:v>9.06</c:v>
                </c:pt>
                <c:pt idx="20">
                  <c:v>10.08</c:v>
                </c:pt>
                <c:pt idx="21">
                  <c:v>10.84</c:v>
                </c:pt>
                <c:pt idx="22">
                  <c:v>10.4</c:v>
                </c:pt>
                <c:pt idx="23">
                  <c:v>9.6199999999999992</c:v>
                </c:pt>
                <c:pt idx="24">
                  <c:v>10.18</c:v>
                </c:pt>
                <c:pt idx="25">
                  <c:v>10.039999999999999</c:v>
                </c:pt>
                <c:pt idx="26">
                  <c:v>10.039999999999999</c:v>
                </c:pt>
                <c:pt idx="27">
                  <c:v>9.82</c:v>
                </c:pt>
                <c:pt idx="28">
                  <c:v>12.51</c:v>
                </c:pt>
                <c:pt idx="29">
                  <c:v>12.26</c:v>
                </c:pt>
                <c:pt idx="30">
                  <c:v>11.67</c:v>
                </c:pt>
                <c:pt idx="32">
                  <c:v>11.12</c:v>
                </c:pt>
                <c:pt idx="33">
                  <c:v>10.37</c:v>
                </c:pt>
                <c:pt idx="34">
                  <c:v>10.49</c:v>
                </c:pt>
                <c:pt idx="35">
                  <c:v>10.58</c:v>
                </c:pt>
                <c:pt idx="36">
                  <c:v>10.02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AB-4159-AD1A-6996A70DE282}"/>
            </c:ext>
          </c:extLst>
        </c:ser>
        <c:ser>
          <c:idx val="6"/>
          <c:order val="6"/>
          <c:tx>
            <c:strRef>
              <c:f>'Skin-Investments'!$B$9</c:f>
              <c:strCache>
                <c:ptCount val="1"/>
                <c:pt idx="0">
                  <c:v>XM1014 Banana Leaf MW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'Skin-Investments'!$I$2:$GA$2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'Skin-Investments'!$I$9:$GA$9</c:f>
              <c:numCache>
                <c:formatCode>General</c:formatCode>
                <c:ptCount val="175"/>
                <c:pt idx="0">
                  <c:v>3.55</c:v>
                </c:pt>
                <c:pt idx="1">
                  <c:v>3.44</c:v>
                </c:pt>
                <c:pt idx="3">
                  <c:v>3.96</c:v>
                </c:pt>
                <c:pt idx="5">
                  <c:v>4.43</c:v>
                </c:pt>
                <c:pt idx="6">
                  <c:v>4.51</c:v>
                </c:pt>
                <c:pt idx="7">
                  <c:v>6.71</c:v>
                </c:pt>
                <c:pt idx="8">
                  <c:v>7.22</c:v>
                </c:pt>
                <c:pt idx="9">
                  <c:v>6.07</c:v>
                </c:pt>
                <c:pt idx="10">
                  <c:v>6.58</c:v>
                </c:pt>
                <c:pt idx="11">
                  <c:v>7.49</c:v>
                </c:pt>
                <c:pt idx="12">
                  <c:v>8.1300000000000008</c:v>
                </c:pt>
                <c:pt idx="13">
                  <c:v>8.51</c:v>
                </c:pt>
                <c:pt idx="14">
                  <c:v>7.87</c:v>
                </c:pt>
                <c:pt idx="15">
                  <c:v>7.56</c:v>
                </c:pt>
                <c:pt idx="16">
                  <c:v>6.94</c:v>
                </c:pt>
                <c:pt idx="17">
                  <c:v>7.04</c:v>
                </c:pt>
                <c:pt idx="18">
                  <c:v>7.9</c:v>
                </c:pt>
                <c:pt idx="19">
                  <c:v>9.69</c:v>
                </c:pt>
                <c:pt idx="20">
                  <c:v>9.7200000000000006</c:v>
                </c:pt>
                <c:pt idx="21">
                  <c:v>11.1</c:v>
                </c:pt>
                <c:pt idx="22">
                  <c:v>9.5399999999999991</c:v>
                </c:pt>
                <c:pt idx="23">
                  <c:v>9.2799999999999994</c:v>
                </c:pt>
                <c:pt idx="24">
                  <c:v>9.11</c:v>
                </c:pt>
                <c:pt idx="25">
                  <c:v>9.44</c:v>
                </c:pt>
                <c:pt idx="26">
                  <c:v>9.5500000000000007</c:v>
                </c:pt>
                <c:pt idx="27">
                  <c:v>9.57</c:v>
                </c:pt>
                <c:pt idx="28">
                  <c:v>9.67</c:v>
                </c:pt>
                <c:pt idx="29">
                  <c:v>10.42</c:v>
                </c:pt>
                <c:pt idx="30">
                  <c:v>9.52</c:v>
                </c:pt>
                <c:pt idx="32">
                  <c:v>9.56</c:v>
                </c:pt>
                <c:pt idx="33">
                  <c:v>9.1300000000000008</c:v>
                </c:pt>
                <c:pt idx="34">
                  <c:v>9.27</c:v>
                </c:pt>
                <c:pt idx="35">
                  <c:v>9.51</c:v>
                </c:pt>
                <c:pt idx="36">
                  <c:v>9.2200000000000006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AB-4159-AD1A-6996A70DE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10447"/>
        <c:axId val="1652448159"/>
      </c:lineChart>
      <c:dateAx>
        <c:axId val="1269710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52448159"/>
        <c:crosses val="autoZero"/>
        <c:auto val="1"/>
        <c:lblOffset val="100"/>
        <c:baseTimeUnit val="days"/>
      </c:dateAx>
      <c:valAx>
        <c:axId val="16524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6971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Estimated profit</a:t>
            </a:r>
            <a:r>
              <a:rPr lang="de-CH" baseline="0"/>
              <a:t> sale on skinbaron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'Skin-Investments'!$B$70</c:f>
              <c:strCache>
                <c:ptCount val="1"/>
                <c:pt idx="0">
                  <c:v>M4 Dark Blossom FN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'Skin-Investments'!$I$69:$GA$69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'Skin-Investments'!$I$70:$GA$70</c:f>
              <c:numCache>
                <c:formatCode>General</c:formatCode>
                <c:ptCount val="175"/>
                <c:pt idx="0">
                  <c:v>30.150000000000006</c:v>
                </c:pt>
                <c:pt idx="1">
                  <c:v>22.949999999999989</c:v>
                </c:pt>
                <c:pt idx="2">
                  <c:v>#N/A</c:v>
                </c:pt>
                <c:pt idx="3">
                  <c:v>32.549999999999983</c:v>
                </c:pt>
                <c:pt idx="4">
                  <c:v>#N/A</c:v>
                </c:pt>
                <c:pt idx="5">
                  <c:v>50.31</c:v>
                </c:pt>
                <c:pt idx="6">
                  <c:v>48.869999999999976</c:v>
                </c:pt>
                <c:pt idx="7">
                  <c:v>105.99000000000001</c:v>
                </c:pt>
                <c:pt idx="8">
                  <c:v>102.15</c:v>
                </c:pt>
                <c:pt idx="9">
                  <c:v>124.71000000000001</c:v>
                </c:pt>
                <c:pt idx="10">
                  <c:v>125.18999999999997</c:v>
                </c:pt>
                <c:pt idx="11">
                  <c:v>166.95000000000002</c:v>
                </c:pt>
                <c:pt idx="12">
                  <c:v>202.95000000000002</c:v>
                </c:pt>
                <c:pt idx="13">
                  <c:v>199.59</c:v>
                </c:pt>
                <c:pt idx="14">
                  <c:v>168.39000000000001</c:v>
                </c:pt>
                <c:pt idx="15">
                  <c:v>151.10999999999999</c:v>
                </c:pt>
                <c:pt idx="16">
                  <c:v>137.18999999999997</c:v>
                </c:pt>
                <c:pt idx="17">
                  <c:v>168.39000000000001</c:v>
                </c:pt>
                <c:pt idx="18">
                  <c:v>199.10999999999999</c:v>
                </c:pt>
                <c:pt idx="19">
                  <c:v>215.91</c:v>
                </c:pt>
                <c:pt idx="20">
                  <c:v>225.98999999999998</c:v>
                </c:pt>
                <c:pt idx="21">
                  <c:v>284.55000000000007</c:v>
                </c:pt>
                <c:pt idx="22">
                  <c:v>234.62999999999997</c:v>
                </c:pt>
                <c:pt idx="23">
                  <c:v>231.75000000000003</c:v>
                </c:pt>
                <c:pt idx="24">
                  <c:v>234.62999999999997</c:v>
                </c:pt>
                <c:pt idx="25">
                  <c:v>233.18999999999997</c:v>
                </c:pt>
                <c:pt idx="26">
                  <c:v>232.71</c:v>
                </c:pt>
                <c:pt idx="27">
                  <c:v>223.10999999999999</c:v>
                </c:pt>
                <c:pt idx="28">
                  <c:v>239.42999999999998</c:v>
                </c:pt>
                <c:pt idx="29">
                  <c:v>249.03</c:v>
                </c:pt>
                <c:pt idx="30">
                  <c:v>239.42999999999998</c:v>
                </c:pt>
                <c:pt idx="31">
                  <c:v>#N/A</c:v>
                </c:pt>
                <c:pt idx="32">
                  <c:v>240.86999999999998</c:v>
                </c:pt>
                <c:pt idx="33">
                  <c:v>235.59</c:v>
                </c:pt>
                <c:pt idx="34">
                  <c:v>219.26999999999995</c:v>
                </c:pt>
                <c:pt idx="35">
                  <c:v>222.62999999999997</c:v>
                </c:pt>
                <c:pt idx="36">
                  <c:v>207.26999999999995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5-4F83-A445-61FE79D8C1F4}"/>
            </c:ext>
          </c:extLst>
        </c:ser>
        <c:ser>
          <c:idx val="1"/>
          <c:order val="1"/>
          <c:tx>
            <c:strRef>
              <c:f>'Skin-Investments'!$B$71</c:f>
              <c:strCache>
                <c:ptCount val="1"/>
                <c:pt idx="0">
                  <c:v>M4 Dark Blossom MW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'Skin-Investments'!$I$69:$GA$69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'Skin-Investments'!$I$71:$GA$71</c:f>
              <c:numCache>
                <c:formatCode>General</c:formatCode>
                <c:ptCount val="175"/>
                <c:pt idx="0">
                  <c:v>-25.110000000000003</c:v>
                </c:pt>
                <c:pt idx="1">
                  <c:v>-24.81</c:v>
                </c:pt>
                <c:pt idx="2">
                  <c:v>#N/A</c:v>
                </c:pt>
                <c:pt idx="3">
                  <c:v>-21.810000000000002</c:v>
                </c:pt>
                <c:pt idx="4">
                  <c:v>#N/A</c:v>
                </c:pt>
                <c:pt idx="5">
                  <c:v>-19.11</c:v>
                </c:pt>
                <c:pt idx="6">
                  <c:v>-17.509999999999998</c:v>
                </c:pt>
                <c:pt idx="7">
                  <c:v>-7.7100000000000009</c:v>
                </c:pt>
                <c:pt idx="8">
                  <c:v>-8.5100000000000051</c:v>
                </c:pt>
                <c:pt idx="9">
                  <c:v>-4.0100000000000051</c:v>
                </c:pt>
                <c:pt idx="10">
                  <c:v>-4.3099999999999952</c:v>
                </c:pt>
                <c:pt idx="11">
                  <c:v>3.6900000000000048</c:v>
                </c:pt>
                <c:pt idx="12">
                  <c:v>8.6900000000000048</c:v>
                </c:pt>
                <c:pt idx="13">
                  <c:v>12.089999999999996</c:v>
                </c:pt>
                <c:pt idx="14">
                  <c:v>9.7899999999999991</c:v>
                </c:pt>
                <c:pt idx="15">
                  <c:v>2.6899999999999977</c:v>
                </c:pt>
                <c:pt idx="16">
                  <c:v>-3.5100000000000051</c:v>
                </c:pt>
                <c:pt idx="17">
                  <c:v>0.18999999999999773</c:v>
                </c:pt>
                <c:pt idx="18">
                  <c:v>9.0900000000000034</c:v>
                </c:pt>
                <c:pt idx="19">
                  <c:v>15.089999999999996</c:v>
                </c:pt>
                <c:pt idx="20">
                  <c:v>16.389999999999993</c:v>
                </c:pt>
                <c:pt idx="21">
                  <c:v>21.889999999999993</c:v>
                </c:pt>
                <c:pt idx="22">
                  <c:v>22.490000000000002</c:v>
                </c:pt>
                <c:pt idx="23">
                  <c:v>14.79</c:v>
                </c:pt>
                <c:pt idx="24">
                  <c:v>16.489999999999988</c:v>
                </c:pt>
                <c:pt idx="25">
                  <c:v>18.389999999999993</c:v>
                </c:pt>
                <c:pt idx="26">
                  <c:v>17.190000000000005</c:v>
                </c:pt>
                <c:pt idx="27">
                  <c:v>17.990000000000002</c:v>
                </c:pt>
                <c:pt idx="28">
                  <c:v>16.29</c:v>
                </c:pt>
                <c:pt idx="29">
                  <c:v>22.889999999999993</c:v>
                </c:pt>
                <c:pt idx="30">
                  <c:v>21.389999999999993</c:v>
                </c:pt>
                <c:pt idx="31">
                  <c:v>#N/A</c:v>
                </c:pt>
                <c:pt idx="32">
                  <c:v>18.690000000000005</c:v>
                </c:pt>
                <c:pt idx="33">
                  <c:v>15.389999999999993</c:v>
                </c:pt>
                <c:pt idx="34">
                  <c:v>15.389999999999993</c:v>
                </c:pt>
                <c:pt idx="35">
                  <c:v>18.590000000000011</c:v>
                </c:pt>
                <c:pt idx="36">
                  <c:v>15.690000000000005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5-4F83-A445-61FE79D8C1F4}"/>
            </c:ext>
          </c:extLst>
        </c:ser>
        <c:ser>
          <c:idx val="2"/>
          <c:order val="2"/>
          <c:tx>
            <c:strRef>
              <c:f>'Skin-Investments'!$B$72</c:f>
              <c:strCache>
                <c:ptCount val="1"/>
                <c:pt idx="0">
                  <c:v>P90 Sunset Lily FN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'Skin-Investments'!$I$69:$GA$69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'Skin-Investments'!$I$72:$GA$72</c:f>
              <c:numCache>
                <c:formatCode>General</c:formatCode>
                <c:ptCount val="175"/>
                <c:pt idx="0">
                  <c:v>-14.93</c:v>
                </c:pt>
                <c:pt idx="1">
                  <c:v>-14.180000000000001</c:v>
                </c:pt>
                <c:pt idx="2">
                  <c:v>#N/A</c:v>
                </c:pt>
                <c:pt idx="3">
                  <c:v>-13.430000000000001</c:v>
                </c:pt>
                <c:pt idx="4">
                  <c:v>#N/A</c:v>
                </c:pt>
                <c:pt idx="5">
                  <c:v>-12.280000000000001</c:v>
                </c:pt>
                <c:pt idx="6">
                  <c:v>-11.18</c:v>
                </c:pt>
                <c:pt idx="7">
                  <c:v>-3.2800000000000011</c:v>
                </c:pt>
                <c:pt idx="8">
                  <c:v>-4.0300000000000011</c:v>
                </c:pt>
                <c:pt idx="9">
                  <c:v>-4.0300000000000011</c:v>
                </c:pt>
                <c:pt idx="10">
                  <c:v>-3.4299999999999997</c:v>
                </c:pt>
                <c:pt idx="11">
                  <c:v>5.07</c:v>
                </c:pt>
                <c:pt idx="12">
                  <c:v>7.9699999999999989</c:v>
                </c:pt>
                <c:pt idx="13">
                  <c:v>5.769999999999996</c:v>
                </c:pt>
                <c:pt idx="14">
                  <c:v>4.519999999999996</c:v>
                </c:pt>
                <c:pt idx="15">
                  <c:v>2.6699999999999982</c:v>
                </c:pt>
                <c:pt idx="16">
                  <c:v>-0.43000000000000327</c:v>
                </c:pt>
                <c:pt idx="17">
                  <c:v>0.56999999999999673</c:v>
                </c:pt>
                <c:pt idx="18">
                  <c:v>2.8200000000000003</c:v>
                </c:pt>
                <c:pt idx="19">
                  <c:v>6.32</c:v>
                </c:pt>
                <c:pt idx="20">
                  <c:v>9.019999999999996</c:v>
                </c:pt>
                <c:pt idx="21">
                  <c:v>13.819999999999993</c:v>
                </c:pt>
                <c:pt idx="22">
                  <c:v>13.819999999999993</c:v>
                </c:pt>
                <c:pt idx="23">
                  <c:v>9.5699999999999932</c:v>
                </c:pt>
                <c:pt idx="24">
                  <c:v>8.7199999999999989</c:v>
                </c:pt>
                <c:pt idx="25">
                  <c:v>7.6699999999999946</c:v>
                </c:pt>
                <c:pt idx="26">
                  <c:v>8.2199999999999989</c:v>
                </c:pt>
                <c:pt idx="27">
                  <c:v>7.9699999999999989</c:v>
                </c:pt>
                <c:pt idx="28">
                  <c:v>15.170000000000002</c:v>
                </c:pt>
                <c:pt idx="29">
                  <c:v>12.969999999999999</c:v>
                </c:pt>
                <c:pt idx="30">
                  <c:v>11.119999999999997</c:v>
                </c:pt>
                <c:pt idx="31">
                  <c:v>#N/A</c:v>
                </c:pt>
                <c:pt idx="32">
                  <c:v>12.169999999999995</c:v>
                </c:pt>
                <c:pt idx="33">
                  <c:v>9.5699999999999932</c:v>
                </c:pt>
                <c:pt idx="34">
                  <c:v>9.6199999999999974</c:v>
                </c:pt>
                <c:pt idx="35">
                  <c:v>8.8699999999999974</c:v>
                </c:pt>
                <c:pt idx="36">
                  <c:v>8.8699999999999974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75-4F83-A445-61FE79D8C1F4}"/>
            </c:ext>
          </c:extLst>
        </c:ser>
        <c:ser>
          <c:idx val="3"/>
          <c:order val="3"/>
          <c:tx>
            <c:strRef>
              <c:f>'Skin-Investments'!$B$73</c:f>
              <c:strCache>
                <c:ptCount val="1"/>
                <c:pt idx="0">
                  <c:v>Tec-9 Rust Leaf FN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'Skin-Investments'!$I$69:$GA$69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'Skin-Investments'!$I$73:$GA$73</c:f>
              <c:numCache>
                <c:formatCode>General</c:formatCode>
                <c:ptCount val="175"/>
                <c:pt idx="0">
                  <c:v>-19.639999999999997</c:v>
                </c:pt>
                <c:pt idx="1">
                  <c:v>-18.169999999999998</c:v>
                </c:pt>
                <c:pt idx="2">
                  <c:v>#N/A</c:v>
                </c:pt>
                <c:pt idx="3">
                  <c:v>-16.769999999999996</c:v>
                </c:pt>
                <c:pt idx="4">
                  <c:v>#N/A</c:v>
                </c:pt>
                <c:pt idx="5">
                  <c:v>-14.809999999999999</c:v>
                </c:pt>
                <c:pt idx="6">
                  <c:v>-12.919999999999998</c:v>
                </c:pt>
                <c:pt idx="7">
                  <c:v>-5.7800000000000011</c:v>
                </c:pt>
                <c:pt idx="8">
                  <c:v>-3.3999999999999986</c:v>
                </c:pt>
                <c:pt idx="9">
                  <c:v>-3.3999999999999986</c:v>
                </c:pt>
                <c:pt idx="10">
                  <c:v>-3.4699999999999989</c:v>
                </c:pt>
                <c:pt idx="11">
                  <c:v>2.4100000000000037</c:v>
                </c:pt>
                <c:pt idx="12">
                  <c:v>6.82</c:v>
                </c:pt>
                <c:pt idx="13">
                  <c:v>6.4699999999999989</c:v>
                </c:pt>
                <c:pt idx="14">
                  <c:v>6.6100000000000065</c:v>
                </c:pt>
                <c:pt idx="15">
                  <c:v>3.8800000000000026</c:v>
                </c:pt>
                <c:pt idx="16">
                  <c:v>3.5300000000000011</c:v>
                </c:pt>
                <c:pt idx="17">
                  <c:v>3.460000000000008</c:v>
                </c:pt>
                <c:pt idx="18">
                  <c:v>7.1700000000000088</c:v>
                </c:pt>
                <c:pt idx="19">
                  <c:v>11.230000000000004</c:v>
                </c:pt>
                <c:pt idx="20">
                  <c:v>20.260000000000005</c:v>
                </c:pt>
                <c:pt idx="21">
                  <c:v>19.489999999999995</c:v>
                </c:pt>
                <c:pt idx="22">
                  <c:v>14.100000000000001</c:v>
                </c:pt>
                <c:pt idx="23">
                  <c:v>11.370000000000005</c:v>
                </c:pt>
                <c:pt idx="24">
                  <c:v>13.050000000000004</c:v>
                </c:pt>
                <c:pt idx="25">
                  <c:v>11.300000000000004</c:v>
                </c:pt>
                <c:pt idx="26">
                  <c:v>13.75</c:v>
                </c:pt>
                <c:pt idx="27">
                  <c:v>13.610000000000007</c:v>
                </c:pt>
                <c:pt idx="28">
                  <c:v>27.820000000000007</c:v>
                </c:pt>
                <c:pt idx="29">
                  <c:v>15.640000000000008</c:v>
                </c:pt>
                <c:pt idx="30">
                  <c:v>14.660000000000004</c:v>
                </c:pt>
                <c:pt idx="31">
                  <c:v>#N/A</c:v>
                </c:pt>
                <c:pt idx="32">
                  <c:v>19.28</c:v>
                </c:pt>
                <c:pt idx="33">
                  <c:v>16.060000000000002</c:v>
                </c:pt>
                <c:pt idx="34">
                  <c:v>14.940000000000005</c:v>
                </c:pt>
                <c:pt idx="35">
                  <c:v>14.660000000000004</c:v>
                </c:pt>
                <c:pt idx="36">
                  <c:v>13.75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75-4F83-A445-61FE79D8C1F4}"/>
            </c:ext>
          </c:extLst>
        </c:ser>
        <c:ser>
          <c:idx val="4"/>
          <c:order val="4"/>
          <c:tx>
            <c:strRef>
              <c:f>'Skin-Investments'!$B$74</c:f>
              <c:strCache>
                <c:ptCount val="1"/>
                <c:pt idx="0">
                  <c:v>Tec-9 Rust Leaf MW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'Skin-Investments'!$I$69:$GA$69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'Skin-Investments'!$I$74:$GA$74</c:f>
              <c:numCache>
                <c:formatCode>General</c:formatCode>
                <c:ptCount val="175"/>
                <c:pt idx="0">
                  <c:v>-24.44</c:v>
                </c:pt>
                <c:pt idx="1">
                  <c:v>-24.44</c:v>
                </c:pt>
                <c:pt idx="2">
                  <c:v>#N/A</c:v>
                </c:pt>
                <c:pt idx="3">
                  <c:v>-22.340000000000003</c:v>
                </c:pt>
                <c:pt idx="4">
                  <c:v>#N/A</c:v>
                </c:pt>
                <c:pt idx="5">
                  <c:v>-19.04</c:v>
                </c:pt>
                <c:pt idx="6">
                  <c:v>-18.14</c:v>
                </c:pt>
                <c:pt idx="7">
                  <c:v>-8.64</c:v>
                </c:pt>
                <c:pt idx="8">
                  <c:v>-7.1400000000000006</c:v>
                </c:pt>
                <c:pt idx="9">
                  <c:v>-3.9400000000000048</c:v>
                </c:pt>
                <c:pt idx="10">
                  <c:v>-4.4399999999999977</c:v>
                </c:pt>
                <c:pt idx="11">
                  <c:v>4.4599999999999937</c:v>
                </c:pt>
                <c:pt idx="12">
                  <c:v>7.759999999999998</c:v>
                </c:pt>
                <c:pt idx="13">
                  <c:v>10.36</c:v>
                </c:pt>
                <c:pt idx="14">
                  <c:v>9.1600000000000037</c:v>
                </c:pt>
                <c:pt idx="15">
                  <c:v>8.5599999999999952</c:v>
                </c:pt>
                <c:pt idx="16">
                  <c:v>3.1599999999999966</c:v>
                </c:pt>
                <c:pt idx="17">
                  <c:v>0.76000000000000512</c:v>
                </c:pt>
                <c:pt idx="18">
                  <c:v>8.5599999999999952</c:v>
                </c:pt>
                <c:pt idx="19">
                  <c:v>15.459999999999994</c:v>
                </c:pt>
                <c:pt idx="20">
                  <c:v>21.459999999999994</c:v>
                </c:pt>
                <c:pt idx="21">
                  <c:v>34.760000000000005</c:v>
                </c:pt>
                <c:pt idx="22">
                  <c:v>21.459999999999994</c:v>
                </c:pt>
                <c:pt idx="23">
                  <c:v>18.760000000000005</c:v>
                </c:pt>
                <c:pt idx="24">
                  <c:v>18.459999999999994</c:v>
                </c:pt>
                <c:pt idx="25">
                  <c:v>18.86</c:v>
                </c:pt>
                <c:pt idx="26">
                  <c:v>18.260000000000005</c:v>
                </c:pt>
                <c:pt idx="27">
                  <c:v>17.460000000000008</c:v>
                </c:pt>
                <c:pt idx="28">
                  <c:v>22.959999999999994</c:v>
                </c:pt>
                <c:pt idx="29">
                  <c:v>27.659999999999997</c:v>
                </c:pt>
                <c:pt idx="30">
                  <c:v>20.959999999999994</c:v>
                </c:pt>
                <c:pt idx="31">
                  <c:v>#N/A</c:v>
                </c:pt>
                <c:pt idx="32">
                  <c:v>18.36</c:v>
                </c:pt>
                <c:pt idx="33">
                  <c:v>22.060000000000002</c:v>
                </c:pt>
                <c:pt idx="34">
                  <c:v>19.260000000000005</c:v>
                </c:pt>
                <c:pt idx="35">
                  <c:v>16.36</c:v>
                </c:pt>
                <c:pt idx="36">
                  <c:v>17.159999999999997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75-4F83-A445-61FE79D8C1F4}"/>
            </c:ext>
          </c:extLst>
        </c:ser>
        <c:ser>
          <c:idx val="5"/>
          <c:order val="5"/>
          <c:tx>
            <c:strRef>
              <c:f>'Skin-Investments'!$B$75</c:f>
              <c:strCache>
                <c:ptCount val="1"/>
                <c:pt idx="0">
                  <c:v>XM1014 Banana Leaf FN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'Skin-Investments'!$I$69:$GA$69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'Skin-Investments'!$I$75:$GA$75</c:f>
              <c:numCache>
                <c:formatCode>General</c:formatCode>
                <c:ptCount val="175"/>
                <c:pt idx="0">
                  <c:v>-26.130000000000003</c:v>
                </c:pt>
                <c:pt idx="1">
                  <c:v>-27.930000000000003</c:v>
                </c:pt>
                <c:pt idx="2">
                  <c:v>#N/A</c:v>
                </c:pt>
                <c:pt idx="3">
                  <c:v>-27.930000000000003</c:v>
                </c:pt>
                <c:pt idx="4">
                  <c:v>#N/A</c:v>
                </c:pt>
                <c:pt idx="5">
                  <c:v>-21.730000000000004</c:v>
                </c:pt>
                <c:pt idx="6">
                  <c:v>-18.930000000000007</c:v>
                </c:pt>
                <c:pt idx="7">
                  <c:v>-12.93</c:v>
                </c:pt>
                <c:pt idx="8">
                  <c:v>-7.93</c:v>
                </c:pt>
                <c:pt idx="9">
                  <c:v>-3.730000000000004</c:v>
                </c:pt>
                <c:pt idx="10">
                  <c:v>-3.230000000000004</c:v>
                </c:pt>
                <c:pt idx="11">
                  <c:v>2.5699999999999932</c:v>
                </c:pt>
                <c:pt idx="12">
                  <c:v>6.8699999999999974</c:v>
                </c:pt>
                <c:pt idx="13">
                  <c:v>5.2700000000000031</c:v>
                </c:pt>
                <c:pt idx="14">
                  <c:v>4.3699999999999974</c:v>
                </c:pt>
                <c:pt idx="15">
                  <c:v>-0.13000000000000256</c:v>
                </c:pt>
                <c:pt idx="16">
                  <c:v>-0.53000000000000114</c:v>
                </c:pt>
                <c:pt idx="17">
                  <c:v>1.6699999999999946</c:v>
                </c:pt>
                <c:pt idx="18">
                  <c:v>8.6699999999999946</c:v>
                </c:pt>
                <c:pt idx="19">
                  <c:v>10.770000000000003</c:v>
                </c:pt>
                <c:pt idx="20">
                  <c:v>18.469999999999992</c:v>
                </c:pt>
                <c:pt idx="21">
                  <c:v>24.170000000000009</c:v>
                </c:pt>
                <c:pt idx="22">
                  <c:v>20.869999999999997</c:v>
                </c:pt>
                <c:pt idx="23">
                  <c:v>14.969999999999992</c:v>
                </c:pt>
                <c:pt idx="24">
                  <c:v>19.169999999999995</c:v>
                </c:pt>
                <c:pt idx="25">
                  <c:v>18.169999999999995</c:v>
                </c:pt>
                <c:pt idx="26">
                  <c:v>18.169999999999995</c:v>
                </c:pt>
                <c:pt idx="27">
                  <c:v>16.470000000000006</c:v>
                </c:pt>
                <c:pt idx="28">
                  <c:v>36.670000000000009</c:v>
                </c:pt>
                <c:pt idx="29">
                  <c:v>34.769999999999989</c:v>
                </c:pt>
                <c:pt idx="30">
                  <c:v>30.369999999999997</c:v>
                </c:pt>
                <c:pt idx="31">
                  <c:v>#N/A</c:v>
                </c:pt>
                <c:pt idx="32">
                  <c:v>26.270000000000003</c:v>
                </c:pt>
                <c:pt idx="33">
                  <c:v>20.569999999999986</c:v>
                </c:pt>
                <c:pt idx="34">
                  <c:v>21.470000000000006</c:v>
                </c:pt>
                <c:pt idx="35">
                  <c:v>22.169999999999995</c:v>
                </c:pt>
                <c:pt idx="36">
                  <c:v>17.969999999999992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75-4F83-A445-61FE79D8C1F4}"/>
            </c:ext>
          </c:extLst>
        </c:ser>
        <c:ser>
          <c:idx val="6"/>
          <c:order val="6"/>
          <c:tx>
            <c:strRef>
              <c:f>'Skin-Investments'!$B$76</c:f>
              <c:strCache>
                <c:ptCount val="1"/>
                <c:pt idx="0">
                  <c:v>XM1014 Banana Leaf MW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'Skin-Investments'!$I$69:$GA$69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'Skin-Investments'!$I$76:$GA$76</c:f>
              <c:numCache>
                <c:formatCode>General</c:formatCode>
                <c:ptCount val="175"/>
                <c:pt idx="0">
                  <c:v>-14.869999999999997</c:v>
                </c:pt>
                <c:pt idx="1">
                  <c:v>-15.349999999999998</c:v>
                </c:pt>
                <c:pt idx="2">
                  <c:v>#N/A</c:v>
                </c:pt>
                <c:pt idx="3">
                  <c:v>-13.009999999999998</c:v>
                </c:pt>
                <c:pt idx="4">
                  <c:v>#N/A</c:v>
                </c:pt>
                <c:pt idx="5">
                  <c:v>-10.91</c:v>
                </c:pt>
                <c:pt idx="6">
                  <c:v>-10.549999999999997</c:v>
                </c:pt>
                <c:pt idx="7">
                  <c:v>-0.64999999999999858</c:v>
                </c:pt>
                <c:pt idx="8">
                  <c:v>1.6300000000000026</c:v>
                </c:pt>
                <c:pt idx="9">
                  <c:v>-3.5300000000000011</c:v>
                </c:pt>
                <c:pt idx="10">
                  <c:v>-1.25</c:v>
                </c:pt>
                <c:pt idx="11">
                  <c:v>2.8300000000000054</c:v>
                </c:pt>
                <c:pt idx="12">
                  <c:v>5.7100000000000009</c:v>
                </c:pt>
                <c:pt idx="13">
                  <c:v>7.4500000000000028</c:v>
                </c:pt>
                <c:pt idx="14">
                  <c:v>4.5700000000000074</c:v>
                </c:pt>
                <c:pt idx="15">
                  <c:v>3.1899999999999977</c:v>
                </c:pt>
                <c:pt idx="16">
                  <c:v>0.37000000000000455</c:v>
                </c:pt>
                <c:pt idx="17">
                  <c:v>0.85000000000000142</c:v>
                </c:pt>
                <c:pt idx="18">
                  <c:v>4.6899999999999977</c:v>
                </c:pt>
                <c:pt idx="19">
                  <c:v>12.730000000000004</c:v>
                </c:pt>
                <c:pt idx="20">
                  <c:v>12.910000000000004</c:v>
                </c:pt>
                <c:pt idx="21">
                  <c:v>19.090000000000003</c:v>
                </c:pt>
                <c:pt idx="22">
                  <c:v>12.070000000000007</c:v>
                </c:pt>
                <c:pt idx="23">
                  <c:v>10.93</c:v>
                </c:pt>
                <c:pt idx="24">
                  <c:v>10.150000000000006</c:v>
                </c:pt>
                <c:pt idx="25">
                  <c:v>11.650000000000006</c:v>
                </c:pt>
                <c:pt idx="26">
                  <c:v>12.130000000000003</c:v>
                </c:pt>
                <c:pt idx="27">
                  <c:v>12.189999999999998</c:v>
                </c:pt>
                <c:pt idx="28">
                  <c:v>12.670000000000002</c:v>
                </c:pt>
                <c:pt idx="29">
                  <c:v>16.03</c:v>
                </c:pt>
                <c:pt idx="30">
                  <c:v>12.009999999999998</c:v>
                </c:pt>
                <c:pt idx="31">
                  <c:v>#N/A</c:v>
                </c:pt>
                <c:pt idx="32">
                  <c:v>12.189999999999998</c:v>
                </c:pt>
                <c:pt idx="33">
                  <c:v>10.210000000000001</c:v>
                </c:pt>
                <c:pt idx="34">
                  <c:v>10.870000000000005</c:v>
                </c:pt>
                <c:pt idx="35">
                  <c:v>11.950000000000003</c:v>
                </c:pt>
                <c:pt idx="36">
                  <c:v>10.630000000000003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75-4F83-A445-61FE79D8C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3417871"/>
        <c:axId val="1164690255"/>
      </c:lineChart>
      <c:dateAx>
        <c:axId val="16534178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164690255"/>
        <c:crosses val="autoZero"/>
        <c:auto val="1"/>
        <c:lblOffset val="100"/>
        <c:baseTimeUnit val="days"/>
      </c:dateAx>
      <c:valAx>
        <c:axId val="11646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5341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Skin-In</a:t>
            </a:r>
            <a:r>
              <a:rPr lang="de-CH" baseline="0"/>
              <a:t>vestments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'Skin-Investments'!$B$79</c:f>
              <c:strCache>
                <c:ptCount val="1"/>
                <c:pt idx="0">
                  <c:v>Total Value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'Skin-Investments'!$I$78:$GA$78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'Skin-Investments'!$I$79:$GA$79</c:f>
              <c:numCache>
                <c:formatCode>General</c:formatCode>
                <c:ptCount val="175"/>
                <c:pt idx="0">
                  <c:v>361.37</c:v>
                </c:pt>
                <c:pt idx="1">
                  <c:v>351.90000000000003</c:v>
                </c:pt>
                <c:pt idx="2">
                  <c:v>#N/A</c:v>
                </c:pt>
                <c:pt idx="3">
                  <c:v>377.77</c:v>
                </c:pt>
                <c:pt idx="4">
                  <c:v>#N/A</c:v>
                </c:pt>
                <c:pt idx="5">
                  <c:v>424.95</c:v>
                </c:pt>
                <c:pt idx="6">
                  <c:v>434.56</c:v>
                </c:pt>
                <c:pt idx="7">
                  <c:v>577.31999999999994</c:v>
                </c:pt>
                <c:pt idx="8">
                  <c:v>585.45000000000005</c:v>
                </c:pt>
                <c:pt idx="9">
                  <c:v>624.30999999999995</c:v>
                </c:pt>
                <c:pt idx="10">
                  <c:v>628.51</c:v>
                </c:pt>
                <c:pt idx="11">
                  <c:v>738.56</c:v>
                </c:pt>
                <c:pt idx="12">
                  <c:v>817.56</c:v>
                </c:pt>
                <c:pt idx="13">
                  <c:v>817.40000000000009</c:v>
                </c:pt>
                <c:pt idx="14">
                  <c:v>764.49</c:v>
                </c:pt>
                <c:pt idx="15">
                  <c:v>717.12</c:v>
                </c:pt>
                <c:pt idx="16">
                  <c:v>674.67000000000007</c:v>
                </c:pt>
                <c:pt idx="17">
                  <c:v>723.06</c:v>
                </c:pt>
                <c:pt idx="18">
                  <c:v>808.52</c:v>
                </c:pt>
                <c:pt idx="19">
                  <c:v>871.93000000000006</c:v>
                </c:pt>
                <c:pt idx="20">
                  <c:v>921.06999999999994</c:v>
                </c:pt>
                <c:pt idx="21">
                  <c:v>1045.08</c:v>
                </c:pt>
                <c:pt idx="22">
                  <c:v>940.4899999999999</c:v>
                </c:pt>
                <c:pt idx="23">
                  <c:v>904.19999999999993</c:v>
                </c:pt>
                <c:pt idx="24">
                  <c:v>915.93999999999983</c:v>
                </c:pt>
                <c:pt idx="25">
                  <c:v>913.45999999999992</c:v>
                </c:pt>
                <c:pt idx="26">
                  <c:v>915.31</c:v>
                </c:pt>
                <c:pt idx="27">
                  <c:v>900.20999999999992</c:v>
                </c:pt>
                <c:pt idx="28">
                  <c:v>983.03</c:v>
                </c:pt>
                <c:pt idx="29">
                  <c:v>993.37000000000012</c:v>
                </c:pt>
                <c:pt idx="30">
                  <c:v>954.86</c:v>
                </c:pt>
                <c:pt idx="31">
                  <c:v>#N/A</c:v>
                </c:pt>
                <c:pt idx="32">
                  <c:v>951.88</c:v>
                </c:pt>
                <c:pt idx="33">
                  <c:v>927.51</c:v>
                </c:pt>
                <c:pt idx="34">
                  <c:v>902.78</c:v>
                </c:pt>
                <c:pt idx="35">
                  <c:v>908.49</c:v>
                </c:pt>
                <c:pt idx="36">
                  <c:v>876.37000000000023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4-40DA-99AE-FFED59A021B1}"/>
            </c:ext>
          </c:extLst>
        </c:ser>
        <c:ser>
          <c:idx val="1"/>
          <c:order val="1"/>
          <c:tx>
            <c:strRef>
              <c:f>'Skin-Investments'!$B$80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'Skin-Investments'!$I$78:$GA$78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'Skin-Investments'!$I$80:$GA$80</c:f>
              <c:numCache>
                <c:formatCode>General</c:formatCode>
                <c:ptCount val="175"/>
                <c:pt idx="0">
                  <c:v>270.81</c:v>
                </c:pt>
                <c:pt idx="1">
                  <c:v>263.84999999999997</c:v>
                </c:pt>
                <c:pt idx="2">
                  <c:v>#N/A</c:v>
                </c:pt>
                <c:pt idx="3">
                  <c:v>283.03999999999996</c:v>
                </c:pt>
                <c:pt idx="4">
                  <c:v>#N/A</c:v>
                </c:pt>
                <c:pt idx="5">
                  <c:v>318.20999999999998</c:v>
                </c:pt>
                <c:pt idx="6">
                  <c:v>325.41999999999996</c:v>
                </c:pt>
                <c:pt idx="7">
                  <c:v>432.78</c:v>
                </c:pt>
                <c:pt idx="8">
                  <c:v>438.54999999999995</c:v>
                </c:pt>
                <c:pt idx="9">
                  <c:v>467.84999999999997</c:v>
                </c:pt>
                <c:pt idx="10">
                  <c:v>470.84</c:v>
                </c:pt>
                <c:pt idx="11">
                  <c:v>553.76</c:v>
                </c:pt>
                <c:pt idx="12">
                  <c:v>612.54999999999995</c:v>
                </c:pt>
                <c:pt idx="13">
                  <c:v>612.78</c:v>
                </c:pt>
                <c:pt idx="14">
                  <c:v>573.18999999999994</c:v>
                </c:pt>
                <c:pt idx="15">
                  <c:v>537.75</c:v>
                </c:pt>
                <c:pt idx="16">
                  <c:v>505.56</c:v>
                </c:pt>
                <c:pt idx="17">
                  <c:v>541.67000000000007</c:v>
                </c:pt>
                <c:pt idx="18">
                  <c:v>605.89</c:v>
                </c:pt>
                <c:pt idx="19">
                  <c:v>653.29</c:v>
                </c:pt>
                <c:pt idx="20">
                  <c:v>690.28000000000009</c:v>
                </c:pt>
                <c:pt idx="21">
                  <c:v>783.55000000000007</c:v>
                </c:pt>
                <c:pt idx="22">
                  <c:v>705.21999999999991</c:v>
                </c:pt>
                <c:pt idx="23">
                  <c:v>677.92</c:v>
                </c:pt>
                <c:pt idx="24">
                  <c:v>686.44999999999993</c:v>
                </c:pt>
                <c:pt idx="25">
                  <c:v>685.00999999999988</c:v>
                </c:pt>
                <c:pt idx="26">
                  <c:v>686.20999999999992</c:v>
                </c:pt>
                <c:pt idx="27">
                  <c:v>674.57999999999993</c:v>
                </c:pt>
                <c:pt idx="28">
                  <c:v>736.79</c:v>
                </c:pt>
                <c:pt idx="29">
                  <c:v>744.76999999999987</c:v>
                </c:pt>
                <c:pt idx="30">
                  <c:v>715.72</c:v>
                </c:pt>
                <c:pt idx="31">
                  <c:v>#N/A</c:v>
                </c:pt>
                <c:pt idx="32">
                  <c:v>713.6099999999999</c:v>
                </c:pt>
                <c:pt idx="33">
                  <c:v>695.23</c:v>
                </c:pt>
                <c:pt idx="34">
                  <c:v>676.6</c:v>
                </c:pt>
                <c:pt idx="35">
                  <c:v>681.00999999999988</c:v>
                </c:pt>
                <c:pt idx="36">
                  <c:v>657.11999999999989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4-40DA-99AE-FFED59A02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887919"/>
        <c:axId val="1652531855"/>
      </c:lineChart>
      <c:dateAx>
        <c:axId val="13278879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52531855"/>
        <c:crosses val="autoZero"/>
        <c:auto val="1"/>
        <c:lblOffset val="100"/>
        <c:baseTimeUnit val="days"/>
      </c:dateAx>
      <c:valAx>
        <c:axId val="16525318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32788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Estimated Profit Skins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'Skin-Investments'!$B$84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'Skin-Investments'!$I$83:$GA$83</c:f>
              <c:numCache>
                <c:formatCode>m/d/yyyy</c:formatCode>
                <c:ptCount val="175"/>
                <c:pt idx="0">
                  <c:v>44331</c:v>
                </c:pt>
                <c:pt idx="1">
                  <c:v>44332</c:v>
                </c:pt>
                <c:pt idx="2">
                  <c:v>44333</c:v>
                </c:pt>
                <c:pt idx="3">
                  <c:v>44334</c:v>
                </c:pt>
                <c:pt idx="4">
                  <c:v>44335</c:v>
                </c:pt>
                <c:pt idx="5">
                  <c:v>44336</c:v>
                </c:pt>
                <c:pt idx="6">
                  <c:v>44337</c:v>
                </c:pt>
                <c:pt idx="7">
                  <c:v>44338</c:v>
                </c:pt>
                <c:pt idx="8">
                  <c:v>44339</c:v>
                </c:pt>
                <c:pt idx="9">
                  <c:v>44340</c:v>
                </c:pt>
                <c:pt idx="10">
                  <c:v>44341</c:v>
                </c:pt>
                <c:pt idx="11">
                  <c:v>44342</c:v>
                </c:pt>
                <c:pt idx="12">
                  <c:v>44343</c:v>
                </c:pt>
                <c:pt idx="13">
                  <c:v>44344</c:v>
                </c:pt>
                <c:pt idx="14">
                  <c:v>44345</c:v>
                </c:pt>
                <c:pt idx="15">
                  <c:v>44346</c:v>
                </c:pt>
                <c:pt idx="16">
                  <c:v>44347</c:v>
                </c:pt>
                <c:pt idx="17">
                  <c:v>44348</c:v>
                </c:pt>
                <c:pt idx="18">
                  <c:v>44349</c:v>
                </c:pt>
                <c:pt idx="19">
                  <c:v>44350</c:v>
                </c:pt>
                <c:pt idx="20">
                  <c:v>44351</c:v>
                </c:pt>
                <c:pt idx="21">
                  <c:v>44352</c:v>
                </c:pt>
                <c:pt idx="22">
                  <c:v>44353</c:v>
                </c:pt>
                <c:pt idx="23">
                  <c:v>44354</c:v>
                </c:pt>
                <c:pt idx="24">
                  <c:v>44355</c:v>
                </c:pt>
                <c:pt idx="25">
                  <c:v>44356</c:v>
                </c:pt>
                <c:pt idx="26">
                  <c:v>44357</c:v>
                </c:pt>
                <c:pt idx="27">
                  <c:v>44358</c:v>
                </c:pt>
                <c:pt idx="28">
                  <c:v>44359</c:v>
                </c:pt>
                <c:pt idx="29">
                  <c:v>44360</c:v>
                </c:pt>
                <c:pt idx="30">
                  <c:v>44361</c:v>
                </c:pt>
                <c:pt idx="31">
                  <c:v>44362</c:v>
                </c:pt>
                <c:pt idx="32">
                  <c:v>44363</c:v>
                </c:pt>
                <c:pt idx="33">
                  <c:v>44364</c:v>
                </c:pt>
                <c:pt idx="34">
                  <c:v>44365</c:v>
                </c:pt>
                <c:pt idx="35">
                  <c:v>44366</c:v>
                </c:pt>
                <c:pt idx="36">
                  <c:v>44367</c:v>
                </c:pt>
                <c:pt idx="37">
                  <c:v>44368</c:v>
                </c:pt>
                <c:pt idx="38">
                  <c:v>44369</c:v>
                </c:pt>
                <c:pt idx="39">
                  <c:v>44370</c:v>
                </c:pt>
                <c:pt idx="40">
                  <c:v>44371</c:v>
                </c:pt>
                <c:pt idx="41">
                  <c:v>44372</c:v>
                </c:pt>
                <c:pt idx="42">
                  <c:v>44373</c:v>
                </c:pt>
                <c:pt idx="43">
                  <c:v>44374</c:v>
                </c:pt>
                <c:pt idx="44">
                  <c:v>44375</c:v>
                </c:pt>
                <c:pt idx="45">
                  <c:v>44376</c:v>
                </c:pt>
                <c:pt idx="46">
                  <c:v>44377</c:v>
                </c:pt>
                <c:pt idx="47">
                  <c:v>44378</c:v>
                </c:pt>
                <c:pt idx="48">
                  <c:v>44379</c:v>
                </c:pt>
                <c:pt idx="49">
                  <c:v>44380</c:v>
                </c:pt>
                <c:pt idx="50">
                  <c:v>44381</c:v>
                </c:pt>
                <c:pt idx="51">
                  <c:v>44382</c:v>
                </c:pt>
                <c:pt idx="52">
                  <c:v>44383</c:v>
                </c:pt>
                <c:pt idx="53">
                  <c:v>44384</c:v>
                </c:pt>
                <c:pt idx="54">
                  <c:v>44385</c:v>
                </c:pt>
                <c:pt idx="55">
                  <c:v>44386</c:v>
                </c:pt>
                <c:pt idx="56">
                  <c:v>44387</c:v>
                </c:pt>
                <c:pt idx="57">
                  <c:v>44388</c:v>
                </c:pt>
                <c:pt idx="58">
                  <c:v>44389</c:v>
                </c:pt>
                <c:pt idx="59">
                  <c:v>44390</c:v>
                </c:pt>
                <c:pt idx="60">
                  <c:v>44391</c:v>
                </c:pt>
                <c:pt idx="61">
                  <c:v>44392</c:v>
                </c:pt>
                <c:pt idx="62">
                  <c:v>44393</c:v>
                </c:pt>
                <c:pt idx="63">
                  <c:v>44394</c:v>
                </c:pt>
                <c:pt idx="64">
                  <c:v>44395</c:v>
                </c:pt>
                <c:pt idx="65">
                  <c:v>44396</c:v>
                </c:pt>
                <c:pt idx="66">
                  <c:v>44397</c:v>
                </c:pt>
                <c:pt idx="67">
                  <c:v>44398</c:v>
                </c:pt>
                <c:pt idx="68">
                  <c:v>44399</c:v>
                </c:pt>
                <c:pt idx="69">
                  <c:v>44400</c:v>
                </c:pt>
                <c:pt idx="70">
                  <c:v>44401</c:v>
                </c:pt>
                <c:pt idx="71">
                  <c:v>44402</c:v>
                </c:pt>
                <c:pt idx="72">
                  <c:v>44403</c:v>
                </c:pt>
                <c:pt idx="73">
                  <c:v>44404</c:v>
                </c:pt>
                <c:pt idx="74">
                  <c:v>44405</c:v>
                </c:pt>
                <c:pt idx="75">
                  <c:v>44406</c:v>
                </c:pt>
                <c:pt idx="76">
                  <c:v>44407</c:v>
                </c:pt>
                <c:pt idx="77">
                  <c:v>44408</c:v>
                </c:pt>
                <c:pt idx="78">
                  <c:v>44409</c:v>
                </c:pt>
                <c:pt idx="79">
                  <c:v>44410</c:v>
                </c:pt>
                <c:pt idx="80">
                  <c:v>44411</c:v>
                </c:pt>
                <c:pt idx="81">
                  <c:v>44412</c:v>
                </c:pt>
                <c:pt idx="82">
                  <c:v>44413</c:v>
                </c:pt>
                <c:pt idx="83">
                  <c:v>44414</c:v>
                </c:pt>
                <c:pt idx="84">
                  <c:v>44415</c:v>
                </c:pt>
                <c:pt idx="85">
                  <c:v>44416</c:v>
                </c:pt>
                <c:pt idx="86">
                  <c:v>44417</c:v>
                </c:pt>
                <c:pt idx="87">
                  <c:v>44418</c:v>
                </c:pt>
                <c:pt idx="88">
                  <c:v>44419</c:v>
                </c:pt>
                <c:pt idx="89">
                  <c:v>44420</c:v>
                </c:pt>
                <c:pt idx="90">
                  <c:v>44421</c:v>
                </c:pt>
                <c:pt idx="91">
                  <c:v>44422</c:v>
                </c:pt>
                <c:pt idx="92">
                  <c:v>44423</c:v>
                </c:pt>
                <c:pt idx="93">
                  <c:v>44424</c:v>
                </c:pt>
                <c:pt idx="94">
                  <c:v>44425</c:v>
                </c:pt>
                <c:pt idx="95">
                  <c:v>44426</c:v>
                </c:pt>
                <c:pt idx="96">
                  <c:v>44427</c:v>
                </c:pt>
                <c:pt idx="97">
                  <c:v>44428</c:v>
                </c:pt>
                <c:pt idx="98">
                  <c:v>44429</c:v>
                </c:pt>
                <c:pt idx="99">
                  <c:v>44430</c:v>
                </c:pt>
                <c:pt idx="100">
                  <c:v>44431</c:v>
                </c:pt>
                <c:pt idx="101">
                  <c:v>44432</c:v>
                </c:pt>
                <c:pt idx="102">
                  <c:v>44433</c:v>
                </c:pt>
                <c:pt idx="103">
                  <c:v>44434</c:v>
                </c:pt>
                <c:pt idx="104">
                  <c:v>44435</c:v>
                </c:pt>
                <c:pt idx="105">
                  <c:v>44436</c:v>
                </c:pt>
                <c:pt idx="106">
                  <c:v>44437</c:v>
                </c:pt>
                <c:pt idx="107">
                  <c:v>44438</c:v>
                </c:pt>
                <c:pt idx="108">
                  <c:v>44439</c:v>
                </c:pt>
                <c:pt idx="109">
                  <c:v>44440</c:v>
                </c:pt>
                <c:pt idx="110">
                  <c:v>44441</c:v>
                </c:pt>
                <c:pt idx="111">
                  <c:v>44442</c:v>
                </c:pt>
                <c:pt idx="112">
                  <c:v>44443</c:v>
                </c:pt>
                <c:pt idx="113">
                  <c:v>44444</c:v>
                </c:pt>
                <c:pt idx="114">
                  <c:v>44445</c:v>
                </c:pt>
                <c:pt idx="115">
                  <c:v>44446</c:v>
                </c:pt>
                <c:pt idx="116">
                  <c:v>44447</c:v>
                </c:pt>
                <c:pt idx="117">
                  <c:v>44448</c:v>
                </c:pt>
                <c:pt idx="118">
                  <c:v>44449</c:v>
                </c:pt>
                <c:pt idx="119">
                  <c:v>44450</c:v>
                </c:pt>
                <c:pt idx="120">
                  <c:v>44451</c:v>
                </c:pt>
                <c:pt idx="121">
                  <c:v>44452</c:v>
                </c:pt>
                <c:pt idx="122">
                  <c:v>44453</c:v>
                </c:pt>
                <c:pt idx="123">
                  <c:v>44454</c:v>
                </c:pt>
                <c:pt idx="124">
                  <c:v>44455</c:v>
                </c:pt>
                <c:pt idx="125">
                  <c:v>44456</c:v>
                </c:pt>
                <c:pt idx="126">
                  <c:v>44457</c:v>
                </c:pt>
                <c:pt idx="127">
                  <c:v>44458</c:v>
                </c:pt>
                <c:pt idx="128">
                  <c:v>44459</c:v>
                </c:pt>
                <c:pt idx="129">
                  <c:v>44460</c:v>
                </c:pt>
                <c:pt idx="130">
                  <c:v>44461</c:v>
                </c:pt>
                <c:pt idx="131">
                  <c:v>44462</c:v>
                </c:pt>
                <c:pt idx="132">
                  <c:v>44463</c:v>
                </c:pt>
                <c:pt idx="133">
                  <c:v>44464</c:v>
                </c:pt>
                <c:pt idx="134">
                  <c:v>44465</c:v>
                </c:pt>
                <c:pt idx="135">
                  <c:v>44466</c:v>
                </c:pt>
                <c:pt idx="136">
                  <c:v>44467</c:v>
                </c:pt>
                <c:pt idx="137">
                  <c:v>44468</c:v>
                </c:pt>
                <c:pt idx="138">
                  <c:v>44469</c:v>
                </c:pt>
                <c:pt idx="139">
                  <c:v>44470</c:v>
                </c:pt>
                <c:pt idx="140">
                  <c:v>44471</c:v>
                </c:pt>
                <c:pt idx="141">
                  <c:v>44472</c:v>
                </c:pt>
                <c:pt idx="142">
                  <c:v>44473</c:v>
                </c:pt>
                <c:pt idx="143">
                  <c:v>44474</c:v>
                </c:pt>
                <c:pt idx="144">
                  <c:v>44475</c:v>
                </c:pt>
                <c:pt idx="145">
                  <c:v>44476</c:v>
                </c:pt>
                <c:pt idx="146">
                  <c:v>44477</c:v>
                </c:pt>
                <c:pt idx="147">
                  <c:v>44478</c:v>
                </c:pt>
                <c:pt idx="148">
                  <c:v>44479</c:v>
                </c:pt>
                <c:pt idx="149">
                  <c:v>44480</c:v>
                </c:pt>
                <c:pt idx="150">
                  <c:v>44481</c:v>
                </c:pt>
                <c:pt idx="151">
                  <c:v>44482</c:v>
                </c:pt>
                <c:pt idx="152">
                  <c:v>44483</c:v>
                </c:pt>
                <c:pt idx="153">
                  <c:v>44484</c:v>
                </c:pt>
                <c:pt idx="154">
                  <c:v>44485</c:v>
                </c:pt>
                <c:pt idx="155">
                  <c:v>44486</c:v>
                </c:pt>
                <c:pt idx="156">
                  <c:v>44487</c:v>
                </c:pt>
                <c:pt idx="157">
                  <c:v>44488</c:v>
                </c:pt>
                <c:pt idx="158">
                  <c:v>44489</c:v>
                </c:pt>
                <c:pt idx="159">
                  <c:v>44490</c:v>
                </c:pt>
                <c:pt idx="160">
                  <c:v>44491</c:v>
                </c:pt>
                <c:pt idx="161">
                  <c:v>44492</c:v>
                </c:pt>
                <c:pt idx="162">
                  <c:v>44493</c:v>
                </c:pt>
                <c:pt idx="163">
                  <c:v>44494</c:v>
                </c:pt>
                <c:pt idx="164">
                  <c:v>44495</c:v>
                </c:pt>
                <c:pt idx="165">
                  <c:v>44496</c:v>
                </c:pt>
                <c:pt idx="166">
                  <c:v>44497</c:v>
                </c:pt>
                <c:pt idx="167">
                  <c:v>44498</c:v>
                </c:pt>
                <c:pt idx="168">
                  <c:v>44499</c:v>
                </c:pt>
                <c:pt idx="169">
                  <c:v>44500</c:v>
                </c:pt>
                <c:pt idx="170">
                  <c:v>44501</c:v>
                </c:pt>
                <c:pt idx="171">
                  <c:v>44502</c:v>
                </c:pt>
                <c:pt idx="172">
                  <c:v>44503</c:v>
                </c:pt>
                <c:pt idx="173">
                  <c:v>44504</c:v>
                </c:pt>
                <c:pt idx="174">
                  <c:v>44505</c:v>
                </c:pt>
              </c:numCache>
            </c:numRef>
          </c:cat>
          <c:val>
            <c:numRef>
              <c:f>'Skin-Investments'!$I$84:$GA$84</c:f>
              <c:numCache>
                <c:formatCode>General</c:formatCode>
                <c:ptCount val="175"/>
                <c:pt idx="0">
                  <c:v>-94.97</c:v>
                </c:pt>
                <c:pt idx="1">
                  <c:v>-101.93</c:v>
                </c:pt>
                <c:pt idx="2">
                  <c:v>#N/A</c:v>
                </c:pt>
                <c:pt idx="3">
                  <c:v>-82.740000000000009</c:v>
                </c:pt>
                <c:pt idx="4">
                  <c:v>#N/A</c:v>
                </c:pt>
                <c:pt idx="5">
                  <c:v>-47.569999999999993</c:v>
                </c:pt>
                <c:pt idx="6">
                  <c:v>-40.360000000000028</c:v>
                </c:pt>
                <c:pt idx="7">
                  <c:v>67</c:v>
                </c:pt>
                <c:pt idx="8">
                  <c:v>72.77000000000001</c:v>
                </c:pt>
                <c:pt idx="9">
                  <c:v>102.07000000000001</c:v>
                </c:pt>
                <c:pt idx="10">
                  <c:v>105.05999999999996</c:v>
                </c:pt>
                <c:pt idx="11">
                  <c:v>187.98</c:v>
                </c:pt>
                <c:pt idx="12">
                  <c:v>246.77</c:v>
                </c:pt>
                <c:pt idx="13">
                  <c:v>247</c:v>
                </c:pt>
                <c:pt idx="14">
                  <c:v>207.41000000000003</c:v>
                </c:pt>
                <c:pt idx="15">
                  <c:v>171.96999999999997</c:v>
                </c:pt>
                <c:pt idx="16">
                  <c:v>139.77999999999994</c:v>
                </c:pt>
                <c:pt idx="17">
                  <c:v>175.89</c:v>
                </c:pt>
                <c:pt idx="18">
                  <c:v>240.10999999999999</c:v>
                </c:pt>
                <c:pt idx="19">
                  <c:v>287.51</c:v>
                </c:pt>
                <c:pt idx="20">
                  <c:v>324.49999999999994</c:v>
                </c:pt>
                <c:pt idx="21">
                  <c:v>417.7700000000001</c:v>
                </c:pt>
                <c:pt idx="22">
                  <c:v>339.43999999999994</c:v>
                </c:pt>
                <c:pt idx="23">
                  <c:v>312.14</c:v>
                </c:pt>
                <c:pt idx="24">
                  <c:v>320.66999999999996</c:v>
                </c:pt>
                <c:pt idx="25">
                  <c:v>319.23</c:v>
                </c:pt>
                <c:pt idx="26">
                  <c:v>320.43</c:v>
                </c:pt>
                <c:pt idx="27">
                  <c:v>308.8</c:v>
                </c:pt>
                <c:pt idx="28">
                  <c:v>371.01</c:v>
                </c:pt>
                <c:pt idx="29">
                  <c:v>378.9899999999999</c:v>
                </c:pt>
                <c:pt idx="30">
                  <c:v>349.94</c:v>
                </c:pt>
                <c:pt idx="31">
                  <c:v>#N/A</c:v>
                </c:pt>
                <c:pt idx="32">
                  <c:v>347.83</c:v>
                </c:pt>
                <c:pt idx="33">
                  <c:v>329.44999999999993</c:v>
                </c:pt>
                <c:pt idx="34">
                  <c:v>310.82</c:v>
                </c:pt>
                <c:pt idx="35">
                  <c:v>315.23</c:v>
                </c:pt>
                <c:pt idx="36">
                  <c:v>291.33999999999992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4-4892-B949-5CBE13881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263391"/>
        <c:axId val="1160238575"/>
      </c:lineChart>
      <c:dateAx>
        <c:axId val="168126339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0238575"/>
        <c:crosses val="autoZero"/>
        <c:auto val="1"/>
        <c:lblOffset val="100"/>
        <c:baseTimeUnit val="days"/>
      </c:dateAx>
      <c:valAx>
        <c:axId val="11602385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8126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851296</xdr:colOff>
      <xdr:row>19</xdr:row>
      <xdr:rowOff>136921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CA048-B82B-41E4-B6B1-877FE9BE3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41670</xdr:colOff>
      <xdr:row>0</xdr:row>
      <xdr:rowOff>0</xdr:rowOff>
    </xdr:from>
    <xdr:to>
      <xdr:col>12</xdr:col>
      <xdr:colOff>136921</xdr:colOff>
      <xdr:row>19</xdr:row>
      <xdr:rowOff>160735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0E8883-0C4B-4AAD-83B5-C588EA99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178593</xdr:colOff>
      <xdr:row>0</xdr:row>
      <xdr:rowOff>11905</xdr:rowOff>
    </xdr:from>
    <xdr:to>
      <xdr:col>18</xdr:col>
      <xdr:colOff>267890</xdr:colOff>
      <xdr:row>19</xdr:row>
      <xdr:rowOff>178593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D5CB2F-21FD-4464-8099-6284BBC29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0</xdr:row>
      <xdr:rowOff>11906</xdr:rowOff>
    </xdr:from>
    <xdr:to>
      <xdr:col>7</xdr:col>
      <xdr:colOff>178594</xdr:colOff>
      <xdr:row>20</xdr:row>
      <xdr:rowOff>107156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7D570-AAC6-4AB7-8942-22DD53467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190501</xdr:colOff>
      <xdr:row>0</xdr:row>
      <xdr:rowOff>11907</xdr:rowOff>
    </xdr:from>
    <xdr:to>
      <xdr:col>13</xdr:col>
      <xdr:colOff>619126</xdr:colOff>
      <xdr:row>20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2BBACD-959A-4BCA-9464-6AF96B091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654842</xdr:colOff>
      <xdr:row>0</xdr:row>
      <xdr:rowOff>23813</xdr:rowOff>
    </xdr:from>
    <xdr:to>
      <xdr:col>21</xdr:col>
      <xdr:colOff>250031</xdr:colOff>
      <xdr:row>20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B223E4-4A2C-44CA-B5AE-5210F7BEC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285750</xdr:colOff>
      <xdr:row>0</xdr:row>
      <xdr:rowOff>23813</xdr:rowOff>
    </xdr:from>
    <xdr:to>
      <xdr:col>27</xdr:col>
      <xdr:colOff>654843</xdr:colOff>
      <xdr:row>20</xdr:row>
      <xdr:rowOff>154781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AB0772-89B1-4902-987C-9B1B77521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666749</xdr:colOff>
      <xdr:row>21</xdr:row>
      <xdr:rowOff>11906</xdr:rowOff>
    </xdr:from>
    <xdr:to>
      <xdr:col>21</xdr:col>
      <xdr:colOff>238125</xdr:colOff>
      <xdr:row>47</xdr:row>
      <xdr:rowOff>47624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D15A7A-2A52-46E1-AE1B-760AAE3EF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273843</xdr:colOff>
      <xdr:row>20</xdr:row>
      <xdr:rowOff>178593</xdr:rowOff>
    </xdr:from>
    <xdr:to>
      <xdr:col>27</xdr:col>
      <xdr:colOff>631031</xdr:colOff>
      <xdr:row>47</xdr:row>
      <xdr:rowOff>59530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70B4E1-9242-4869-B068-CB97694A9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35720</xdr:colOff>
      <xdr:row>20</xdr:row>
      <xdr:rowOff>142875</xdr:rowOff>
    </xdr:from>
    <xdr:to>
      <xdr:col>7</xdr:col>
      <xdr:colOff>130969</xdr:colOff>
      <xdr:row>47</xdr:row>
      <xdr:rowOff>83345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AF2D56-E5F8-46F0-A0D2-1ECACC7DB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178593</xdr:colOff>
      <xdr:row>20</xdr:row>
      <xdr:rowOff>178593</xdr:rowOff>
    </xdr:from>
    <xdr:to>
      <xdr:col>13</xdr:col>
      <xdr:colOff>476249</xdr:colOff>
      <xdr:row>47</xdr:row>
      <xdr:rowOff>71436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BD0DA2-48DD-4083-A63A-E49E35A69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1FFB-B4A7-4384-A603-C6B11C8667FF}">
  <dimension ref="A1"/>
  <sheetViews>
    <sheetView tabSelected="1" zoomScale="80" zoomScaleNormal="80" workbookViewId="0">
      <selection activeCell="L24" sqref="L24"/>
    </sheetView>
  </sheetViews>
  <sheetFormatPr defaultRowHeight="14.25" x14ac:dyDescent="0.45"/>
  <cols>
    <col min="1" max="537" width="12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2FFB-5E98-44BF-975C-A1B9274F593A}">
  <dimension ref="A1"/>
  <sheetViews>
    <sheetView zoomScale="70" zoomScaleNormal="70" workbookViewId="0">
      <selection activeCell="N48" sqref="N48"/>
    </sheetView>
  </sheetViews>
  <sheetFormatPr defaultRowHeight="14.25" x14ac:dyDescent="0.45"/>
  <cols>
    <col min="1" max="537" width="12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1024-B86C-443A-93D3-C0BEA1333011}">
  <dimension ref="A1:N24"/>
  <sheetViews>
    <sheetView zoomScale="80" zoomScaleNormal="80" workbookViewId="0">
      <selection activeCell="A30" sqref="A30"/>
    </sheetView>
  </sheetViews>
  <sheetFormatPr defaultRowHeight="14.25" x14ac:dyDescent="0.45"/>
  <cols>
    <col min="1" max="1" width="26.86328125" customWidth="1"/>
    <col min="2" max="537" width="12" customWidth="1"/>
  </cols>
  <sheetData>
    <row r="1" spans="1:14" x14ac:dyDescent="0.45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 x14ac:dyDescent="0.45">
      <c r="A3" s="2" t="s">
        <v>34</v>
      </c>
      <c r="B3" s="2" t="s">
        <v>35</v>
      </c>
      <c r="C3" s="2"/>
      <c r="D3" s="2" t="s">
        <v>43</v>
      </c>
      <c r="E3" s="2" t="s">
        <v>36</v>
      </c>
      <c r="F3" s="2" t="s">
        <v>37</v>
      </c>
      <c r="G3" s="2"/>
      <c r="H3" s="2" t="s">
        <v>38</v>
      </c>
      <c r="I3" s="2" t="s">
        <v>44</v>
      </c>
      <c r="J3" s="2"/>
      <c r="K3" s="2" t="s">
        <v>16</v>
      </c>
      <c r="L3" s="2" t="s">
        <v>39</v>
      </c>
      <c r="N3" s="2" t="s">
        <v>47</v>
      </c>
    </row>
    <row r="4" spans="1:14" x14ac:dyDescent="0.45">
      <c r="A4" t="s">
        <v>2</v>
      </c>
      <c r="B4">
        <v>2000</v>
      </c>
      <c r="D4" s="5">
        <f>Cases!C36</f>
        <v>7.0000000000000007E-2</v>
      </c>
      <c r="E4">
        <f>Cases!C45</f>
        <v>140</v>
      </c>
      <c r="F4">
        <f>Cases!C62</f>
        <v>75</v>
      </c>
      <c r="H4" s="4">
        <f>Cases!G36</f>
        <v>0</v>
      </c>
      <c r="I4" s="4">
        <f>Cases!F36</f>
        <v>0.40000000000000008</v>
      </c>
      <c r="K4">
        <f>Cases!C71</f>
        <v>-45</v>
      </c>
      <c r="L4" s="4">
        <f>Cases!F71</f>
        <v>-0.375</v>
      </c>
      <c r="N4" s="4">
        <f>Cases!G71</f>
        <v>0</v>
      </c>
    </row>
    <row r="5" spans="1:14" x14ac:dyDescent="0.45">
      <c r="A5" t="s">
        <v>1</v>
      </c>
      <c r="B5">
        <v>1000</v>
      </c>
      <c r="D5" s="5">
        <f>Cases!C37</f>
        <v>0.08</v>
      </c>
      <c r="E5">
        <f>Cases!C46</f>
        <v>80</v>
      </c>
      <c r="F5">
        <f>Cases!C63</f>
        <v>45</v>
      </c>
      <c r="H5" s="4">
        <f>Cases!G37</f>
        <v>0</v>
      </c>
      <c r="I5" s="4">
        <f>Cases!F37</f>
        <v>0.14285714285714277</v>
      </c>
      <c r="K5">
        <f>Cases!C72</f>
        <v>-25</v>
      </c>
      <c r="L5" s="4">
        <f>Cases!F72</f>
        <v>-0.35714285714285715</v>
      </c>
      <c r="N5" s="4">
        <f>Cases!G72</f>
        <v>0</v>
      </c>
    </row>
    <row r="6" spans="1:14" x14ac:dyDescent="0.45">
      <c r="A6" t="s">
        <v>3</v>
      </c>
      <c r="B6">
        <v>2000</v>
      </c>
      <c r="D6" s="5">
        <f>Cases!C38</f>
        <v>0.12</v>
      </c>
      <c r="E6">
        <f>Cases!C47</f>
        <v>240</v>
      </c>
      <c r="F6">
        <f>Cases!C64</f>
        <v>135</v>
      </c>
      <c r="H6" s="4">
        <f>Cases!G38</f>
        <v>9.090909090909087E-2</v>
      </c>
      <c r="I6" s="4">
        <f>Cases!F38</f>
        <v>0.71428571428571408</v>
      </c>
      <c r="K6">
        <f>Cases!C73</f>
        <v>-65</v>
      </c>
      <c r="L6" s="4">
        <f>Cases!F73</f>
        <v>-0.32500000000000001</v>
      </c>
      <c r="N6" s="4">
        <f>Cases!G73</f>
        <v>7.4999999999999997E-2</v>
      </c>
    </row>
    <row r="7" spans="1:14" x14ac:dyDescent="0.45">
      <c r="A7" t="s">
        <v>4</v>
      </c>
      <c r="B7">
        <v>215</v>
      </c>
      <c r="D7" s="5">
        <f>Cases!C39</f>
        <v>0.21</v>
      </c>
      <c r="E7">
        <f>Cases!C48</f>
        <v>45.15</v>
      </c>
      <c r="F7">
        <f>Cases!C65</f>
        <v>25.8</v>
      </c>
      <c r="H7" s="4">
        <f>Cases!G39</f>
        <v>0.23529411764705868</v>
      </c>
      <c r="I7" s="4">
        <f>Cases!F39</f>
        <v>1.625</v>
      </c>
      <c r="K7">
        <f>Cases!C74</f>
        <v>0</v>
      </c>
      <c r="L7" s="4">
        <f>Cases!F74</f>
        <v>0</v>
      </c>
      <c r="N7" s="4">
        <f>Cases!G74</f>
        <v>0.12519379844961243</v>
      </c>
    </row>
    <row r="8" spans="1:14" x14ac:dyDescent="0.45">
      <c r="A8" t="s">
        <v>5</v>
      </c>
      <c r="B8">
        <v>150</v>
      </c>
      <c r="D8" s="5">
        <f>Cases!C40</f>
        <v>0.31</v>
      </c>
      <c r="E8">
        <f>Cases!C49</f>
        <v>46.5</v>
      </c>
      <c r="F8">
        <f>Cases!C66</f>
        <v>28.12</v>
      </c>
      <c r="H8" s="4">
        <f>Cases!G40</f>
        <v>-3.1250000000000028E-2</v>
      </c>
      <c r="I8" s="4">
        <f>Cases!F40</f>
        <v>-0.11428571428571424</v>
      </c>
      <c r="K8">
        <f>Cases!C75</f>
        <v>-57.379999999999995</v>
      </c>
      <c r="L8" s="4">
        <f>Cases!F75</f>
        <v>-0.6711111111111111</v>
      </c>
      <c r="N8" s="4">
        <f>Cases!G75</f>
        <v>-1.3216374269005836E-2</v>
      </c>
    </row>
    <row r="9" spans="1:14" x14ac:dyDescent="0.45">
      <c r="D9" s="6"/>
    </row>
    <row r="10" spans="1:14" x14ac:dyDescent="0.45">
      <c r="A10" t="s">
        <v>49</v>
      </c>
      <c r="E10">
        <f>Cases!C82</f>
        <v>551.65</v>
      </c>
      <c r="F10">
        <f>Cases!C83</f>
        <v>308.92</v>
      </c>
      <c r="H10" s="4">
        <f>Cases!G82</f>
        <v>5.1663330473739444E-2</v>
      </c>
      <c r="I10" s="4">
        <f>Cases!F82</f>
        <v>0.45285751909402155</v>
      </c>
      <c r="K10">
        <f>Cases!C86</f>
        <v>-192.38</v>
      </c>
      <c r="L10" s="4">
        <f>Cases!F86</f>
        <v>-0.38376221823259521</v>
      </c>
      <c r="N10" s="4">
        <f>Cases!G86</f>
        <v>3.4111310592459698E-2</v>
      </c>
    </row>
    <row r="13" spans="1:14" x14ac:dyDescent="0.45">
      <c r="A13" s="2" t="s">
        <v>48</v>
      </c>
    </row>
    <row r="15" spans="1:14" x14ac:dyDescent="0.45">
      <c r="A15" s="2" t="s">
        <v>34</v>
      </c>
      <c r="B15" s="2" t="s">
        <v>35</v>
      </c>
      <c r="C15" s="2"/>
      <c r="D15" s="2" t="s">
        <v>43</v>
      </c>
      <c r="E15" s="2" t="s">
        <v>36</v>
      </c>
      <c r="F15" s="2" t="s">
        <v>37</v>
      </c>
      <c r="G15" s="2"/>
      <c r="H15" s="2" t="s">
        <v>38</v>
      </c>
      <c r="I15" s="2" t="s">
        <v>44</v>
      </c>
      <c r="J15" s="2"/>
      <c r="K15" s="2" t="s">
        <v>16</v>
      </c>
      <c r="L15" s="2" t="s">
        <v>39</v>
      </c>
      <c r="N15" s="2" t="s">
        <v>47</v>
      </c>
    </row>
    <row r="16" spans="1:14" x14ac:dyDescent="0.45">
      <c r="A16" t="s">
        <v>21</v>
      </c>
      <c r="B16">
        <f>'Skin-Investments'!A26</f>
        <v>48</v>
      </c>
      <c r="D16">
        <f>'Skin-Investments'!C3</f>
        <v>8.8000000000000007</v>
      </c>
      <c r="E16">
        <f>'Skin-Investments'!C26</f>
        <v>422.40000000000003</v>
      </c>
      <c r="F16">
        <f>'Skin-Investments'!C59</f>
        <v>316.79999999999995</v>
      </c>
      <c r="H16" s="4">
        <f>'Skin-Investments'!G15</f>
        <v>-7.881773399014784E-2</v>
      </c>
      <c r="I16" s="4">
        <f>'Skin-Investments'!F15</f>
        <v>1.2735562310030402</v>
      </c>
      <c r="K16">
        <f>'Skin-Investments'!C70</f>
        <v>207.26999999999995</v>
      </c>
      <c r="L16" s="4">
        <f>'Skin-Investments'!F70</f>
        <v>1.8923582580115033</v>
      </c>
      <c r="N16" s="4">
        <f>'Skin-Investments'!G70</f>
        <v>-0.24979457682826636</v>
      </c>
    </row>
    <row r="17" spans="1:14" x14ac:dyDescent="0.45">
      <c r="A17" t="s">
        <v>22</v>
      </c>
      <c r="B17">
        <f>'Skin-Investments'!A27</f>
        <v>10</v>
      </c>
      <c r="D17">
        <f>'Skin-Investments'!C4</f>
        <v>8.92</v>
      </c>
      <c r="E17">
        <f>'Skin-Investments'!C27</f>
        <v>89.2</v>
      </c>
      <c r="F17">
        <f>'Skin-Investments'!C60</f>
        <v>66.900000000000006</v>
      </c>
      <c r="H17" s="4">
        <f>'Skin-Investments'!G16</f>
        <v>-9.2326139088729067E-2</v>
      </c>
      <c r="I17" s="4">
        <f>'Skin-Investments'!F16</f>
        <v>1.5661016949152542</v>
      </c>
      <c r="K17">
        <f>'Skin-Investments'!C71</f>
        <v>15.690000000000005</v>
      </c>
      <c r="L17" s="4">
        <f>'Skin-Investments'!F71</f>
        <v>0.30638547158758062</v>
      </c>
      <c r="N17" s="4">
        <f>'Skin-Investments'!G71</f>
        <v>-0.13278656512399917</v>
      </c>
    </row>
    <row r="18" spans="1:14" x14ac:dyDescent="0.45">
      <c r="A18" t="s">
        <v>23</v>
      </c>
      <c r="B18">
        <f>'Skin-Investments'!A28</f>
        <v>5</v>
      </c>
      <c r="D18">
        <f>'Skin-Investments'!C5</f>
        <v>9.84</v>
      </c>
      <c r="E18">
        <f>'Skin-Investments'!C28</f>
        <v>49.2</v>
      </c>
      <c r="F18">
        <f>'Skin-Investments'!C61</f>
        <v>36.9</v>
      </c>
      <c r="H18" s="4">
        <f>'Skin-Investments'!G17</f>
        <v>-0.11919831223628684</v>
      </c>
      <c r="I18" s="4">
        <f>'Skin-Investments'!F17</f>
        <v>1.8114478114478116</v>
      </c>
      <c r="K18">
        <f>'Skin-Investments'!C72</f>
        <v>8.8699999999999974</v>
      </c>
      <c r="L18" s="4">
        <f>'Skin-Investments'!F72</f>
        <v>0.31644666428826246</v>
      </c>
      <c r="N18" s="4">
        <f>'Skin-Investments'!G72</f>
        <v>-0.17659650374598629</v>
      </c>
    </row>
    <row r="19" spans="1:14" x14ac:dyDescent="0.45">
      <c r="A19" t="s">
        <v>24</v>
      </c>
      <c r="B19">
        <f>'Skin-Investments'!A29</f>
        <v>7</v>
      </c>
      <c r="D19">
        <f>'Skin-Investments'!C6</f>
        <v>9.85</v>
      </c>
      <c r="E19">
        <f>'Skin-Investments'!C29</f>
        <v>68.95</v>
      </c>
      <c r="F19">
        <f>'Skin-Investments'!C62</f>
        <v>51.66</v>
      </c>
      <c r="H19" s="4">
        <f>'Skin-Investments'!G18</f>
        <v>-5.9453032104638181E-3</v>
      </c>
      <c r="I19" s="4">
        <f>'Skin-Investments'!F18</f>
        <v>1.8243243243243241</v>
      </c>
      <c r="K19">
        <f>'Skin-Investments'!C73</f>
        <v>13.75</v>
      </c>
      <c r="L19" s="4">
        <f>'Skin-Investments'!F73</f>
        <v>0.36270113426536538</v>
      </c>
      <c r="N19" s="4">
        <f>'Skin-Investments'!G73</f>
        <v>-9.2323925085729744E-3</v>
      </c>
    </row>
    <row r="20" spans="1:14" x14ac:dyDescent="0.45">
      <c r="A20" t="s">
        <v>25</v>
      </c>
      <c r="B20">
        <f>'Skin-Investments'!A30</f>
        <v>10</v>
      </c>
      <c r="D20">
        <f>'Skin-Investments'!C7</f>
        <v>9.11</v>
      </c>
      <c r="E20">
        <f>'Skin-Investments'!C30</f>
        <v>91.1</v>
      </c>
      <c r="F20">
        <f>'Skin-Investments'!C63</f>
        <v>68.3</v>
      </c>
      <c r="H20" s="4">
        <f>'Skin-Investments'!G19</f>
        <v>-6.0753341433778758E-2</v>
      </c>
      <c r="I20" s="4">
        <f>'Skin-Investments'!F19</f>
        <v>1.5511551155115511</v>
      </c>
      <c r="K20">
        <f>'Skin-Investments'!C74</f>
        <v>17.159999999999997</v>
      </c>
      <c r="L20" s="4">
        <f>'Skin-Investments'!F74</f>
        <v>0.33554947203754393</v>
      </c>
      <c r="N20" s="4">
        <f>'Skin-Investments'!G74</f>
        <v>-8.4082909659757468E-2</v>
      </c>
    </row>
    <row r="21" spans="1:14" x14ac:dyDescent="0.45">
      <c r="A21" t="s">
        <v>26</v>
      </c>
      <c r="B21">
        <f>'Skin-Investments'!A31</f>
        <v>10</v>
      </c>
      <c r="D21">
        <f>'Skin-Investments'!C8</f>
        <v>10.02</v>
      </c>
      <c r="E21">
        <f>'Skin-Investments'!C31</f>
        <v>100.19999999999999</v>
      </c>
      <c r="F21">
        <f>'Skin-Investments'!C64</f>
        <v>75.099999999999994</v>
      </c>
      <c r="H21" s="4">
        <f>'Skin-Investments'!G20</f>
        <v>-3.8461538461538443E-2</v>
      </c>
      <c r="I21" s="4">
        <f>'Skin-Investments'!F20</f>
        <v>1.4216524216524218</v>
      </c>
      <c r="K21">
        <f>'Skin-Investments'!C75</f>
        <v>17.969999999999992</v>
      </c>
      <c r="L21" s="4">
        <f>'Skin-Investments'!F75</f>
        <v>0.31454577279887957</v>
      </c>
      <c r="N21" s="4">
        <f>'Skin-Investments'!G75</f>
        <v>-5.0761421319797051E-2</v>
      </c>
    </row>
    <row r="22" spans="1:14" x14ac:dyDescent="0.45">
      <c r="A22" t="s">
        <v>27</v>
      </c>
      <c r="B22">
        <f>'Skin-Investments'!A32</f>
        <v>6</v>
      </c>
      <c r="D22">
        <f>'Skin-Investments'!C9</f>
        <v>9.2200000000000006</v>
      </c>
      <c r="E22">
        <f>'Skin-Investments'!C32</f>
        <v>55.320000000000007</v>
      </c>
      <c r="F22">
        <f>'Skin-Investments'!C65</f>
        <v>41.46</v>
      </c>
      <c r="H22" s="4">
        <f>'Skin-Investments'!G21</f>
        <v>-3.4567901234567502E-2</v>
      </c>
      <c r="I22" s="4">
        <f>'Skin-Investments'!F21</f>
        <v>1.598006644518273</v>
      </c>
      <c r="K22">
        <f>'Skin-Investments'!C76</f>
        <v>10.630000000000003</v>
      </c>
      <c r="L22" s="4">
        <f>'Skin-Investments'!F76</f>
        <v>0.34479403178722035</v>
      </c>
      <c r="N22" s="4">
        <f>'Skin-Investments'!G76</f>
        <v>-4.6707752189426043E-2</v>
      </c>
    </row>
    <row r="24" spans="1:14" x14ac:dyDescent="0.45">
      <c r="A24" t="s">
        <v>49</v>
      </c>
      <c r="E24">
        <f>'Skin-Investments'!C79</f>
        <v>876.37000000000023</v>
      </c>
      <c r="F24">
        <f>'Skin-Investments'!C80</f>
        <v>657.11999999999989</v>
      </c>
      <c r="H24" s="4">
        <f>'Skin-Investments'!G79</f>
        <v>-6.8177226764771198E-2</v>
      </c>
      <c r="I24" s="4">
        <f>'Skin-Investments'!F79</f>
        <v>1.4251321360378566</v>
      </c>
      <c r="K24">
        <f>'Skin-Investments'!C84</f>
        <v>291.33999999999992</v>
      </c>
      <c r="L24" s="4">
        <f>'Skin-Investments'!F84</f>
        <v>0.79648969325824248</v>
      </c>
      <c r="N24" s="4">
        <f>'Skin-Investments'!G84</f>
        <v>-0.13149980862813726</v>
      </c>
    </row>
  </sheetData>
  <conditionalFormatting sqref="H4:H8">
    <cfRule type="cellIs" dxfId="219" priority="121" operator="greaterThan">
      <formula>0.2</formula>
    </cfRule>
    <cfRule type="cellIs" dxfId="218" priority="122" operator="between">
      <formula>0.05</formula>
      <formula>0.2</formula>
    </cfRule>
    <cfRule type="cellIs" dxfId="217" priority="123" operator="between">
      <formula>-0.05</formula>
      <formula>0.05</formula>
    </cfRule>
    <cfRule type="cellIs" dxfId="216" priority="124" operator="between">
      <formula>-0.2</formula>
      <formula>0.05</formula>
    </cfRule>
    <cfRule type="cellIs" dxfId="215" priority="125" operator="lessThan">
      <formula>-0.2</formula>
    </cfRule>
  </conditionalFormatting>
  <conditionalFormatting sqref="I4:I8">
    <cfRule type="cellIs" dxfId="214" priority="116" operator="greaterThan">
      <formula>2</formula>
    </cfRule>
    <cfRule type="cellIs" dxfId="213" priority="117" operator="between">
      <formula>0.7</formula>
      <formula>2</formula>
    </cfRule>
    <cfRule type="cellIs" dxfId="212" priority="118" operator="between">
      <formula>-0.3</formula>
      <formula>0.7</formula>
    </cfRule>
    <cfRule type="cellIs" dxfId="211" priority="119" operator="between">
      <formula>-0.5</formula>
      <formula>-0.3</formula>
    </cfRule>
    <cfRule type="cellIs" dxfId="210" priority="120" operator="lessThan">
      <formula>-0.5</formula>
    </cfRule>
  </conditionalFormatting>
  <conditionalFormatting sqref="L4:L8">
    <cfRule type="cellIs" dxfId="209" priority="111" operator="greaterThan">
      <formula>0.2</formula>
    </cfRule>
    <cfRule type="cellIs" dxfId="208" priority="112" operator="between">
      <formula>0.05</formula>
      <formula>0.2</formula>
    </cfRule>
    <cfRule type="cellIs" dxfId="207" priority="113" operator="between">
      <formula>-0.05</formula>
      <formula>0.05</formula>
    </cfRule>
    <cfRule type="cellIs" dxfId="206" priority="114" operator="between">
      <formula>-0.2</formula>
      <formula>0.05</formula>
    </cfRule>
    <cfRule type="cellIs" dxfId="205" priority="115" operator="lessThan">
      <formula>-0.2</formula>
    </cfRule>
  </conditionalFormatting>
  <conditionalFormatting sqref="N4:N8">
    <cfRule type="cellIs" dxfId="204" priority="106" operator="greaterThan">
      <formula>0.2</formula>
    </cfRule>
    <cfRule type="cellIs" dxfId="203" priority="107" operator="between">
      <formula>0.05</formula>
      <formula>0.2</formula>
    </cfRule>
    <cfRule type="cellIs" dxfId="202" priority="108" operator="between">
      <formula>-0.05</formula>
      <formula>0.05</formula>
    </cfRule>
    <cfRule type="cellIs" dxfId="201" priority="109" operator="between">
      <formula>-0.2</formula>
      <formula>0.05</formula>
    </cfRule>
    <cfRule type="cellIs" dxfId="200" priority="110" operator="lessThan">
      <formula>-0.2</formula>
    </cfRule>
  </conditionalFormatting>
  <conditionalFormatting sqref="H16">
    <cfRule type="cellIs" dxfId="199" priority="101" operator="greaterThan">
      <formula>0.2</formula>
    </cfRule>
    <cfRule type="cellIs" dxfId="198" priority="102" operator="between">
      <formula>0.05</formula>
      <formula>0.2</formula>
    </cfRule>
    <cfRule type="cellIs" dxfId="197" priority="103" operator="between">
      <formula>-0.05</formula>
      <formula>0.05</formula>
    </cfRule>
    <cfRule type="cellIs" dxfId="196" priority="104" operator="between">
      <formula>-0.2</formula>
      <formula>0.05</formula>
    </cfRule>
    <cfRule type="cellIs" dxfId="195" priority="105" operator="lessThan">
      <formula>-0.2</formula>
    </cfRule>
  </conditionalFormatting>
  <conditionalFormatting sqref="L16">
    <cfRule type="cellIs" dxfId="194" priority="91" operator="greaterThan">
      <formula>2</formula>
    </cfRule>
    <cfRule type="cellIs" dxfId="193" priority="92" operator="between">
      <formula>0.5</formula>
      <formula>2</formula>
    </cfRule>
    <cfRule type="cellIs" dxfId="192" priority="93" operator="between">
      <formula>0</formula>
      <formula>0.5</formula>
    </cfRule>
    <cfRule type="cellIs" dxfId="191" priority="94" operator="between">
      <formula>-0.4</formula>
      <formula>0</formula>
    </cfRule>
    <cfRule type="cellIs" dxfId="190" priority="95" operator="lessThan">
      <formula>-0.4</formula>
    </cfRule>
  </conditionalFormatting>
  <conditionalFormatting sqref="N16">
    <cfRule type="cellIs" dxfId="189" priority="86" operator="greaterThan">
      <formula>0.2</formula>
    </cfRule>
    <cfRule type="cellIs" dxfId="188" priority="87" operator="between">
      <formula>0.05</formula>
      <formula>0.2</formula>
    </cfRule>
    <cfRule type="cellIs" dxfId="187" priority="88" operator="between">
      <formula>-0.05</formula>
      <formula>0.05</formula>
    </cfRule>
    <cfRule type="cellIs" dxfId="186" priority="89" operator="between">
      <formula>-0.2</formula>
      <formula>0.05</formula>
    </cfRule>
    <cfRule type="cellIs" dxfId="185" priority="90" operator="lessThan">
      <formula>-0.2</formula>
    </cfRule>
  </conditionalFormatting>
  <conditionalFormatting sqref="H17:H22">
    <cfRule type="cellIs" dxfId="184" priority="81" operator="greaterThan">
      <formula>0.2</formula>
    </cfRule>
    <cfRule type="cellIs" dxfId="183" priority="82" operator="between">
      <formula>0.05</formula>
      <formula>0.2</formula>
    </cfRule>
    <cfRule type="cellIs" dxfId="182" priority="83" operator="between">
      <formula>-0.05</formula>
      <formula>0.05</formula>
    </cfRule>
    <cfRule type="cellIs" dxfId="181" priority="84" operator="between">
      <formula>-0.2</formula>
      <formula>0.05</formula>
    </cfRule>
    <cfRule type="cellIs" dxfId="180" priority="85" operator="lessThan">
      <formula>-0.2</formula>
    </cfRule>
  </conditionalFormatting>
  <conditionalFormatting sqref="H10">
    <cfRule type="cellIs" dxfId="179" priority="61" operator="greaterThan">
      <formula>0.2</formula>
    </cfRule>
    <cfRule type="cellIs" dxfId="178" priority="62" operator="between">
      <formula>0.05</formula>
      <formula>0.2</formula>
    </cfRule>
    <cfRule type="cellIs" dxfId="177" priority="63" operator="between">
      <formula>-0.05</formula>
      <formula>0.05</formula>
    </cfRule>
    <cfRule type="cellIs" dxfId="176" priority="64" operator="between">
      <formula>-0.2</formula>
      <formula>0.05</formula>
    </cfRule>
    <cfRule type="cellIs" dxfId="175" priority="65" operator="lessThan">
      <formula>-0.2</formula>
    </cfRule>
  </conditionalFormatting>
  <conditionalFormatting sqref="N17:N22">
    <cfRule type="cellIs" dxfId="174" priority="66" operator="greaterThan">
      <formula>0.2</formula>
    </cfRule>
    <cfRule type="cellIs" dxfId="173" priority="67" operator="between">
      <formula>0.05</formula>
      <formula>0.2</formula>
    </cfRule>
    <cfRule type="cellIs" dxfId="172" priority="68" operator="between">
      <formula>-0.05</formula>
      <formula>0.05</formula>
    </cfRule>
    <cfRule type="cellIs" dxfId="171" priority="69" operator="between">
      <formula>-0.2</formula>
      <formula>0.05</formula>
    </cfRule>
    <cfRule type="cellIs" dxfId="170" priority="70" operator="lessThan">
      <formula>-0.2</formula>
    </cfRule>
  </conditionalFormatting>
  <conditionalFormatting sqref="L10">
    <cfRule type="cellIs" dxfId="169" priority="56" operator="greaterThan">
      <formula>0.2</formula>
    </cfRule>
    <cfRule type="cellIs" dxfId="168" priority="57" operator="between">
      <formula>0.05</formula>
      <formula>0.2</formula>
    </cfRule>
    <cfRule type="cellIs" dxfId="167" priority="58" operator="between">
      <formula>-0.05</formula>
      <formula>0.05</formula>
    </cfRule>
    <cfRule type="cellIs" dxfId="166" priority="59" operator="between">
      <formula>-0.2</formula>
      <formula>0.05</formula>
    </cfRule>
    <cfRule type="cellIs" dxfId="165" priority="60" operator="lessThan">
      <formula>-0.2</formula>
    </cfRule>
  </conditionalFormatting>
  <conditionalFormatting sqref="N10">
    <cfRule type="cellIs" dxfId="164" priority="51" operator="greaterThan">
      <formula>0.2</formula>
    </cfRule>
    <cfRule type="cellIs" dxfId="163" priority="52" operator="between">
      <formula>0.05</formula>
      <formula>0.2</formula>
    </cfRule>
    <cfRule type="cellIs" dxfId="162" priority="53" operator="between">
      <formula>-0.05</formula>
      <formula>0.05</formula>
    </cfRule>
    <cfRule type="cellIs" dxfId="161" priority="54" operator="between">
      <formula>-0.2</formula>
      <formula>0.05</formula>
    </cfRule>
    <cfRule type="cellIs" dxfId="160" priority="55" operator="lessThan">
      <formula>-0.2</formula>
    </cfRule>
  </conditionalFormatting>
  <conditionalFormatting sqref="H24">
    <cfRule type="cellIs" dxfId="159" priority="46" operator="greaterThan">
      <formula>0.2</formula>
    </cfRule>
    <cfRule type="cellIs" dxfId="158" priority="47" operator="between">
      <formula>0.05</formula>
      <formula>0.2</formula>
    </cfRule>
    <cfRule type="cellIs" dxfId="157" priority="48" operator="between">
      <formula>-0.05</formula>
      <formula>0.05</formula>
    </cfRule>
    <cfRule type="cellIs" dxfId="156" priority="49" operator="between">
      <formula>-0.2</formula>
      <formula>0.05</formula>
    </cfRule>
    <cfRule type="cellIs" dxfId="155" priority="50" operator="lessThan">
      <formula>-0.2</formula>
    </cfRule>
  </conditionalFormatting>
  <conditionalFormatting sqref="N24">
    <cfRule type="cellIs" dxfId="154" priority="31" operator="greaterThan">
      <formula>0.2</formula>
    </cfRule>
    <cfRule type="cellIs" dxfId="153" priority="32" operator="between">
      <formula>0.05</formula>
      <formula>0.2</formula>
    </cfRule>
    <cfRule type="cellIs" dxfId="152" priority="33" operator="between">
      <formula>-0.05</formula>
      <formula>0.05</formula>
    </cfRule>
    <cfRule type="cellIs" dxfId="151" priority="34" operator="between">
      <formula>-0.2</formula>
      <formula>0.05</formula>
    </cfRule>
    <cfRule type="cellIs" dxfId="150" priority="35" operator="lessThan">
      <formula>-0.2</formula>
    </cfRule>
  </conditionalFormatting>
  <conditionalFormatting sqref="I10">
    <cfRule type="cellIs" dxfId="149" priority="26" operator="greaterThan">
      <formula>2</formula>
    </cfRule>
    <cfRule type="cellIs" dxfId="148" priority="27" operator="between">
      <formula>0.7</formula>
      <formula>2</formula>
    </cfRule>
    <cfRule type="cellIs" dxfId="147" priority="28" operator="between">
      <formula>-0.3</formula>
      <formula>0.7</formula>
    </cfRule>
    <cfRule type="cellIs" dxfId="146" priority="29" operator="between">
      <formula>-0.5</formula>
      <formula>-0.3</formula>
    </cfRule>
    <cfRule type="cellIs" dxfId="145" priority="30" operator="lessThan">
      <formula>-0.5</formula>
    </cfRule>
  </conditionalFormatting>
  <conditionalFormatting sqref="I16">
    <cfRule type="cellIs" dxfId="144" priority="21" operator="greaterThan">
      <formula>2</formula>
    </cfRule>
    <cfRule type="cellIs" dxfId="143" priority="22" operator="between">
      <formula>0.7</formula>
      <formula>2</formula>
    </cfRule>
    <cfRule type="cellIs" dxfId="142" priority="23" operator="between">
      <formula>-0.3</formula>
      <formula>0.7</formula>
    </cfRule>
    <cfRule type="cellIs" dxfId="141" priority="24" operator="between">
      <formula>-0.5</formula>
      <formula>-0.3</formula>
    </cfRule>
    <cfRule type="cellIs" dxfId="140" priority="25" operator="lessThan">
      <formula>-0.5</formula>
    </cfRule>
  </conditionalFormatting>
  <conditionalFormatting sqref="I17:I22">
    <cfRule type="cellIs" dxfId="139" priority="16" operator="greaterThan">
      <formula>2</formula>
    </cfRule>
    <cfRule type="cellIs" dxfId="138" priority="17" operator="between">
      <formula>0.7</formula>
      <formula>2</formula>
    </cfRule>
    <cfRule type="cellIs" dxfId="137" priority="18" operator="between">
      <formula>-0.3</formula>
      <formula>0.7</formula>
    </cfRule>
    <cfRule type="cellIs" dxfId="136" priority="19" operator="between">
      <formula>-0.5</formula>
      <formula>-0.3</formula>
    </cfRule>
    <cfRule type="cellIs" dxfId="135" priority="20" operator="lessThan">
      <formula>-0.5</formula>
    </cfRule>
  </conditionalFormatting>
  <conditionalFormatting sqref="I24">
    <cfRule type="cellIs" dxfId="134" priority="11" operator="greaterThan">
      <formula>2</formula>
    </cfRule>
    <cfRule type="cellIs" dxfId="133" priority="12" operator="between">
      <formula>0.7</formula>
      <formula>2</formula>
    </cfRule>
    <cfRule type="cellIs" dxfId="132" priority="13" operator="between">
      <formula>-0.3</formula>
      <formula>0.7</formula>
    </cfRule>
    <cfRule type="cellIs" dxfId="131" priority="14" operator="between">
      <formula>-0.5</formula>
      <formula>-0.3</formula>
    </cfRule>
    <cfRule type="cellIs" dxfId="130" priority="15" operator="lessThan">
      <formula>-0.5</formula>
    </cfRule>
  </conditionalFormatting>
  <conditionalFormatting sqref="L17:L22">
    <cfRule type="cellIs" dxfId="129" priority="6" operator="greaterThan">
      <formula>2</formula>
    </cfRule>
    <cfRule type="cellIs" dxfId="128" priority="7" operator="between">
      <formula>0.5</formula>
      <formula>2</formula>
    </cfRule>
    <cfRule type="cellIs" dxfId="127" priority="8" operator="between">
      <formula>0</formula>
      <formula>0.5</formula>
    </cfRule>
    <cfRule type="cellIs" dxfId="126" priority="9" operator="between">
      <formula>-0.4</formula>
      <formula>0</formula>
    </cfRule>
    <cfRule type="cellIs" dxfId="125" priority="10" operator="lessThan">
      <formula>-0.4</formula>
    </cfRule>
  </conditionalFormatting>
  <conditionalFormatting sqref="L24">
    <cfRule type="cellIs" dxfId="124" priority="1" operator="greaterThan">
      <formula>2</formula>
    </cfRule>
    <cfRule type="cellIs" dxfId="123" priority="2" operator="between">
      <formula>0.5</formula>
      <formula>2</formula>
    </cfRule>
    <cfRule type="cellIs" dxfId="122" priority="3" operator="between">
      <formula>0</formula>
      <formula>0.5</formula>
    </cfRule>
    <cfRule type="cellIs" dxfId="121" priority="4" operator="between">
      <formula>-0.4</formula>
      <formula>0</formula>
    </cfRule>
    <cfRule type="cellIs" dxfId="120" priority="5" operator="lessThan">
      <formula>-0.4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9395-C30E-4C5D-A1A4-913A3362EE4C}">
  <dimension ref="A1:GA92"/>
  <sheetViews>
    <sheetView zoomScale="80" zoomScaleNormal="80" workbookViewId="0">
      <pane xSplit="7" topLeftCell="AN1" activePane="topRight" state="frozen"/>
      <selection pane="topRight" activeCell="AS13" sqref="AS13"/>
    </sheetView>
  </sheetViews>
  <sheetFormatPr defaultRowHeight="14.25" x14ac:dyDescent="0.45"/>
  <cols>
    <col min="1" max="1" width="18.265625" customWidth="1"/>
    <col min="2" max="2" width="16.265625" customWidth="1"/>
    <col min="3" max="6" width="12" customWidth="1"/>
    <col min="7" max="7" width="13.3984375" customWidth="1"/>
    <col min="8" max="537" width="12" customWidth="1"/>
  </cols>
  <sheetData>
    <row r="1" spans="1:183" x14ac:dyDescent="0.45">
      <c r="A1" s="2" t="s">
        <v>10</v>
      </c>
    </row>
    <row r="2" spans="1:183" x14ac:dyDescent="0.45">
      <c r="C2" t="s">
        <v>40</v>
      </c>
      <c r="D2" t="s">
        <v>41</v>
      </c>
      <c r="F2" t="s">
        <v>42</v>
      </c>
      <c r="G2" t="s">
        <v>38</v>
      </c>
      <c r="I2" s="1">
        <v>44331</v>
      </c>
      <c r="J2" s="1">
        <v>44332</v>
      </c>
      <c r="K2" s="1">
        <v>44333</v>
      </c>
      <c r="L2" s="1">
        <v>44334</v>
      </c>
      <c r="M2" s="1">
        <v>44335</v>
      </c>
      <c r="N2" s="1">
        <v>44336</v>
      </c>
      <c r="O2" s="1">
        <v>44337</v>
      </c>
      <c r="P2" s="1">
        <v>44338</v>
      </c>
      <c r="Q2" s="1">
        <v>44339</v>
      </c>
      <c r="R2" s="1">
        <v>44340</v>
      </c>
      <c r="S2" s="1">
        <v>44341</v>
      </c>
      <c r="T2" s="1">
        <v>44342</v>
      </c>
      <c r="U2" s="1">
        <v>44343</v>
      </c>
      <c r="V2" s="1">
        <v>44344</v>
      </c>
      <c r="W2" s="1">
        <v>44345</v>
      </c>
      <c r="X2" s="1">
        <v>44346</v>
      </c>
      <c r="Y2" s="1">
        <v>44347</v>
      </c>
      <c r="Z2" s="1">
        <v>44348</v>
      </c>
      <c r="AA2" s="1">
        <v>44349</v>
      </c>
      <c r="AB2" s="1">
        <v>44350</v>
      </c>
      <c r="AC2" s="1">
        <v>44351</v>
      </c>
      <c r="AD2" s="1">
        <v>44352</v>
      </c>
      <c r="AE2" s="1">
        <v>44353</v>
      </c>
      <c r="AF2" s="1">
        <v>44354</v>
      </c>
      <c r="AG2" s="1">
        <v>44355</v>
      </c>
      <c r="AH2" s="1">
        <v>44356</v>
      </c>
      <c r="AI2" s="1">
        <v>44357</v>
      </c>
      <c r="AJ2" s="1">
        <v>44358</v>
      </c>
      <c r="AK2" s="1">
        <v>44359</v>
      </c>
      <c r="AL2" s="1">
        <v>44360</v>
      </c>
      <c r="AM2" s="1">
        <v>44361</v>
      </c>
      <c r="AN2" s="1">
        <v>44362</v>
      </c>
      <c r="AO2" s="1">
        <v>44363</v>
      </c>
      <c r="AP2" s="1">
        <v>44364</v>
      </c>
      <c r="AQ2" s="1">
        <v>44365</v>
      </c>
      <c r="AR2" s="1">
        <v>44366</v>
      </c>
      <c r="AS2" s="1">
        <v>44367</v>
      </c>
      <c r="AT2" s="1">
        <v>44368</v>
      </c>
      <c r="AU2" s="1">
        <v>44369</v>
      </c>
      <c r="AV2" s="1">
        <v>44370</v>
      </c>
      <c r="AW2" s="1">
        <v>44371</v>
      </c>
      <c r="AX2" s="1">
        <v>44372</v>
      </c>
      <c r="AY2" s="1">
        <v>44373</v>
      </c>
      <c r="AZ2" s="1">
        <v>44374</v>
      </c>
      <c r="BA2" s="1">
        <v>44375</v>
      </c>
      <c r="BB2" s="1">
        <v>44376</v>
      </c>
      <c r="BC2" s="1">
        <v>44377</v>
      </c>
      <c r="BD2" s="1">
        <v>44378</v>
      </c>
      <c r="BE2" s="1">
        <v>44379</v>
      </c>
      <c r="BF2" s="1">
        <v>44380</v>
      </c>
      <c r="BG2" s="1">
        <v>44381</v>
      </c>
      <c r="BH2" s="1">
        <v>44382</v>
      </c>
      <c r="BI2" s="1">
        <v>44383</v>
      </c>
      <c r="BJ2" s="1">
        <v>44384</v>
      </c>
      <c r="BK2" s="1">
        <v>44385</v>
      </c>
      <c r="BL2" s="1">
        <v>44386</v>
      </c>
      <c r="BM2" s="1">
        <v>44387</v>
      </c>
      <c r="BN2" s="1">
        <v>44388</v>
      </c>
      <c r="BO2" s="1">
        <v>44389</v>
      </c>
      <c r="BP2" s="1">
        <v>44390</v>
      </c>
      <c r="BQ2" s="1">
        <v>44391</v>
      </c>
      <c r="BR2" s="1">
        <v>44392</v>
      </c>
      <c r="BS2" s="1">
        <v>44393</v>
      </c>
      <c r="BT2" s="1">
        <v>44394</v>
      </c>
      <c r="BU2" s="1">
        <v>44395</v>
      </c>
      <c r="BV2" s="1">
        <v>44396</v>
      </c>
      <c r="BW2" s="1">
        <v>44397</v>
      </c>
      <c r="BX2" s="1">
        <v>44398</v>
      </c>
      <c r="BY2" s="1">
        <v>44399</v>
      </c>
      <c r="BZ2" s="1">
        <v>44400</v>
      </c>
      <c r="CA2" s="1">
        <v>44401</v>
      </c>
      <c r="CB2" s="1">
        <v>44402</v>
      </c>
      <c r="CC2" s="1">
        <v>44403</v>
      </c>
      <c r="CD2" s="1">
        <v>44404</v>
      </c>
      <c r="CE2" s="1">
        <v>44405</v>
      </c>
      <c r="CF2" s="1">
        <v>44406</v>
      </c>
      <c r="CG2" s="1">
        <v>44407</v>
      </c>
      <c r="CH2" s="1">
        <v>44408</v>
      </c>
      <c r="CI2" s="1">
        <v>44409</v>
      </c>
      <c r="CJ2" s="1">
        <v>44410</v>
      </c>
      <c r="CK2" s="1">
        <v>44411</v>
      </c>
      <c r="CL2" s="1">
        <v>44412</v>
      </c>
      <c r="CM2" s="1">
        <v>44413</v>
      </c>
      <c r="CN2" s="1">
        <v>44414</v>
      </c>
      <c r="CO2" s="1">
        <v>44415</v>
      </c>
      <c r="CP2" s="1">
        <v>44416</v>
      </c>
      <c r="CQ2" s="1">
        <v>44417</v>
      </c>
      <c r="CR2" s="1">
        <v>44418</v>
      </c>
      <c r="CS2" s="1">
        <v>44419</v>
      </c>
      <c r="CT2" s="1">
        <v>44420</v>
      </c>
      <c r="CU2" s="1">
        <v>44421</v>
      </c>
      <c r="CV2" s="1">
        <v>44422</v>
      </c>
      <c r="CW2" s="1">
        <v>44423</v>
      </c>
      <c r="CX2" s="1">
        <v>44424</v>
      </c>
      <c r="CY2" s="1">
        <v>44425</v>
      </c>
      <c r="CZ2" s="1">
        <v>44426</v>
      </c>
      <c r="DA2" s="1">
        <v>44427</v>
      </c>
      <c r="DB2" s="1">
        <v>44428</v>
      </c>
      <c r="DC2" s="1">
        <v>44429</v>
      </c>
      <c r="DD2" s="1">
        <v>44430</v>
      </c>
      <c r="DE2" s="1">
        <v>44431</v>
      </c>
      <c r="DF2" s="1">
        <v>44432</v>
      </c>
      <c r="DG2" s="1">
        <v>44433</v>
      </c>
      <c r="DH2" s="1">
        <v>44434</v>
      </c>
      <c r="DI2" s="1">
        <v>44435</v>
      </c>
      <c r="DJ2" s="1">
        <v>44436</v>
      </c>
      <c r="DK2" s="1">
        <v>44437</v>
      </c>
      <c r="DL2" s="1">
        <v>44438</v>
      </c>
      <c r="DM2" s="1">
        <v>44439</v>
      </c>
      <c r="DN2" s="1">
        <v>44440</v>
      </c>
      <c r="DO2" s="1">
        <v>44441</v>
      </c>
      <c r="DP2" s="1">
        <v>44442</v>
      </c>
      <c r="DQ2" s="1">
        <v>44443</v>
      </c>
      <c r="DR2" s="1">
        <v>44444</v>
      </c>
      <c r="DS2" s="1">
        <v>44445</v>
      </c>
      <c r="DT2" s="1">
        <v>44446</v>
      </c>
      <c r="DU2" s="1">
        <v>44447</v>
      </c>
      <c r="DV2" s="1">
        <v>44448</v>
      </c>
      <c r="DW2" s="1">
        <v>44449</v>
      </c>
      <c r="DX2" s="1">
        <v>44450</v>
      </c>
      <c r="DY2" s="1">
        <v>44451</v>
      </c>
      <c r="DZ2" s="1">
        <v>44452</v>
      </c>
      <c r="EA2" s="1">
        <v>44453</v>
      </c>
      <c r="EB2" s="1">
        <v>44454</v>
      </c>
      <c r="EC2" s="1">
        <v>44455</v>
      </c>
      <c r="ED2" s="1">
        <v>44456</v>
      </c>
      <c r="EE2" s="1">
        <v>44457</v>
      </c>
      <c r="EF2" s="1">
        <v>44458</v>
      </c>
      <c r="EG2" s="1">
        <v>44459</v>
      </c>
      <c r="EH2" s="1">
        <v>44460</v>
      </c>
      <c r="EI2" s="1">
        <v>44461</v>
      </c>
      <c r="EJ2" s="1">
        <v>44462</v>
      </c>
      <c r="EK2" s="1">
        <v>44463</v>
      </c>
      <c r="EL2" s="1">
        <v>44464</v>
      </c>
      <c r="EM2" s="1">
        <v>44465</v>
      </c>
      <c r="EN2" s="1">
        <v>44466</v>
      </c>
      <c r="EO2" s="1">
        <v>44467</v>
      </c>
      <c r="EP2" s="1">
        <v>44468</v>
      </c>
      <c r="EQ2" s="1">
        <v>44469</v>
      </c>
      <c r="ER2" s="1">
        <v>44470</v>
      </c>
      <c r="ES2" s="1">
        <v>44471</v>
      </c>
      <c r="ET2" s="1">
        <v>44472</v>
      </c>
      <c r="EU2" s="1">
        <v>44473</v>
      </c>
      <c r="EV2" s="1">
        <v>44474</v>
      </c>
      <c r="EW2" s="1">
        <v>44475</v>
      </c>
      <c r="EX2" s="1">
        <v>44476</v>
      </c>
      <c r="EY2" s="1">
        <v>44477</v>
      </c>
      <c r="EZ2" s="1">
        <v>44478</v>
      </c>
      <c r="FA2" s="1">
        <v>44479</v>
      </c>
      <c r="FB2" s="1">
        <v>44480</v>
      </c>
      <c r="FC2" s="1">
        <v>44481</v>
      </c>
      <c r="FD2" s="1">
        <v>44482</v>
      </c>
      <c r="FE2" s="1">
        <v>44483</v>
      </c>
      <c r="FF2" s="1">
        <v>44484</v>
      </c>
      <c r="FG2" s="1">
        <v>44485</v>
      </c>
      <c r="FH2" s="1">
        <v>44486</v>
      </c>
      <c r="FI2" s="1">
        <v>44487</v>
      </c>
      <c r="FJ2" s="1">
        <v>44488</v>
      </c>
      <c r="FK2" s="1">
        <v>44489</v>
      </c>
      <c r="FL2" s="1">
        <v>44490</v>
      </c>
      <c r="FM2" s="1">
        <v>44491</v>
      </c>
      <c r="FN2" s="1">
        <v>44492</v>
      </c>
      <c r="FO2" s="1">
        <v>44493</v>
      </c>
      <c r="FP2" s="1">
        <v>44494</v>
      </c>
      <c r="FQ2" s="1">
        <v>44495</v>
      </c>
      <c r="FR2" s="1">
        <v>44496</v>
      </c>
      <c r="FS2" s="1">
        <v>44497</v>
      </c>
      <c r="FT2" s="1">
        <v>44498</v>
      </c>
      <c r="FU2" s="1">
        <v>44499</v>
      </c>
      <c r="FV2" s="1">
        <v>44500</v>
      </c>
      <c r="FW2" s="1">
        <v>44501</v>
      </c>
      <c r="FX2" s="1">
        <v>44502</v>
      </c>
      <c r="FY2" s="1">
        <v>44503</v>
      </c>
      <c r="FZ2" s="1">
        <v>44504</v>
      </c>
      <c r="GA2" s="1">
        <v>44505</v>
      </c>
    </row>
    <row r="3" spans="1:183" x14ac:dyDescent="0.45">
      <c r="B3" t="s">
        <v>0</v>
      </c>
      <c r="C3" cm="1">
        <f t="array" ref="C3">LOOKUP(2,1/(I3:GA3&lt;&gt;""),I3:GA3)</f>
        <v>7.0000000000000007E-2</v>
      </c>
      <c r="D3" cm="1">
        <f t="array" ref="D3">SUMPRODUCT(MAX((I3:GA3&lt;&gt;"")*COLUMN(I3:GA3)))</f>
        <v>45</v>
      </c>
      <c r="F3" s="3">
        <f>(C3-I3)/I3</f>
        <v>0.40000000000000008</v>
      </c>
      <c r="G3" s="3" cm="1">
        <f t="array" ref="G3">(C3-IF(ISNA(INDEX(I3:GA3,D3-22)),INDEX(I3:GA3,D3-23),INDEX(I3:GA3,D3-22)))/IF(ISNA(INDEX(I3:GA3,D3-22)),INDEX(I3:GA3,D3-23),INDEX(I3:GA3,D3-22))</f>
        <v>0</v>
      </c>
      <c r="I3">
        <v>0.05</v>
      </c>
      <c r="J3">
        <v>0.05</v>
      </c>
      <c r="L3">
        <v>0.05</v>
      </c>
      <c r="N3">
        <v>0.06</v>
      </c>
      <c r="O3">
        <v>0.06</v>
      </c>
      <c r="P3">
        <v>0.06</v>
      </c>
      <c r="Q3">
        <v>0.05</v>
      </c>
      <c r="R3">
        <v>0.06</v>
      </c>
      <c r="S3">
        <v>0.06</v>
      </c>
      <c r="T3">
        <v>0.06</v>
      </c>
      <c r="U3">
        <v>0.06</v>
      </c>
      <c r="V3">
        <v>0.06</v>
      </c>
      <c r="W3">
        <v>0.06</v>
      </c>
      <c r="X3">
        <v>0.05</v>
      </c>
      <c r="Y3">
        <v>0.06</v>
      </c>
      <c r="Z3">
        <v>0.06</v>
      </c>
      <c r="AA3">
        <v>0.06</v>
      </c>
      <c r="AB3">
        <v>0.06</v>
      </c>
      <c r="AC3">
        <v>7.0000000000000007E-2</v>
      </c>
      <c r="AD3">
        <v>0.08</v>
      </c>
      <c r="AE3">
        <v>7.0000000000000007E-2</v>
      </c>
      <c r="AF3">
        <v>0.08</v>
      </c>
      <c r="AG3">
        <v>0.08</v>
      </c>
      <c r="AH3">
        <v>0.08</v>
      </c>
      <c r="AI3">
        <v>0.08</v>
      </c>
      <c r="AJ3">
        <v>0.08</v>
      </c>
      <c r="AK3">
        <v>0.08</v>
      </c>
      <c r="AL3">
        <v>0.08</v>
      </c>
      <c r="AM3">
        <v>7.0000000000000007E-2</v>
      </c>
      <c r="AO3">
        <v>7.0000000000000007E-2</v>
      </c>
      <c r="AP3">
        <v>7.0000000000000007E-2</v>
      </c>
      <c r="AQ3">
        <v>7.0000000000000007E-2</v>
      </c>
      <c r="AR3">
        <v>7.0000000000000007E-2</v>
      </c>
      <c r="AS3">
        <v>7.0000000000000007E-2</v>
      </c>
    </row>
    <row r="4" spans="1:183" x14ac:dyDescent="0.45">
      <c r="B4" t="s">
        <v>1</v>
      </c>
      <c r="C4" cm="1">
        <f t="array" ref="C4">LOOKUP(2,1/(I4:GA4&lt;&gt;""),I4:GA4)</f>
        <v>0.08</v>
      </c>
      <c r="D4" cm="1">
        <f t="array" ref="D4">SUMPRODUCT(MAX((I4:GA4&lt;&gt;"")*COLUMN(I4:GA4)))</f>
        <v>45</v>
      </c>
      <c r="F4" s="3">
        <f t="shared" ref="F4:F30" si="0">(C4-I4)/I4</f>
        <v>0.14285714285714277</v>
      </c>
      <c r="G4" s="3" cm="1">
        <f t="array" ref="G4">(C4-IF(ISNA(INDEX(I4:GA4,D4-22)),INDEX(I4:GA4,D4-23),INDEX(I4:GA4,D4-22)))/IF(ISNA(INDEX(I4:GA4,D4-22)),INDEX(I4:GA4,D4-23),INDEX(I4:GA4,D4-22))</f>
        <v>0</v>
      </c>
      <c r="I4">
        <v>7.0000000000000007E-2</v>
      </c>
      <c r="J4">
        <v>7.0000000000000007E-2</v>
      </c>
      <c r="L4">
        <v>7.0000000000000007E-2</v>
      </c>
      <c r="N4">
        <v>7.0000000000000007E-2</v>
      </c>
      <c r="O4">
        <v>7.0000000000000007E-2</v>
      </c>
      <c r="P4">
        <v>7.0000000000000007E-2</v>
      </c>
      <c r="Q4">
        <v>7.0000000000000007E-2</v>
      </c>
      <c r="R4">
        <v>7.0000000000000007E-2</v>
      </c>
      <c r="S4">
        <v>7.0000000000000007E-2</v>
      </c>
      <c r="T4">
        <v>7.0000000000000007E-2</v>
      </c>
      <c r="U4">
        <v>7.0000000000000007E-2</v>
      </c>
      <c r="V4">
        <v>0.06</v>
      </c>
      <c r="W4">
        <v>0.06</v>
      </c>
      <c r="X4">
        <v>7.0000000000000007E-2</v>
      </c>
      <c r="Y4">
        <v>7.0000000000000007E-2</v>
      </c>
      <c r="Z4">
        <v>7.0000000000000007E-2</v>
      </c>
      <c r="AA4">
        <v>7.0000000000000007E-2</v>
      </c>
      <c r="AB4">
        <v>7.0000000000000007E-2</v>
      </c>
      <c r="AC4">
        <v>0.08</v>
      </c>
      <c r="AD4">
        <v>0.09</v>
      </c>
      <c r="AE4">
        <v>0.08</v>
      </c>
      <c r="AF4">
        <v>0.09</v>
      </c>
      <c r="AG4">
        <v>0.09</v>
      </c>
      <c r="AH4">
        <v>0.08</v>
      </c>
      <c r="AI4">
        <v>0.09</v>
      </c>
      <c r="AJ4">
        <v>0.09</v>
      </c>
      <c r="AK4">
        <v>0.09</v>
      </c>
      <c r="AL4">
        <v>0.09</v>
      </c>
      <c r="AM4">
        <v>0.09</v>
      </c>
      <c r="AO4">
        <v>0.09</v>
      </c>
      <c r="AP4">
        <v>0.08</v>
      </c>
      <c r="AQ4">
        <v>0.08</v>
      </c>
      <c r="AR4">
        <v>0.08</v>
      </c>
      <c r="AS4">
        <v>0.08</v>
      </c>
    </row>
    <row r="5" spans="1:183" x14ac:dyDescent="0.45">
      <c r="B5" t="s">
        <v>2</v>
      </c>
      <c r="C5" cm="1">
        <f t="array" ref="C5">LOOKUP(2,1/(I5:GA5&lt;&gt;""),I5:GA5)</f>
        <v>0.08</v>
      </c>
      <c r="D5" cm="1">
        <f t="array" ref="D5">SUMPRODUCT(MAX((I5:GA5&lt;&gt;"")*COLUMN(I5:GA5)))</f>
        <v>45</v>
      </c>
      <c r="F5" s="3">
        <f t="shared" si="0"/>
        <v>0.14285714285714277</v>
      </c>
      <c r="G5" s="3" cm="1">
        <f t="array" ref="G5">(C5-IF(ISNA(INDEX(I5:GA5,D5-22)),INDEX(I5:GA5,D5-23),INDEX(I5:GA5,D5-22)))/IF(ISNA(INDEX(I5:GA5,D5-22)),INDEX(I5:GA5,D5-23),INDEX(I5:GA5,D5-22))</f>
        <v>-0.20000000000000004</v>
      </c>
      <c r="I5">
        <v>7.0000000000000007E-2</v>
      </c>
      <c r="J5">
        <v>7.0000000000000007E-2</v>
      </c>
      <c r="L5">
        <v>7.0000000000000007E-2</v>
      </c>
      <c r="N5">
        <v>7.0000000000000007E-2</v>
      </c>
      <c r="O5">
        <v>7.0000000000000007E-2</v>
      </c>
      <c r="P5">
        <v>7.0000000000000007E-2</v>
      </c>
      <c r="Q5">
        <v>7.0000000000000007E-2</v>
      </c>
      <c r="R5">
        <v>7.0000000000000007E-2</v>
      </c>
      <c r="S5">
        <v>7.0000000000000007E-2</v>
      </c>
      <c r="T5">
        <v>7.0000000000000007E-2</v>
      </c>
      <c r="U5">
        <v>7.0000000000000007E-2</v>
      </c>
      <c r="V5">
        <v>7.0000000000000007E-2</v>
      </c>
      <c r="W5">
        <v>7.0000000000000007E-2</v>
      </c>
      <c r="X5">
        <v>7.0000000000000007E-2</v>
      </c>
      <c r="Y5">
        <v>7.0000000000000007E-2</v>
      </c>
      <c r="Z5">
        <v>0.08</v>
      </c>
      <c r="AA5">
        <v>0.08</v>
      </c>
      <c r="AB5">
        <v>0.08</v>
      </c>
      <c r="AC5">
        <v>0.09</v>
      </c>
      <c r="AD5">
        <v>0.12</v>
      </c>
      <c r="AE5">
        <v>0.1</v>
      </c>
      <c r="AF5">
        <v>0.1</v>
      </c>
      <c r="AG5">
        <v>0.09</v>
      </c>
      <c r="AH5">
        <v>0.1</v>
      </c>
      <c r="AI5">
        <v>0.09</v>
      </c>
      <c r="AJ5">
        <v>0.09</v>
      </c>
      <c r="AK5">
        <v>0.09</v>
      </c>
      <c r="AL5">
        <v>0.09</v>
      </c>
      <c r="AM5">
        <v>0.09</v>
      </c>
      <c r="AO5">
        <v>0.08</v>
      </c>
      <c r="AP5">
        <v>0.08</v>
      </c>
      <c r="AQ5">
        <v>0.08</v>
      </c>
      <c r="AR5">
        <v>0.08</v>
      </c>
      <c r="AS5">
        <v>0.08</v>
      </c>
    </row>
    <row r="6" spans="1:183" x14ac:dyDescent="0.45">
      <c r="B6" t="s">
        <v>3</v>
      </c>
      <c r="C6" cm="1">
        <f t="array" ref="C6">LOOKUP(2,1/(I6:GA6&lt;&gt;""),I6:GA6)</f>
        <v>0.12</v>
      </c>
      <c r="D6" cm="1">
        <f t="array" ref="D6">SUMPRODUCT(MAX((I6:GA6&lt;&gt;"")*COLUMN(I6:GA6)))</f>
        <v>45</v>
      </c>
      <c r="F6" s="3">
        <f t="shared" si="0"/>
        <v>0.71428571428571408</v>
      </c>
      <c r="G6" s="3" cm="1">
        <f t="array" ref="G6">(C6-IF(ISNA(INDEX(I6:GA6,D6-22)),INDEX(I6:GA6,D6-23),INDEX(I6:GA6,D6-22)))/IF(ISNA(INDEX(I6:GA6,D6-22)),INDEX(I6:GA6,D6-23),INDEX(I6:GA6,D6-22))</f>
        <v>9.090909090909087E-2</v>
      </c>
      <c r="I6">
        <v>7.0000000000000007E-2</v>
      </c>
      <c r="J6">
        <v>7.0000000000000007E-2</v>
      </c>
      <c r="L6">
        <v>7.0000000000000007E-2</v>
      </c>
      <c r="N6">
        <v>7.0000000000000007E-2</v>
      </c>
      <c r="O6">
        <v>7.0000000000000007E-2</v>
      </c>
      <c r="P6">
        <v>7.0000000000000007E-2</v>
      </c>
      <c r="Q6">
        <v>7.0000000000000007E-2</v>
      </c>
      <c r="R6">
        <v>7.0000000000000007E-2</v>
      </c>
      <c r="S6">
        <v>7.0000000000000007E-2</v>
      </c>
      <c r="T6">
        <v>7.0000000000000007E-2</v>
      </c>
      <c r="U6">
        <v>7.0000000000000007E-2</v>
      </c>
      <c r="V6">
        <v>7.0000000000000007E-2</v>
      </c>
      <c r="W6">
        <v>7.0000000000000007E-2</v>
      </c>
      <c r="X6">
        <v>7.0000000000000007E-2</v>
      </c>
      <c r="Y6">
        <v>7.0000000000000007E-2</v>
      </c>
      <c r="Z6">
        <v>7.0000000000000007E-2</v>
      </c>
      <c r="AA6">
        <v>7.0000000000000007E-2</v>
      </c>
      <c r="AB6">
        <v>7.0000000000000007E-2</v>
      </c>
      <c r="AC6">
        <v>0.12</v>
      </c>
      <c r="AD6">
        <v>0.14000000000000001</v>
      </c>
      <c r="AE6">
        <v>0.11</v>
      </c>
      <c r="AF6">
        <v>0.12</v>
      </c>
      <c r="AG6">
        <v>0.12</v>
      </c>
      <c r="AH6">
        <v>0.12</v>
      </c>
      <c r="AI6">
        <v>0.12</v>
      </c>
      <c r="AJ6">
        <v>0.13</v>
      </c>
      <c r="AK6">
        <v>0.14000000000000001</v>
      </c>
      <c r="AL6">
        <v>0.13</v>
      </c>
      <c r="AM6">
        <v>0.12</v>
      </c>
      <c r="AO6">
        <v>0.11</v>
      </c>
      <c r="AP6">
        <v>0.11</v>
      </c>
      <c r="AQ6">
        <v>0.11</v>
      </c>
      <c r="AR6">
        <v>0.12</v>
      </c>
      <c r="AS6">
        <v>0.12</v>
      </c>
    </row>
    <row r="7" spans="1:183" x14ac:dyDescent="0.45">
      <c r="B7" t="s">
        <v>4</v>
      </c>
      <c r="C7" cm="1">
        <f t="array" ref="C7">LOOKUP(2,1/(I7:GA7&lt;&gt;""),I7:GA7)</f>
        <v>0.21</v>
      </c>
      <c r="D7" cm="1">
        <f t="array" ref="D7">SUMPRODUCT(MAX((I7:GA7&lt;&gt;"")*COLUMN(I7:GA7)))</f>
        <v>45</v>
      </c>
      <c r="F7" s="3">
        <f t="shared" si="0"/>
        <v>1.625</v>
      </c>
      <c r="G7" s="3" cm="1">
        <f t="array" ref="G7">(C7-IF(ISNA(INDEX(I7:GA7,D7-22)),INDEX(I7:GA7,D7-23),INDEX(I7:GA7,D7-22)))/IF(ISNA(INDEX(I7:GA7,D7-22)),INDEX(I7:GA7,D7-23),INDEX(I7:GA7,D7-22))</f>
        <v>0.23529411764705868</v>
      </c>
      <c r="I7">
        <v>0.08</v>
      </c>
      <c r="J7">
        <v>0.08</v>
      </c>
      <c r="L7">
        <v>0.08</v>
      </c>
      <c r="N7">
        <v>0.08</v>
      </c>
      <c r="O7">
        <v>0.08</v>
      </c>
      <c r="P7">
        <v>0.08</v>
      </c>
      <c r="Q7">
        <v>0.08</v>
      </c>
      <c r="R7">
        <v>0.08</v>
      </c>
      <c r="S7">
        <v>0.08</v>
      </c>
      <c r="T7">
        <v>0.08</v>
      </c>
      <c r="U7">
        <v>0.08</v>
      </c>
      <c r="V7">
        <v>0.08</v>
      </c>
      <c r="W7">
        <v>0.08</v>
      </c>
      <c r="X7">
        <v>0.08</v>
      </c>
      <c r="Y7">
        <v>0.08</v>
      </c>
      <c r="Z7">
        <v>0.08</v>
      </c>
      <c r="AA7">
        <v>0.08</v>
      </c>
      <c r="AB7">
        <v>0.08</v>
      </c>
      <c r="AC7">
        <v>0.16</v>
      </c>
      <c r="AD7">
        <v>0.21</v>
      </c>
      <c r="AE7">
        <v>0.17</v>
      </c>
      <c r="AF7">
        <v>0.18</v>
      </c>
      <c r="AG7">
        <v>0.18</v>
      </c>
      <c r="AH7">
        <v>0.2</v>
      </c>
      <c r="AI7">
        <v>0.23</v>
      </c>
      <c r="AJ7">
        <v>0.24</v>
      </c>
      <c r="AK7">
        <v>0.28000000000000003</v>
      </c>
      <c r="AL7">
        <v>0.28000000000000003</v>
      </c>
      <c r="AM7">
        <v>0.27</v>
      </c>
      <c r="AO7">
        <v>0.23</v>
      </c>
      <c r="AP7">
        <v>0.23</v>
      </c>
      <c r="AQ7">
        <v>0.21</v>
      </c>
      <c r="AR7">
        <v>0.23</v>
      </c>
      <c r="AS7">
        <v>0.21</v>
      </c>
    </row>
    <row r="8" spans="1:183" x14ac:dyDescent="0.45">
      <c r="B8" t="s">
        <v>5</v>
      </c>
      <c r="C8" cm="1">
        <f t="array" ref="C8">LOOKUP(2,1/(I8:GA8&lt;&gt;""),I8:GA8)</f>
        <v>0.31</v>
      </c>
      <c r="D8" cm="1">
        <f t="array" ref="D8">SUMPRODUCT(MAX((I8:GA8&lt;&gt;"")*COLUMN(I8:GA8)))</f>
        <v>45</v>
      </c>
      <c r="F8" s="3">
        <f t="shared" si="0"/>
        <v>-0.11428571428571424</v>
      </c>
      <c r="G8" s="3" cm="1">
        <f t="array" ref="G8">(C8-IF(ISNA(INDEX(I8:GA8,D8-22)),INDEX(I8:GA8,D8-23),INDEX(I8:GA8,D8-22)))/IF(ISNA(INDEX(I8:GA8,D8-22)),INDEX(I8:GA8,D8-23),INDEX(I8:GA8,D8-22))</f>
        <v>-3.1250000000000028E-2</v>
      </c>
      <c r="I8">
        <v>0.35</v>
      </c>
      <c r="J8">
        <v>0.35</v>
      </c>
      <c r="L8">
        <v>0.35</v>
      </c>
      <c r="N8">
        <v>0.31</v>
      </c>
      <c r="O8">
        <v>0.3</v>
      </c>
      <c r="P8">
        <v>0.34</v>
      </c>
      <c r="Q8">
        <v>0.3</v>
      </c>
      <c r="R8">
        <v>0.3</v>
      </c>
      <c r="S8">
        <v>0.31</v>
      </c>
      <c r="T8">
        <v>0.3</v>
      </c>
      <c r="U8">
        <v>0.31</v>
      </c>
      <c r="V8">
        <v>0.3</v>
      </c>
      <c r="W8">
        <v>0.32</v>
      </c>
      <c r="X8">
        <v>0.32</v>
      </c>
      <c r="Y8">
        <v>0.34</v>
      </c>
      <c r="Z8">
        <v>0.3</v>
      </c>
      <c r="AA8">
        <v>0.32</v>
      </c>
      <c r="AB8">
        <v>0.3</v>
      </c>
      <c r="AC8">
        <v>0.35</v>
      </c>
      <c r="AD8">
        <v>0.35</v>
      </c>
      <c r="AE8">
        <v>0.32</v>
      </c>
      <c r="AF8">
        <v>0.32</v>
      </c>
      <c r="AG8">
        <v>0.3</v>
      </c>
      <c r="AH8">
        <v>0.31</v>
      </c>
      <c r="AI8">
        <v>0.3</v>
      </c>
      <c r="AJ8">
        <v>0.3</v>
      </c>
      <c r="AK8">
        <v>0.3</v>
      </c>
      <c r="AL8">
        <v>0.31</v>
      </c>
      <c r="AM8">
        <v>0.32</v>
      </c>
      <c r="AO8">
        <v>0.31</v>
      </c>
      <c r="AP8">
        <v>0.28999999999999998</v>
      </c>
      <c r="AQ8">
        <v>0.3</v>
      </c>
      <c r="AR8">
        <v>0.32</v>
      </c>
      <c r="AS8">
        <v>0.31</v>
      </c>
    </row>
    <row r="9" spans="1:183" x14ac:dyDescent="0.45">
      <c r="B9" t="s">
        <v>6</v>
      </c>
      <c r="C9" cm="1">
        <f t="array" ref="C9">LOOKUP(2,1/(I9:GA9&lt;&gt;""),I9:GA9)</f>
        <v>0.34</v>
      </c>
      <c r="D9" cm="1">
        <f t="array" ref="D9">SUMPRODUCT(MAX((I9:GA9&lt;&gt;"")*COLUMN(I9:GA9)))</f>
        <v>45</v>
      </c>
      <c r="F9" s="3">
        <f t="shared" si="0"/>
        <v>0.61904761904761918</v>
      </c>
      <c r="G9" s="3" cm="1">
        <f t="array" ref="G9">(C9-IF(ISNA(INDEX(I9:GA9,D9-22)),INDEX(I9:GA9,D9-23),INDEX(I9:GA9,D9-22)))/IF(ISNA(INDEX(I9:GA9,D9-22)),INDEX(I9:GA9,D9-23),INDEX(I9:GA9,D9-22))</f>
        <v>0.13333333333333347</v>
      </c>
      <c r="I9">
        <v>0.21</v>
      </c>
      <c r="J9">
        <v>0.21</v>
      </c>
      <c r="L9">
        <v>0.21</v>
      </c>
      <c r="N9">
        <v>0.21</v>
      </c>
      <c r="O9">
        <v>0.21</v>
      </c>
      <c r="P9">
        <v>0.21</v>
      </c>
      <c r="Q9">
        <v>0.21</v>
      </c>
      <c r="R9">
        <v>0.21</v>
      </c>
      <c r="S9">
        <v>0.21</v>
      </c>
      <c r="T9">
        <v>0.2</v>
      </c>
      <c r="U9">
        <v>0.2</v>
      </c>
      <c r="V9">
        <v>0.21</v>
      </c>
      <c r="W9">
        <v>0.21</v>
      </c>
      <c r="X9">
        <v>0.24</v>
      </c>
      <c r="Y9">
        <v>0.24</v>
      </c>
      <c r="Z9">
        <v>0.24</v>
      </c>
      <c r="AA9">
        <v>0.26</v>
      </c>
      <c r="AB9">
        <v>0.27</v>
      </c>
      <c r="AC9">
        <v>0.34</v>
      </c>
      <c r="AD9">
        <v>0.43</v>
      </c>
      <c r="AE9">
        <v>0.3</v>
      </c>
      <c r="AF9">
        <v>0.31</v>
      </c>
      <c r="AG9">
        <v>0.34</v>
      </c>
      <c r="AH9">
        <v>0.31</v>
      </c>
      <c r="AI9">
        <v>0.36</v>
      </c>
      <c r="AJ9">
        <v>0.38</v>
      </c>
      <c r="AK9">
        <v>0.36</v>
      </c>
      <c r="AL9">
        <v>0.36</v>
      </c>
      <c r="AM9">
        <v>0.34</v>
      </c>
      <c r="AO9">
        <v>0.32</v>
      </c>
      <c r="AP9">
        <v>0.3</v>
      </c>
      <c r="AQ9">
        <v>0.31</v>
      </c>
      <c r="AR9">
        <v>0.34</v>
      </c>
      <c r="AS9">
        <v>0.34</v>
      </c>
    </row>
    <row r="10" spans="1:183" x14ac:dyDescent="0.45">
      <c r="B10" t="s">
        <v>7</v>
      </c>
      <c r="C10" cm="1">
        <f t="array" ref="C10">LOOKUP(2,1/(I10:GA10&lt;&gt;""),I10:GA10)</f>
        <v>0.37</v>
      </c>
      <c r="D10" cm="1">
        <f t="array" ref="D10">SUMPRODUCT(MAX((I10:GA10&lt;&gt;"")*COLUMN(I10:GA10)))</f>
        <v>45</v>
      </c>
      <c r="F10" s="3">
        <f t="shared" si="0"/>
        <v>1.1764705882352939</v>
      </c>
      <c r="G10" s="3" cm="1">
        <f t="array" ref="G10">(C10-IF(ISNA(INDEX(I10:GA10,D10-22)),INDEX(I10:GA10,D10-23),INDEX(I10:GA10,D10-22)))/IF(ISNA(INDEX(I10:GA10,D10-22)),INDEX(I10:GA10,D10-23),INDEX(I10:GA10,D10-22))</f>
        <v>8.8235294117646967E-2</v>
      </c>
      <c r="I10">
        <v>0.17</v>
      </c>
      <c r="J10">
        <v>0.17</v>
      </c>
      <c r="L10">
        <v>0.19</v>
      </c>
      <c r="N10">
        <v>0.19</v>
      </c>
      <c r="O10">
        <v>0.17</v>
      </c>
      <c r="P10">
        <v>0.18</v>
      </c>
      <c r="Q10">
        <v>0.18</v>
      </c>
      <c r="R10">
        <v>0.17</v>
      </c>
      <c r="S10">
        <v>0.17</v>
      </c>
      <c r="T10">
        <v>0.18</v>
      </c>
      <c r="U10">
        <v>0.18</v>
      </c>
      <c r="V10">
        <v>0.19</v>
      </c>
      <c r="W10">
        <v>0.2</v>
      </c>
      <c r="X10">
        <v>0.21</v>
      </c>
      <c r="Y10">
        <v>0.21</v>
      </c>
      <c r="Z10">
        <v>0.24</v>
      </c>
      <c r="AA10">
        <v>0.24</v>
      </c>
      <c r="AB10">
        <v>0.23</v>
      </c>
      <c r="AC10">
        <v>0.34</v>
      </c>
      <c r="AD10">
        <v>0.39</v>
      </c>
      <c r="AE10">
        <v>0.34</v>
      </c>
      <c r="AF10">
        <v>0.36</v>
      </c>
      <c r="AG10">
        <v>0.36</v>
      </c>
      <c r="AH10">
        <v>0.37</v>
      </c>
      <c r="AI10">
        <v>0.36</v>
      </c>
      <c r="AJ10">
        <v>0.38</v>
      </c>
      <c r="AK10">
        <v>0.4</v>
      </c>
      <c r="AL10">
        <v>0.39</v>
      </c>
      <c r="AM10">
        <v>0.37</v>
      </c>
      <c r="AO10">
        <v>0.36</v>
      </c>
      <c r="AP10">
        <v>0.37</v>
      </c>
      <c r="AQ10">
        <v>0.37</v>
      </c>
      <c r="AR10">
        <v>0.36</v>
      </c>
      <c r="AS10">
        <v>0.37</v>
      </c>
    </row>
    <row r="11" spans="1:183" x14ac:dyDescent="0.45">
      <c r="B11" t="s">
        <v>8</v>
      </c>
      <c r="C11" cm="1">
        <f t="array" ref="C11">LOOKUP(2,1/(I11:GA11&lt;&gt;""),I11:GA11)</f>
        <v>0.7</v>
      </c>
      <c r="D11" cm="1">
        <f t="array" ref="D11">SUMPRODUCT(MAX((I11:GA11&lt;&gt;"")*COLUMN(I11:GA11)))</f>
        <v>45</v>
      </c>
      <c r="F11" s="3">
        <f t="shared" si="0"/>
        <v>0.18644067796610167</v>
      </c>
      <c r="G11" s="3" cm="1">
        <f t="array" ref="G11">(C11-IF(ISNA(INDEX(I11:GA11,D11-22)),INDEX(I11:GA11,D11-23),INDEX(I11:GA11,D11-22)))/IF(ISNA(INDEX(I11:GA11,D11-22)),INDEX(I11:GA11,D11-23),INDEX(I11:GA11,D11-22))</f>
        <v>-4.1095890410958943E-2</v>
      </c>
      <c r="I11">
        <v>0.59</v>
      </c>
      <c r="J11">
        <v>0.57999999999999996</v>
      </c>
      <c r="L11">
        <v>0.55000000000000004</v>
      </c>
      <c r="N11">
        <v>0.53</v>
      </c>
      <c r="O11">
        <v>0.6</v>
      </c>
      <c r="P11">
        <v>0.6</v>
      </c>
      <c r="Q11">
        <v>0.6</v>
      </c>
      <c r="R11">
        <v>0.61</v>
      </c>
      <c r="S11">
        <v>0.57999999999999996</v>
      </c>
      <c r="T11">
        <v>0.61</v>
      </c>
      <c r="U11">
        <v>0.57999999999999996</v>
      </c>
      <c r="V11">
        <v>0.62</v>
      </c>
      <c r="W11">
        <v>0.65</v>
      </c>
      <c r="X11">
        <v>0.66</v>
      </c>
      <c r="Y11">
        <v>0.65</v>
      </c>
      <c r="Z11">
        <v>0.66</v>
      </c>
      <c r="AA11">
        <v>0.64</v>
      </c>
      <c r="AB11">
        <v>0.64</v>
      </c>
      <c r="AC11">
        <v>0.72</v>
      </c>
      <c r="AD11">
        <v>0.86</v>
      </c>
      <c r="AE11">
        <v>0.73</v>
      </c>
      <c r="AF11">
        <v>0.64</v>
      </c>
      <c r="AG11">
        <v>0.65</v>
      </c>
      <c r="AH11">
        <v>0.74</v>
      </c>
      <c r="AI11">
        <v>0.71</v>
      </c>
      <c r="AJ11">
        <v>0.72</v>
      </c>
      <c r="AK11">
        <v>0.72</v>
      </c>
      <c r="AL11">
        <v>0.73</v>
      </c>
      <c r="AM11">
        <v>0.66</v>
      </c>
      <c r="AO11">
        <v>0.62</v>
      </c>
      <c r="AP11">
        <v>0.63</v>
      </c>
      <c r="AQ11">
        <v>0.72</v>
      </c>
      <c r="AR11">
        <v>0.69</v>
      </c>
      <c r="AS11">
        <v>0.7</v>
      </c>
    </row>
    <row r="12" spans="1:183" x14ac:dyDescent="0.45">
      <c r="B12" t="s">
        <v>9</v>
      </c>
      <c r="C12" cm="1">
        <f t="array" ref="C12">LOOKUP(2,1/(I12:GA12&lt;&gt;""),I12:GA12)</f>
        <v>1.28</v>
      </c>
      <c r="D12" cm="1">
        <f t="array" ref="D12">SUMPRODUCT(MAX((I12:GA12&lt;&gt;"")*COLUMN(I12:GA12)))</f>
        <v>45</v>
      </c>
      <c r="F12" s="3">
        <f t="shared" si="0"/>
        <v>0.14285714285714277</v>
      </c>
      <c r="G12" s="3" cm="1">
        <f t="array" ref="G12">(C12-IF(ISNA(INDEX(I12:GA12,D12-22)),INDEX(I12:GA12,D12-23),INDEX(I12:GA12,D12-22)))/IF(ISNA(INDEX(I12:GA12,D12-22)),INDEX(I12:GA12,D12-23),INDEX(I12:GA12,D12-22))</f>
        <v>-0.12328767123287668</v>
      </c>
      <c r="I12">
        <v>1.1200000000000001</v>
      </c>
      <c r="J12">
        <v>1.1200000000000001</v>
      </c>
      <c r="L12">
        <v>1.2</v>
      </c>
      <c r="N12">
        <v>1.24</v>
      </c>
      <c r="O12">
        <v>1.21</v>
      </c>
      <c r="P12">
        <v>1.26</v>
      </c>
      <c r="Q12">
        <v>1.27</v>
      </c>
      <c r="R12">
        <v>1.31</v>
      </c>
      <c r="S12">
        <v>1.53</v>
      </c>
      <c r="T12">
        <v>1.45</v>
      </c>
      <c r="U12">
        <v>1.51</v>
      </c>
      <c r="V12">
        <v>1.49</v>
      </c>
      <c r="W12">
        <v>1.41</v>
      </c>
      <c r="X12">
        <v>1.39</v>
      </c>
      <c r="Y12">
        <v>1.31</v>
      </c>
      <c r="Z12">
        <v>1.34</v>
      </c>
      <c r="AA12">
        <v>1.31</v>
      </c>
      <c r="AB12">
        <v>1.35</v>
      </c>
      <c r="AC12">
        <v>1.35</v>
      </c>
      <c r="AD12">
        <v>1.35</v>
      </c>
      <c r="AE12">
        <v>1.46</v>
      </c>
      <c r="AF12">
        <v>1.46</v>
      </c>
      <c r="AG12">
        <v>1.42</v>
      </c>
      <c r="AH12">
        <v>1.49</v>
      </c>
      <c r="AI12">
        <v>1.33</v>
      </c>
      <c r="AJ12">
        <v>1.41</v>
      </c>
      <c r="AK12">
        <v>1.35</v>
      </c>
      <c r="AL12">
        <v>1.44</v>
      </c>
      <c r="AM12">
        <v>1.41</v>
      </c>
      <c r="AO12">
        <v>1.24</v>
      </c>
      <c r="AP12">
        <v>1.3</v>
      </c>
      <c r="AQ12">
        <v>1.35</v>
      </c>
      <c r="AR12">
        <v>1.32</v>
      </c>
      <c r="AS12">
        <v>1.28</v>
      </c>
    </row>
    <row r="13" spans="1:183" x14ac:dyDescent="0.45">
      <c r="F13" s="3"/>
      <c r="G13" s="3"/>
    </row>
    <row r="14" spans="1:183" x14ac:dyDescent="0.45">
      <c r="F14" s="3"/>
    </row>
    <row r="15" spans="1:183" x14ac:dyDescent="0.45">
      <c r="F15" s="3"/>
    </row>
    <row r="16" spans="1:183" x14ac:dyDescent="0.45">
      <c r="F16" s="3"/>
    </row>
    <row r="17" spans="1:183" x14ac:dyDescent="0.45">
      <c r="F17" s="3"/>
    </row>
    <row r="18" spans="1:183" x14ac:dyDescent="0.45">
      <c r="F18" s="3"/>
    </row>
    <row r="19" spans="1:183" x14ac:dyDescent="0.45">
      <c r="A19" s="2" t="s">
        <v>11</v>
      </c>
      <c r="F19" s="3"/>
    </row>
    <row r="20" spans="1:183" x14ac:dyDescent="0.45">
      <c r="F20" s="3"/>
      <c r="I20" s="1">
        <f>I2</f>
        <v>44331</v>
      </c>
      <c r="J20" s="1">
        <f t="shared" ref="J20:BU20" si="1">J2</f>
        <v>44332</v>
      </c>
      <c r="K20" s="1">
        <f t="shared" si="1"/>
        <v>44333</v>
      </c>
      <c r="L20" s="1">
        <f t="shared" si="1"/>
        <v>44334</v>
      </c>
      <c r="M20" s="1">
        <f t="shared" si="1"/>
        <v>44335</v>
      </c>
      <c r="N20" s="1">
        <f t="shared" si="1"/>
        <v>44336</v>
      </c>
      <c r="O20" s="1">
        <f t="shared" si="1"/>
        <v>44337</v>
      </c>
      <c r="P20" s="1">
        <f t="shared" si="1"/>
        <v>44338</v>
      </c>
      <c r="Q20" s="1">
        <f t="shared" si="1"/>
        <v>44339</v>
      </c>
      <c r="R20" s="1">
        <f t="shared" si="1"/>
        <v>44340</v>
      </c>
      <c r="S20" s="1">
        <f t="shared" si="1"/>
        <v>44341</v>
      </c>
      <c r="T20" s="1">
        <f t="shared" si="1"/>
        <v>44342</v>
      </c>
      <c r="U20" s="1">
        <f t="shared" si="1"/>
        <v>44343</v>
      </c>
      <c r="V20" s="1">
        <f t="shared" si="1"/>
        <v>44344</v>
      </c>
      <c r="W20" s="1">
        <f t="shared" si="1"/>
        <v>44345</v>
      </c>
      <c r="X20" s="1">
        <f t="shared" si="1"/>
        <v>44346</v>
      </c>
      <c r="Y20" s="1">
        <f t="shared" si="1"/>
        <v>44347</v>
      </c>
      <c r="Z20" s="1">
        <f t="shared" si="1"/>
        <v>44348</v>
      </c>
      <c r="AA20" s="1">
        <f t="shared" si="1"/>
        <v>44349</v>
      </c>
      <c r="AB20" s="1">
        <f t="shared" si="1"/>
        <v>44350</v>
      </c>
      <c r="AC20" s="1">
        <f t="shared" si="1"/>
        <v>44351</v>
      </c>
      <c r="AD20" s="1">
        <f t="shared" si="1"/>
        <v>44352</v>
      </c>
      <c r="AE20" s="1">
        <f t="shared" si="1"/>
        <v>44353</v>
      </c>
      <c r="AF20" s="1">
        <f t="shared" si="1"/>
        <v>44354</v>
      </c>
      <c r="AG20" s="1">
        <f t="shared" si="1"/>
        <v>44355</v>
      </c>
      <c r="AH20" s="1">
        <f t="shared" si="1"/>
        <v>44356</v>
      </c>
      <c r="AI20" s="1">
        <f t="shared" si="1"/>
        <v>44357</v>
      </c>
      <c r="AJ20" s="1">
        <f t="shared" si="1"/>
        <v>44358</v>
      </c>
      <c r="AK20" s="1">
        <f t="shared" si="1"/>
        <v>44359</v>
      </c>
      <c r="AL20" s="1">
        <f t="shared" si="1"/>
        <v>44360</v>
      </c>
      <c r="AM20" s="1">
        <f t="shared" si="1"/>
        <v>44361</v>
      </c>
      <c r="AN20" s="1">
        <f t="shared" si="1"/>
        <v>44362</v>
      </c>
      <c r="AO20" s="1">
        <f t="shared" si="1"/>
        <v>44363</v>
      </c>
      <c r="AP20" s="1">
        <f t="shared" si="1"/>
        <v>44364</v>
      </c>
      <c r="AQ20" s="1">
        <f t="shared" si="1"/>
        <v>44365</v>
      </c>
      <c r="AR20" s="1">
        <f t="shared" si="1"/>
        <v>44366</v>
      </c>
      <c r="AS20" s="1">
        <f t="shared" si="1"/>
        <v>44367</v>
      </c>
      <c r="AT20" s="1">
        <f t="shared" si="1"/>
        <v>44368</v>
      </c>
      <c r="AU20" s="1">
        <f t="shared" si="1"/>
        <v>44369</v>
      </c>
      <c r="AV20" s="1">
        <f t="shared" si="1"/>
        <v>44370</v>
      </c>
      <c r="AW20" s="1">
        <f t="shared" si="1"/>
        <v>44371</v>
      </c>
      <c r="AX20" s="1">
        <f t="shared" si="1"/>
        <v>44372</v>
      </c>
      <c r="AY20" s="1">
        <f t="shared" si="1"/>
        <v>44373</v>
      </c>
      <c r="AZ20" s="1">
        <f t="shared" si="1"/>
        <v>44374</v>
      </c>
      <c r="BA20" s="1">
        <f t="shared" si="1"/>
        <v>44375</v>
      </c>
      <c r="BB20" s="1">
        <f t="shared" si="1"/>
        <v>44376</v>
      </c>
      <c r="BC20" s="1">
        <f t="shared" si="1"/>
        <v>44377</v>
      </c>
      <c r="BD20" s="1">
        <f t="shared" si="1"/>
        <v>44378</v>
      </c>
      <c r="BE20" s="1">
        <f t="shared" si="1"/>
        <v>44379</v>
      </c>
      <c r="BF20" s="1">
        <f t="shared" si="1"/>
        <v>44380</v>
      </c>
      <c r="BG20" s="1">
        <f t="shared" si="1"/>
        <v>44381</v>
      </c>
      <c r="BH20" s="1">
        <f t="shared" si="1"/>
        <v>44382</v>
      </c>
      <c r="BI20" s="1">
        <f t="shared" si="1"/>
        <v>44383</v>
      </c>
      <c r="BJ20" s="1">
        <f t="shared" si="1"/>
        <v>44384</v>
      </c>
      <c r="BK20" s="1">
        <f t="shared" si="1"/>
        <v>44385</v>
      </c>
      <c r="BL20" s="1">
        <f t="shared" si="1"/>
        <v>44386</v>
      </c>
      <c r="BM20" s="1">
        <f t="shared" si="1"/>
        <v>44387</v>
      </c>
      <c r="BN20" s="1">
        <f t="shared" si="1"/>
        <v>44388</v>
      </c>
      <c r="BO20" s="1">
        <f t="shared" si="1"/>
        <v>44389</v>
      </c>
      <c r="BP20" s="1">
        <f t="shared" si="1"/>
        <v>44390</v>
      </c>
      <c r="BQ20" s="1">
        <f t="shared" si="1"/>
        <v>44391</v>
      </c>
      <c r="BR20" s="1">
        <f t="shared" si="1"/>
        <v>44392</v>
      </c>
      <c r="BS20" s="1">
        <f t="shared" si="1"/>
        <v>44393</v>
      </c>
      <c r="BT20" s="1">
        <f t="shared" si="1"/>
        <v>44394</v>
      </c>
      <c r="BU20" s="1">
        <f t="shared" si="1"/>
        <v>44395</v>
      </c>
      <c r="BV20" s="1">
        <f t="shared" ref="BV20:EG20" si="2">BV2</f>
        <v>44396</v>
      </c>
      <c r="BW20" s="1">
        <f t="shared" si="2"/>
        <v>44397</v>
      </c>
      <c r="BX20" s="1">
        <f t="shared" si="2"/>
        <v>44398</v>
      </c>
      <c r="BY20" s="1">
        <f t="shared" si="2"/>
        <v>44399</v>
      </c>
      <c r="BZ20" s="1">
        <f t="shared" si="2"/>
        <v>44400</v>
      </c>
      <c r="CA20" s="1">
        <f t="shared" si="2"/>
        <v>44401</v>
      </c>
      <c r="CB20" s="1">
        <f t="shared" si="2"/>
        <v>44402</v>
      </c>
      <c r="CC20" s="1">
        <f t="shared" si="2"/>
        <v>44403</v>
      </c>
      <c r="CD20" s="1">
        <f t="shared" si="2"/>
        <v>44404</v>
      </c>
      <c r="CE20" s="1">
        <f t="shared" si="2"/>
        <v>44405</v>
      </c>
      <c r="CF20" s="1">
        <f t="shared" si="2"/>
        <v>44406</v>
      </c>
      <c r="CG20" s="1">
        <f t="shared" si="2"/>
        <v>44407</v>
      </c>
      <c r="CH20" s="1">
        <f t="shared" si="2"/>
        <v>44408</v>
      </c>
      <c r="CI20" s="1">
        <f t="shared" si="2"/>
        <v>44409</v>
      </c>
      <c r="CJ20" s="1">
        <f t="shared" si="2"/>
        <v>44410</v>
      </c>
      <c r="CK20" s="1">
        <f t="shared" si="2"/>
        <v>44411</v>
      </c>
      <c r="CL20" s="1">
        <f t="shared" si="2"/>
        <v>44412</v>
      </c>
      <c r="CM20" s="1">
        <f t="shared" si="2"/>
        <v>44413</v>
      </c>
      <c r="CN20" s="1">
        <f t="shared" si="2"/>
        <v>44414</v>
      </c>
      <c r="CO20" s="1">
        <f t="shared" si="2"/>
        <v>44415</v>
      </c>
      <c r="CP20" s="1">
        <f t="shared" si="2"/>
        <v>44416</v>
      </c>
      <c r="CQ20" s="1">
        <f t="shared" si="2"/>
        <v>44417</v>
      </c>
      <c r="CR20" s="1">
        <f t="shared" si="2"/>
        <v>44418</v>
      </c>
      <c r="CS20" s="1">
        <f t="shared" si="2"/>
        <v>44419</v>
      </c>
      <c r="CT20" s="1">
        <f t="shared" si="2"/>
        <v>44420</v>
      </c>
      <c r="CU20" s="1">
        <f t="shared" si="2"/>
        <v>44421</v>
      </c>
      <c r="CV20" s="1">
        <f t="shared" si="2"/>
        <v>44422</v>
      </c>
      <c r="CW20" s="1">
        <f t="shared" si="2"/>
        <v>44423</v>
      </c>
      <c r="CX20" s="1">
        <f t="shared" si="2"/>
        <v>44424</v>
      </c>
      <c r="CY20" s="1">
        <f t="shared" si="2"/>
        <v>44425</v>
      </c>
      <c r="CZ20" s="1">
        <f t="shared" si="2"/>
        <v>44426</v>
      </c>
      <c r="DA20" s="1">
        <f t="shared" si="2"/>
        <v>44427</v>
      </c>
      <c r="DB20" s="1">
        <f t="shared" si="2"/>
        <v>44428</v>
      </c>
      <c r="DC20" s="1">
        <f t="shared" si="2"/>
        <v>44429</v>
      </c>
      <c r="DD20" s="1">
        <f t="shared" si="2"/>
        <v>44430</v>
      </c>
      <c r="DE20" s="1">
        <f t="shared" si="2"/>
        <v>44431</v>
      </c>
      <c r="DF20" s="1">
        <f t="shared" si="2"/>
        <v>44432</v>
      </c>
      <c r="DG20" s="1">
        <f t="shared" si="2"/>
        <v>44433</v>
      </c>
      <c r="DH20" s="1">
        <f t="shared" si="2"/>
        <v>44434</v>
      </c>
      <c r="DI20" s="1">
        <f t="shared" si="2"/>
        <v>44435</v>
      </c>
      <c r="DJ20" s="1">
        <f t="shared" si="2"/>
        <v>44436</v>
      </c>
      <c r="DK20" s="1">
        <f t="shared" si="2"/>
        <v>44437</v>
      </c>
      <c r="DL20" s="1">
        <f t="shared" si="2"/>
        <v>44438</v>
      </c>
      <c r="DM20" s="1">
        <f t="shared" si="2"/>
        <v>44439</v>
      </c>
      <c r="DN20" s="1">
        <f t="shared" si="2"/>
        <v>44440</v>
      </c>
      <c r="DO20" s="1">
        <f t="shared" si="2"/>
        <v>44441</v>
      </c>
      <c r="DP20" s="1">
        <f t="shared" si="2"/>
        <v>44442</v>
      </c>
      <c r="DQ20" s="1">
        <f t="shared" si="2"/>
        <v>44443</v>
      </c>
      <c r="DR20" s="1">
        <f t="shared" si="2"/>
        <v>44444</v>
      </c>
      <c r="DS20" s="1">
        <f t="shared" si="2"/>
        <v>44445</v>
      </c>
      <c r="DT20" s="1">
        <f t="shared" si="2"/>
        <v>44446</v>
      </c>
      <c r="DU20" s="1">
        <f t="shared" si="2"/>
        <v>44447</v>
      </c>
      <c r="DV20" s="1">
        <f t="shared" si="2"/>
        <v>44448</v>
      </c>
      <c r="DW20" s="1">
        <f t="shared" si="2"/>
        <v>44449</v>
      </c>
      <c r="DX20" s="1">
        <f t="shared" si="2"/>
        <v>44450</v>
      </c>
      <c r="DY20" s="1">
        <f t="shared" si="2"/>
        <v>44451</v>
      </c>
      <c r="DZ20" s="1">
        <f t="shared" si="2"/>
        <v>44452</v>
      </c>
      <c r="EA20" s="1">
        <f t="shared" si="2"/>
        <v>44453</v>
      </c>
      <c r="EB20" s="1">
        <f t="shared" si="2"/>
        <v>44454</v>
      </c>
      <c r="EC20" s="1">
        <f t="shared" si="2"/>
        <v>44455</v>
      </c>
      <c r="ED20" s="1">
        <f t="shared" si="2"/>
        <v>44456</v>
      </c>
      <c r="EE20" s="1">
        <f t="shared" si="2"/>
        <v>44457</v>
      </c>
      <c r="EF20" s="1">
        <f t="shared" si="2"/>
        <v>44458</v>
      </c>
      <c r="EG20" s="1">
        <f t="shared" si="2"/>
        <v>44459</v>
      </c>
      <c r="EH20" s="1">
        <f t="shared" ref="EH20:GA20" si="3">EH2</f>
        <v>44460</v>
      </c>
      <c r="EI20" s="1">
        <f t="shared" si="3"/>
        <v>44461</v>
      </c>
      <c r="EJ20" s="1">
        <f t="shared" si="3"/>
        <v>44462</v>
      </c>
      <c r="EK20" s="1">
        <f t="shared" si="3"/>
        <v>44463</v>
      </c>
      <c r="EL20" s="1">
        <f t="shared" si="3"/>
        <v>44464</v>
      </c>
      <c r="EM20" s="1">
        <f t="shared" si="3"/>
        <v>44465</v>
      </c>
      <c r="EN20" s="1">
        <f t="shared" si="3"/>
        <v>44466</v>
      </c>
      <c r="EO20" s="1">
        <f t="shared" si="3"/>
        <v>44467</v>
      </c>
      <c r="EP20" s="1">
        <f t="shared" si="3"/>
        <v>44468</v>
      </c>
      <c r="EQ20" s="1">
        <f t="shared" si="3"/>
        <v>44469</v>
      </c>
      <c r="ER20" s="1">
        <f t="shared" si="3"/>
        <v>44470</v>
      </c>
      <c r="ES20" s="1">
        <f t="shared" si="3"/>
        <v>44471</v>
      </c>
      <c r="ET20" s="1">
        <f t="shared" si="3"/>
        <v>44472</v>
      </c>
      <c r="EU20" s="1">
        <f t="shared" si="3"/>
        <v>44473</v>
      </c>
      <c r="EV20" s="1">
        <f t="shared" si="3"/>
        <v>44474</v>
      </c>
      <c r="EW20" s="1">
        <f t="shared" si="3"/>
        <v>44475</v>
      </c>
      <c r="EX20" s="1">
        <f t="shared" si="3"/>
        <v>44476</v>
      </c>
      <c r="EY20" s="1">
        <f t="shared" si="3"/>
        <v>44477</v>
      </c>
      <c r="EZ20" s="1">
        <f t="shared" si="3"/>
        <v>44478</v>
      </c>
      <c r="FA20" s="1">
        <f t="shared" si="3"/>
        <v>44479</v>
      </c>
      <c r="FB20" s="1">
        <f t="shared" si="3"/>
        <v>44480</v>
      </c>
      <c r="FC20" s="1">
        <f t="shared" si="3"/>
        <v>44481</v>
      </c>
      <c r="FD20" s="1">
        <f t="shared" si="3"/>
        <v>44482</v>
      </c>
      <c r="FE20" s="1">
        <f t="shared" si="3"/>
        <v>44483</v>
      </c>
      <c r="FF20" s="1">
        <f t="shared" si="3"/>
        <v>44484</v>
      </c>
      <c r="FG20" s="1">
        <f t="shared" si="3"/>
        <v>44485</v>
      </c>
      <c r="FH20" s="1">
        <f t="shared" si="3"/>
        <v>44486</v>
      </c>
      <c r="FI20" s="1">
        <f t="shared" si="3"/>
        <v>44487</v>
      </c>
      <c r="FJ20" s="1">
        <f t="shared" si="3"/>
        <v>44488</v>
      </c>
      <c r="FK20" s="1">
        <f t="shared" si="3"/>
        <v>44489</v>
      </c>
      <c r="FL20" s="1">
        <f t="shared" si="3"/>
        <v>44490</v>
      </c>
      <c r="FM20" s="1">
        <f t="shared" si="3"/>
        <v>44491</v>
      </c>
      <c r="FN20" s="1">
        <f t="shared" si="3"/>
        <v>44492</v>
      </c>
      <c r="FO20" s="1">
        <f t="shared" si="3"/>
        <v>44493</v>
      </c>
      <c r="FP20" s="1">
        <f t="shared" si="3"/>
        <v>44494</v>
      </c>
      <c r="FQ20" s="1">
        <f t="shared" si="3"/>
        <v>44495</v>
      </c>
      <c r="FR20" s="1">
        <f t="shared" si="3"/>
        <v>44496</v>
      </c>
      <c r="FS20" s="1">
        <f t="shared" si="3"/>
        <v>44497</v>
      </c>
      <c r="FT20" s="1">
        <f t="shared" si="3"/>
        <v>44498</v>
      </c>
      <c r="FU20" s="1">
        <f t="shared" si="3"/>
        <v>44499</v>
      </c>
      <c r="FV20" s="1">
        <f t="shared" si="3"/>
        <v>44500</v>
      </c>
      <c r="FW20" s="1">
        <f t="shared" si="3"/>
        <v>44501</v>
      </c>
      <c r="FX20" s="1">
        <f t="shared" si="3"/>
        <v>44502</v>
      </c>
      <c r="FY20" s="1">
        <f t="shared" si="3"/>
        <v>44503</v>
      </c>
      <c r="FZ20" s="1">
        <f t="shared" si="3"/>
        <v>44504</v>
      </c>
      <c r="GA20" s="1">
        <f t="shared" si="3"/>
        <v>44505</v>
      </c>
    </row>
    <row r="21" spans="1:183" x14ac:dyDescent="0.45">
      <c r="B21" t="s">
        <v>0</v>
      </c>
      <c r="C21" cm="1">
        <f t="array" ref="C21">LOOKUP(2,1/(I21:GA21&lt;&gt;""),I21:GA21)</f>
        <v>0.05</v>
      </c>
      <c r="D21">
        <f>D$12</f>
        <v>45</v>
      </c>
      <c r="F21" s="3">
        <f t="shared" si="0"/>
        <v>0.66666666666666685</v>
      </c>
      <c r="G21" s="3" cm="1">
        <f t="array" ref="G21">(C21-IF(ISNA(INDEX(I21:GA21,D21-22)),INDEX(I21:GA21,D21-23),INDEX(I21:GA21,D21-22)))/IF(ISNA(INDEX(I21:GA21,D21-22)),INDEX(I21:GA21,D21-23),INDEX(I21:GA21,D21-22))</f>
        <v>0</v>
      </c>
      <c r="I21">
        <f>IF(I3=0,NA(),I3-ROUNDUP(I3*0.1,2)-ROUNDUP(I3*0.05,2))</f>
        <v>0.03</v>
      </c>
      <c r="J21">
        <f t="shared" ref="J21:BU21" si="4">IF(J3=0,NA(),J3-ROUNDUP(J3*0.1,2)-ROUNDUP(J3*0.05,2))</f>
        <v>0.03</v>
      </c>
      <c r="K21" t="e">
        <f t="shared" si="4"/>
        <v>#N/A</v>
      </c>
      <c r="L21">
        <f t="shared" si="4"/>
        <v>0.03</v>
      </c>
      <c r="M21" t="e">
        <f t="shared" si="4"/>
        <v>#N/A</v>
      </c>
      <c r="N21">
        <f t="shared" si="4"/>
        <v>3.9999999999999994E-2</v>
      </c>
      <c r="O21">
        <f t="shared" si="4"/>
        <v>3.9999999999999994E-2</v>
      </c>
      <c r="P21">
        <f t="shared" si="4"/>
        <v>3.9999999999999994E-2</v>
      </c>
      <c r="Q21">
        <f t="shared" si="4"/>
        <v>0.03</v>
      </c>
      <c r="R21">
        <f t="shared" si="4"/>
        <v>3.9999999999999994E-2</v>
      </c>
      <c r="S21">
        <f t="shared" si="4"/>
        <v>3.9999999999999994E-2</v>
      </c>
      <c r="T21">
        <f t="shared" si="4"/>
        <v>3.9999999999999994E-2</v>
      </c>
      <c r="U21">
        <f t="shared" si="4"/>
        <v>3.9999999999999994E-2</v>
      </c>
      <c r="V21">
        <f t="shared" si="4"/>
        <v>3.9999999999999994E-2</v>
      </c>
      <c r="W21">
        <f t="shared" si="4"/>
        <v>3.9999999999999994E-2</v>
      </c>
      <c r="X21">
        <f t="shared" si="4"/>
        <v>0.03</v>
      </c>
      <c r="Y21">
        <f t="shared" si="4"/>
        <v>3.9999999999999994E-2</v>
      </c>
      <c r="Z21">
        <f t="shared" si="4"/>
        <v>3.9999999999999994E-2</v>
      </c>
      <c r="AA21">
        <f t="shared" si="4"/>
        <v>3.9999999999999994E-2</v>
      </c>
      <c r="AB21">
        <f t="shared" si="4"/>
        <v>3.9999999999999994E-2</v>
      </c>
      <c r="AC21">
        <f t="shared" si="4"/>
        <v>0.05</v>
      </c>
      <c r="AD21">
        <f t="shared" si="4"/>
        <v>6.0000000000000005E-2</v>
      </c>
      <c r="AE21">
        <f t="shared" si="4"/>
        <v>0.05</v>
      </c>
      <c r="AF21">
        <f t="shared" si="4"/>
        <v>6.0000000000000005E-2</v>
      </c>
      <c r="AG21">
        <f t="shared" si="4"/>
        <v>6.0000000000000005E-2</v>
      </c>
      <c r="AH21">
        <f t="shared" si="4"/>
        <v>6.0000000000000005E-2</v>
      </c>
      <c r="AI21">
        <f t="shared" si="4"/>
        <v>6.0000000000000005E-2</v>
      </c>
      <c r="AJ21">
        <f t="shared" si="4"/>
        <v>6.0000000000000005E-2</v>
      </c>
      <c r="AK21">
        <f t="shared" si="4"/>
        <v>6.0000000000000005E-2</v>
      </c>
      <c r="AL21">
        <f t="shared" si="4"/>
        <v>6.0000000000000005E-2</v>
      </c>
      <c r="AM21">
        <f t="shared" si="4"/>
        <v>0.05</v>
      </c>
      <c r="AN21" t="e">
        <f t="shared" si="4"/>
        <v>#N/A</v>
      </c>
      <c r="AO21">
        <f t="shared" si="4"/>
        <v>0.05</v>
      </c>
      <c r="AP21">
        <f t="shared" si="4"/>
        <v>0.05</v>
      </c>
      <c r="AQ21">
        <f t="shared" si="4"/>
        <v>0.05</v>
      </c>
      <c r="AR21">
        <f t="shared" si="4"/>
        <v>0.05</v>
      </c>
      <c r="AS21">
        <f t="shared" si="4"/>
        <v>0.05</v>
      </c>
      <c r="AT21" t="e">
        <f t="shared" si="4"/>
        <v>#N/A</v>
      </c>
      <c r="AU21" t="e">
        <f t="shared" si="4"/>
        <v>#N/A</v>
      </c>
      <c r="AV21" t="e">
        <f t="shared" si="4"/>
        <v>#N/A</v>
      </c>
      <c r="AW21" t="e">
        <f t="shared" si="4"/>
        <v>#N/A</v>
      </c>
      <c r="AX21" t="e">
        <f t="shared" si="4"/>
        <v>#N/A</v>
      </c>
      <c r="AY21" t="e">
        <f t="shared" si="4"/>
        <v>#N/A</v>
      </c>
      <c r="AZ21" t="e">
        <f t="shared" si="4"/>
        <v>#N/A</v>
      </c>
      <c r="BA21" t="e">
        <f t="shared" si="4"/>
        <v>#N/A</v>
      </c>
      <c r="BB21" t="e">
        <f t="shared" si="4"/>
        <v>#N/A</v>
      </c>
      <c r="BC21" t="e">
        <f t="shared" si="4"/>
        <v>#N/A</v>
      </c>
      <c r="BD21" t="e">
        <f t="shared" si="4"/>
        <v>#N/A</v>
      </c>
      <c r="BE21" t="e">
        <f t="shared" si="4"/>
        <v>#N/A</v>
      </c>
      <c r="BF21" t="e">
        <f t="shared" si="4"/>
        <v>#N/A</v>
      </c>
      <c r="BG21" t="e">
        <f t="shared" si="4"/>
        <v>#N/A</v>
      </c>
      <c r="BH21" t="e">
        <f t="shared" si="4"/>
        <v>#N/A</v>
      </c>
      <c r="BI21" t="e">
        <f t="shared" si="4"/>
        <v>#N/A</v>
      </c>
      <c r="BJ21" t="e">
        <f t="shared" si="4"/>
        <v>#N/A</v>
      </c>
      <c r="BK21" t="e">
        <f t="shared" si="4"/>
        <v>#N/A</v>
      </c>
      <c r="BL21" t="e">
        <f t="shared" si="4"/>
        <v>#N/A</v>
      </c>
      <c r="BM21" t="e">
        <f t="shared" si="4"/>
        <v>#N/A</v>
      </c>
      <c r="BN21" t="e">
        <f t="shared" si="4"/>
        <v>#N/A</v>
      </c>
      <c r="BO21" t="e">
        <f t="shared" si="4"/>
        <v>#N/A</v>
      </c>
      <c r="BP21" t="e">
        <f t="shared" si="4"/>
        <v>#N/A</v>
      </c>
      <c r="BQ21" t="e">
        <f t="shared" si="4"/>
        <v>#N/A</v>
      </c>
      <c r="BR21" t="e">
        <f t="shared" si="4"/>
        <v>#N/A</v>
      </c>
      <c r="BS21" t="e">
        <f t="shared" si="4"/>
        <v>#N/A</v>
      </c>
      <c r="BT21" t="e">
        <f t="shared" si="4"/>
        <v>#N/A</v>
      </c>
      <c r="BU21" t="e">
        <f t="shared" si="4"/>
        <v>#N/A</v>
      </c>
      <c r="BV21" t="e">
        <f t="shared" ref="BV21:EG21" si="5">IF(BV3=0,NA(),BV3-ROUNDUP(BV3*0.1,2)-ROUNDUP(BV3*0.05,2))</f>
        <v>#N/A</v>
      </c>
      <c r="BW21" t="e">
        <f t="shared" si="5"/>
        <v>#N/A</v>
      </c>
      <c r="BX21" t="e">
        <f t="shared" si="5"/>
        <v>#N/A</v>
      </c>
      <c r="BY21" t="e">
        <f t="shared" si="5"/>
        <v>#N/A</v>
      </c>
      <c r="BZ21" t="e">
        <f t="shared" si="5"/>
        <v>#N/A</v>
      </c>
      <c r="CA21" t="e">
        <f t="shared" si="5"/>
        <v>#N/A</v>
      </c>
      <c r="CB21" t="e">
        <f t="shared" si="5"/>
        <v>#N/A</v>
      </c>
      <c r="CC21" t="e">
        <f t="shared" si="5"/>
        <v>#N/A</v>
      </c>
      <c r="CD21" t="e">
        <f t="shared" si="5"/>
        <v>#N/A</v>
      </c>
      <c r="CE21" t="e">
        <f t="shared" si="5"/>
        <v>#N/A</v>
      </c>
      <c r="CF21" t="e">
        <f t="shared" si="5"/>
        <v>#N/A</v>
      </c>
      <c r="CG21" t="e">
        <f t="shared" si="5"/>
        <v>#N/A</v>
      </c>
      <c r="CH21" t="e">
        <f t="shared" si="5"/>
        <v>#N/A</v>
      </c>
      <c r="CI21" t="e">
        <f t="shared" si="5"/>
        <v>#N/A</v>
      </c>
      <c r="CJ21" t="e">
        <f t="shared" si="5"/>
        <v>#N/A</v>
      </c>
      <c r="CK21" t="e">
        <f t="shared" si="5"/>
        <v>#N/A</v>
      </c>
      <c r="CL21" t="e">
        <f t="shared" si="5"/>
        <v>#N/A</v>
      </c>
      <c r="CM21" t="e">
        <f t="shared" si="5"/>
        <v>#N/A</v>
      </c>
      <c r="CN21" t="e">
        <f t="shared" si="5"/>
        <v>#N/A</v>
      </c>
      <c r="CO21" t="e">
        <f t="shared" si="5"/>
        <v>#N/A</v>
      </c>
      <c r="CP21" t="e">
        <f t="shared" si="5"/>
        <v>#N/A</v>
      </c>
      <c r="CQ21" t="e">
        <f t="shared" si="5"/>
        <v>#N/A</v>
      </c>
      <c r="CR21" t="e">
        <f t="shared" si="5"/>
        <v>#N/A</v>
      </c>
      <c r="CS21" t="e">
        <f t="shared" si="5"/>
        <v>#N/A</v>
      </c>
      <c r="CT21" t="e">
        <f t="shared" si="5"/>
        <v>#N/A</v>
      </c>
      <c r="CU21" t="e">
        <f t="shared" si="5"/>
        <v>#N/A</v>
      </c>
      <c r="CV21" t="e">
        <f t="shared" si="5"/>
        <v>#N/A</v>
      </c>
      <c r="CW21" t="e">
        <f t="shared" si="5"/>
        <v>#N/A</v>
      </c>
      <c r="CX21" t="e">
        <f t="shared" si="5"/>
        <v>#N/A</v>
      </c>
      <c r="CY21" t="e">
        <f t="shared" si="5"/>
        <v>#N/A</v>
      </c>
      <c r="CZ21" t="e">
        <f t="shared" si="5"/>
        <v>#N/A</v>
      </c>
      <c r="DA21" t="e">
        <f t="shared" si="5"/>
        <v>#N/A</v>
      </c>
      <c r="DB21" t="e">
        <f t="shared" si="5"/>
        <v>#N/A</v>
      </c>
      <c r="DC21" t="e">
        <f t="shared" si="5"/>
        <v>#N/A</v>
      </c>
      <c r="DD21" t="e">
        <f t="shared" si="5"/>
        <v>#N/A</v>
      </c>
      <c r="DE21" t="e">
        <f t="shared" si="5"/>
        <v>#N/A</v>
      </c>
      <c r="DF21" t="e">
        <f t="shared" si="5"/>
        <v>#N/A</v>
      </c>
      <c r="DG21" t="e">
        <f t="shared" si="5"/>
        <v>#N/A</v>
      </c>
      <c r="DH21" t="e">
        <f t="shared" si="5"/>
        <v>#N/A</v>
      </c>
      <c r="DI21" t="e">
        <f t="shared" si="5"/>
        <v>#N/A</v>
      </c>
      <c r="DJ21" t="e">
        <f t="shared" si="5"/>
        <v>#N/A</v>
      </c>
      <c r="DK21" t="e">
        <f t="shared" si="5"/>
        <v>#N/A</v>
      </c>
      <c r="DL21" t="e">
        <f t="shared" si="5"/>
        <v>#N/A</v>
      </c>
      <c r="DM21" t="e">
        <f t="shared" si="5"/>
        <v>#N/A</v>
      </c>
      <c r="DN21" t="e">
        <f t="shared" si="5"/>
        <v>#N/A</v>
      </c>
      <c r="DO21" t="e">
        <f t="shared" si="5"/>
        <v>#N/A</v>
      </c>
      <c r="DP21" t="e">
        <f t="shared" si="5"/>
        <v>#N/A</v>
      </c>
      <c r="DQ21" t="e">
        <f t="shared" si="5"/>
        <v>#N/A</v>
      </c>
      <c r="DR21" t="e">
        <f t="shared" si="5"/>
        <v>#N/A</v>
      </c>
      <c r="DS21" t="e">
        <f t="shared" si="5"/>
        <v>#N/A</v>
      </c>
      <c r="DT21" t="e">
        <f t="shared" si="5"/>
        <v>#N/A</v>
      </c>
      <c r="DU21" t="e">
        <f t="shared" si="5"/>
        <v>#N/A</v>
      </c>
      <c r="DV21" t="e">
        <f t="shared" si="5"/>
        <v>#N/A</v>
      </c>
      <c r="DW21" t="e">
        <f t="shared" si="5"/>
        <v>#N/A</v>
      </c>
      <c r="DX21" t="e">
        <f t="shared" si="5"/>
        <v>#N/A</v>
      </c>
      <c r="DY21" t="e">
        <f t="shared" si="5"/>
        <v>#N/A</v>
      </c>
      <c r="DZ21" t="e">
        <f t="shared" si="5"/>
        <v>#N/A</v>
      </c>
      <c r="EA21" t="e">
        <f t="shared" si="5"/>
        <v>#N/A</v>
      </c>
      <c r="EB21" t="e">
        <f t="shared" si="5"/>
        <v>#N/A</v>
      </c>
      <c r="EC21" t="e">
        <f t="shared" si="5"/>
        <v>#N/A</v>
      </c>
      <c r="ED21" t="e">
        <f t="shared" si="5"/>
        <v>#N/A</v>
      </c>
      <c r="EE21" t="e">
        <f t="shared" si="5"/>
        <v>#N/A</v>
      </c>
      <c r="EF21" t="e">
        <f t="shared" si="5"/>
        <v>#N/A</v>
      </c>
      <c r="EG21" t="e">
        <f t="shared" si="5"/>
        <v>#N/A</v>
      </c>
      <c r="EH21" t="e">
        <f t="shared" ref="EH21:GA21" si="6">IF(EH3=0,NA(),EH3-ROUNDUP(EH3*0.1,2)-ROUNDUP(EH3*0.05,2))</f>
        <v>#N/A</v>
      </c>
      <c r="EI21" t="e">
        <f t="shared" si="6"/>
        <v>#N/A</v>
      </c>
      <c r="EJ21" t="e">
        <f t="shared" si="6"/>
        <v>#N/A</v>
      </c>
      <c r="EK21" t="e">
        <f t="shared" si="6"/>
        <v>#N/A</v>
      </c>
      <c r="EL21" t="e">
        <f t="shared" si="6"/>
        <v>#N/A</v>
      </c>
      <c r="EM21" t="e">
        <f t="shared" si="6"/>
        <v>#N/A</v>
      </c>
      <c r="EN21" t="e">
        <f t="shared" si="6"/>
        <v>#N/A</v>
      </c>
      <c r="EO21" t="e">
        <f t="shared" si="6"/>
        <v>#N/A</v>
      </c>
      <c r="EP21" t="e">
        <f t="shared" si="6"/>
        <v>#N/A</v>
      </c>
      <c r="EQ21" t="e">
        <f t="shared" si="6"/>
        <v>#N/A</v>
      </c>
      <c r="ER21" t="e">
        <f t="shared" si="6"/>
        <v>#N/A</v>
      </c>
      <c r="ES21" t="e">
        <f t="shared" si="6"/>
        <v>#N/A</v>
      </c>
      <c r="ET21" t="e">
        <f t="shared" si="6"/>
        <v>#N/A</v>
      </c>
      <c r="EU21" t="e">
        <f t="shared" si="6"/>
        <v>#N/A</v>
      </c>
      <c r="EV21" t="e">
        <f t="shared" si="6"/>
        <v>#N/A</v>
      </c>
      <c r="EW21" t="e">
        <f t="shared" si="6"/>
        <v>#N/A</v>
      </c>
      <c r="EX21" t="e">
        <f t="shared" si="6"/>
        <v>#N/A</v>
      </c>
      <c r="EY21" t="e">
        <f t="shared" si="6"/>
        <v>#N/A</v>
      </c>
      <c r="EZ21" t="e">
        <f t="shared" si="6"/>
        <v>#N/A</v>
      </c>
      <c r="FA21" t="e">
        <f t="shared" si="6"/>
        <v>#N/A</v>
      </c>
      <c r="FB21" t="e">
        <f t="shared" si="6"/>
        <v>#N/A</v>
      </c>
      <c r="FC21" t="e">
        <f t="shared" si="6"/>
        <v>#N/A</v>
      </c>
      <c r="FD21" t="e">
        <f t="shared" si="6"/>
        <v>#N/A</v>
      </c>
      <c r="FE21" t="e">
        <f t="shared" si="6"/>
        <v>#N/A</v>
      </c>
      <c r="FF21" t="e">
        <f t="shared" si="6"/>
        <v>#N/A</v>
      </c>
      <c r="FG21" t="e">
        <f t="shared" si="6"/>
        <v>#N/A</v>
      </c>
      <c r="FH21" t="e">
        <f t="shared" si="6"/>
        <v>#N/A</v>
      </c>
      <c r="FI21" t="e">
        <f t="shared" si="6"/>
        <v>#N/A</v>
      </c>
      <c r="FJ21" t="e">
        <f t="shared" si="6"/>
        <v>#N/A</v>
      </c>
      <c r="FK21" t="e">
        <f t="shared" si="6"/>
        <v>#N/A</v>
      </c>
      <c r="FL21" t="e">
        <f t="shared" si="6"/>
        <v>#N/A</v>
      </c>
      <c r="FM21" t="e">
        <f t="shared" si="6"/>
        <v>#N/A</v>
      </c>
      <c r="FN21" t="e">
        <f t="shared" si="6"/>
        <v>#N/A</v>
      </c>
      <c r="FO21" t="e">
        <f t="shared" si="6"/>
        <v>#N/A</v>
      </c>
      <c r="FP21" t="e">
        <f t="shared" si="6"/>
        <v>#N/A</v>
      </c>
      <c r="FQ21" t="e">
        <f t="shared" si="6"/>
        <v>#N/A</v>
      </c>
      <c r="FR21" t="e">
        <f t="shared" si="6"/>
        <v>#N/A</v>
      </c>
      <c r="FS21" t="e">
        <f t="shared" si="6"/>
        <v>#N/A</v>
      </c>
      <c r="FT21" t="e">
        <f t="shared" si="6"/>
        <v>#N/A</v>
      </c>
      <c r="FU21" t="e">
        <f t="shared" si="6"/>
        <v>#N/A</v>
      </c>
      <c r="FV21" t="e">
        <f t="shared" si="6"/>
        <v>#N/A</v>
      </c>
      <c r="FW21" t="e">
        <f t="shared" si="6"/>
        <v>#N/A</v>
      </c>
      <c r="FX21" t="e">
        <f t="shared" si="6"/>
        <v>#N/A</v>
      </c>
      <c r="FY21" t="e">
        <f t="shared" si="6"/>
        <v>#N/A</v>
      </c>
      <c r="FZ21" t="e">
        <f t="shared" si="6"/>
        <v>#N/A</v>
      </c>
      <c r="GA21" t="e">
        <f t="shared" si="6"/>
        <v>#N/A</v>
      </c>
    </row>
    <row r="22" spans="1:183" x14ac:dyDescent="0.45">
      <c r="B22" t="s">
        <v>1</v>
      </c>
      <c r="C22" cm="1">
        <f t="array" ref="C22">LOOKUP(2,1/(I22:GA22&lt;&gt;""),I22:GA22)</f>
        <v>6.0000000000000005E-2</v>
      </c>
      <c r="D22">
        <f t="shared" ref="D22:D30" si="7">D$12</f>
        <v>45</v>
      </c>
      <c r="F22" s="3">
        <f t="shared" si="0"/>
        <v>0.20000000000000004</v>
      </c>
      <c r="G22" s="3" cm="1">
        <f t="array" ref="G22">(C22-IF(ISNA(INDEX(I22:GA22,D22-22)),INDEX(I22:GA22,D22-23),INDEX(I22:GA22,D22-22)))/IF(ISNA(INDEX(I22:GA22,D22-22)),INDEX(I22:GA22,D22-23),INDEX(I22:GA22,D22-22))</f>
        <v>0</v>
      </c>
      <c r="I22">
        <f t="shared" ref="I22:I30" si="8">IF(I4=0,NA(),I4-ROUNDUP(I4*0.1,2)-ROUNDUP(I4*0.05,2))</f>
        <v>0.05</v>
      </c>
      <c r="J22">
        <f t="shared" ref="J22:BU22" si="9">IF(J4=0,NA(),J4-ROUNDUP(J4*0.1,2)-ROUNDUP(J4*0.05,2))</f>
        <v>0.05</v>
      </c>
      <c r="K22" t="e">
        <f t="shared" si="9"/>
        <v>#N/A</v>
      </c>
      <c r="L22">
        <f t="shared" si="9"/>
        <v>0.05</v>
      </c>
      <c r="M22" t="e">
        <f t="shared" si="9"/>
        <v>#N/A</v>
      </c>
      <c r="N22">
        <f t="shared" si="9"/>
        <v>0.05</v>
      </c>
      <c r="O22">
        <f t="shared" si="9"/>
        <v>0.05</v>
      </c>
      <c r="P22">
        <f t="shared" si="9"/>
        <v>0.05</v>
      </c>
      <c r="Q22">
        <f t="shared" si="9"/>
        <v>0.05</v>
      </c>
      <c r="R22">
        <f t="shared" si="9"/>
        <v>0.05</v>
      </c>
      <c r="S22">
        <f t="shared" si="9"/>
        <v>0.05</v>
      </c>
      <c r="T22">
        <f t="shared" si="9"/>
        <v>0.05</v>
      </c>
      <c r="U22">
        <f t="shared" si="9"/>
        <v>0.05</v>
      </c>
      <c r="V22">
        <f t="shared" si="9"/>
        <v>3.9999999999999994E-2</v>
      </c>
      <c r="W22">
        <f t="shared" si="9"/>
        <v>3.9999999999999994E-2</v>
      </c>
      <c r="X22">
        <f t="shared" si="9"/>
        <v>0.05</v>
      </c>
      <c r="Y22">
        <f t="shared" si="9"/>
        <v>0.05</v>
      </c>
      <c r="Z22">
        <f t="shared" si="9"/>
        <v>0.05</v>
      </c>
      <c r="AA22">
        <f t="shared" si="9"/>
        <v>0.05</v>
      </c>
      <c r="AB22">
        <f t="shared" si="9"/>
        <v>0.05</v>
      </c>
      <c r="AC22">
        <f t="shared" si="9"/>
        <v>6.0000000000000005E-2</v>
      </c>
      <c r="AD22">
        <f t="shared" si="9"/>
        <v>7.0000000000000007E-2</v>
      </c>
      <c r="AE22">
        <f t="shared" si="9"/>
        <v>6.0000000000000005E-2</v>
      </c>
      <c r="AF22">
        <f t="shared" si="9"/>
        <v>7.0000000000000007E-2</v>
      </c>
      <c r="AG22">
        <f t="shared" si="9"/>
        <v>7.0000000000000007E-2</v>
      </c>
      <c r="AH22">
        <f t="shared" si="9"/>
        <v>6.0000000000000005E-2</v>
      </c>
      <c r="AI22">
        <f t="shared" si="9"/>
        <v>7.0000000000000007E-2</v>
      </c>
      <c r="AJ22">
        <f t="shared" si="9"/>
        <v>7.0000000000000007E-2</v>
      </c>
      <c r="AK22">
        <f t="shared" si="9"/>
        <v>7.0000000000000007E-2</v>
      </c>
      <c r="AL22">
        <f t="shared" si="9"/>
        <v>7.0000000000000007E-2</v>
      </c>
      <c r="AM22">
        <f t="shared" si="9"/>
        <v>7.0000000000000007E-2</v>
      </c>
      <c r="AN22" t="e">
        <f t="shared" si="9"/>
        <v>#N/A</v>
      </c>
      <c r="AO22">
        <f t="shared" si="9"/>
        <v>7.0000000000000007E-2</v>
      </c>
      <c r="AP22">
        <f t="shared" si="9"/>
        <v>6.0000000000000005E-2</v>
      </c>
      <c r="AQ22">
        <f t="shared" si="9"/>
        <v>6.0000000000000005E-2</v>
      </c>
      <c r="AR22">
        <f t="shared" si="9"/>
        <v>6.0000000000000005E-2</v>
      </c>
      <c r="AS22">
        <f t="shared" si="9"/>
        <v>6.0000000000000005E-2</v>
      </c>
      <c r="AT22" t="e">
        <f t="shared" si="9"/>
        <v>#N/A</v>
      </c>
      <c r="AU22" t="e">
        <f t="shared" si="9"/>
        <v>#N/A</v>
      </c>
      <c r="AV22" t="e">
        <f t="shared" si="9"/>
        <v>#N/A</v>
      </c>
      <c r="AW22" t="e">
        <f t="shared" si="9"/>
        <v>#N/A</v>
      </c>
      <c r="AX22" t="e">
        <f t="shared" si="9"/>
        <v>#N/A</v>
      </c>
      <c r="AY22" t="e">
        <f t="shared" si="9"/>
        <v>#N/A</v>
      </c>
      <c r="AZ22" t="e">
        <f t="shared" si="9"/>
        <v>#N/A</v>
      </c>
      <c r="BA22" t="e">
        <f t="shared" si="9"/>
        <v>#N/A</v>
      </c>
      <c r="BB22" t="e">
        <f t="shared" si="9"/>
        <v>#N/A</v>
      </c>
      <c r="BC22" t="e">
        <f t="shared" si="9"/>
        <v>#N/A</v>
      </c>
      <c r="BD22" t="e">
        <f t="shared" si="9"/>
        <v>#N/A</v>
      </c>
      <c r="BE22" t="e">
        <f t="shared" si="9"/>
        <v>#N/A</v>
      </c>
      <c r="BF22" t="e">
        <f t="shared" si="9"/>
        <v>#N/A</v>
      </c>
      <c r="BG22" t="e">
        <f t="shared" si="9"/>
        <v>#N/A</v>
      </c>
      <c r="BH22" t="e">
        <f t="shared" si="9"/>
        <v>#N/A</v>
      </c>
      <c r="BI22" t="e">
        <f t="shared" si="9"/>
        <v>#N/A</v>
      </c>
      <c r="BJ22" t="e">
        <f t="shared" si="9"/>
        <v>#N/A</v>
      </c>
      <c r="BK22" t="e">
        <f t="shared" si="9"/>
        <v>#N/A</v>
      </c>
      <c r="BL22" t="e">
        <f t="shared" si="9"/>
        <v>#N/A</v>
      </c>
      <c r="BM22" t="e">
        <f t="shared" si="9"/>
        <v>#N/A</v>
      </c>
      <c r="BN22" t="e">
        <f t="shared" si="9"/>
        <v>#N/A</v>
      </c>
      <c r="BO22" t="e">
        <f t="shared" si="9"/>
        <v>#N/A</v>
      </c>
      <c r="BP22" t="e">
        <f t="shared" si="9"/>
        <v>#N/A</v>
      </c>
      <c r="BQ22" t="e">
        <f t="shared" si="9"/>
        <v>#N/A</v>
      </c>
      <c r="BR22" t="e">
        <f t="shared" si="9"/>
        <v>#N/A</v>
      </c>
      <c r="BS22" t="e">
        <f t="shared" si="9"/>
        <v>#N/A</v>
      </c>
      <c r="BT22" t="e">
        <f t="shared" si="9"/>
        <v>#N/A</v>
      </c>
      <c r="BU22" t="e">
        <f t="shared" si="9"/>
        <v>#N/A</v>
      </c>
      <c r="BV22" t="e">
        <f t="shared" ref="BV22:EG22" si="10">IF(BV4=0,NA(),BV4-ROUNDUP(BV4*0.1,2)-ROUNDUP(BV4*0.05,2))</f>
        <v>#N/A</v>
      </c>
      <c r="BW22" t="e">
        <f t="shared" si="10"/>
        <v>#N/A</v>
      </c>
      <c r="BX22" t="e">
        <f t="shared" si="10"/>
        <v>#N/A</v>
      </c>
      <c r="BY22" t="e">
        <f t="shared" si="10"/>
        <v>#N/A</v>
      </c>
      <c r="BZ22" t="e">
        <f t="shared" si="10"/>
        <v>#N/A</v>
      </c>
      <c r="CA22" t="e">
        <f t="shared" si="10"/>
        <v>#N/A</v>
      </c>
      <c r="CB22" t="e">
        <f t="shared" si="10"/>
        <v>#N/A</v>
      </c>
      <c r="CC22" t="e">
        <f t="shared" si="10"/>
        <v>#N/A</v>
      </c>
      <c r="CD22" t="e">
        <f t="shared" si="10"/>
        <v>#N/A</v>
      </c>
      <c r="CE22" t="e">
        <f t="shared" si="10"/>
        <v>#N/A</v>
      </c>
      <c r="CF22" t="e">
        <f t="shared" si="10"/>
        <v>#N/A</v>
      </c>
      <c r="CG22" t="e">
        <f t="shared" si="10"/>
        <v>#N/A</v>
      </c>
      <c r="CH22" t="e">
        <f t="shared" si="10"/>
        <v>#N/A</v>
      </c>
      <c r="CI22" t="e">
        <f t="shared" si="10"/>
        <v>#N/A</v>
      </c>
      <c r="CJ22" t="e">
        <f t="shared" si="10"/>
        <v>#N/A</v>
      </c>
      <c r="CK22" t="e">
        <f t="shared" si="10"/>
        <v>#N/A</v>
      </c>
      <c r="CL22" t="e">
        <f t="shared" si="10"/>
        <v>#N/A</v>
      </c>
      <c r="CM22" t="e">
        <f t="shared" si="10"/>
        <v>#N/A</v>
      </c>
      <c r="CN22" t="e">
        <f t="shared" si="10"/>
        <v>#N/A</v>
      </c>
      <c r="CO22" t="e">
        <f t="shared" si="10"/>
        <v>#N/A</v>
      </c>
      <c r="CP22" t="e">
        <f t="shared" si="10"/>
        <v>#N/A</v>
      </c>
      <c r="CQ22" t="e">
        <f t="shared" si="10"/>
        <v>#N/A</v>
      </c>
      <c r="CR22" t="e">
        <f t="shared" si="10"/>
        <v>#N/A</v>
      </c>
      <c r="CS22" t="e">
        <f t="shared" si="10"/>
        <v>#N/A</v>
      </c>
      <c r="CT22" t="e">
        <f t="shared" si="10"/>
        <v>#N/A</v>
      </c>
      <c r="CU22" t="e">
        <f t="shared" si="10"/>
        <v>#N/A</v>
      </c>
      <c r="CV22" t="e">
        <f t="shared" si="10"/>
        <v>#N/A</v>
      </c>
      <c r="CW22" t="e">
        <f t="shared" si="10"/>
        <v>#N/A</v>
      </c>
      <c r="CX22" t="e">
        <f t="shared" si="10"/>
        <v>#N/A</v>
      </c>
      <c r="CY22" t="e">
        <f t="shared" si="10"/>
        <v>#N/A</v>
      </c>
      <c r="CZ22" t="e">
        <f t="shared" si="10"/>
        <v>#N/A</v>
      </c>
      <c r="DA22" t="e">
        <f t="shared" si="10"/>
        <v>#N/A</v>
      </c>
      <c r="DB22" t="e">
        <f t="shared" si="10"/>
        <v>#N/A</v>
      </c>
      <c r="DC22" t="e">
        <f t="shared" si="10"/>
        <v>#N/A</v>
      </c>
      <c r="DD22" t="e">
        <f t="shared" si="10"/>
        <v>#N/A</v>
      </c>
      <c r="DE22" t="e">
        <f t="shared" si="10"/>
        <v>#N/A</v>
      </c>
      <c r="DF22" t="e">
        <f t="shared" si="10"/>
        <v>#N/A</v>
      </c>
      <c r="DG22" t="e">
        <f t="shared" si="10"/>
        <v>#N/A</v>
      </c>
      <c r="DH22" t="e">
        <f t="shared" si="10"/>
        <v>#N/A</v>
      </c>
      <c r="DI22" t="e">
        <f t="shared" si="10"/>
        <v>#N/A</v>
      </c>
      <c r="DJ22" t="e">
        <f t="shared" si="10"/>
        <v>#N/A</v>
      </c>
      <c r="DK22" t="e">
        <f t="shared" si="10"/>
        <v>#N/A</v>
      </c>
      <c r="DL22" t="e">
        <f t="shared" si="10"/>
        <v>#N/A</v>
      </c>
      <c r="DM22" t="e">
        <f t="shared" si="10"/>
        <v>#N/A</v>
      </c>
      <c r="DN22" t="e">
        <f t="shared" si="10"/>
        <v>#N/A</v>
      </c>
      <c r="DO22" t="e">
        <f t="shared" si="10"/>
        <v>#N/A</v>
      </c>
      <c r="DP22" t="e">
        <f t="shared" si="10"/>
        <v>#N/A</v>
      </c>
      <c r="DQ22" t="e">
        <f t="shared" si="10"/>
        <v>#N/A</v>
      </c>
      <c r="DR22" t="e">
        <f t="shared" si="10"/>
        <v>#N/A</v>
      </c>
      <c r="DS22" t="e">
        <f t="shared" si="10"/>
        <v>#N/A</v>
      </c>
      <c r="DT22" t="e">
        <f t="shared" si="10"/>
        <v>#N/A</v>
      </c>
      <c r="DU22" t="e">
        <f t="shared" si="10"/>
        <v>#N/A</v>
      </c>
      <c r="DV22" t="e">
        <f t="shared" si="10"/>
        <v>#N/A</v>
      </c>
      <c r="DW22" t="e">
        <f t="shared" si="10"/>
        <v>#N/A</v>
      </c>
      <c r="DX22" t="e">
        <f t="shared" si="10"/>
        <v>#N/A</v>
      </c>
      <c r="DY22" t="e">
        <f t="shared" si="10"/>
        <v>#N/A</v>
      </c>
      <c r="DZ22" t="e">
        <f t="shared" si="10"/>
        <v>#N/A</v>
      </c>
      <c r="EA22" t="e">
        <f t="shared" si="10"/>
        <v>#N/A</v>
      </c>
      <c r="EB22" t="e">
        <f t="shared" si="10"/>
        <v>#N/A</v>
      </c>
      <c r="EC22" t="e">
        <f t="shared" si="10"/>
        <v>#N/A</v>
      </c>
      <c r="ED22" t="e">
        <f t="shared" si="10"/>
        <v>#N/A</v>
      </c>
      <c r="EE22" t="e">
        <f t="shared" si="10"/>
        <v>#N/A</v>
      </c>
      <c r="EF22" t="e">
        <f t="shared" si="10"/>
        <v>#N/A</v>
      </c>
      <c r="EG22" t="e">
        <f t="shared" si="10"/>
        <v>#N/A</v>
      </c>
      <c r="EH22" t="e">
        <f t="shared" ref="EH22:GA22" si="11">IF(EH4=0,NA(),EH4-ROUNDUP(EH4*0.1,2)-ROUNDUP(EH4*0.05,2))</f>
        <v>#N/A</v>
      </c>
      <c r="EI22" t="e">
        <f t="shared" si="11"/>
        <v>#N/A</v>
      </c>
      <c r="EJ22" t="e">
        <f t="shared" si="11"/>
        <v>#N/A</v>
      </c>
      <c r="EK22" t="e">
        <f t="shared" si="11"/>
        <v>#N/A</v>
      </c>
      <c r="EL22" t="e">
        <f t="shared" si="11"/>
        <v>#N/A</v>
      </c>
      <c r="EM22" t="e">
        <f t="shared" si="11"/>
        <v>#N/A</v>
      </c>
      <c r="EN22" t="e">
        <f t="shared" si="11"/>
        <v>#N/A</v>
      </c>
      <c r="EO22" t="e">
        <f t="shared" si="11"/>
        <v>#N/A</v>
      </c>
      <c r="EP22" t="e">
        <f t="shared" si="11"/>
        <v>#N/A</v>
      </c>
      <c r="EQ22" t="e">
        <f t="shared" si="11"/>
        <v>#N/A</v>
      </c>
      <c r="ER22" t="e">
        <f t="shared" si="11"/>
        <v>#N/A</v>
      </c>
      <c r="ES22" t="e">
        <f t="shared" si="11"/>
        <v>#N/A</v>
      </c>
      <c r="ET22" t="e">
        <f t="shared" si="11"/>
        <v>#N/A</v>
      </c>
      <c r="EU22" t="e">
        <f t="shared" si="11"/>
        <v>#N/A</v>
      </c>
      <c r="EV22" t="e">
        <f t="shared" si="11"/>
        <v>#N/A</v>
      </c>
      <c r="EW22" t="e">
        <f t="shared" si="11"/>
        <v>#N/A</v>
      </c>
      <c r="EX22" t="e">
        <f t="shared" si="11"/>
        <v>#N/A</v>
      </c>
      <c r="EY22" t="e">
        <f t="shared" si="11"/>
        <v>#N/A</v>
      </c>
      <c r="EZ22" t="e">
        <f t="shared" si="11"/>
        <v>#N/A</v>
      </c>
      <c r="FA22" t="e">
        <f t="shared" si="11"/>
        <v>#N/A</v>
      </c>
      <c r="FB22" t="e">
        <f t="shared" si="11"/>
        <v>#N/A</v>
      </c>
      <c r="FC22" t="e">
        <f t="shared" si="11"/>
        <v>#N/A</v>
      </c>
      <c r="FD22" t="e">
        <f t="shared" si="11"/>
        <v>#N/A</v>
      </c>
      <c r="FE22" t="e">
        <f t="shared" si="11"/>
        <v>#N/A</v>
      </c>
      <c r="FF22" t="e">
        <f t="shared" si="11"/>
        <v>#N/A</v>
      </c>
      <c r="FG22" t="e">
        <f t="shared" si="11"/>
        <v>#N/A</v>
      </c>
      <c r="FH22" t="e">
        <f t="shared" si="11"/>
        <v>#N/A</v>
      </c>
      <c r="FI22" t="e">
        <f t="shared" si="11"/>
        <v>#N/A</v>
      </c>
      <c r="FJ22" t="e">
        <f t="shared" si="11"/>
        <v>#N/A</v>
      </c>
      <c r="FK22" t="e">
        <f t="shared" si="11"/>
        <v>#N/A</v>
      </c>
      <c r="FL22" t="e">
        <f t="shared" si="11"/>
        <v>#N/A</v>
      </c>
      <c r="FM22" t="e">
        <f t="shared" si="11"/>
        <v>#N/A</v>
      </c>
      <c r="FN22" t="e">
        <f t="shared" si="11"/>
        <v>#N/A</v>
      </c>
      <c r="FO22" t="e">
        <f t="shared" si="11"/>
        <v>#N/A</v>
      </c>
      <c r="FP22" t="e">
        <f t="shared" si="11"/>
        <v>#N/A</v>
      </c>
      <c r="FQ22" t="e">
        <f t="shared" si="11"/>
        <v>#N/A</v>
      </c>
      <c r="FR22" t="e">
        <f t="shared" si="11"/>
        <v>#N/A</v>
      </c>
      <c r="FS22" t="e">
        <f t="shared" si="11"/>
        <v>#N/A</v>
      </c>
      <c r="FT22" t="e">
        <f t="shared" si="11"/>
        <v>#N/A</v>
      </c>
      <c r="FU22" t="e">
        <f t="shared" si="11"/>
        <v>#N/A</v>
      </c>
      <c r="FV22" t="e">
        <f t="shared" si="11"/>
        <v>#N/A</v>
      </c>
      <c r="FW22" t="e">
        <f t="shared" si="11"/>
        <v>#N/A</v>
      </c>
      <c r="FX22" t="e">
        <f t="shared" si="11"/>
        <v>#N/A</v>
      </c>
      <c r="FY22" t="e">
        <f t="shared" si="11"/>
        <v>#N/A</v>
      </c>
      <c r="FZ22" t="e">
        <f t="shared" si="11"/>
        <v>#N/A</v>
      </c>
      <c r="GA22" t="e">
        <f t="shared" si="11"/>
        <v>#N/A</v>
      </c>
    </row>
    <row r="23" spans="1:183" x14ac:dyDescent="0.45">
      <c r="B23" t="s">
        <v>2</v>
      </c>
      <c r="C23" cm="1">
        <f t="array" ref="C23">LOOKUP(2,1/(I23:GA23&lt;&gt;""),I23:GA23)</f>
        <v>6.0000000000000005E-2</v>
      </c>
      <c r="D23">
        <f t="shared" si="7"/>
        <v>45</v>
      </c>
      <c r="F23" s="3">
        <f t="shared" si="0"/>
        <v>0.20000000000000004</v>
      </c>
      <c r="G23" s="3" cm="1">
        <f t="array" ref="G23">(C23-IF(ISNA(INDEX(I23:GA23,D23-22)),INDEX(I23:GA23,D23-23),INDEX(I23:GA23,D23-22)))/IF(ISNA(INDEX(I23:GA23,D23-22)),INDEX(I23:GA23,D23-23),INDEX(I23:GA23,D23-22))</f>
        <v>-0.25000000000000011</v>
      </c>
      <c r="I23">
        <f t="shared" si="8"/>
        <v>0.05</v>
      </c>
      <c r="J23">
        <f t="shared" ref="J23:BU23" si="12">IF(J5=0,NA(),J5-ROUNDUP(J5*0.1,2)-ROUNDUP(J5*0.05,2))</f>
        <v>0.05</v>
      </c>
      <c r="K23" t="e">
        <f t="shared" si="12"/>
        <v>#N/A</v>
      </c>
      <c r="L23">
        <f t="shared" si="12"/>
        <v>0.05</v>
      </c>
      <c r="M23" t="e">
        <f t="shared" si="12"/>
        <v>#N/A</v>
      </c>
      <c r="N23">
        <f t="shared" si="12"/>
        <v>0.05</v>
      </c>
      <c r="O23">
        <f t="shared" si="12"/>
        <v>0.05</v>
      </c>
      <c r="P23">
        <f t="shared" si="12"/>
        <v>0.05</v>
      </c>
      <c r="Q23">
        <f t="shared" si="12"/>
        <v>0.05</v>
      </c>
      <c r="R23">
        <f t="shared" si="12"/>
        <v>0.05</v>
      </c>
      <c r="S23">
        <f t="shared" si="12"/>
        <v>0.05</v>
      </c>
      <c r="T23">
        <f t="shared" si="12"/>
        <v>0.05</v>
      </c>
      <c r="U23">
        <f t="shared" si="12"/>
        <v>0.05</v>
      </c>
      <c r="V23">
        <f t="shared" si="12"/>
        <v>0.05</v>
      </c>
      <c r="W23">
        <f t="shared" si="12"/>
        <v>0.05</v>
      </c>
      <c r="X23">
        <f t="shared" si="12"/>
        <v>0.05</v>
      </c>
      <c r="Y23">
        <f t="shared" si="12"/>
        <v>0.05</v>
      </c>
      <c r="Z23">
        <f t="shared" si="12"/>
        <v>6.0000000000000005E-2</v>
      </c>
      <c r="AA23">
        <f t="shared" si="12"/>
        <v>6.0000000000000005E-2</v>
      </c>
      <c r="AB23">
        <f t="shared" si="12"/>
        <v>6.0000000000000005E-2</v>
      </c>
      <c r="AC23">
        <f t="shared" si="12"/>
        <v>7.0000000000000007E-2</v>
      </c>
      <c r="AD23">
        <f t="shared" si="12"/>
        <v>0.09</v>
      </c>
      <c r="AE23">
        <f t="shared" si="12"/>
        <v>8.0000000000000016E-2</v>
      </c>
      <c r="AF23">
        <f t="shared" si="12"/>
        <v>8.0000000000000016E-2</v>
      </c>
      <c r="AG23">
        <f t="shared" si="12"/>
        <v>7.0000000000000007E-2</v>
      </c>
      <c r="AH23">
        <f t="shared" si="12"/>
        <v>8.0000000000000016E-2</v>
      </c>
      <c r="AI23">
        <f t="shared" si="12"/>
        <v>7.0000000000000007E-2</v>
      </c>
      <c r="AJ23">
        <f t="shared" si="12"/>
        <v>7.0000000000000007E-2</v>
      </c>
      <c r="AK23">
        <f t="shared" si="12"/>
        <v>7.0000000000000007E-2</v>
      </c>
      <c r="AL23">
        <f t="shared" si="12"/>
        <v>7.0000000000000007E-2</v>
      </c>
      <c r="AM23">
        <f t="shared" si="12"/>
        <v>7.0000000000000007E-2</v>
      </c>
      <c r="AN23" t="e">
        <f t="shared" si="12"/>
        <v>#N/A</v>
      </c>
      <c r="AO23">
        <f t="shared" si="12"/>
        <v>6.0000000000000005E-2</v>
      </c>
      <c r="AP23">
        <f t="shared" si="12"/>
        <v>6.0000000000000005E-2</v>
      </c>
      <c r="AQ23">
        <f t="shared" si="12"/>
        <v>6.0000000000000005E-2</v>
      </c>
      <c r="AR23">
        <f t="shared" si="12"/>
        <v>6.0000000000000005E-2</v>
      </c>
      <c r="AS23">
        <f t="shared" si="12"/>
        <v>6.0000000000000005E-2</v>
      </c>
      <c r="AT23" t="e">
        <f t="shared" si="12"/>
        <v>#N/A</v>
      </c>
      <c r="AU23" t="e">
        <f t="shared" si="12"/>
        <v>#N/A</v>
      </c>
      <c r="AV23" t="e">
        <f t="shared" si="12"/>
        <v>#N/A</v>
      </c>
      <c r="AW23" t="e">
        <f t="shared" si="12"/>
        <v>#N/A</v>
      </c>
      <c r="AX23" t="e">
        <f t="shared" si="12"/>
        <v>#N/A</v>
      </c>
      <c r="AY23" t="e">
        <f t="shared" si="12"/>
        <v>#N/A</v>
      </c>
      <c r="AZ23" t="e">
        <f t="shared" si="12"/>
        <v>#N/A</v>
      </c>
      <c r="BA23" t="e">
        <f t="shared" si="12"/>
        <v>#N/A</v>
      </c>
      <c r="BB23" t="e">
        <f t="shared" si="12"/>
        <v>#N/A</v>
      </c>
      <c r="BC23" t="e">
        <f t="shared" si="12"/>
        <v>#N/A</v>
      </c>
      <c r="BD23" t="e">
        <f t="shared" si="12"/>
        <v>#N/A</v>
      </c>
      <c r="BE23" t="e">
        <f t="shared" si="12"/>
        <v>#N/A</v>
      </c>
      <c r="BF23" t="e">
        <f t="shared" si="12"/>
        <v>#N/A</v>
      </c>
      <c r="BG23" t="e">
        <f t="shared" si="12"/>
        <v>#N/A</v>
      </c>
      <c r="BH23" t="e">
        <f t="shared" si="12"/>
        <v>#N/A</v>
      </c>
      <c r="BI23" t="e">
        <f t="shared" si="12"/>
        <v>#N/A</v>
      </c>
      <c r="BJ23" t="e">
        <f t="shared" si="12"/>
        <v>#N/A</v>
      </c>
      <c r="BK23" t="e">
        <f t="shared" si="12"/>
        <v>#N/A</v>
      </c>
      <c r="BL23" t="e">
        <f t="shared" si="12"/>
        <v>#N/A</v>
      </c>
      <c r="BM23" t="e">
        <f t="shared" si="12"/>
        <v>#N/A</v>
      </c>
      <c r="BN23" t="e">
        <f t="shared" si="12"/>
        <v>#N/A</v>
      </c>
      <c r="BO23" t="e">
        <f t="shared" si="12"/>
        <v>#N/A</v>
      </c>
      <c r="BP23" t="e">
        <f t="shared" si="12"/>
        <v>#N/A</v>
      </c>
      <c r="BQ23" t="e">
        <f t="shared" si="12"/>
        <v>#N/A</v>
      </c>
      <c r="BR23" t="e">
        <f t="shared" si="12"/>
        <v>#N/A</v>
      </c>
      <c r="BS23" t="e">
        <f t="shared" si="12"/>
        <v>#N/A</v>
      </c>
      <c r="BT23" t="e">
        <f t="shared" si="12"/>
        <v>#N/A</v>
      </c>
      <c r="BU23" t="e">
        <f t="shared" si="12"/>
        <v>#N/A</v>
      </c>
      <c r="BV23" t="e">
        <f t="shared" ref="BV23:EG23" si="13">IF(BV5=0,NA(),BV5-ROUNDUP(BV5*0.1,2)-ROUNDUP(BV5*0.05,2))</f>
        <v>#N/A</v>
      </c>
      <c r="BW23" t="e">
        <f t="shared" si="13"/>
        <v>#N/A</v>
      </c>
      <c r="BX23" t="e">
        <f t="shared" si="13"/>
        <v>#N/A</v>
      </c>
      <c r="BY23" t="e">
        <f t="shared" si="13"/>
        <v>#N/A</v>
      </c>
      <c r="BZ23" t="e">
        <f t="shared" si="13"/>
        <v>#N/A</v>
      </c>
      <c r="CA23" t="e">
        <f t="shared" si="13"/>
        <v>#N/A</v>
      </c>
      <c r="CB23" t="e">
        <f t="shared" si="13"/>
        <v>#N/A</v>
      </c>
      <c r="CC23" t="e">
        <f t="shared" si="13"/>
        <v>#N/A</v>
      </c>
      <c r="CD23" t="e">
        <f t="shared" si="13"/>
        <v>#N/A</v>
      </c>
      <c r="CE23" t="e">
        <f t="shared" si="13"/>
        <v>#N/A</v>
      </c>
      <c r="CF23" t="e">
        <f t="shared" si="13"/>
        <v>#N/A</v>
      </c>
      <c r="CG23" t="e">
        <f t="shared" si="13"/>
        <v>#N/A</v>
      </c>
      <c r="CH23" t="e">
        <f t="shared" si="13"/>
        <v>#N/A</v>
      </c>
      <c r="CI23" t="e">
        <f t="shared" si="13"/>
        <v>#N/A</v>
      </c>
      <c r="CJ23" t="e">
        <f t="shared" si="13"/>
        <v>#N/A</v>
      </c>
      <c r="CK23" t="e">
        <f t="shared" si="13"/>
        <v>#N/A</v>
      </c>
      <c r="CL23" t="e">
        <f t="shared" si="13"/>
        <v>#N/A</v>
      </c>
      <c r="CM23" t="e">
        <f t="shared" si="13"/>
        <v>#N/A</v>
      </c>
      <c r="CN23" t="e">
        <f t="shared" si="13"/>
        <v>#N/A</v>
      </c>
      <c r="CO23" t="e">
        <f t="shared" si="13"/>
        <v>#N/A</v>
      </c>
      <c r="CP23" t="e">
        <f t="shared" si="13"/>
        <v>#N/A</v>
      </c>
      <c r="CQ23" t="e">
        <f t="shared" si="13"/>
        <v>#N/A</v>
      </c>
      <c r="CR23" t="e">
        <f t="shared" si="13"/>
        <v>#N/A</v>
      </c>
      <c r="CS23" t="e">
        <f t="shared" si="13"/>
        <v>#N/A</v>
      </c>
      <c r="CT23" t="e">
        <f t="shared" si="13"/>
        <v>#N/A</v>
      </c>
      <c r="CU23" t="e">
        <f t="shared" si="13"/>
        <v>#N/A</v>
      </c>
      <c r="CV23" t="e">
        <f t="shared" si="13"/>
        <v>#N/A</v>
      </c>
      <c r="CW23" t="e">
        <f t="shared" si="13"/>
        <v>#N/A</v>
      </c>
      <c r="CX23" t="e">
        <f t="shared" si="13"/>
        <v>#N/A</v>
      </c>
      <c r="CY23" t="e">
        <f t="shared" si="13"/>
        <v>#N/A</v>
      </c>
      <c r="CZ23" t="e">
        <f t="shared" si="13"/>
        <v>#N/A</v>
      </c>
      <c r="DA23" t="e">
        <f t="shared" si="13"/>
        <v>#N/A</v>
      </c>
      <c r="DB23" t="e">
        <f t="shared" si="13"/>
        <v>#N/A</v>
      </c>
      <c r="DC23" t="e">
        <f t="shared" si="13"/>
        <v>#N/A</v>
      </c>
      <c r="DD23" t="e">
        <f t="shared" si="13"/>
        <v>#N/A</v>
      </c>
      <c r="DE23" t="e">
        <f t="shared" si="13"/>
        <v>#N/A</v>
      </c>
      <c r="DF23" t="e">
        <f t="shared" si="13"/>
        <v>#N/A</v>
      </c>
      <c r="DG23" t="e">
        <f t="shared" si="13"/>
        <v>#N/A</v>
      </c>
      <c r="DH23" t="e">
        <f t="shared" si="13"/>
        <v>#N/A</v>
      </c>
      <c r="DI23" t="e">
        <f t="shared" si="13"/>
        <v>#N/A</v>
      </c>
      <c r="DJ23" t="e">
        <f t="shared" si="13"/>
        <v>#N/A</v>
      </c>
      <c r="DK23" t="e">
        <f t="shared" si="13"/>
        <v>#N/A</v>
      </c>
      <c r="DL23" t="e">
        <f t="shared" si="13"/>
        <v>#N/A</v>
      </c>
      <c r="DM23" t="e">
        <f t="shared" si="13"/>
        <v>#N/A</v>
      </c>
      <c r="DN23" t="e">
        <f t="shared" si="13"/>
        <v>#N/A</v>
      </c>
      <c r="DO23" t="e">
        <f t="shared" si="13"/>
        <v>#N/A</v>
      </c>
      <c r="DP23" t="e">
        <f t="shared" si="13"/>
        <v>#N/A</v>
      </c>
      <c r="DQ23" t="e">
        <f t="shared" si="13"/>
        <v>#N/A</v>
      </c>
      <c r="DR23" t="e">
        <f t="shared" si="13"/>
        <v>#N/A</v>
      </c>
      <c r="DS23" t="e">
        <f t="shared" si="13"/>
        <v>#N/A</v>
      </c>
      <c r="DT23" t="e">
        <f t="shared" si="13"/>
        <v>#N/A</v>
      </c>
      <c r="DU23" t="e">
        <f t="shared" si="13"/>
        <v>#N/A</v>
      </c>
      <c r="DV23" t="e">
        <f t="shared" si="13"/>
        <v>#N/A</v>
      </c>
      <c r="DW23" t="e">
        <f t="shared" si="13"/>
        <v>#N/A</v>
      </c>
      <c r="DX23" t="e">
        <f t="shared" si="13"/>
        <v>#N/A</v>
      </c>
      <c r="DY23" t="e">
        <f t="shared" si="13"/>
        <v>#N/A</v>
      </c>
      <c r="DZ23" t="e">
        <f t="shared" si="13"/>
        <v>#N/A</v>
      </c>
      <c r="EA23" t="e">
        <f t="shared" si="13"/>
        <v>#N/A</v>
      </c>
      <c r="EB23" t="e">
        <f t="shared" si="13"/>
        <v>#N/A</v>
      </c>
      <c r="EC23" t="e">
        <f t="shared" si="13"/>
        <v>#N/A</v>
      </c>
      <c r="ED23" t="e">
        <f t="shared" si="13"/>
        <v>#N/A</v>
      </c>
      <c r="EE23" t="e">
        <f t="shared" si="13"/>
        <v>#N/A</v>
      </c>
      <c r="EF23" t="e">
        <f t="shared" si="13"/>
        <v>#N/A</v>
      </c>
      <c r="EG23" t="e">
        <f t="shared" si="13"/>
        <v>#N/A</v>
      </c>
      <c r="EH23" t="e">
        <f t="shared" ref="EH23:GA23" si="14">IF(EH5=0,NA(),EH5-ROUNDUP(EH5*0.1,2)-ROUNDUP(EH5*0.05,2))</f>
        <v>#N/A</v>
      </c>
      <c r="EI23" t="e">
        <f t="shared" si="14"/>
        <v>#N/A</v>
      </c>
      <c r="EJ23" t="e">
        <f t="shared" si="14"/>
        <v>#N/A</v>
      </c>
      <c r="EK23" t="e">
        <f t="shared" si="14"/>
        <v>#N/A</v>
      </c>
      <c r="EL23" t="e">
        <f t="shared" si="14"/>
        <v>#N/A</v>
      </c>
      <c r="EM23" t="e">
        <f t="shared" si="14"/>
        <v>#N/A</v>
      </c>
      <c r="EN23" t="e">
        <f t="shared" si="14"/>
        <v>#N/A</v>
      </c>
      <c r="EO23" t="e">
        <f t="shared" si="14"/>
        <v>#N/A</v>
      </c>
      <c r="EP23" t="e">
        <f t="shared" si="14"/>
        <v>#N/A</v>
      </c>
      <c r="EQ23" t="e">
        <f t="shared" si="14"/>
        <v>#N/A</v>
      </c>
      <c r="ER23" t="e">
        <f t="shared" si="14"/>
        <v>#N/A</v>
      </c>
      <c r="ES23" t="e">
        <f t="shared" si="14"/>
        <v>#N/A</v>
      </c>
      <c r="ET23" t="e">
        <f t="shared" si="14"/>
        <v>#N/A</v>
      </c>
      <c r="EU23" t="e">
        <f t="shared" si="14"/>
        <v>#N/A</v>
      </c>
      <c r="EV23" t="e">
        <f t="shared" si="14"/>
        <v>#N/A</v>
      </c>
      <c r="EW23" t="e">
        <f t="shared" si="14"/>
        <v>#N/A</v>
      </c>
      <c r="EX23" t="e">
        <f t="shared" si="14"/>
        <v>#N/A</v>
      </c>
      <c r="EY23" t="e">
        <f t="shared" si="14"/>
        <v>#N/A</v>
      </c>
      <c r="EZ23" t="e">
        <f t="shared" si="14"/>
        <v>#N/A</v>
      </c>
      <c r="FA23" t="e">
        <f t="shared" si="14"/>
        <v>#N/A</v>
      </c>
      <c r="FB23" t="e">
        <f t="shared" si="14"/>
        <v>#N/A</v>
      </c>
      <c r="FC23" t="e">
        <f t="shared" si="14"/>
        <v>#N/A</v>
      </c>
      <c r="FD23" t="e">
        <f t="shared" si="14"/>
        <v>#N/A</v>
      </c>
      <c r="FE23" t="e">
        <f t="shared" si="14"/>
        <v>#N/A</v>
      </c>
      <c r="FF23" t="e">
        <f t="shared" si="14"/>
        <v>#N/A</v>
      </c>
      <c r="FG23" t="e">
        <f t="shared" si="14"/>
        <v>#N/A</v>
      </c>
      <c r="FH23" t="e">
        <f t="shared" si="14"/>
        <v>#N/A</v>
      </c>
      <c r="FI23" t="e">
        <f t="shared" si="14"/>
        <v>#N/A</v>
      </c>
      <c r="FJ23" t="e">
        <f t="shared" si="14"/>
        <v>#N/A</v>
      </c>
      <c r="FK23" t="e">
        <f t="shared" si="14"/>
        <v>#N/A</v>
      </c>
      <c r="FL23" t="e">
        <f t="shared" si="14"/>
        <v>#N/A</v>
      </c>
      <c r="FM23" t="e">
        <f t="shared" si="14"/>
        <v>#N/A</v>
      </c>
      <c r="FN23" t="e">
        <f t="shared" si="14"/>
        <v>#N/A</v>
      </c>
      <c r="FO23" t="e">
        <f t="shared" si="14"/>
        <v>#N/A</v>
      </c>
      <c r="FP23" t="e">
        <f t="shared" si="14"/>
        <v>#N/A</v>
      </c>
      <c r="FQ23" t="e">
        <f t="shared" si="14"/>
        <v>#N/A</v>
      </c>
      <c r="FR23" t="e">
        <f t="shared" si="14"/>
        <v>#N/A</v>
      </c>
      <c r="FS23" t="e">
        <f t="shared" si="14"/>
        <v>#N/A</v>
      </c>
      <c r="FT23" t="e">
        <f t="shared" si="14"/>
        <v>#N/A</v>
      </c>
      <c r="FU23" t="e">
        <f t="shared" si="14"/>
        <v>#N/A</v>
      </c>
      <c r="FV23" t="e">
        <f t="shared" si="14"/>
        <v>#N/A</v>
      </c>
      <c r="FW23" t="e">
        <f t="shared" si="14"/>
        <v>#N/A</v>
      </c>
      <c r="FX23" t="e">
        <f t="shared" si="14"/>
        <v>#N/A</v>
      </c>
      <c r="FY23" t="e">
        <f t="shared" si="14"/>
        <v>#N/A</v>
      </c>
      <c r="FZ23" t="e">
        <f t="shared" si="14"/>
        <v>#N/A</v>
      </c>
      <c r="GA23" t="e">
        <f t="shared" si="14"/>
        <v>#N/A</v>
      </c>
    </row>
    <row r="24" spans="1:183" x14ac:dyDescent="0.45">
      <c r="B24" t="s">
        <v>3</v>
      </c>
      <c r="C24" cm="1">
        <f t="array" ref="C24">LOOKUP(2,1/(I24:GA24&lt;&gt;""),I24:GA24)</f>
        <v>0.09</v>
      </c>
      <c r="D24">
        <f t="shared" si="7"/>
        <v>45</v>
      </c>
      <c r="F24" s="3">
        <f t="shared" si="0"/>
        <v>0.79999999999999982</v>
      </c>
      <c r="G24" s="3" cm="1">
        <f t="array" ref="G24">(C24-IF(ISNA(INDEX(I24:GA24,D24-22)),INDEX(I24:GA24,D24-23),INDEX(I24:GA24,D24-22)))/IF(ISNA(INDEX(I24:GA24,D24-22)),INDEX(I24:GA24,D24-23),INDEX(I24:GA24,D24-22))</f>
        <v>0.12499999999999993</v>
      </c>
      <c r="I24">
        <f t="shared" si="8"/>
        <v>0.05</v>
      </c>
      <c r="J24">
        <f t="shared" ref="J24:BU24" si="15">IF(J6=0,NA(),J6-ROUNDUP(J6*0.1,2)-ROUNDUP(J6*0.05,2))</f>
        <v>0.05</v>
      </c>
      <c r="K24" t="e">
        <f t="shared" si="15"/>
        <v>#N/A</v>
      </c>
      <c r="L24">
        <f t="shared" si="15"/>
        <v>0.05</v>
      </c>
      <c r="M24" t="e">
        <f t="shared" si="15"/>
        <v>#N/A</v>
      </c>
      <c r="N24">
        <f t="shared" si="15"/>
        <v>0.05</v>
      </c>
      <c r="O24">
        <f t="shared" si="15"/>
        <v>0.05</v>
      </c>
      <c r="P24">
        <f t="shared" si="15"/>
        <v>0.05</v>
      </c>
      <c r="Q24">
        <f t="shared" si="15"/>
        <v>0.05</v>
      </c>
      <c r="R24">
        <f t="shared" si="15"/>
        <v>0.05</v>
      </c>
      <c r="S24">
        <f t="shared" si="15"/>
        <v>0.05</v>
      </c>
      <c r="T24">
        <f t="shared" si="15"/>
        <v>0.05</v>
      </c>
      <c r="U24">
        <f t="shared" si="15"/>
        <v>0.05</v>
      </c>
      <c r="V24">
        <f t="shared" si="15"/>
        <v>0.05</v>
      </c>
      <c r="W24">
        <f t="shared" si="15"/>
        <v>0.05</v>
      </c>
      <c r="X24">
        <f t="shared" si="15"/>
        <v>0.05</v>
      </c>
      <c r="Y24">
        <f t="shared" si="15"/>
        <v>0.05</v>
      </c>
      <c r="Z24">
        <f t="shared" si="15"/>
        <v>0.05</v>
      </c>
      <c r="AA24">
        <f t="shared" si="15"/>
        <v>0.05</v>
      </c>
      <c r="AB24">
        <f t="shared" si="15"/>
        <v>0.05</v>
      </c>
      <c r="AC24">
        <f t="shared" si="15"/>
        <v>0.09</v>
      </c>
      <c r="AD24">
        <f t="shared" si="15"/>
        <v>0.11000000000000001</v>
      </c>
      <c r="AE24">
        <f t="shared" si="15"/>
        <v>0.08</v>
      </c>
      <c r="AF24">
        <f t="shared" si="15"/>
        <v>0.09</v>
      </c>
      <c r="AG24">
        <f t="shared" si="15"/>
        <v>0.09</v>
      </c>
      <c r="AH24">
        <f t="shared" si="15"/>
        <v>0.09</v>
      </c>
      <c r="AI24">
        <f t="shared" si="15"/>
        <v>0.09</v>
      </c>
      <c r="AJ24">
        <f t="shared" si="15"/>
        <v>0.1</v>
      </c>
      <c r="AK24">
        <f t="shared" si="15"/>
        <v>0.11000000000000001</v>
      </c>
      <c r="AL24">
        <f t="shared" si="15"/>
        <v>0.1</v>
      </c>
      <c r="AM24">
        <f t="shared" si="15"/>
        <v>0.09</v>
      </c>
      <c r="AN24" t="e">
        <f t="shared" si="15"/>
        <v>#N/A</v>
      </c>
      <c r="AO24">
        <f t="shared" si="15"/>
        <v>0.08</v>
      </c>
      <c r="AP24">
        <f t="shared" si="15"/>
        <v>0.08</v>
      </c>
      <c r="AQ24">
        <f t="shared" si="15"/>
        <v>0.08</v>
      </c>
      <c r="AR24">
        <f t="shared" si="15"/>
        <v>0.09</v>
      </c>
      <c r="AS24">
        <f t="shared" si="15"/>
        <v>0.09</v>
      </c>
      <c r="AT24" t="e">
        <f t="shared" si="15"/>
        <v>#N/A</v>
      </c>
      <c r="AU24" t="e">
        <f t="shared" si="15"/>
        <v>#N/A</v>
      </c>
      <c r="AV24" t="e">
        <f t="shared" si="15"/>
        <v>#N/A</v>
      </c>
      <c r="AW24" t="e">
        <f t="shared" si="15"/>
        <v>#N/A</v>
      </c>
      <c r="AX24" t="e">
        <f t="shared" si="15"/>
        <v>#N/A</v>
      </c>
      <c r="AY24" t="e">
        <f t="shared" si="15"/>
        <v>#N/A</v>
      </c>
      <c r="AZ24" t="e">
        <f t="shared" si="15"/>
        <v>#N/A</v>
      </c>
      <c r="BA24" t="e">
        <f t="shared" si="15"/>
        <v>#N/A</v>
      </c>
      <c r="BB24" t="e">
        <f t="shared" si="15"/>
        <v>#N/A</v>
      </c>
      <c r="BC24" t="e">
        <f t="shared" si="15"/>
        <v>#N/A</v>
      </c>
      <c r="BD24" t="e">
        <f t="shared" si="15"/>
        <v>#N/A</v>
      </c>
      <c r="BE24" t="e">
        <f t="shared" si="15"/>
        <v>#N/A</v>
      </c>
      <c r="BF24" t="e">
        <f t="shared" si="15"/>
        <v>#N/A</v>
      </c>
      <c r="BG24" t="e">
        <f t="shared" si="15"/>
        <v>#N/A</v>
      </c>
      <c r="BH24" t="e">
        <f t="shared" si="15"/>
        <v>#N/A</v>
      </c>
      <c r="BI24" t="e">
        <f t="shared" si="15"/>
        <v>#N/A</v>
      </c>
      <c r="BJ24" t="e">
        <f t="shared" si="15"/>
        <v>#N/A</v>
      </c>
      <c r="BK24" t="e">
        <f t="shared" si="15"/>
        <v>#N/A</v>
      </c>
      <c r="BL24" t="e">
        <f t="shared" si="15"/>
        <v>#N/A</v>
      </c>
      <c r="BM24" t="e">
        <f t="shared" si="15"/>
        <v>#N/A</v>
      </c>
      <c r="BN24" t="e">
        <f t="shared" si="15"/>
        <v>#N/A</v>
      </c>
      <c r="BO24" t="e">
        <f t="shared" si="15"/>
        <v>#N/A</v>
      </c>
      <c r="BP24" t="e">
        <f t="shared" si="15"/>
        <v>#N/A</v>
      </c>
      <c r="BQ24" t="e">
        <f t="shared" si="15"/>
        <v>#N/A</v>
      </c>
      <c r="BR24" t="e">
        <f t="shared" si="15"/>
        <v>#N/A</v>
      </c>
      <c r="BS24" t="e">
        <f t="shared" si="15"/>
        <v>#N/A</v>
      </c>
      <c r="BT24" t="e">
        <f t="shared" si="15"/>
        <v>#N/A</v>
      </c>
      <c r="BU24" t="e">
        <f t="shared" si="15"/>
        <v>#N/A</v>
      </c>
      <c r="BV24" t="e">
        <f t="shared" ref="BV24:EG24" si="16">IF(BV6=0,NA(),BV6-ROUNDUP(BV6*0.1,2)-ROUNDUP(BV6*0.05,2))</f>
        <v>#N/A</v>
      </c>
      <c r="BW24" t="e">
        <f t="shared" si="16"/>
        <v>#N/A</v>
      </c>
      <c r="BX24" t="e">
        <f t="shared" si="16"/>
        <v>#N/A</v>
      </c>
      <c r="BY24" t="e">
        <f t="shared" si="16"/>
        <v>#N/A</v>
      </c>
      <c r="BZ24" t="e">
        <f t="shared" si="16"/>
        <v>#N/A</v>
      </c>
      <c r="CA24" t="e">
        <f t="shared" si="16"/>
        <v>#N/A</v>
      </c>
      <c r="CB24" t="e">
        <f t="shared" si="16"/>
        <v>#N/A</v>
      </c>
      <c r="CC24" t="e">
        <f t="shared" si="16"/>
        <v>#N/A</v>
      </c>
      <c r="CD24" t="e">
        <f t="shared" si="16"/>
        <v>#N/A</v>
      </c>
      <c r="CE24" t="e">
        <f t="shared" si="16"/>
        <v>#N/A</v>
      </c>
      <c r="CF24" t="e">
        <f t="shared" si="16"/>
        <v>#N/A</v>
      </c>
      <c r="CG24" t="e">
        <f t="shared" si="16"/>
        <v>#N/A</v>
      </c>
      <c r="CH24" t="e">
        <f t="shared" si="16"/>
        <v>#N/A</v>
      </c>
      <c r="CI24" t="e">
        <f t="shared" si="16"/>
        <v>#N/A</v>
      </c>
      <c r="CJ24" t="e">
        <f t="shared" si="16"/>
        <v>#N/A</v>
      </c>
      <c r="CK24" t="e">
        <f t="shared" si="16"/>
        <v>#N/A</v>
      </c>
      <c r="CL24" t="e">
        <f t="shared" si="16"/>
        <v>#N/A</v>
      </c>
      <c r="CM24" t="e">
        <f t="shared" si="16"/>
        <v>#N/A</v>
      </c>
      <c r="CN24" t="e">
        <f t="shared" si="16"/>
        <v>#N/A</v>
      </c>
      <c r="CO24" t="e">
        <f t="shared" si="16"/>
        <v>#N/A</v>
      </c>
      <c r="CP24" t="e">
        <f t="shared" si="16"/>
        <v>#N/A</v>
      </c>
      <c r="CQ24" t="e">
        <f t="shared" si="16"/>
        <v>#N/A</v>
      </c>
      <c r="CR24" t="e">
        <f t="shared" si="16"/>
        <v>#N/A</v>
      </c>
      <c r="CS24" t="e">
        <f t="shared" si="16"/>
        <v>#N/A</v>
      </c>
      <c r="CT24" t="e">
        <f t="shared" si="16"/>
        <v>#N/A</v>
      </c>
      <c r="CU24" t="e">
        <f t="shared" si="16"/>
        <v>#N/A</v>
      </c>
      <c r="CV24" t="e">
        <f t="shared" si="16"/>
        <v>#N/A</v>
      </c>
      <c r="CW24" t="e">
        <f t="shared" si="16"/>
        <v>#N/A</v>
      </c>
      <c r="CX24" t="e">
        <f t="shared" si="16"/>
        <v>#N/A</v>
      </c>
      <c r="CY24" t="e">
        <f t="shared" si="16"/>
        <v>#N/A</v>
      </c>
      <c r="CZ24" t="e">
        <f t="shared" si="16"/>
        <v>#N/A</v>
      </c>
      <c r="DA24" t="e">
        <f t="shared" si="16"/>
        <v>#N/A</v>
      </c>
      <c r="DB24" t="e">
        <f t="shared" si="16"/>
        <v>#N/A</v>
      </c>
      <c r="DC24" t="e">
        <f t="shared" si="16"/>
        <v>#N/A</v>
      </c>
      <c r="DD24" t="e">
        <f t="shared" si="16"/>
        <v>#N/A</v>
      </c>
      <c r="DE24" t="e">
        <f t="shared" si="16"/>
        <v>#N/A</v>
      </c>
      <c r="DF24" t="e">
        <f t="shared" si="16"/>
        <v>#N/A</v>
      </c>
      <c r="DG24" t="e">
        <f t="shared" si="16"/>
        <v>#N/A</v>
      </c>
      <c r="DH24" t="e">
        <f t="shared" si="16"/>
        <v>#N/A</v>
      </c>
      <c r="DI24" t="e">
        <f t="shared" si="16"/>
        <v>#N/A</v>
      </c>
      <c r="DJ24" t="e">
        <f t="shared" si="16"/>
        <v>#N/A</v>
      </c>
      <c r="DK24" t="e">
        <f t="shared" si="16"/>
        <v>#N/A</v>
      </c>
      <c r="DL24" t="e">
        <f t="shared" si="16"/>
        <v>#N/A</v>
      </c>
      <c r="DM24" t="e">
        <f t="shared" si="16"/>
        <v>#N/A</v>
      </c>
      <c r="DN24" t="e">
        <f t="shared" si="16"/>
        <v>#N/A</v>
      </c>
      <c r="DO24" t="e">
        <f t="shared" si="16"/>
        <v>#N/A</v>
      </c>
      <c r="DP24" t="e">
        <f t="shared" si="16"/>
        <v>#N/A</v>
      </c>
      <c r="DQ24" t="e">
        <f t="shared" si="16"/>
        <v>#N/A</v>
      </c>
      <c r="DR24" t="e">
        <f t="shared" si="16"/>
        <v>#N/A</v>
      </c>
      <c r="DS24" t="e">
        <f t="shared" si="16"/>
        <v>#N/A</v>
      </c>
      <c r="DT24" t="e">
        <f t="shared" si="16"/>
        <v>#N/A</v>
      </c>
      <c r="DU24" t="e">
        <f t="shared" si="16"/>
        <v>#N/A</v>
      </c>
      <c r="DV24" t="e">
        <f t="shared" si="16"/>
        <v>#N/A</v>
      </c>
      <c r="DW24" t="e">
        <f t="shared" si="16"/>
        <v>#N/A</v>
      </c>
      <c r="DX24" t="e">
        <f t="shared" si="16"/>
        <v>#N/A</v>
      </c>
      <c r="DY24" t="e">
        <f t="shared" si="16"/>
        <v>#N/A</v>
      </c>
      <c r="DZ24" t="e">
        <f t="shared" si="16"/>
        <v>#N/A</v>
      </c>
      <c r="EA24" t="e">
        <f t="shared" si="16"/>
        <v>#N/A</v>
      </c>
      <c r="EB24" t="e">
        <f t="shared" si="16"/>
        <v>#N/A</v>
      </c>
      <c r="EC24" t="e">
        <f t="shared" si="16"/>
        <v>#N/A</v>
      </c>
      <c r="ED24" t="e">
        <f t="shared" si="16"/>
        <v>#N/A</v>
      </c>
      <c r="EE24" t="e">
        <f t="shared" si="16"/>
        <v>#N/A</v>
      </c>
      <c r="EF24" t="e">
        <f t="shared" si="16"/>
        <v>#N/A</v>
      </c>
      <c r="EG24" t="e">
        <f t="shared" si="16"/>
        <v>#N/A</v>
      </c>
      <c r="EH24" t="e">
        <f t="shared" ref="EH24:GA24" si="17">IF(EH6=0,NA(),EH6-ROUNDUP(EH6*0.1,2)-ROUNDUP(EH6*0.05,2))</f>
        <v>#N/A</v>
      </c>
      <c r="EI24" t="e">
        <f t="shared" si="17"/>
        <v>#N/A</v>
      </c>
      <c r="EJ24" t="e">
        <f t="shared" si="17"/>
        <v>#N/A</v>
      </c>
      <c r="EK24" t="e">
        <f t="shared" si="17"/>
        <v>#N/A</v>
      </c>
      <c r="EL24" t="e">
        <f t="shared" si="17"/>
        <v>#N/A</v>
      </c>
      <c r="EM24" t="e">
        <f t="shared" si="17"/>
        <v>#N/A</v>
      </c>
      <c r="EN24" t="e">
        <f t="shared" si="17"/>
        <v>#N/A</v>
      </c>
      <c r="EO24" t="e">
        <f t="shared" si="17"/>
        <v>#N/A</v>
      </c>
      <c r="EP24" t="e">
        <f t="shared" si="17"/>
        <v>#N/A</v>
      </c>
      <c r="EQ24" t="e">
        <f t="shared" si="17"/>
        <v>#N/A</v>
      </c>
      <c r="ER24" t="e">
        <f t="shared" si="17"/>
        <v>#N/A</v>
      </c>
      <c r="ES24" t="e">
        <f t="shared" si="17"/>
        <v>#N/A</v>
      </c>
      <c r="ET24" t="e">
        <f t="shared" si="17"/>
        <v>#N/A</v>
      </c>
      <c r="EU24" t="e">
        <f t="shared" si="17"/>
        <v>#N/A</v>
      </c>
      <c r="EV24" t="e">
        <f t="shared" si="17"/>
        <v>#N/A</v>
      </c>
      <c r="EW24" t="e">
        <f t="shared" si="17"/>
        <v>#N/A</v>
      </c>
      <c r="EX24" t="e">
        <f t="shared" si="17"/>
        <v>#N/A</v>
      </c>
      <c r="EY24" t="e">
        <f t="shared" si="17"/>
        <v>#N/A</v>
      </c>
      <c r="EZ24" t="e">
        <f t="shared" si="17"/>
        <v>#N/A</v>
      </c>
      <c r="FA24" t="e">
        <f t="shared" si="17"/>
        <v>#N/A</v>
      </c>
      <c r="FB24" t="e">
        <f t="shared" si="17"/>
        <v>#N/A</v>
      </c>
      <c r="FC24" t="e">
        <f t="shared" si="17"/>
        <v>#N/A</v>
      </c>
      <c r="FD24" t="e">
        <f t="shared" si="17"/>
        <v>#N/A</v>
      </c>
      <c r="FE24" t="e">
        <f t="shared" si="17"/>
        <v>#N/A</v>
      </c>
      <c r="FF24" t="e">
        <f t="shared" si="17"/>
        <v>#N/A</v>
      </c>
      <c r="FG24" t="e">
        <f t="shared" si="17"/>
        <v>#N/A</v>
      </c>
      <c r="FH24" t="e">
        <f t="shared" si="17"/>
        <v>#N/A</v>
      </c>
      <c r="FI24" t="e">
        <f t="shared" si="17"/>
        <v>#N/A</v>
      </c>
      <c r="FJ24" t="e">
        <f t="shared" si="17"/>
        <v>#N/A</v>
      </c>
      <c r="FK24" t="e">
        <f t="shared" si="17"/>
        <v>#N/A</v>
      </c>
      <c r="FL24" t="e">
        <f t="shared" si="17"/>
        <v>#N/A</v>
      </c>
      <c r="FM24" t="e">
        <f t="shared" si="17"/>
        <v>#N/A</v>
      </c>
      <c r="FN24" t="e">
        <f t="shared" si="17"/>
        <v>#N/A</v>
      </c>
      <c r="FO24" t="e">
        <f t="shared" si="17"/>
        <v>#N/A</v>
      </c>
      <c r="FP24" t="e">
        <f t="shared" si="17"/>
        <v>#N/A</v>
      </c>
      <c r="FQ24" t="e">
        <f t="shared" si="17"/>
        <v>#N/A</v>
      </c>
      <c r="FR24" t="e">
        <f t="shared" si="17"/>
        <v>#N/A</v>
      </c>
      <c r="FS24" t="e">
        <f t="shared" si="17"/>
        <v>#N/A</v>
      </c>
      <c r="FT24" t="e">
        <f t="shared" si="17"/>
        <v>#N/A</v>
      </c>
      <c r="FU24" t="e">
        <f t="shared" si="17"/>
        <v>#N/A</v>
      </c>
      <c r="FV24" t="e">
        <f t="shared" si="17"/>
        <v>#N/A</v>
      </c>
      <c r="FW24" t="e">
        <f t="shared" si="17"/>
        <v>#N/A</v>
      </c>
      <c r="FX24" t="e">
        <f t="shared" si="17"/>
        <v>#N/A</v>
      </c>
      <c r="FY24" t="e">
        <f t="shared" si="17"/>
        <v>#N/A</v>
      </c>
      <c r="FZ24" t="e">
        <f t="shared" si="17"/>
        <v>#N/A</v>
      </c>
      <c r="GA24" t="e">
        <f t="shared" si="17"/>
        <v>#N/A</v>
      </c>
    </row>
    <row r="25" spans="1:183" x14ac:dyDescent="0.45">
      <c r="B25" t="s">
        <v>4</v>
      </c>
      <c r="C25" cm="1">
        <f t="array" ref="C25">LOOKUP(2,1/(I25:GA25&lt;&gt;""),I25:GA25)</f>
        <v>0.16</v>
      </c>
      <c r="D25">
        <f t="shared" si="7"/>
        <v>45</v>
      </c>
      <c r="F25" s="3">
        <f t="shared" si="0"/>
        <v>1.6666666666666665</v>
      </c>
      <c r="G25" s="3" cm="1">
        <f t="array" ref="G25">(C25-IF(ISNA(INDEX(I25:GA25,D25-22)),INDEX(I25:GA25,D25-23),INDEX(I25:GA25,D25-22)))/IF(ISNA(INDEX(I25:GA25,D25-22)),INDEX(I25:GA25,D25-23),INDEX(I25:GA25,D25-22))</f>
        <v>0.14285714285714277</v>
      </c>
      <c r="I25">
        <f t="shared" si="8"/>
        <v>6.0000000000000005E-2</v>
      </c>
      <c r="J25">
        <f t="shared" ref="J25:BU25" si="18">IF(J7=0,NA(),J7-ROUNDUP(J7*0.1,2)-ROUNDUP(J7*0.05,2))</f>
        <v>6.0000000000000005E-2</v>
      </c>
      <c r="K25" t="e">
        <f t="shared" si="18"/>
        <v>#N/A</v>
      </c>
      <c r="L25">
        <f t="shared" si="18"/>
        <v>6.0000000000000005E-2</v>
      </c>
      <c r="M25" t="e">
        <f t="shared" si="18"/>
        <v>#N/A</v>
      </c>
      <c r="N25">
        <f t="shared" si="18"/>
        <v>6.0000000000000005E-2</v>
      </c>
      <c r="O25">
        <f t="shared" si="18"/>
        <v>6.0000000000000005E-2</v>
      </c>
      <c r="P25">
        <f t="shared" si="18"/>
        <v>6.0000000000000005E-2</v>
      </c>
      <c r="Q25">
        <f t="shared" si="18"/>
        <v>6.0000000000000005E-2</v>
      </c>
      <c r="R25">
        <f t="shared" si="18"/>
        <v>6.0000000000000005E-2</v>
      </c>
      <c r="S25">
        <f t="shared" si="18"/>
        <v>6.0000000000000005E-2</v>
      </c>
      <c r="T25">
        <f t="shared" si="18"/>
        <v>6.0000000000000005E-2</v>
      </c>
      <c r="U25">
        <f t="shared" si="18"/>
        <v>6.0000000000000005E-2</v>
      </c>
      <c r="V25">
        <f t="shared" si="18"/>
        <v>6.0000000000000005E-2</v>
      </c>
      <c r="W25">
        <f t="shared" si="18"/>
        <v>6.0000000000000005E-2</v>
      </c>
      <c r="X25">
        <f t="shared" si="18"/>
        <v>6.0000000000000005E-2</v>
      </c>
      <c r="Y25">
        <f t="shared" si="18"/>
        <v>6.0000000000000005E-2</v>
      </c>
      <c r="Z25">
        <f t="shared" si="18"/>
        <v>6.0000000000000005E-2</v>
      </c>
      <c r="AA25">
        <f t="shared" si="18"/>
        <v>6.0000000000000005E-2</v>
      </c>
      <c r="AB25">
        <f t="shared" si="18"/>
        <v>6.0000000000000005E-2</v>
      </c>
      <c r="AC25">
        <f t="shared" si="18"/>
        <v>0.13</v>
      </c>
      <c r="AD25">
        <f t="shared" si="18"/>
        <v>0.16</v>
      </c>
      <c r="AE25">
        <f t="shared" si="18"/>
        <v>0.14000000000000001</v>
      </c>
      <c r="AF25">
        <f t="shared" si="18"/>
        <v>0.15</v>
      </c>
      <c r="AG25">
        <f t="shared" si="18"/>
        <v>0.15</v>
      </c>
      <c r="AH25">
        <f t="shared" si="18"/>
        <v>0.17</v>
      </c>
      <c r="AI25">
        <f t="shared" si="18"/>
        <v>0.18000000000000002</v>
      </c>
      <c r="AJ25">
        <f t="shared" si="18"/>
        <v>0.19</v>
      </c>
      <c r="AK25">
        <f t="shared" si="18"/>
        <v>0.23</v>
      </c>
      <c r="AL25">
        <f t="shared" si="18"/>
        <v>0.23</v>
      </c>
      <c r="AM25">
        <f t="shared" si="18"/>
        <v>0.22000000000000003</v>
      </c>
      <c r="AN25" t="e">
        <f t="shared" si="18"/>
        <v>#N/A</v>
      </c>
      <c r="AO25">
        <f t="shared" si="18"/>
        <v>0.18000000000000002</v>
      </c>
      <c r="AP25">
        <f t="shared" si="18"/>
        <v>0.18000000000000002</v>
      </c>
      <c r="AQ25">
        <f t="shared" si="18"/>
        <v>0.16</v>
      </c>
      <c r="AR25">
        <f t="shared" si="18"/>
        <v>0.18000000000000002</v>
      </c>
      <c r="AS25">
        <f t="shared" si="18"/>
        <v>0.16</v>
      </c>
      <c r="AT25" t="e">
        <f t="shared" si="18"/>
        <v>#N/A</v>
      </c>
      <c r="AU25" t="e">
        <f t="shared" si="18"/>
        <v>#N/A</v>
      </c>
      <c r="AV25" t="e">
        <f t="shared" si="18"/>
        <v>#N/A</v>
      </c>
      <c r="AW25" t="e">
        <f t="shared" si="18"/>
        <v>#N/A</v>
      </c>
      <c r="AX25" t="e">
        <f t="shared" si="18"/>
        <v>#N/A</v>
      </c>
      <c r="AY25" t="e">
        <f t="shared" si="18"/>
        <v>#N/A</v>
      </c>
      <c r="AZ25" t="e">
        <f t="shared" si="18"/>
        <v>#N/A</v>
      </c>
      <c r="BA25" t="e">
        <f t="shared" si="18"/>
        <v>#N/A</v>
      </c>
      <c r="BB25" t="e">
        <f t="shared" si="18"/>
        <v>#N/A</v>
      </c>
      <c r="BC25" t="e">
        <f t="shared" si="18"/>
        <v>#N/A</v>
      </c>
      <c r="BD25" t="e">
        <f t="shared" si="18"/>
        <v>#N/A</v>
      </c>
      <c r="BE25" t="e">
        <f t="shared" si="18"/>
        <v>#N/A</v>
      </c>
      <c r="BF25" t="e">
        <f t="shared" si="18"/>
        <v>#N/A</v>
      </c>
      <c r="BG25" t="e">
        <f t="shared" si="18"/>
        <v>#N/A</v>
      </c>
      <c r="BH25" t="e">
        <f t="shared" si="18"/>
        <v>#N/A</v>
      </c>
      <c r="BI25" t="e">
        <f t="shared" si="18"/>
        <v>#N/A</v>
      </c>
      <c r="BJ25" t="e">
        <f t="shared" si="18"/>
        <v>#N/A</v>
      </c>
      <c r="BK25" t="e">
        <f t="shared" si="18"/>
        <v>#N/A</v>
      </c>
      <c r="BL25" t="e">
        <f t="shared" si="18"/>
        <v>#N/A</v>
      </c>
      <c r="BM25" t="e">
        <f t="shared" si="18"/>
        <v>#N/A</v>
      </c>
      <c r="BN25" t="e">
        <f t="shared" si="18"/>
        <v>#N/A</v>
      </c>
      <c r="BO25" t="e">
        <f t="shared" si="18"/>
        <v>#N/A</v>
      </c>
      <c r="BP25" t="e">
        <f t="shared" si="18"/>
        <v>#N/A</v>
      </c>
      <c r="BQ25" t="e">
        <f t="shared" si="18"/>
        <v>#N/A</v>
      </c>
      <c r="BR25" t="e">
        <f t="shared" si="18"/>
        <v>#N/A</v>
      </c>
      <c r="BS25" t="e">
        <f t="shared" si="18"/>
        <v>#N/A</v>
      </c>
      <c r="BT25" t="e">
        <f t="shared" si="18"/>
        <v>#N/A</v>
      </c>
      <c r="BU25" t="e">
        <f t="shared" si="18"/>
        <v>#N/A</v>
      </c>
      <c r="BV25" t="e">
        <f t="shared" ref="BV25:EG25" si="19">IF(BV7=0,NA(),BV7-ROUNDUP(BV7*0.1,2)-ROUNDUP(BV7*0.05,2))</f>
        <v>#N/A</v>
      </c>
      <c r="BW25" t="e">
        <f t="shared" si="19"/>
        <v>#N/A</v>
      </c>
      <c r="BX25" t="e">
        <f t="shared" si="19"/>
        <v>#N/A</v>
      </c>
      <c r="BY25" t="e">
        <f t="shared" si="19"/>
        <v>#N/A</v>
      </c>
      <c r="BZ25" t="e">
        <f t="shared" si="19"/>
        <v>#N/A</v>
      </c>
      <c r="CA25" t="e">
        <f t="shared" si="19"/>
        <v>#N/A</v>
      </c>
      <c r="CB25" t="e">
        <f t="shared" si="19"/>
        <v>#N/A</v>
      </c>
      <c r="CC25" t="e">
        <f t="shared" si="19"/>
        <v>#N/A</v>
      </c>
      <c r="CD25" t="e">
        <f t="shared" si="19"/>
        <v>#N/A</v>
      </c>
      <c r="CE25" t="e">
        <f t="shared" si="19"/>
        <v>#N/A</v>
      </c>
      <c r="CF25" t="e">
        <f t="shared" si="19"/>
        <v>#N/A</v>
      </c>
      <c r="CG25" t="e">
        <f t="shared" si="19"/>
        <v>#N/A</v>
      </c>
      <c r="CH25" t="e">
        <f t="shared" si="19"/>
        <v>#N/A</v>
      </c>
      <c r="CI25" t="e">
        <f t="shared" si="19"/>
        <v>#N/A</v>
      </c>
      <c r="CJ25" t="e">
        <f t="shared" si="19"/>
        <v>#N/A</v>
      </c>
      <c r="CK25" t="e">
        <f t="shared" si="19"/>
        <v>#N/A</v>
      </c>
      <c r="CL25" t="e">
        <f t="shared" si="19"/>
        <v>#N/A</v>
      </c>
      <c r="CM25" t="e">
        <f t="shared" si="19"/>
        <v>#N/A</v>
      </c>
      <c r="CN25" t="e">
        <f t="shared" si="19"/>
        <v>#N/A</v>
      </c>
      <c r="CO25" t="e">
        <f t="shared" si="19"/>
        <v>#N/A</v>
      </c>
      <c r="CP25" t="e">
        <f t="shared" si="19"/>
        <v>#N/A</v>
      </c>
      <c r="CQ25" t="e">
        <f t="shared" si="19"/>
        <v>#N/A</v>
      </c>
      <c r="CR25" t="e">
        <f t="shared" si="19"/>
        <v>#N/A</v>
      </c>
      <c r="CS25" t="e">
        <f t="shared" si="19"/>
        <v>#N/A</v>
      </c>
      <c r="CT25" t="e">
        <f t="shared" si="19"/>
        <v>#N/A</v>
      </c>
      <c r="CU25" t="e">
        <f t="shared" si="19"/>
        <v>#N/A</v>
      </c>
      <c r="CV25" t="e">
        <f t="shared" si="19"/>
        <v>#N/A</v>
      </c>
      <c r="CW25" t="e">
        <f t="shared" si="19"/>
        <v>#N/A</v>
      </c>
      <c r="CX25" t="e">
        <f t="shared" si="19"/>
        <v>#N/A</v>
      </c>
      <c r="CY25" t="e">
        <f t="shared" si="19"/>
        <v>#N/A</v>
      </c>
      <c r="CZ25" t="e">
        <f t="shared" si="19"/>
        <v>#N/A</v>
      </c>
      <c r="DA25" t="e">
        <f t="shared" si="19"/>
        <v>#N/A</v>
      </c>
      <c r="DB25" t="e">
        <f t="shared" si="19"/>
        <v>#N/A</v>
      </c>
      <c r="DC25" t="e">
        <f t="shared" si="19"/>
        <v>#N/A</v>
      </c>
      <c r="DD25" t="e">
        <f t="shared" si="19"/>
        <v>#N/A</v>
      </c>
      <c r="DE25" t="e">
        <f t="shared" si="19"/>
        <v>#N/A</v>
      </c>
      <c r="DF25" t="e">
        <f t="shared" si="19"/>
        <v>#N/A</v>
      </c>
      <c r="DG25" t="e">
        <f t="shared" si="19"/>
        <v>#N/A</v>
      </c>
      <c r="DH25" t="e">
        <f t="shared" si="19"/>
        <v>#N/A</v>
      </c>
      <c r="DI25" t="e">
        <f t="shared" si="19"/>
        <v>#N/A</v>
      </c>
      <c r="DJ25" t="e">
        <f t="shared" si="19"/>
        <v>#N/A</v>
      </c>
      <c r="DK25" t="e">
        <f t="shared" si="19"/>
        <v>#N/A</v>
      </c>
      <c r="DL25" t="e">
        <f t="shared" si="19"/>
        <v>#N/A</v>
      </c>
      <c r="DM25" t="e">
        <f t="shared" si="19"/>
        <v>#N/A</v>
      </c>
      <c r="DN25" t="e">
        <f t="shared" si="19"/>
        <v>#N/A</v>
      </c>
      <c r="DO25" t="e">
        <f t="shared" si="19"/>
        <v>#N/A</v>
      </c>
      <c r="DP25" t="e">
        <f t="shared" si="19"/>
        <v>#N/A</v>
      </c>
      <c r="DQ25" t="e">
        <f t="shared" si="19"/>
        <v>#N/A</v>
      </c>
      <c r="DR25" t="e">
        <f t="shared" si="19"/>
        <v>#N/A</v>
      </c>
      <c r="DS25" t="e">
        <f t="shared" si="19"/>
        <v>#N/A</v>
      </c>
      <c r="DT25" t="e">
        <f t="shared" si="19"/>
        <v>#N/A</v>
      </c>
      <c r="DU25" t="e">
        <f t="shared" si="19"/>
        <v>#N/A</v>
      </c>
      <c r="DV25" t="e">
        <f t="shared" si="19"/>
        <v>#N/A</v>
      </c>
      <c r="DW25" t="e">
        <f t="shared" si="19"/>
        <v>#N/A</v>
      </c>
      <c r="DX25" t="e">
        <f t="shared" si="19"/>
        <v>#N/A</v>
      </c>
      <c r="DY25" t="e">
        <f t="shared" si="19"/>
        <v>#N/A</v>
      </c>
      <c r="DZ25" t="e">
        <f t="shared" si="19"/>
        <v>#N/A</v>
      </c>
      <c r="EA25" t="e">
        <f t="shared" si="19"/>
        <v>#N/A</v>
      </c>
      <c r="EB25" t="e">
        <f t="shared" si="19"/>
        <v>#N/A</v>
      </c>
      <c r="EC25" t="e">
        <f t="shared" si="19"/>
        <v>#N/A</v>
      </c>
      <c r="ED25" t="e">
        <f t="shared" si="19"/>
        <v>#N/A</v>
      </c>
      <c r="EE25" t="e">
        <f t="shared" si="19"/>
        <v>#N/A</v>
      </c>
      <c r="EF25" t="e">
        <f t="shared" si="19"/>
        <v>#N/A</v>
      </c>
      <c r="EG25" t="e">
        <f t="shared" si="19"/>
        <v>#N/A</v>
      </c>
      <c r="EH25" t="e">
        <f t="shared" ref="EH25:GA25" si="20">IF(EH7=0,NA(),EH7-ROUNDUP(EH7*0.1,2)-ROUNDUP(EH7*0.05,2))</f>
        <v>#N/A</v>
      </c>
      <c r="EI25" t="e">
        <f t="shared" si="20"/>
        <v>#N/A</v>
      </c>
      <c r="EJ25" t="e">
        <f t="shared" si="20"/>
        <v>#N/A</v>
      </c>
      <c r="EK25" t="e">
        <f t="shared" si="20"/>
        <v>#N/A</v>
      </c>
      <c r="EL25" t="e">
        <f t="shared" si="20"/>
        <v>#N/A</v>
      </c>
      <c r="EM25" t="e">
        <f t="shared" si="20"/>
        <v>#N/A</v>
      </c>
      <c r="EN25" t="e">
        <f t="shared" si="20"/>
        <v>#N/A</v>
      </c>
      <c r="EO25" t="e">
        <f t="shared" si="20"/>
        <v>#N/A</v>
      </c>
      <c r="EP25" t="e">
        <f t="shared" si="20"/>
        <v>#N/A</v>
      </c>
      <c r="EQ25" t="e">
        <f t="shared" si="20"/>
        <v>#N/A</v>
      </c>
      <c r="ER25" t="e">
        <f t="shared" si="20"/>
        <v>#N/A</v>
      </c>
      <c r="ES25" t="e">
        <f t="shared" si="20"/>
        <v>#N/A</v>
      </c>
      <c r="ET25" t="e">
        <f t="shared" si="20"/>
        <v>#N/A</v>
      </c>
      <c r="EU25" t="e">
        <f t="shared" si="20"/>
        <v>#N/A</v>
      </c>
      <c r="EV25" t="e">
        <f t="shared" si="20"/>
        <v>#N/A</v>
      </c>
      <c r="EW25" t="e">
        <f t="shared" si="20"/>
        <v>#N/A</v>
      </c>
      <c r="EX25" t="e">
        <f t="shared" si="20"/>
        <v>#N/A</v>
      </c>
      <c r="EY25" t="e">
        <f t="shared" si="20"/>
        <v>#N/A</v>
      </c>
      <c r="EZ25" t="e">
        <f t="shared" si="20"/>
        <v>#N/A</v>
      </c>
      <c r="FA25" t="e">
        <f t="shared" si="20"/>
        <v>#N/A</v>
      </c>
      <c r="FB25" t="e">
        <f t="shared" si="20"/>
        <v>#N/A</v>
      </c>
      <c r="FC25" t="e">
        <f t="shared" si="20"/>
        <v>#N/A</v>
      </c>
      <c r="FD25" t="e">
        <f t="shared" si="20"/>
        <v>#N/A</v>
      </c>
      <c r="FE25" t="e">
        <f t="shared" si="20"/>
        <v>#N/A</v>
      </c>
      <c r="FF25" t="e">
        <f t="shared" si="20"/>
        <v>#N/A</v>
      </c>
      <c r="FG25" t="e">
        <f t="shared" si="20"/>
        <v>#N/A</v>
      </c>
      <c r="FH25" t="e">
        <f t="shared" si="20"/>
        <v>#N/A</v>
      </c>
      <c r="FI25" t="e">
        <f t="shared" si="20"/>
        <v>#N/A</v>
      </c>
      <c r="FJ25" t="e">
        <f t="shared" si="20"/>
        <v>#N/A</v>
      </c>
      <c r="FK25" t="e">
        <f t="shared" si="20"/>
        <v>#N/A</v>
      </c>
      <c r="FL25" t="e">
        <f t="shared" si="20"/>
        <v>#N/A</v>
      </c>
      <c r="FM25" t="e">
        <f t="shared" si="20"/>
        <v>#N/A</v>
      </c>
      <c r="FN25" t="e">
        <f t="shared" si="20"/>
        <v>#N/A</v>
      </c>
      <c r="FO25" t="e">
        <f t="shared" si="20"/>
        <v>#N/A</v>
      </c>
      <c r="FP25" t="e">
        <f t="shared" si="20"/>
        <v>#N/A</v>
      </c>
      <c r="FQ25" t="e">
        <f t="shared" si="20"/>
        <v>#N/A</v>
      </c>
      <c r="FR25" t="e">
        <f t="shared" si="20"/>
        <v>#N/A</v>
      </c>
      <c r="FS25" t="e">
        <f t="shared" si="20"/>
        <v>#N/A</v>
      </c>
      <c r="FT25" t="e">
        <f t="shared" si="20"/>
        <v>#N/A</v>
      </c>
      <c r="FU25" t="e">
        <f t="shared" si="20"/>
        <v>#N/A</v>
      </c>
      <c r="FV25" t="e">
        <f t="shared" si="20"/>
        <v>#N/A</v>
      </c>
      <c r="FW25" t="e">
        <f t="shared" si="20"/>
        <v>#N/A</v>
      </c>
      <c r="FX25" t="e">
        <f t="shared" si="20"/>
        <v>#N/A</v>
      </c>
      <c r="FY25" t="e">
        <f t="shared" si="20"/>
        <v>#N/A</v>
      </c>
      <c r="FZ25" t="e">
        <f t="shared" si="20"/>
        <v>#N/A</v>
      </c>
      <c r="GA25" t="e">
        <f t="shared" si="20"/>
        <v>#N/A</v>
      </c>
    </row>
    <row r="26" spans="1:183" x14ac:dyDescent="0.45">
      <c r="B26" t="s">
        <v>5</v>
      </c>
      <c r="C26" cm="1">
        <f t="array" ref="C26">LOOKUP(2,1/(I26:GA26&lt;&gt;""),I26:GA26)</f>
        <v>0.25</v>
      </c>
      <c r="D26">
        <f t="shared" si="7"/>
        <v>45</v>
      </c>
      <c r="F26" s="3">
        <f t="shared" si="0"/>
        <v>-0.13793103448275856</v>
      </c>
      <c r="G26" s="3" cm="1">
        <f t="array" ref="G26">(C26-IF(ISNA(INDEX(I26:GA26,D26-22)),INDEX(I26:GA26,D26-23),INDEX(I26:GA26,D26-22)))/IF(ISNA(INDEX(I26:GA26,D26-22)),INDEX(I26:GA26,D26-23),INDEX(I26:GA26,D26-22))</f>
        <v>-3.8461538461538491E-2</v>
      </c>
      <c r="I26">
        <f t="shared" si="8"/>
        <v>0.28999999999999998</v>
      </c>
      <c r="J26">
        <f t="shared" ref="J26:BU26" si="21">IF(J8=0,NA(),J8-ROUNDUP(J8*0.1,2)-ROUNDUP(J8*0.05,2))</f>
        <v>0.28999999999999998</v>
      </c>
      <c r="K26" t="e">
        <f t="shared" si="21"/>
        <v>#N/A</v>
      </c>
      <c r="L26">
        <f t="shared" si="21"/>
        <v>0.28999999999999998</v>
      </c>
      <c r="M26" t="e">
        <f t="shared" si="21"/>
        <v>#N/A</v>
      </c>
      <c r="N26">
        <f t="shared" si="21"/>
        <v>0.25</v>
      </c>
      <c r="O26">
        <f t="shared" si="21"/>
        <v>0.25</v>
      </c>
      <c r="P26">
        <f t="shared" si="21"/>
        <v>0.28000000000000003</v>
      </c>
      <c r="Q26">
        <f t="shared" si="21"/>
        <v>0.25</v>
      </c>
      <c r="R26">
        <f t="shared" si="21"/>
        <v>0.25</v>
      </c>
      <c r="S26">
        <f t="shared" si="21"/>
        <v>0.25</v>
      </c>
      <c r="T26">
        <f t="shared" si="21"/>
        <v>0.25</v>
      </c>
      <c r="U26">
        <f t="shared" si="21"/>
        <v>0.25</v>
      </c>
      <c r="V26">
        <f t="shared" si="21"/>
        <v>0.25</v>
      </c>
      <c r="W26">
        <f t="shared" si="21"/>
        <v>0.26</v>
      </c>
      <c r="X26">
        <f t="shared" si="21"/>
        <v>0.26</v>
      </c>
      <c r="Y26">
        <f t="shared" si="21"/>
        <v>0.28000000000000003</v>
      </c>
      <c r="Z26">
        <f t="shared" si="21"/>
        <v>0.25</v>
      </c>
      <c r="AA26">
        <f t="shared" si="21"/>
        <v>0.26</v>
      </c>
      <c r="AB26">
        <f t="shared" si="21"/>
        <v>0.25</v>
      </c>
      <c r="AC26">
        <f t="shared" si="21"/>
        <v>0.28999999999999998</v>
      </c>
      <c r="AD26">
        <f t="shared" si="21"/>
        <v>0.28999999999999998</v>
      </c>
      <c r="AE26">
        <f t="shared" si="21"/>
        <v>0.26</v>
      </c>
      <c r="AF26">
        <f t="shared" si="21"/>
        <v>0.26</v>
      </c>
      <c r="AG26">
        <f t="shared" si="21"/>
        <v>0.25</v>
      </c>
      <c r="AH26">
        <f t="shared" si="21"/>
        <v>0.25</v>
      </c>
      <c r="AI26">
        <f t="shared" si="21"/>
        <v>0.25</v>
      </c>
      <c r="AJ26">
        <f t="shared" si="21"/>
        <v>0.25</v>
      </c>
      <c r="AK26">
        <f t="shared" si="21"/>
        <v>0.25</v>
      </c>
      <c r="AL26">
        <f t="shared" si="21"/>
        <v>0.25</v>
      </c>
      <c r="AM26">
        <f t="shared" si="21"/>
        <v>0.26</v>
      </c>
      <c r="AN26" t="e">
        <f t="shared" si="21"/>
        <v>#N/A</v>
      </c>
      <c r="AO26">
        <f t="shared" si="21"/>
        <v>0.25</v>
      </c>
      <c r="AP26">
        <f t="shared" si="21"/>
        <v>0.24000000000000002</v>
      </c>
      <c r="AQ26">
        <f t="shared" si="21"/>
        <v>0.25</v>
      </c>
      <c r="AR26">
        <f t="shared" si="21"/>
        <v>0.26</v>
      </c>
      <c r="AS26">
        <f t="shared" si="21"/>
        <v>0.25</v>
      </c>
      <c r="AT26" t="e">
        <f t="shared" si="21"/>
        <v>#N/A</v>
      </c>
      <c r="AU26" t="e">
        <f t="shared" si="21"/>
        <v>#N/A</v>
      </c>
      <c r="AV26" t="e">
        <f t="shared" si="21"/>
        <v>#N/A</v>
      </c>
      <c r="AW26" t="e">
        <f t="shared" si="21"/>
        <v>#N/A</v>
      </c>
      <c r="AX26" t="e">
        <f t="shared" si="21"/>
        <v>#N/A</v>
      </c>
      <c r="AY26" t="e">
        <f t="shared" si="21"/>
        <v>#N/A</v>
      </c>
      <c r="AZ26" t="e">
        <f t="shared" si="21"/>
        <v>#N/A</v>
      </c>
      <c r="BA26" t="e">
        <f t="shared" si="21"/>
        <v>#N/A</v>
      </c>
      <c r="BB26" t="e">
        <f t="shared" si="21"/>
        <v>#N/A</v>
      </c>
      <c r="BC26" t="e">
        <f t="shared" si="21"/>
        <v>#N/A</v>
      </c>
      <c r="BD26" t="e">
        <f t="shared" si="21"/>
        <v>#N/A</v>
      </c>
      <c r="BE26" t="e">
        <f t="shared" si="21"/>
        <v>#N/A</v>
      </c>
      <c r="BF26" t="e">
        <f t="shared" si="21"/>
        <v>#N/A</v>
      </c>
      <c r="BG26" t="e">
        <f t="shared" si="21"/>
        <v>#N/A</v>
      </c>
      <c r="BH26" t="e">
        <f t="shared" si="21"/>
        <v>#N/A</v>
      </c>
      <c r="BI26" t="e">
        <f t="shared" si="21"/>
        <v>#N/A</v>
      </c>
      <c r="BJ26" t="e">
        <f t="shared" si="21"/>
        <v>#N/A</v>
      </c>
      <c r="BK26" t="e">
        <f t="shared" si="21"/>
        <v>#N/A</v>
      </c>
      <c r="BL26" t="e">
        <f t="shared" si="21"/>
        <v>#N/A</v>
      </c>
      <c r="BM26" t="e">
        <f t="shared" si="21"/>
        <v>#N/A</v>
      </c>
      <c r="BN26" t="e">
        <f t="shared" si="21"/>
        <v>#N/A</v>
      </c>
      <c r="BO26" t="e">
        <f t="shared" si="21"/>
        <v>#N/A</v>
      </c>
      <c r="BP26" t="e">
        <f t="shared" si="21"/>
        <v>#N/A</v>
      </c>
      <c r="BQ26" t="e">
        <f t="shared" si="21"/>
        <v>#N/A</v>
      </c>
      <c r="BR26" t="e">
        <f t="shared" si="21"/>
        <v>#N/A</v>
      </c>
      <c r="BS26" t="e">
        <f t="shared" si="21"/>
        <v>#N/A</v>
      </c>
      <c r="BT26" t="e">
        <f t="shared" si="21"/>
        <v>#N/A</v>
      </c>
      <c r="BU26" t="e">
        <f t="shared" si="21"/>
        <v>#N/A</v>
      </c>
      <c r="BV26" t="e">
        <f t="shared" ref="BV26:EG26" si="22">IF(BV8=0,NA(),BV8-ROUNDUP(BV8*0.1,2)-ROUNDUP(BV8*0.05,2))</f>
        <v>#N/A</v>
      </c>
      <c r="BW26" t="e">
        <f t="shared" si="22"/>
        <v>#N/A</v>
      </c>
      <c r="BX26" t="e">
        <f t="shared" si="22"/>
        <v>#N/A</v>
      </c>
      <c r="BY26" t="e">
        <f t="shared" si="22"/>
        <v>#N/A</v>
      </c>
      <c r="BZ26" t="e">
        <f t="shared" si="22"/>
        <v>#N/A</v>
      </c>
      <c r="CA26" t="e">
        <f t="shared" si="22"/>
        <v>#N/A</v>
      </c>
      <c r="CB26" t="e">
        <f t="shared" si="22"/>
        <v>#N/A</v>
      </c>
      <c r="CC26" t="e">
        <f t="shared" si="22"/>
        <v>#N/A</v>
      </c>
      <c r="CD26" t="e">
        <f t="shared" si="22"/>
        <v>#N/A</v>
      </c>
      <c r="CE26" t="e">
        <f t="shared" si="22"/>
        <v>#N/A</v>
      </c>
      <c r="CF26" t="e">
        <f t="shared" si="22"/>
        <v>#N/A</v>
      </c>
      <c r="CG26" t="e">
        <f t="shared" si="22"/>
        <v>#N/A</v>
      </c>
      <c r="CH26" t="e">
        <f t="shared" si="22"/>
        <v>#N/A</v>
      </c>
      <c r="CI26" t="e">
        <f t="shared" si="22"/>
        <v>#N/A</v>
      </c>
      <c r="CJ26" t="e">
        <f t="shared" si="22"/>
        <v>#N/A</v>
      </c>
      <c r="CK26" t="e">
        <f t="shared" si="22"/>
        <v>#N/A</v>
      </c>
      <c r="CL26" t="e">
        <f t="shared" si="22"/>
        <v>#N/A</v>
      </c>
      <c r="CM26" t="e">
        <f t="shared" si="22"/>
        <v>#N/A</v>
      </c>
      <c r="CN26" t="e">
        <f t="shared" si="22"/>
        <v>#N/A</v>
      </c>
      <c r="CO26" t="e">
        <f t="shared" si="22"/>
        <v>#N/A</v>
      </c>
      <c r="CP26" t="e">
        <f t="shared" si="22"/>
        <v>#N/A</v>
      </c>
      <c r="CQ26" t="e">
        <f t="shared" si="22"/>
        <v>#N/A</v>
      </c>
      <c r="CR26" t="e">
        <f t="shared" si="22"/>
        <v>#N/A</v>
      </c>
      <c r="CS26" t="e">
        <f t="shared" si="22"/>
        <v>#N/A</v>
      </c>
      <c r="CT26" t="e">
        <f t="shared" si="22"/>
        <v>#N/A</v>
      </c>
      <c r="CU26" t="e">
        <f t="shared" si="22"/>
        <v>#N/A</v>
      </c>
      <c r="CV26" t="e">
        <f t="shared" si="22"/>
        <v>#N/A</v>
      </c>
      <c r="CW26" t="e">
        <f t="shared" si="22"/>
        <v>#N/A</v>
      </c>
      <c r="CX26" t="e">
        <f t="shared" si="22"/>
        <v>#N/A</v>
      </c>
      <c r="CY26" t="e">
        <f t="shared" si="22"/>
        <v>#N/A</v>
      </c>
      <c r="CZ26" t="e">
        <f t="shared" si="22"/>
        <v>#N/A</v>
      </c>
      <c r="DA26" t="e">
        <f t="shared" si="22"/>
        <v>#N/A</v>
      </c>
      <c r="DB26" t="e">
        <f t="shared" si="22"/>
        <v>#N/A</v>
      </c>
      <c r="DC26" t="e">
        <f t="shared" si="22"/>
        <v>#N/A</v>
      </c>
      <c r="DD26" t="e">
        <f t="shared" si="22"/>
        <v>#N/A</v>
      </c>
      <c r="DE26" t="e">
        <f t="shared" si="22"/>
        <v>#N/A</v>
      </c>
      <c r="DF26" t="e">
        <f t="shared" si="22"/>
        <v>#N/A</v>
      </c>
      <c r="DG26" t="e">
        <f t="shared" si="22"/>
        <v>#N/A</v>
      </c>
      <c r="DH26" t="e">
        <f t="shared" si="22"/>
        <v>#N/A</v>
      </c>
      <c r="DI26" t="e">
        <f t="shared" si="22"/>
        <v>#N/A</v>
      </c>
      <c r="DJ26" t="e">
        <f t="shared" si="22"/>
        <v>#N/A</v>
      </c>
      <c r="DK26" t="e">
        <f t="shared" si="22"/>
        <v>#N/A</v>
      </c>
      <c r="DL26" t="e">
        <f t="shared" si="22"/>
        <v>#N/A</v>
      </c>
      <c r="DM26" t="e">
        <f t="shared" si="22"/>
        <v>#N/A</v>
      </c>
      <c r="DN26" t="e">
        <f t="shared" si="22"/>
        <v>#N/A</v>
      </c>
      <c r="DO26" t="e">
        <f t="shared" si="22"/>
        <v>#N/A</v>
      </c>
      <c r="DP26" t="e">
        <f t="shared" si="22"/>
        <v>#N/A</v>
      </c>
      <c r="DQ26" t="e">
        <f t="shared" si="22"/>
        <v>#N/A</v>
      </c>
      <c r="DR26" t="e">
        <f t="shared" si="22"/>
        <v>#N/A</v>
      </c>
      <c r="DS26" t="e">
        <f t="shared" si="22"/>
        <v>#N/A</v>
      </c>
      <c r="DT26" t="e">
        <f t="shared" si="22"/>
        <v>#N/A</v>
      </c>
      <c r="DU26" t="e">
        <f t="shared" si="22"/>
        <v>#N/A</v>
      </c>
      <c r="DV26" t="e">
        <f t="shared" si="22"/>
        <v>#N/A</v>
      </c>
      <c r="DW26" t="e">
        <f t="shared" si="22"/>
        <v>#N/A</v>
      </c>
      <c r="DX26" t="e">
        <f t="shared" si="22"/>
        <v>#N/A</v>
      </c>
      <c r="DY26" t="e">
        <f t="shared" si="22"/>
        <v>#N/A</v>
      </c>
      <c r="DZ26" t="e">
        <f t="shared" si="22"/>
        <v>#N/A</v>
      </c>
      <c r="EA26" t="e">
        <f t="shared" si="22"/>
        <v>#N/A</v>
      </c>
      <c r="EB26" t="e">
        <f t="shared" si="22"/>
        <v>#N/A</v>
      </c>
      <c r="EC26" t="e">
        <f t="shared" si="22"/>
        <v>#N/A</v>
      </c>
      <c r="ED26" t="e">
        <f t="shared" si="22"/>
        <v>#N/A</v>
      </c>
      <c r="EE26" t="e">
        <f t="shared" si="22"/>
        <v>#N/A</v>
      </c>
      <c r="EF26" t="e">
        <f t="shared" si="22"/>
        <v>#N/A</v>
      </c>
      <c r="EG26" t="e">
        <f t="shared" si="22"/>
        <v>#N/A</v>
      </c>
      <c r="EH26" t="e">
        <f t="shared" ref="EH26:GA26" si="23">IF(EH8=0,NA(),EH8-ROUNDUP(EH8*0.1,2)-ROUNDUP(EH8*0.05,2))</f>
        <v>#N/A</v>
      </c>
      <c r="EI26" t="e">
        <f t="shared" si="23"/>
        <v>#N/A</v>
      </c>
      <c r="EJ26" t="e">
        <f t="shared" si="23"/>
        <v>#N/A</v>
      </c>
      <c r="EK26" t="e">
        <f t="shared" si="23"/>
        <v>#N/A</v>
      </c>
      <c r="EL26" t="e">
        <f t="shared" si="23"/>
        <v>#N/A</v>
      </c>
      <c r="EM26" t="e">
        <f t="shared" si="23"/>
        <v>#N/A</v>
      </c>
      <c r="EN26" t="e">
        <f t="shared" si="23"/>
        <v>#N/A</v>
      </c>
      <c r="EO26" t="e">
        <f t="shared" si="23"/>
        <v>#N/A</v>
      </c>
      <c r="EP26" t="e">
        <f t="shared" si="23"/>
        <v>#N/A</v>
      </c>
      <c r="EQ26" t="e">
        <f t="shared" si="23"/>
        <v>#N/A</v>
      </c>
      <c r="ER26" t="e">
        <f t="shared" si="23"/>
        <v>#N/A</v>
      </c>
      <c r="ES26" t="e">
        <f t="shared" si="23"/>
        <v>#N/A</v>
      </c>
      <c r="ET26" t="e">
        <f t="shared" si="23"/>
        <v>#N/A</v>
      </c>
      <c r="EU26" t="e">
        <f t="shared" si="23"/>
        <v>#N/A</v>
      </c>
      <c r="EV26" t="e">
        <f t="shared" si="23"/>
        <v>#N/A</v>
      </c>
      <c r="EW26" t="e">
        <f t="shared" si="23"/>
        <v>#N/A</v>
      </c>
      <c r="EX26" t="e">
        <f t="shared" si="23"/>
        <v>#N/A</v>
      </c>
      <c r="EY26" t="e">
        <f t="shared" si="23"/>
        <v>#N/A</v>
      </c>
      <c r="EZ26" t="e">
        <f t="shared" si="23"/>
        <v>#N/A</v>
      </c>
      <c r="FA26" t="e">
        <f t="shared" si="23"/>
        <v>#N/A</v>
      </c>
      <c r="FB26" t="e">
        <f t="shared" si="23"/>
        <v>#N/A</v>
      </c>
      <c r="FC26" t="e">
        <f t="shared" si="23"/>
        <v>#N/A</v>
      </c>
      <c r="FD26" t="e">
        <f t="shared" si="23"/>
        <v>#N/A</v>
      </c>
      <c r="FE26" t="e">
        <f t="shared" si="23"/>
        <v>#N/A</v>
      </c>
      <c r="FF26" t="e">
        <f t="shared" si="23"/>
        <v>#N/A</v>
      </c>
      <c r="FG26" t="e">
        <f t="shared" si="23"/>
        <v>#N/A</v>
      </c>
      <c r="FH26" t="e">
        <f t="shared" si="23"/>
        <v>#N/A</v>
      </c>
      <c r="FI26" t="e">
        <f t="shared" si="23"/>
        <v>#N/A</v>
      </c>
      <c r="FJ26" t="e">
        <f t="shared" si="23"/>
        <v>#N/A</v>
      </c>
      <c r="FK26" t="e">
        <f t="shared" si="23"/>
        <v>#N/A</v>
      </c>
      <c r="FL26" t="e">
        <f t="shared" si="23"/>
        <v>#N/A</v>
      </c>
      <c r="FM26" t="e">
        <f t="shared" si="23"/>
        <v>#N/A</v>
      </c>
      <c r="FN26" t="e">
        <f t="shared" si="23"/>
        <v>#N/A</v>
      </c>
      <c r="FO26" t="e">
        <f t="shared" si="23"/>
        <v>#N/A</v>
      </c>
      <c r="FP26" t="e">
        <f t="shared" si="23"/>
        <v>#N/A</v>
      </c>
      <c r="FQ26" t="e">
        <f t="shared" si="23"/>
        <v>#N/A</v>
      </c>
      <c r="FR26" t="e">
        <f t="shared" si="23"/>
        <v>#N/A</v>
      </c>
      <c r="FS26" t="e">
        <f t="shared" si="23"/>
        <v>#N/A</v>
      </c>
      <c r="FT26" t="e">
        <f t="shared" si="23"/>
        <v>#N/A</v>
      </c>
      <c r="FU26" t="e">
        <f t="shared" si="23"/>
        <v>#N/A</v>
      </c>
      <c r="FV26" t="e">
        <f t="shared" si="23"/>
        <v>#N/A</v>
      </c>
      <c r="FW26" t="e">
        <f t="shared" si="23"/>
        <v>#N/A</v>
      </c>
      <c r="FX26" t="e">
        <f t="shared" si="23"/>
        <v>#N/A</v>
      </c>
      <c r="FY26" t="e">
        <f t="shared" si="23"/>
        <v>#N/A</v>
      </c>
      <c r="FZ26" t="e">
        <f t="shared" si="23"/>
        <v>#N/A</v>
      </c>
      <c r="GA26" t="e">
        <f t="shared" si="23"/>
        <v>#N/A</v>
      </c>
    </row>
    <row r="27" spans="1:183" x14ac:dyDescent="0.45">
      <c r="B27" t="s">
        <v>6</v>
      </c>
      <c r="C27" cm="1">
        <f t="array" ref="C27">LOOKUP(2,1/(I27:GA27&lt;&gt;""),I27:GA27)</f>
        <v>0.28000000000000003</v>
      </c>
      <c r="D27">
        <f t="shared" si="7"/>
        <v>45</v>
      </c>
      <c r="F27" s="3">
        <f t="shared" si="0"/>
        <v>0.75000000000000011</v>
      </c>
      <c r="G27" s="3" cm="1">
        <f t="array" ref="G27">(C27-IF(ISNA(INDEX(I27:GA27,D27-22)),INDEX(I27:GA27,D27-23),INDEX(I27:GA27,D27-22)))/IF(ISNA(INDEX(I27:GA27,D27-22)),INDEX(I27:GA27,D27-23),INDEX(I27:GA27,D27-22))</f>
        <v>0.12000000000000011</v>
      </c>
      <c r="I27">
        <f t="shared" si="8"/>
        <v>0.16</v>
      </c>
      <c r="J27">
        <f t="shared" ref="J27:BU27" si="24">IF(J9=0,NA(),J9-ROUNDUP(J9*0.1,2)-ROUNDUP(J9*0.05,2))</f>
        <v>0.16</v>
      </c>
      <c r="K27" t="e">
        <f t="shared" si="24"/>
        <v>#N/A</v>
      </c>
      <c r="L27">
        <f t="shared" si="24"/>
        <v>0.16</v>
      </c>
      <c r="M27" t="e">
        <f t="shared" si="24"/>
        <v>#N/A</v>
      </c>
      <c r="N27">
        <f t="shared" si="24"/>
        <v>0.16</v>
      </c>
      <c r="O27">
        <f t="shared" si="24"/>
        <v>0.16</v>
      </c>
      <c r="P27">
        <f t="shared" si="24"/>
        <v>0.16</v>
      </c>
      <c r="Q27">
        <f t="shared" si="24"/>
        <v>0.16</v>
      </c>
      <c r="R27">
        <f t="shared" si="24"/>
        <v>0.16</v>
      </c>
      <c r="S27">
        <f t="shared" si="24"/>
        <v>0.16</v>
      </c>
      <c r="T27">
        <f t="shared" si="24"/>
        <v>0.17</v>
      </c>
      <c r="U27">
        <f t="shared" si="24"/>
        <v>0.17</v>
      </c>
      <c r="V27">
        <f t="shared" si="24"/>
        <v>0.16</v>
      </c>
      <c r="W27">
        <f t="shared" si="24"/>
        <v>0.16</v>
      </c>
      <c r="X27">
        <f t="shared" si="24"/>
        <v>0.19</v>
      </c>
      <c r="Y27">
        <f t="shared" si="24"/>
        <v>0.19</v>
      </c>
      <c r="Z27">
        <f t="shared" si="24"/>
        <v>0.19</v>
      </c>
      <c r="AA27">
        <f t="shared" si="24"/>
        <v>0.21000000000000002</v>
      </c>
      <c r="AB27">
        <f t="shared" si="24"/>
        <v>0.22000000000000003</v>
      </c>
      <c r="AC27">
        <f t="shared" si="24"/>
        <v>0.28000000000000003</v>
      </c>
      <c r="AD27">
        <f t="shared" si="24"/>
        <v>0.35</v>
      </c>
      <c r="AE27">
        <f t="shared" si="24"/>
        <v>0.25</v>
      </c>
      <c r="AF27">
        <f t="shared" si="24"/>
        <v>0.25</v>
      </c>
      <c r="AG27">
        <f t="shared" si="24"/>
        <v>0.28000000000000003</v>
      </c>
      <c r="AH27">
        <f t="shared" si="24"/>
        <v>0.25</v>
      </c>
      <c r="AI27">
        <f t="shared" si="24"/>
        <v>0.3</v>
      </c>
      <c r="AJ27">
        <f t="shared" si="24"/>
        <v>0.32</v>
      </c>
      <c r="AK27">
        <f t="shared" si="24"/>
        <v>0.3</v>
      </c>
      <c r="AL27">
        <f t="shared" si="24"/>
        <v>0.3</v>
      </c>
      <c r="AM27">
        <f t="shared" si="24"/>
        <v>0.28000000000000003</v>
      </c>
      <c r="AN27" t="e">
        <f t="shared" si="24"/>
        <v>#N/A</v>
      </c>
      <c r="AO27">
        <f t="shared" si="24"/>
        <v>0.26</v>
      </c>
      <c r="AP27">
        <f t="shared" si="24"/>
        <v>0.25</v>
      </c>
      <c r="AQ27">
        <f t="shared" si="24"/>
        <v>0.25</v>
      </c>
      <c r="AR27">
        <f t="shared" si="24"/>
        <v>0.28000000000000003</v>
      </c>
      <c r="AS27">
        <f t="shared" si="24"/>
        <v>0.28000000000000003</v>
      </c>
      <c r="AT27" t="e">
        <f t="shared" si="24"/>
        <v>#N/A</v>
      </c>
      <c r="AU27" t="e">
        <f t="shared" si="24"/>
        <v>#N/A</v>
      </c>
      <c r="AV27" t="e">
        <f t="shared" si="24"/>
        <v>#N/A</v>
      </c>
      <c r="AW27" t="e">
        <f t="shared" si="24"/>
        <v>#N/A</v>
      </c>
      <c r="AX27" t="e">
        <f t="shared" si="24"/>
        <v>#N/A</v>
      </c>
      <c r="AY27" t="e">
        <f t="shared" si="24"/>
        <v>#N/A</v>
      </c>
      <c r="AZ27" t="e">
        <f t="shared" si="24"/>
        <v>#N/A</v>
      </c>
      <c r="BA27" t="e">
        <f t="shared" si="24"/>
        <v>#N/A</v>
      </c>
      <c r="BB27" t="e">
        <f t="shared" si="24"/>
        <v>#N/A</v>
      </c>
      <c r="BC27" t="e">
        <f t="shared" si="24"/>
        <v>#N/A</v>
      </c>
      <c r="BD27" t="e">
        <f t="shared" si="24"/>
        <v>#N/A</v>
      </c>
      <c r="BE27" t="e">
        <f t="shared" si="24"/>
        <v>#N/A</v>
      </c>
      <c r="BF27" t="e">
        <f t="shared" si="24"/>
        <v>#N/A</v>
      </c>
      <c r="BG27" t="e">
        <f t="shared" si="24"/>
        <v>#N/A</v>
      </c>
      <c r="BH27" t="e">
        <f t="shared" si="24"/>
        <v>#N/A</v>
      </c>
      <c r="BI27" t="e">
        <f t="shared" si="24"/>
        <v>#N/A</v>
      </c>
      <c r="BJ27" t="e">
        <f t="shared" si="24"/>
        <v>#N/A</v>
      </c>
      <c r="BK27" t="e">
        <f t="shared" si="24"/>
        <v>#N/A</v>
      </c>
      <c r="BL27" t="e">
        <f t="shared" si="24"/>
        <v>#N/A</v>
      </c>
      <c r="BM27" t="e">
        <f t="shared" si="24"/>
        <v>#N/A</v>
      </c>
      <c r="BN27" t="e">
        <f t="shared" si="24"/>
        <v>#N/A</v>
      </c>
      <c r="BO27" t="e">
        <f t="shared" si="24"/>
        <v>#N/A</v>
      </c>
      <c r="BP27" t="e">
        <f t="shared" si="24"/>
        <v>#N/A</v>
      </c>
      <c r="BQ27" t="e">
        <f t="shared" si="24"/>
        <v>#N/A</v>
      </c>
      <c r="BR27" t="e">
        <f t="shared" si="24"/>
        <v>#N/A</v>
      </c>
      <c r="BS27" t="e">
        <f t="shared" si="24"/>
        <v>#N/A</v>
      </c>
      <c r="BT27" t="e">
        <f t="shared" si="24"/>
        <v>#N/A</v>
      </c>
      <c r="BU27" t="e">
        <f t="shared" si="24"/>
        <v>#N/A</v>
      </c>
      <c r="BV27" t="e">
        <f t="shared" ref="BV27:EG27" si="25">IF(BV9=0,NA(),BV9-ROUNDUP(BV9*0.1,2)-ROUNDUP(BV9*0.05,2))</f>
        <v>#N/A</v>
      </c>
      <c r="BW27" t="e">
        <f t="shared" si="25"/>
        <v>#N/A</v>
      </c>
      <c r="BX27" t="e">
        <f t="shared" si="25"/>
        <v>#N/A</v>
      </c>
      <c r="BY27" t="e">
        <f t="shared" si="25"/>
        <v>#N/A</v>
      </c>
      <c r="BZ27" t="e">
        <f t="shared" si="25"/>
        <v>#N/A</v>
      </c>
      <c r="CA27" t="e">
        <f t="shared" si="25"/>
        <v>#N/A</v>
      </c>
      <c r="CB27" t="e">
        <f t="shared" si="25"/>
        <v>#N/A</v>
      </c>
      <c r="CC27" t="e">
        <f t="shared" si="25"/>
        <v>#N/A</v>
      </c>
      <c r="CD27" t="e">
        <f t="shared" si="25"/>
        <v>#N/A</v>
      </c>
      <c r="CE27" t="e">
        <f t="shared" si="25"/>
        <v>#N/A</v>
      </c>
      <c r="CF27" t="e">
        <f t="shared" si="25"/>
        <v>#N/A</v>
      </c>
      <c r="CG27" t="e">
        <f t="shared" si="25"/>
        <v>#N/A</v>
      </c>
      <c r="CH27" t="e">
        <f t="shared" si="25"/>
        <v>#N/A</v>
      </c>
      <c r="CI27" t="e">
        <f t="shared" si="25"/>
        <v>#N/A</v>
      </c>
      <c r="CJ27" t="e">
        <f t="shared" si="25"/>
        <v>#N/A</v>
      </c>
      <c r="CK27" t="e">
        <f t="shared" si="25"/>
        <v>#N/A</v>
      </c>
      <c r="CL27" t="e">
        <f t="shared" si="25"/>
        <v>#N/A</v>
      </c>
      <c r="CM27" t="e">
        <f t="shared" si="25"/>
        <v>#N/A</v>
      </c>
      <c r="CN27" t="e">
        <f t="shared" si="25"/>
        <v>#N/A</v>
      </c>
      <c r="CO27" t="e">
        <f t="shared" si="25"/>
        <v>#N/A</v>
      </c>
      <c r="CP27" t="e">
        <f t="shared" si="25"/>
        <v>#N/A</v>
      </c>
      <c r="CQ27" t="e">
        <f t="shared" si="25"/>
        <v>#N/A</v>
      </c>
      <c r="CR27" t="e">
        <f t="shared" si="25"/>
        <v>#N/A</v>
      </c>
      <c r="CS27" t="e">
        <f t="shared" si="25"/>
        <v>#N/A</v>
      </c>
      <c r="CT27" t="e">
        <f t="shared" si="25"/>
        <v>#N/A</v>
      </c>
      <c r="CU27" t="e">
        <f t="shared" si="25"/>
        <v>#N/A</v>
      </c>
      <c r="CV27" t="e">
        <f t="shared" si="25"/>
        <v>#N/A</v>
      </c>
      <c r="CW27" t="e">
        <f t="shared" si="25"/>
        <v>#N/A</v>
      </c>
      <c r="CX27" t="e">
        <f t="shared" si="25"/>
        <v>#N/A</v>
      </c>
      <c r="CY27" t="e">
        <f t="shared" si="25"/>
        <v>#N/A</v>
      </c>
      <c r="CZ27" t="e">
        <f t="shared" si="25"/>
        <v>#N/A</v>
      </c>
      <c r="DA27" t="e">
        <f t="shared" si="25"/>
        <v>#N/A</v>
      </c>
      <c r="DB27" t="e">
        <f t="shared" si="25"/>
        <v>#N/A</v>
      </c>
      <c r="DC27" t="e">
        <f t="shared" si="25"/>
        <v>#N/A</v>
      </c>
      <c r="DD27" t="e">
        <f t="shared" si="25"/>
        <v>#N/A</v>
      </c>
      <c r="DE27" t="e">
        <f t="shared" si="25"/>
        <v>#N/A</v>
      </c>
      <c r="DF27" t="e">
        <f t="shared" si="25"/>
        <v>#N/A</v>
      </c>
      <c r="DG27" t="e">
        <f t="shared" si="25"/>
        <v>#N/A</v>
      </c>
      <c r="DH27" t="e">
        <f t="shared" si="25"/>
        <v>#N/A</v>
      </c>
      <c r="DI27" t="e">
        <f t="shared" si="25"/>
        <v>#N/A</v>
      </c>
      <c r="DJ27" t="e">
        <f t="shared" si="25"/>
        <v>#N/A</v>
      </c>
      <c r="DK27" t="e">
        <f t="shared" si="25"/>
        <v>#N/A</v>
      </c>
      <c r="DL27" t="e">
        <f t="shared" si="25"/>
        <v>#N/A</v>
      </c>
      <c r="DM27" t="e">
        <f t="shared" si="25"/>
        <v>#N/A</v>
      </c>
      <c r="DN27" t="e">
        <f t="shared" si="25"/>
        <v>#N/A</v>
      </c>
      <c r="DO27" t="e">
        <f t="shared" si="25"/>
        <v>#N/A</v>
      </c>
      <c r="DP27" t="e">
        <f t="shared" si="25"/>
        <v>#N/A</v>
      </c>
      <c r="DQ27" t="e">
        <f t="shared" si="25"/>
        <v>#N/A</v>
      </c>
      <c r="DR27" t="e">
        <f t="shared" si="25"/>
        <v>#N/A</v>
      </c>
      <c r="DS27" t="e">
        <f t="shared" si="25"/>
        <v>#N/A</v>
      </c>
      <c r="DT27" t="e">
        <f t="shared" si="25"/>
        <v>#N/A</v>
      </c>
      <c r="DU27" t="e">
        <f t="shared" si="25"/>
        <v>#N/A</v>
      </c>
      <c r="DV27" t="e">
        <f t="shared" si="25"/>
        <v>#N/A</v>
      </c>
      <c r="DW27" t="e">
        <f t="shared" si="25"/>
        <v>#N/A</v>
      </c>
      <c r="DX27" t="e">
        <f t="shared" si="25"/>
        <v>#N/A</v>
      </c>
      <c r="DY27" t="e">
        <f t="shared" si="25"/>
        <v>#N/A</v>
      </c>
      <c r="DZ27" t="e">
        <f t="shared" si="25"/>
        <v>#N/A</v>
      </c>
      <c r="EA27" t="e">
        <f t="shared" si="25"/>
        <v>#N/A</v>
      </c>
      <c r="EB27" t="e">
        <f t="shared" si="25"/>
        <v>#N/A</v>
      </c>
      <c r="EC27" t="e">
        <f t="shared" si="25"/>
        <v>#N/A</v>
      </c>
      <c r="ED27" t="e">
        <f t="shared" si="25"/>
        <v>#N/A</v>
      </c>
      <c r="EE27" t="e">
        <f t="shared" si="25"/>
        <v>#N/A</v>
      </c>
      <c r="EF27" t="e">
        <f t="shared" si="25"/>
        <v>#N/A</v>
      </c>
      <c r="EG27" t="e">
        <f t="shared" si="25"/>
        <v>#N/A</v>
      </c>
      <c r="EH27" t="e">
        <f t="shared" ref="EH27:GA27" si="26">IF(EH9=0,NA(),EH9-ROUNDUP(EH9*0.1,2)-ROUNDUP(EH9*0.05,2))</f>
        <v>#N/A</v>
      </c>
      <c r="EI27" t="e">
        <f t="shared" si="26"/>
        <v>#N/A</v>
      </c>
      <c r="EJ27" t="e">
        <f t="shared" si="26"/>
        <v>#N/A</v>
      </c>
      <c r="EK27" t="e">
        <f t="shared" si="26"/>
        <v>#N/A</v>
      </c>
      <c r="EL27" t="e">
        <f t="shared" si="26"/>
        <v>#N/A</v>
      </c>
      <c r="EM27" t="e">
        <f t="shared" si="26"/>
        <v>#N/A</v>
      </c>
      <c r="EN27" t="e">
        <f t="shared" si="26"/>
        <v>#N/A</v>
      </c>
      <c r="EO27" t="e">
        <f t="shared" si="26"/>
        <v>#N/A</v>
      </c>
      <c r="EP27" t="e">
        <f t="shared" si="26"/>
        <v>#N/A</v>
      </c>
      <c r="EQ27" t="e">
        <f t="shared" si="26"/>
        <v>#N/A</v>
      </c>
      <c r="ER27" t="e">
        <f t="shared" si="26"/>
        <v>#N/A</v>
      </c>
      <c r="ES27" t="e">
        <f t="shared" si="26"/>
        <v>#N/A</v>
      </c>
      <c r="ET27" t="e">
        <f t="shared" si="26"/>
        <v>#N/A</v>
      </c>
      <c r="EU27" t="e">
        <f t="shared" si="26"/>
        <v>#N/A</v>
      </c>
      <c r="EV27" t="e">
        <f t="shared" si="26"/>
        <v>#N/A</v>
      </c>
      <c r="EW27" t="e">
        <f t="shared" si="26"/>
        <v>#N/A</v>
      </c>
      <c r="EX27" t="e">
        <f t="shared" si="26"/>
        <v>#N/A</v>
      </c>
      <c r="EY27" t="e">
        <f t="shared" si="26"/>
        <v>#N/A</v>
      </c>
      <c r="EZ27" t="e">
        <f t="shared" si="26"/>
        <v>#N/A</v>
      </c>
      <c r="FA27" t="e">
        <f t="shared" si="26"/>
        <v>#N/A</v>
      </c>
      <c r="FB27" t="e">
        <f t="shared" si="26"/>
        <v>#N/A</v>
      </c>
      <c r="FC27" t="e">
        <f t="shared" si="26"/>
        <v>#N/A</v>
      </c>
      <c r="FD27" t="e">
        <f t="shared" si="26"/>
        <v>#N/A</v>
      </c>
      <c r="FE27" t="e">
        <f t="shared" si="26"/>
        <v>#N/A</v>
      </c>
      <c r="FF27" t="e">
        <f t="shared" si="26"/>
        <v>#N/A</v>
      </c>
      <c r="FG27" t="e">
        <f t="shared" si="26"/>
        <v>#N/A</v>
      </c>
      <c r="FH27" t="e">
        <f t="shared" si="26"/>
        <v>#N/A</v>
      </c>
      <c r="FI27" t="e">
        <f t="shared" si="26"/>
        <v>#N/A</v>
      </c>
      <c r="FJ27" t="e">
        <f t="shared" si="26"/>
        <v>#N/A</v>
      </c>
      <c r="FK27" t="e">
        <f t="shared" si="26"/>
        <v>#N/A</v>
      </c>
      <c r="FL27" t="e">
        <f t="shared" si="26"/>
        <v>#N/A</v>
      </c>
      <c r="FM27" t="e">
        <f t="shared" si="26"/>
        <v>#N/A</v>
      </c>
      <c r="FN27" t="e">
        <f t="shared" si="26"/>
        <v>#N/A</v>
      </c>
      <c r="FO27" t="e">
        <f t="shared" si="26"/>
        <v>#N/A</v>
      </c>
      <c r="FP27" t="e">
        <f t="shared" si="26"/>
        <v>#N/A</v>
      </c>
      <c r="FQ27" t="e">
        <f t="shared" si="26"/>
        <v>#N/A</v>
      </c>
      <c r="FR27" t="e">
        <f t="shared" si="26"/>
        <v>#N/A</v>
      </c>
      <c r="FS27" t="e">
        <f t="shared" si="26"/>
        <v>#N/A</v>
      </c>
      <c r="FT27" t="e">
        <f t="shared" si="26"/>
        <v>#N/A</v>
      </c>
      <c r="FU27" t="e">
        <f t="shared" si="26"/>
        <v>#N/A</v>
      </c>
      <c r="FV27" t="e">
        <f t="shared" si="26"/>
        <v>#N/A</v>
      </c>
      <c r="FW27" t="e">
        <f t="shared" si="26"/>
        <v>#N/A</v>
      </c>
      <c r="FX27" t="e">
        <f t="shared" si="26"/>
        <v>#N/A</v>
      </c>
      <c r="FY27" t="e">
        <f t="shared" si="26"/>
        <v>#N/A</v>
      </c>
      <c r="FZ27" t="e">
        <f t="shared" si="26"/>
        <v>#N/A</v>
      </c>
      <c r="GA27" t="e">
        <f t="shared" si="26"/>
        <v>#N/A</v>
      </c>
    </row>
    <row r="28" spans="1:183" x14ac:dyDescent="0.45">
      <c r="B28" t="s">
        <v>7</v>
      </c>
      <c r="C28" cm="1">
        <f t="array" ref="C28">LOOKUP(2,1/(I28:GA28&lt;&gt;""),I28:GA28)</f>
        <v>0.31</v>
      </c>
      <c r="D28">
        <f t="shared" si="7"/>
        <v>45</v>
      </c>
      <c r="F28" s="3">
        <f t="shared" si="0"/>
        <v>1.214285714285714</v>
      </c>
      <c r="G28" s="3" cm="1">
        <f t="array" ref="G28">(C28-IF(ISNA(INDEX(I28:GA28,D28-22)),INDEX(I28:GA28,D28-23),INDEX(I28:GA28,D28-22)))/IF(ISNA(INDEX(I28:GA28,D28-22)),INDEX(I28:GA28,D28-23),INDEX(I28:GA28,D28-22))</f>
        <v>0.10714285714285703</v>
      </c>
      <c r="I28">
        <f t="shared" si="8"/>
        <v>0.14000000000000001</v>
      </c>
      <c r="J28">
        <f t="shared" ref="J28:BU28" si="27">IF(J10=0,NA(),J10-ROUNDUP(J10*0.1,2)-ROUNDUP(J10*0.05,2))</f>
        <v>0.14000000000000001</v>
      </c>
      <c r="K28" t="e">
        <f t="shared" si="27"/>
        <v>#N/A</v>
      </c>
      <c r="L28">
        <f t="shared" si="27"/>
        <v>0.16</v>
      </c>
      <c r="M28" t="e">
        <f t="shared" si="27"/>
        <v>#N/A</v>
      </c>
      <c r="N28">
        <f t="shared" si="27"/>
        <v>0.16</v>
      </c>
      <c r="O28">
        <f t="shared" si="27"/>
        <v>0.14000000000000001</v>
      </c>
      <c r="P28">
        <f t="shared" si="27"/>
        <v>0.15</v>
      </c>
      <c r="Q28">
        <f t="shared" si="27"/>
        <v>0.15</v>
      </c>
      <c r="R28">
        <f t="shared" si="27"/>
        <v>0.14000000000000001</v>
      </c>
      <c r="S28">
        <f t="shared" si="27"/>
        <v>0.14000000000000001</v>
      </c>
      <c r="T28">
        <f t="shared" si="27"/>
        <v>0.15</v>
      </c>
      <c r="U28">
        <f t="shared" si="27"/>
        <v>0.15</v>
      </c>
      <c r="V28">
        <f t="shared" si="27"/>
        <v>0.16</v>
      </c>
      <c r="W28">
        <f t="shared" si="27"/>
        <v>0.17</v>
      </c>
      <c r="X28">
        <f t="shared" si="27"/>
        <v>0.16</v>
      </c>
      <c r="Y28">
        <f t="shared" si="27"/>
        <v>0.16</v>
      </c>
      <c r="Z28">
        <f t="shared" si="27"/>
        <v>0.19</v>
      </c>
      <c r="AA28">
        <f t="shared" si="27"/>
        <v>0.19</v>
      </c>
      <c r="AB28">
        <f t="shared" si="27"/>
        <v>0.18000000000000002</v>
      </c>
      <c r="AC28">
        <f t="shared" si="27"/>
        <v>0.28000000000000003</v>
      </c>
      <c r="AD28">
        <f t="shared" si="27"/>
        <v>0.33</v>
      </c>
      <c r="AE28">
        <f t="shared" si="27"/>
        <v>0.28000000000000003</v>
      </c>
      <c r="AF28">
        <f t="shared" si="27"/>
        <v>0.3</v>
      </c>
      <c r="AG28">
        <f t="shared" si="27"/>
        <v>0.3</v>
      </c>
      <c r="AH28">
        <f t="shared" si="27"/>
        <v>0.31</v>
      </c>
      <c r="AI28">
        <f t="shared" si="27"/>
        <v>0.3</v>
      </c>
      <c r="AJ28">
        <f t="shared" si="27"/>
        <v>0.32</v>
      </c>
      <c r="AK28">
        <f t="shared" si="27"/>
        <v>0.34</v>
      </c>
      <c r="AL28">
        <f t="shared" si="27"/>
        <v>0.33</v>
      </c>
      <c r="AM28">
        <f t="shared" si="27"/>
        <v>0.31</v>
      </c>
      <c r="AN28" t="e">
        <f t="shared" si="27"/>
        <v>#N/A</v>
      </c>
      <c r="AO28">
        <f t="shared" si="27"/>
        <v>0.3</v>
      </c>
      <c r="AP28">
        <f t="shared" si="27"/>
        <v>0.31</v>
      </c>
      <c r="AQ28">
        <f t="shared" si="27"/>
        <v>0.31</v>
      </c>
      <c r="AR28">
        <f t="shared" si="27"/>
        <v>0.3</v>
      </c>
      <c r="AS28">
        <f t="shared" si="27"/>
        <v>0.31</v>
      </c>
      <c r="AT28" t="e">
        <f t="shared" si="27"/>
        <v>#N/A</v>
      </c>
      <c r="AU28" t="e">
        <f t="shared" si="27"/>
        <v>#N/A</v>
      </c>
      <c r="AV28" t="e">
        <f t="shared" si="27"/>
        <v>#N/A</v>
      </c>
      <c r="AW28" t="e">
        <f t="shared" si="27"/>
        <v>#N/A</v>
      </c>
      <c r="AX28" t="e">
        <f t="shared" si="27"/>
        <v>#N/A</v>
      </c>
      <c r="AY28" t="e">
        <f t="shared" si="27"/>
        <v>#N/A</v>
      </c>
      <c r="AZ28" t="e">
        <f t="shared" si="27"/>
        <v>#N/A</v>
      </c>
      <c r="BA28" t="e">
        <f t="shared" si="27"/>
        <v>#N/A</v>
      </c>
      <c r="BB28" t="e">
        <f t="shared" si="27"/>
        <v>#N/A</v>
      </c>
      <c r="BC28" t="e">
        <f t="shared" si="27"/>
        <v>#N/A</v>
      </c>
      <c r="BD28" t="e">
        <f t="shared" si="27"/>
        <v>#N/A</v>
      </c>
      <c r="BE28" t="e">
        <f t="shared" si="27"/>
        <v>#N/A</v>
      </c>
      <c r="BF28" t="e">
        <f t="shared" si="27"/>
        <v>#N/A</v>
      </c>
      <c r="BG28" t="e">
        <f t="shared" si="27"/>
        <v>#N/A</v>
      </c>
      <c r="BH28" t="e">
        <f t="shared" si="27"/>
        <v>#N/A</v>
      </c>
      <c r="BI28" t="e">
        <f t="shared" si="27"/>
        <v>#N/A</v>
      </c>
      <c r="BJ28" t="e">
        <f t="shared" si="27"/>
        <v>#N/A</v>
      </c>
      <c r="BK28" t="e">
        <f t="shared" si="27"/>
        <v>#N/A</v>
      </c>
      <c r="BL28" t="e">
        <f t="shared" si="27"/>
        <v>#N/A</v>
      </c>
      <c r="BM28" t="e">
        <f t="shared" si="27"/>
        <v>#N/A</v>
      </c>
      <c r="BN28" t="e">
        <f t="shared" si="27"/>
        <v>#N/A</v>
      </c>
      <c r="BO28" t="e">
        <f t="shared" si="27"/>
        <v>#N/A</v>
      </c>
      <c r="BP28" t="e">
        <f t="shared" si="27"/>
        <v>#N/A</v>
      </c>
      <c r="BQ28" t="e">
        <f t="shared" si="27"/>
        <v>#N/A</v>
      </c>
      <c r="BR28" t="e">
        <f t="shared" si="27"/>
        <v>#N/A</v>
      </c>
      <c r="BS28" t="e">
        <f t="shared" si="27"/>
        <v>#N/A</v>
      </c>
      <c r="BT28" t="e">
        <f t="shared" si="27"/>
        <v>#N/A</v>
      </c>
      <c r="BU28" t="e">
        <f t="shared" si="27"/>
        <v>#N/A</v>
      </c>
      <c r="BV28" t="e">
        <f t="shared" ref="BV28:EG28" si="28">IF(BV10=0,NA(),BV10-ROUNDUP(BV10*0.1,2)-ROUNDUP(BV10*0.05,2))</f>
        <v>#N/A</v>
      </c>
      <c r="BW28" t="e">
        <f t="shared" si="28"/>
        <v>#N/A</v>
      </c>
      <c r="BX28" t="e">
        <f t="shared" si="28"/>
        <v>#N/A</v>
      </c>
      <c r="BY28" t="e">
        <f t="shared" si="28"/>
        <v>#N/A</v>
      </c>
      <c r="BZ28" t="e">
        <f t="shared" si="28"/>
        <v>#N/A</v>
      </c>
      <c r="CA28" t="e">
        <f t="shared" si="28"/>
        <v>#N/A</v>
      </c>
      <c r="CB28" t="e">
        <f t="shared" si="28"/>
        <v>#N/A</v>
      </c>
      <c r="CC28" t="e">
        <f t="shared" si="28"/>
        <v>#N/A</v>
      </c>
      <c r="CD28" t="e">
        <f t="shared" si="28"/>
        <v>#N/A</v>
      </c>
      <c r="CE28" t="e">
        <f t="shared" si="28"/>
        <v>#N/A</v>
      </c>
      <c r="CF28" t="e">
        <f t="shared" si="28"/>
        <v>#N/A</v>
      </c>
      <c r="CG28" t="e">
        <f t="shared" si="28"/>
        <v>#N/A</v>
      </c>
      <c r="CH28" t="e">
        <f t="shared" si="28"/>
        <v>#N/A</v>
      </c>
      <c r="CI28" t="e">
        <f t="shared" si="28"/>
        <v>#N/A</v>
      </c>
      <c r="CJ28" t="e">
        <f t="shared" si="28"/>
        <v>#N/A</v>
      </c>
      <c r="CK28" t="e">
        <f t="shared" si="28"/>
        <v>#N/A</v>
      </c>
      <c r="CL28" t="e">
        <f t="shared" si="28"/>
        <v>#N/A</v>
      </c>
      <c r="CM28" t="e">
        <f t="shared" si="28"/>
        <v>#N/A</v>
      </c>
      <c r="CN28" t="e">
        <f t="shared" si="28"/>
        <v>#N/A</v>
      </c>
      <c r="CO28" t="e">
        <f t="shared" si="28"/>
        <v>#N/A</v>
      </c>
      <c r="CP28" t="e">
        <f t="shared" si="28"/>
        <v>#N/A</v>
      </c>
      <c r="CQ28" t="e">
        <f t="shared" si="28"/>
        <v>#N/A</v>
      </c>
      <c r="CR28" t="e">
        <f t="shared" si="28"/>
        <v>#N/A</v>
      </c>
      <c r="CS28" t="e">
        <f t="shared" si="28"/>
        <v>#N/A</v>
      </c>
      <c r="CT28" t="e">
        <f t="shared" si="28"/>
        <v>#N/A</v>
      </c>
      <c r="CU28" t="e">
        <f t="shared" si="28"/>
        <v>#N/A</v>
      </c>
      <c r="CV28" t="e">
        <f t="shared" si="28"/>
        <v>#N/A</v>
      </c>
      <c r="CW28" t="e">
        <f t="shared" si="28"/>
        <v>#N/A</v>
      </c>
      <c r="CX28" t="e">
        <f t="shared" si="28"/>
        <v>#N/A</v>
      </c>
      <c r="CY28" t="e">
        <f t="shared" si="28"/>
        <v>#N/A</v>
      </c>
      <c r="CZ28" t="e">
        <f t="shared" si="28"/>
        <v>#N/A</v>
      </c>
      <c r="DA28" t="e">
        <f t="shared" si="28"/>
        <v>#N/A</v>
      </c>
      <c r="DB28" t="e">
        <f t="shared" si="28"/>
        <v>#N/A</v>
      </c>
      <c r="DC28" t="e">
        <f t="shared" si="28"/>
        <v>#N/A</v>
      </c>
      <c r="DD28" t="e">
        <f t="shared" si="28"/>
        <v>#N/A</v>
      </c>
      <c r="DE28" t="e">
        <f t="shared" si="28"/>
        <v>#N/A</v>
      </c>
      <c r="DF28" t="e">
        <f t="shared" si="28"/>
        <v>#N/A</v>
      </c>
      <c r="DG28" t="e">
        <f t="shared" si="28"/>
        <v>#N/A</v>
      </c>
      <c r="DH28" t="e">
        <f t="shared" si="28"/>
        <v>#N/A</v>
      </c>
      <c r="DI28" t="e">
        <f t="shared" si="28"/>
        <v>#N/A</v>
      </c>
      <c r="DJ28" t="e">
        <f t="shared" si="28"/>
        <v>#N/A</v>
      </c>
      <c r="DK28" t="e">
        <f t="shared" si="28"/>
        <v>#N/A</v>
      </c>
      <c r="DL28" t="e">
        <f t="shared" si="28"/>
        <v>#N/A</v>
      </c>
      <c r="DM28" t="e">
        <f t="shared" si="28"/>
        <v>#N/A</v>
      </c>
      <c r="DN28" t="e">
        <f t="shared" si="28"/>
        <v>#N/A</v>
      </c>
      <c r="DO28" t="e">
        <f t="shared" si="28"/>
        <v>#N/A</v>
      </c>
      <c r="DP28" t="e">
        <f t="shared" si="28"/>
        <v>#N/A</v>
      </c>
      <c r="DQ28" t="e">
        <f t="shared" si="28"/>
        <v>#N/A</v>
      </c>
      <c r="DR28" t="e">
        <f t="shared" si="28"/>
        <v>#N/A</v>
      </c>
      <c r="DS28" t="e">
        <f t="shared" si="28"/>
        <v>#N/A</v>
      </c>
      <c r="DT28" t="e">
        <f t="shared" si="28"/>
        <v>#N/A</v>
      </c>
      <c r="DU28" t="e">
        <f t="shared" si="28"/>
        <v>#N/A</v>
      </c>
      <c r="DV28" t="e">
        <f t="shared" si="28"/>
        <v>#N/A</v>
      </c>
      <c r="DW28" t="e">
        <f t="shared" si="28"/>
        <v>#N/A</v>
      </c>
      <c r="DX28" t="e">
        <f t="shared" si="28"/>
        <v>#N/A</v>
      </c>
      <c r="DY28" t="e">
        <f t="shared" si="28"/>
        <v>#N/A</v>
      </c>
      <c r="DZ28" t="e">
        <f t="shared" si="28"/>
        <v>#N/A</v>
      </c>
      <c r="EA28" t="e">
        <f t="shared" si="28"/>
        <v>#N/A</v>
      </c>
      <c r="EB28" t="e">
        <f t="shared" si="28"/>
        <v>#N/A</v>
      </c>
      <c r="EC28" t="e">
        <f t="shared" si="28"/>
        <v>#N/A</v>
      </c>
      <c r="ED28" t="e">
        <f t="shared" si="28"/>
        <v>#N/A</v>
      </c>
      <c r="EE28" t="e">
        <f t="shared" si="28"/>
        <v>#N/A</v>
      </c>
      <c r="EF28" t="e">
        <f t="shared" si="28"/>
        <v>#N/A</v>
      </c>
      <c r="EG28" t="e">
        <f t="shared" si="28"/>
        <v>#N/A</v>
      </c>
      <c r="EH28" t="e">
        <f t="shared" ref="EH28:GA28" si="29">IF(EH10=0,NA(),EH10-ROUNDUP(EH10*0.1,2)-ROUNDUP(EH10*0.05,2))</f>
        <v>#N/A</v>
      </c>
      <c r="EI28" t="e">
        <f t="shared" si="29"/>
        <v>#N/A</v>
      </c>
      <c r="EJ28" t="e">
        <f t="shared" si="29"/>
        <v>#N/A</v>
      </c>
      <c r="EK28" t="e">
        <f t="shared" si="29"/>
        <v>#N/A</v>
      </c>
      <c r="EL28" t="e">
        <f t="shared" si="29"/>
        <v>#N/A</v>
      </c>
      <c r="EM28" t="e">
        <f t="shared" si="29"/>
        <v>#N/A</v>
      </c>
      <c r="EN28" t="e">
        <f t="shared" si="29"/>
        <v>#N/A</v>
      </c>
      <c r="EO28" t="e">
        <f t="shared" si="29"/>
        <v>#N/A</v>
      </c>
      <c r="EP28" t="e">
        <f t="shared" si="29"/>
        <v>#N/A</v>
      </c>
      <c r="EQ28" t="e">
        <f t="shared" si="29"/>
        <v>#N/A</v>
      </c>
      <c r="ER28" t="e">
        <f t="shared" si="29"/>
        <v>#N/A</v>
      </c>
      <c r="ES28" t="e">
        <f t="shared" si="29"/>
        <v>#N/A</v>
      </c>
      <c r="ET28" t="e">
        <f t="shared" si="29"/>
        <v>#N/A</v>
      </c>
      <c r="EU28" t="e">
        <f t="shared" si="29"/>
        <v>#N/A</v>
      </c>
      <c r="EV28" t="e">
        <f t="shared" si="29"/>
        <v>#N/A</v>
      </c>
      <c r="EW28" t="e">
        <f t="shared" si="29"/>
        <v>#N/A</v>
      </c>
      <c r="EX28" t="e">
        <f t="shared" si="29"/>
        <v>#N/A</v>
      </c>
      <c r="EY28" t="e">
        <f t="shared" si="29"/>
        <v>#N/A</v>
      </c>
      <c r="EZ28" t="e">
        <f t="shared" si="29"/>
        <v>#N/A</v>
      </c>
      <c r="FA28" t="e">
        <f t="shared" si="29"/>
        <v>#N/A</v>
      </c>
      <c r="FB28" t="e">
        <f t="shared" si="29"/>
        <v>#N/A</v>
      </c>
      <c r="FC28" t="e">
        <f t="shared" si="29"/>
        <v>#N/A</v>
      </c>
      <c r="FD28" t="e">
        <f t="shared" si="29"/>
        <v>#N/A</v>
      </c>
      <c r="FE28" t="e">
        <f t="shared" si="29"/>
        <v>#N/A</v>
      </c>
      <c r="FF28" t="e">
        <f t="shared" si="29"/>
        <v>#N/A</v>
      </c>
      <c r="FG28" t="e">
        <f t="shared" si="29"/>
        <v>#N/A</v>
      </c>
      <c r="FH28" t="e">
        <f t="shared" si="29"/>
        <v>#N/A</v>
      </c>
      <c r="FI28" t="e">
        <f t="shared" si="29"/>
        <v>#N/A</v>
      </c>
      <c r="FJ28" t="e">
        <f t="shared" si="29"/>
        <v>#N/A</v>
      </c>
      <c r="FK28" t="e">
        <f t="shared" si="29"/>
        <v>#N/A</v>
      </c>
      <c r="FL28" t="e">
        <f t="shared" si="29"/>
        <v>#N/A</v>
      </c>
      <c r="FM28" t="e">
        <f t="shared" si="29"/>
        <v>#N/A</v>
      </c>
      <c r="FN28" t="e">
        <f t="shared" si="29"/>
        <v>#N/A</v>
      </c>
      <c r="FO28" t="e">
        <f t="shared" si="29"/>
        <v>#N/A</v>
      </c>
      <c r="FP28" t="e">
        <f t="shared" si="29"/>
        <v>#N/A</v>
      </c>
      <c r="FQ28" t="e">
        <f t="shared" si="29"/>
        <v>#N/A</v>
      </c>
      <c r="FR28" t="e">
        <f t="shared" si="29"/>
        <v>#N/A</v>
      </c>
      <c r="FS28" t="e">
        <f t="shared" si="29"/>
        <v>#N/A</v>
      </c>
      <c r="FT28" t="e">
        <f t="shared" si="29"/>
        <v>#N/A</v>
      </c>
      <c r="FU28" t="e">
        <f t="shared" si="29"/>
        <v>#N/A</v>
      </c>
      <c r="FV28" t="e">
        <f t="shared" si="29"/>
        <v>#N/A</v>
      </c>
      <c r="FW28" t="e">
        <f t="shared" si="29"/>
        <v>#N/A</v>
      </c>
      <c r="FX28" t="e">
        <f t="shared" si="29"/>
        <v>#N/A</v>
      </c>
      <c r="FY28" t="e">
        <f t="shared" si="29"/>
        <v>#N/A</v>
      </c>
      <c r="FZ28" t="e">
        <f t="shared" si="29"/>
        <v>#N/A</v>
      </c>
      <c r="GA28" t="e">
        <f t="shared" si="29"/>
        <v>#N/A</v>
      </c>
    </row>
    <row r="29" spans="1:183" x14ac:dyDescent="0.45">
      <c r="B29" t="s">
        <v>8</v>
      </c>
      <c r="C29" cm="1">
        <f t="array" ref="C29">LOOKUP(2,1/(I29:GA29&lt;&gt;""),I29:GA29)</f>
        <v>0.58999999999999986</v>
      </c>
      <c r="D29">
        <f t="shared" si="7"/>
        <v>45</v>
      </c>
      <c r="F29" s="3">
        <f t="shared" si="0"/>
        <v>0.17999999999999997</v>
      </c>
      <c r="G29" s="3" cm="1">
        <f t="array" ref="G29">(C29-IF(ISNA(INDEX(I29:GA29,D29-22)),INDEX(I29:GA29,D29-23),INDEX(I29:GA29,D29-22)))/IF(ISNA(INDEX(I29:GA29,D29-22)),INDEX(I29:GA29,D29-23),INDEX(I29:GA29,D29-22))</f>
        <v>-3.2786885245901849E-2</v>
      </c>
      <c r="I29">
        <f t="shared" si="8"/>
        <v>0.49999999999999989</v>
      </c>
      <c r="J29">
        <f t="shared" ref="J29:BU29" si="30">IF(J11=0,NA(),J11-ROUNDUP(J11*0.1,2)-ROUNDUP(J11*0.05,2))</f>
        <v>0.48999999999999988</v>
      </c>
      <c r="K29" t="e">
        <f t="shared" si="30"/>
        <v>#N/A</v>
      </c>
      <c r="L29">
        <f t="shared" si="30"/>
        <v>0.46000000000000008</v>
      </c>
      <c r="M29" t="e">
        <f t="shared" si="30"/>
        <v>#N/A</v>
      </c>
      <c r="N29">
        <f t="shared" si="30"/>
        <v>0.44000000000000006</v>
      </c>
      <c r="O29">
        <f t="shared" si="30"/>
        <v>0.51</v>
      </c>
      <c r="P29">
        <f t="shared" si="30"/>
        <v>0.51</v>
      </c>
      <c r="Q29">
        <f t="shared" si="30"/>
        <v>0.51</v>
      </c>
      <c r="R29">
        <f t="shared" si="30"/>
        <v>0.5</v>
      </c>
      <c r="S29">
        <f t="shared" si="30"/>
        <v>0.48999999999999988</v>
      </c>
      <c r="T29">
        <f t="shared" si="30"/>
        <v>0.5</v>
      </c>
      <c r="U29">
        <f t="shared" si="30"/>
        <v>0.48999999999999988</v>
      </c>
      <c r="V29">
        <f t="shared" si="30"/>
        <v>0.51</v>
      </c>
      <c r="W29">
        <f t="shared" si="30"/>
        <v>0.54</v>
      </c>
      <c r="X29">
        <f t="shared" si="30"/>
        <v>0.55000000000000004</v>
      </c>
      <c r="Y29">
        <f t="shared" si="30"/>
        <v>0.54</v>
      </c>
      <c r="Z29">
        <f t="shared" si="30"/>
        <v>0.55000000000000004</v>
      </c>
      <c r="AA29">
        <f t="shared" si="30"/>
        <v>0.53</v>
      </c>
      <c r="AB29">
        <f t="shared" si="30"/>
        <v>0.53</v>
      </c>
      <c r="AC29">
        <f t="shared" si="30"/>
        <v>0.6</v>
      </c>
      <c r="AD29">
        <f t="shared" si="30"/>
        <v>0.72</v>
      </c>
      <c r="AE29">
        <f t="shared" si="30"/>
        <v>0.61</v>
      </c>
      <c r="AF29">
        <f t="shared" si="30"/>
        <v>0.53</v>
      </c>
      <c r="AG29">
        <f t="shared" si="30"/>
        <v>0.54</v>
      </c>
      <c r="AH29">
        <f t="shared" si="30"/>
        <v>0.62</v>
      </c>
      <c r="AI29">
        <f t="shared" si="30"/>
        <v>0.59</v>
      </c>
      <c r="AJ29">
        <f t="shared" si="30"/>
        <v>0.6</v>
      </c>
      <c r="AK29">
        <f t="shared" si="30"/>
        <v>0.6</v>
      </c>
      <c r="AL29">
        <f t="shared" si="30"/>
        <v>0.61</v>
      </c>
      <c r="AM29">
        <f t="shared" si="30"/>
        <v>0.55000000000000004</v>
      </c>
      <c r="AN29" t="e">
        <f t="shared" si="30"/>
        <v>#N/A</v>
      </c>
      <c r="AO29">
        <f t="shared" si="30"/>
        <v>0.51</v>
      </c>
      <c r="AP29">
        <f t="shared" si="30"/>
        <v>0.52</v>
      </c>
      <c r="AQ29">
        <f t="shared" si="30"/>
        <v>0.6</v>
      </c>
      <c r="AR29">
        <f t="shared" si="30"/>
        <v>0.57999999999999996</v>
      </c>
      <c r="AS29">
        <f t="shared" si="30"/>
        <v>0.58999999999999986</v>
      </c>
      <c r="AT29" t="e">
        <f t="shared" si="30"/>
        <v>#N/A</v>
      </c>
      <c r="AU29" t="e">
        <f t="shared" si="30"/>
        <v>#N/A</v>
      </c>
      <c r="AV29" t="e">
        <f t="shared" si="30"/>
        <v>#N/A</v>
      </c>
      <c r="AW29" t="e">
        <f t="shared" si="30"/>
        <v>#N/A</v>
      </c>
      <c r="AX29" t="e">
        <f t="shared" si="30"/>
        <v>#N/A</v>
      </c>
      <c r="AY29" t="e">
        <f t="shared" si="30"/>
        <v>#N/A</v>
      </c>
      <c r="AZ29" t="e">
        <f t="shared" si="30"/>
        <v>#N/A</v>
      </c>
      <c r="BA29" t="e">
        <f t="shared" si="30"/>
        <v>#N/A</v>
      </c>
      <c r="BB29" t="e">
        <f t="shared" si="30"/>
        <v>#N/A</v>
      </c>
      <c r="BC29" t="e">
        <f t="shared" si="30"/>
        <v>#N/A</v>
      </c>
      <c r="BD29" t="e">
        <f t="shared" si="30"/>
        <v>#N/A</v>
      </c>
      <c r="BE29" t="e">
        <f t="shared" si="30"/>
        <v>#N/A</v>
      </c>
      <c r="BF29" t="e">
        <f t="shared" si="30"/>
        <v>#N/A</v>
      </c>
      <c r="BG29" t="e">
        <f t="shared" si="30"/>
        <v>#N/A</v>
      </c>
      <c r="BH29" t="e">
        <f t="shared" si="30"/>
        <v>#N/A</v>
      </c>
      <c r="BI29" t="e">
        <f t="shared" si="30"/>
        <v>#N/A</v>
      </c>
      <c r="BJ29" t="e">
        <f t="shared" si="30"/>
        <v>#N/A</v>
      </c>
      <c r="BK29" t="e">
        <f t="shared" si="30"/>
        <v>#N/A</v>
      </c>
      <c r="BL29" t="e">
        <f t="shared" si="30"/>
        <v>#N/A</v>
      </c>
      <c r="BM29" t="e">
        <f t="shared" si="30"/>
        <v>#N/A</v>
      </c>
      <c r="BN29" t="e">
        <f t="shared" si="30"/>
        <v>#N/A</v>
      </c>
      <c r="BO29" t="e">
        <f t="shared" si="30"/>
        <v>#N/A</v>
      </c>
      <c r="BP29" t="e">
        <f t="shared" si="30"/>
        <v>#N/A</v>
      </c>
      <c r="BQ29" t="e">
        <f t="shared" si="30"/>
        <v>#N/A</v>
      </c>
      <c r="BR29" t="e">
        <f t="shared" si="30"/>
        <v>#N/A</v>
      </c>
      <c r="BS29" t="e">
        <f t="shared" si="30"/>
        <v>#N/A</v>
      </c>
      <c r="BT29" t="e">
        <f t="shared" si="30"/>
        <v>#N/A</v>
      </c>
      <c r="BU29" t="e">
        <f t="shared" si="30"/>
        <v>#N/A</v>
      </c>
      <c r="BV29" t="e">
        <f t="shared" ref="BV29:EG29" si="31">IF(BV11=0,NA(),BV11-ROUNDUP(BV11*0.1,2)-ROUNDUP(BV11*0.05,2))</f>
        <v>#N/A</v>
      </c>
      <c r="BW29" t="e">
        <f t="shared" si="31"/>
        <v>#N/A</v>
      </c>
      <c r="BX29" t="e">
        <f t="shared" si="31"/>
        <v>#N/A</v>
      </c>
      <c r="BY29" t="e">
        <f t="shared" si="31"/>
        <v>#N/A</v>
      </c>
      <c r="BZ29" t="e">
        <f t="shared" si="31"/>
        <v>#N/A</v>
      </c>
      <c r="CA29" t="e">
        <f t="shared" si="31"/>
        <v>#N/A</v>
      </c>
      <c r="CB29" t="e">
        <f t="shared" si="31"/>
        <v>#N/A</v>
      </c>
      <c r="CC29" t="e">
        <f t="shared" si="31"/>
        <v>#N/A</v>
      </c>
      <c r="CD29" t="e">
        <f t="shared" si="31"/>
        <v>#N/A</v>
      </c>
      <c r="CE29" t="e">
        <f t="shared" si="31"/>
        <v>#N/A</v>
      </c>
      <c r="CF29" t="e">
        <f t="shared" si="31"/>
        <v>#N/A</v>
      </c>
      <c r="CG29" t="e">
        <f t="shared" si="31"/>
        <v>#N/A</v>
      </c>
      <c r="CH29" t="e">
        <f t="shared" si="31"/>
        <v>#N/A</v>
      </c>
      <c r="CI29" t="e">
        <f t="shared" si="31"/>
        <v>#N/A</v>
      </c>
      <c r="CJ29" t="e">
        <f t="shared" si="31"/>
        <v>#N/A</v>
      </c>
      <c r="CK29" t="e">
        <f t="shared" si="31"/>
        <v>#N/A</v>
      </c>
      <c r="CL29" t="e">
        <f t="shared" si="31"/>
        <v>#N/A</v>
      </c>
      <c r="CM29" t="e">
        <f t="shared" si="31"/>
        <v>#N/A</v>
      </c>
      <c r="CN29" t="e">
        <f t="shared" si="31"/>
        <v>#N/A</v>
      </c>
      <c r="CO29" t="e">
        <f t="shared" si="31"/>
        <v>#N/A</v>
      </c>
      <c r="CP29" t="e">
        <f t="shared" si="31"/>
        <v>#N/A</v>
      </c>
      <c r="CQ29" t="e">
        <f t="shared" si="31"/>
        <v>#N/A</v>
      </c>
      <c r="CR29" t="e">
        <f t="shared" si="31"/>
        <v>#N/A</v>
      </c>
      <c r="CS29" t="e">
        <f t="shared" si="31"/>
        <v>#N/A</v>
      </c>
      <c r="CT29" t="e">
        <f t="shared" si="31"/>
        <v>#N/A</v>
      </c>
      <c r="CU29" t="e">
        <f t="shared" si="31"/>
        <v>#N/A</v>
      </c>
      <c r="CV29" t="e">
        <f t="shared" si="31"/>
        <v>#N/A</v>
      </c>
      <c r="CW29" t="e">
        <f t="shared" si="31"/>
        <v>#N/A</v>
      </c>
      <c r="CX29" t="e">
        <f t="shared" si="31"/>
        <v>#N/A</v>
      </c>
      <c r="CY29" t="e">
        <f t="shared" si="31"/>
        <v>#N/A</v>
      </c>
      <c r="CZ29" t="e">
        <f t="shared" si="31"/>
        <v>#N/A</v>
      </c>
      <c r="DA29" t="e">
        <f t="shared" si="31"/>
        <v>#N/A</v>
      </c>
      <c r="DB29" t="e">
        <f t="shared" si="31"/>
        <v>#N/A</v>
      </c>
      <c r="DC29" t="e">
        <f t="shared" si="31"/>
        <v>#N/A</v>
      </c>
      <c r="DD29" t="e">
        <f t="shared" si="31"/>
        <v>#N/A</v>
      </c>
      <c r="DE29" t="e">
        <f t="shared" si="31"/>
        <v>#N/A</v>
      </c>
      <c r="DF29" t="e">
        <f t="shared" si="31"/>
        <v>#N/A</v>
      </c>
      <c r="DG29" t="e">
        <f t="shared" si="31"/>
        <v>#N/A</v>
      </c>
      <c r="DH29" t="e">
        <f t="shared" si="31"/>
        <v>#N/A</v>
      </c>
      <c r="DI29" t="e">
        <f t="shared" si="31"/>
        <v>#N/A</v>
      </c>
      <c r="DJ29" t="e">
        <f t="shared" si="31"/>
        <v>#N/A</v>
      </c>
      <c r="DK29" t="e">
        <f t="shared" si="31"/>
        <v>#N/A</v>
      </c>
      <c r="DL29" t="e">
        <f t="shared" si="31"/>
        <v>#N/A</v>
      </c>
      <c r="DM29" t="e">
        <f t="shared" si="31"/>
        <v>#N/A</v>
      </c>
      <c r="DN29" t="e">
        <f t="shared" si="31"/>
        <v>#N/A</v>
      </c>
      <c r="DO29" t="e">
        <f t="shared" si="31"/>
        <v>#N/A</v>
      </c>
      <c r="DP29" t="e">
        <f t="shared" si="31"/>
        <v>#N/A</v>
      </c>
      <c r="DQ29" t="e">
        <f t="shared" si="31"/>
        <v>#N/A</v>
      </c>
      <c r="DR29" t="e">
        <f t="shared" si="31"/>
        <v>#N/A</v>
      </c>
      <c r="DS29" t="e">
        <f t="shared" si="31"/>
        <v>#N/A</v>
      </c>
      <c r="DT29" t="e">
        <f t="shared" si="31"/>
        <v>#N/A</v>
      </c>
      <c r="DU29" t="e">
        <f t="shared" si="31"/>
        <v>#N/A</v>
      </c>
      <c r="DV29" t="e">
        <f t="shared" si="31"/>
        <v>#N/A</v>
      </c>
      <c r="DW29" t="e">
        <f t="shared" si="31"/>
        <v>#N/A</v>
      </c>
      <c r="DX29" t="e">
        <f t="shared" si="31"/>
        <v>#N/A</v>
      </c>
      <c r="DY29" t="e">
        <f t="shared" si="31"/>
        <v>#N/A</v>
      </c>
      <c r="DZ29" t="e">
        <f t="shared" si="31"/>
        <v>#N/A</v>
      </c>
      <c r="EA29" t="e">
        <f t="shared" si="31"/>
        <v>#N/A</v>
      </c>
      <c r="EB29" t="e">
        <f t="shared" si="31"/>
        <v>#N/A</v>
      </c>
      <c r="EC29" t="e">
        <f t="shared" si="31"/>
        <v>#N/A</v>
      </c>
      <c r="ED29" t="e">
        <f t="shared" si="31"/>
        <v>#N/A</v>
      </c>
      <c r="EE29" t="e">
        <f t="shared" si="31"/>
        <v>#N/A</v>
      </c>
      <c r="EF29" t="e">
        <f t="shared" si="31"/>
        <v>#N/A</v>
      </c>
      <c r="EG29" t="e">
        <f t="shared" si="31"/>
        <v>#N/A</v>
      </c>
      <c r="EH29" t="e">
        <f t="shared" ref="EH29:GA29" si="32">IF(EH11=0,NA(),EH11-ROUNDUP(EH11*0.1,2)-ROUNDUP(EH11*0.05,2))</f>
        <v>#N/A</v>
      </c>
      <c r="EI29" t="e">
        <f t="shared" si="32"/>
        <v>#N/A</v>
      </c>
      <c r="EJ29" t="e">
        <f t="shared" si="32"/>
        <v>#N/A</v>
      </c>
      <c r="EK29" t="e">
        <f t="shared" si="32"/>
        <v>#N/A</v>
      </c>
      <c r="EL29" t="e">
        <f t="shared" si="32"/>
        <v>#N/A</v>
      </c>
      <c r="EM29" t="e">
        <f t="shared" si="32"/>
        <v>#N/A</v>
      </c>
      <c r="EN29" t="e">
        <f t="shared" si="32"/>
        <v>#N/A</v>
      </c>
      <c r="EO29" t="e">
        <f t="shared" si="32"/>
        <v>#N/A</v>
      </c>
      <c r="EP29" t="e">
        <f t="shared" si="32"/>
        <v>#N/A</v>
      </c>
      <c r="EQ29" t="e">
        <f t="shared" si="32"/>
        <v>#N/A</v>
      </c>
      <c r="ER29" t="e">
        <f t="shared" si="32"/>
        <v>#N/A</v>
      </c>
      <c r="ES29" t="e">
        <f t="shared" si="32"/>
        <v>#N/A</v>
      </c>
      <c r="ET29" t="e">
        <f t="shared" si="32"/>
        <v>#N/A</v>
      </c>
      <c r="EU29" t="e">
        <f t="shared" si="32"/>
        <v>#N/A</v>
      </c>
      <c r="EV29" t="e">
        <f t="shared" si="32"/>
        <v>#N/A</v>
      </c>
      <c r="EW29" t="e">
        <f t="shared" si="32"/>
        <v>#N/A</v>
      </c>
      <c r="EX29" t="e">
        <f t="shared" si="32"/>
        <v>#N/A</v>
      </c>
      <c r="EY29" t="e">
        <f t="shared" si="32"/>
        <v>#N/A</v>
      </c>
      <c r="EZ29" t="e">
        <f t="shared" si="32"/>
        <v>#N/A</v>
      </c>
      <c r="FA29" t="e">
        <f t="shared" si="32"/>
        <v>#N/A</v>
      </c>
      <c r="FB29" t="e">
        <f t="shared" si="32"/>
        <v>#N/A</v>
      </c>
      <c r="FC29" t="e">
        <f t="shared" si="32"/>
        <v>#N/A</v>
      </c>
      <c r="FD29" t="e">
        <f t="shared" si="32"/>
        <v>#N/A</v>
      </c>
      <c r="FE29" t="e">
        <f t="shared" si="32"/>
        <v>#N/A</v>
      </c>
      <c r="FF29" t="e">
        <f t="shared" si="32"/>
        <v>#N/A</v>
      </c>
      <c r="FG29" t="e">
        <f t="shared" si="32"/>
        <v>#N/A</v>
      </c>
      <c r="FH29" t="e">
        <f t="shared" si="32"/>
        <v>#N/A</v>
      </c>
      <c r="FI29" t="e">
        <f t="shared" si="32"/>
        <v>#N/A</v>
      </c>
      <c r="FJ29" t="e">
        <f t="shared" si="32"/>
        <v>#N/A</v>
      </c>
      <c r="FK29" t="e">
        <f t="shared" si="32"/>
        <v>#N/A</v>
      </c>
      <c r="FL29" t="e">
        <f t="shared" si="32"/>
        <v>#N/A</v>
      </c>
      <c r="FM29" t="e">
        <f t="shared" si="32"/>
        <v>#N/A</v>
      </c>
      <c r="FN29" t="e">
        <f t="shared" si="32"/>
        <v>#N/A</v>
      </c>
      <c r="FO29" t="e">
        <f t="shared" si="32"/>
        <v>#N/A</v>
      </c>
      <c r="FP29" t="e">
        <f t="shared" si="32"/>
        <v>#N/A</v>
      </c>
      <c r="FQ29" t="e">
        <f t="shared" si="32"/>
        <v>#N/A</v>
      </c>
      <c r="FR29" t="e">
        <f t="shared" si="32"/>
        <v>#N/A</v>
      </c>
      <c r="FS29" t="e">
        <f t="shared" si="32"/>
        <v>#N/A</v>
      </c>
      <c r="FT29" t="e">
        <f t="shared" si="32"/>
        <v>#N/A</v>
      </c>
      <c r="FU29" t="e">
        <f t="shared" si="32"/>
        <v>#N/A</v>
      </c>
      <c r="FV29" t="e">
        <f t="shared" si="32"/>
        <v>#N/A</v>
      </c>
      <c r="FW29" t="e">
        <f t="shared" si="32"/>
        <v>#N/A</v>
      </c>
      <c r="FX29" t="e">
        <f t="shared" si="32"/>
        <v>#N/A</v>
      </c>
      <c r="FY29" t="e">
        <f t="shared" si="32"/>
        <v>#N/A</v>
      </c>
      <c r="FZ29" t="e">
        <f t="shared" si="32"/>
        <v>#N/A</v>
      </c>
      <c r="GA29" t="e">
        <f t="shared" si="32"/>
        <v>#N/A</v>
      </c>
    </row>
    <row r="30" spans="1:183" x14ac:dyDescent="0.45">
      <c r="B30" t="s">
        <v>9</v>
      </c>
      <c r="C30" cm="1">
        <f t="array" ref="C30">LOOKUP(2,1/(I30:GA30&lt;&gt;""),I30:GA30)</f>
        <v>1.0799999999999998</v>
      </c>
      <c r="D30">
        <f t="shared" si="7"/>
        <v>45</v>
      </c>
      <c r="F30" s="3">
        <f t="shared" si="0"/>
        <v>0.14893617021276587</v>
      </c>
      <c r="G30" s="3" cm="1">
        <f t="array" ref="G30">(C30-IF(ISNA(INDEX(I30:GA30,D30-22)),INDEX(I30:GA30,D30-23),INDEX(I30:GA30,D30-22)))/IF(ISNA(INDEX(I30:GA30,D30-22)),INDEX(I30:GA30,D30-23),INDEX(I30:GA30,D30-22))</f>
        <v>-0.12195121951219523</v>
      </c>
      <c r="I30">
        <f t="shared" si="8"/>
        <v>0.94</v>
      </c>
      <c r="J30">
        <f t="shared" ref="J30:BU30" si="33">IF(J12=0,NA(),J12-ROUNDUP(J12*0.1,2)-ROUNDUP(J12*0.05,2))</f>
        <v>0.94</v>
      </c>
      <c r="K30" t="e">
        <f t="shared" si="33"/>
        <v>#N/A</v>
      </c>
      <c r="L30">
        <f t="shared" si="33"/>
        <v>1.02</v>
      </c>
      <c r="M30" t="e">
        <f t="shared" si="33"/>
        <v>#N/A</v>
      </c>
      <c r="N30">
        <f t="shared" si="33"/>
        <v>1.0399999999999998</v>
      </c>
      <c r="O30">
        <f t="shared" si="33"/>
        <v>1.01</v>
      </c>
      <c r="P30">
        <f t="shared" si="33"/>
        <v>1.0599999999999998</v>
      </c>
      <c r="Q30">
        <f t="shared" si="33"/>
        <v>1.07</v>
      </c>
      <c r="R30">
        <f t="shared" si="33"/>
        <v>1.0999999999999999</v>
      </c>
      <c r="S30">
        <f t="shared" si="33"/>
        <v>1.29</v>
      </c>
      <c r="T30">
        <f t="shared" si="33"/>
        <v>1.2199999999999998</v>
      </c>
      <c r="U30">
        <f t="shared" si="33"/>
        <v>1.27</v>
      </c>
      <c r="V30">
        <f t="shared" si="33"/>
        <v>1.2599999999999998</v>
      </c>
      <c r="W30">
        <f t="shared" si="33"/>
        <v>1.1799999999999997</v>
      </c>
      <c r="X30">
        <f t="shared" si="33"/>
        <v>1.18</v>
      </c>
      <c r="Y30">
        <f t="shared" si="33"/>
        <v>1.0999999999999999</v>
      </c>
      <c r="Z30">
        <f t="shared" si="33"/>
        <v>1.1300000000000001</v>
      </c>
      <c r="AA30">
        <f t="shared" si="33"/>
        <v>1.0999999999999999</v>
      </c>
      <c r="AB30">
        <f t="shared" si="33"/>
        <v>1.1399999999999999</v>
      </c>
      <c r="AC30">
        <f t="shared" si="33"/>
        <v>1.1399999999999999</v>
      </c>
      <c r="AD30">
        <f t="shared" si="33"/>
        <v>1.1399999999999999</v>
      </c>
      <c r="AE30">
        <f t="shared" si="33"/>
        <v>1.23</v>
      </c>
      <c r="AF30">
        <f t="shared" si="33"/>
        <v>1.23</v>
      </c>
      <c r="AG30">
        <f t="shared" si="33"/>
        <v>1.19</v>
      </c>
      <c r="AH30">
        <f t="shared" si="33"/>
        <v>1.2599999999999998</v>
      </c>
      <c r="AI30">
        <f t="shared" si="33"/>
        <v>1.1199999999999999</v>
      </c>
      <c r="AJ30">
        <f t="shared" si="33"/>
        <v>1.1799999999999997</v>
      </c>
      <c r="AK30">
        <f t="shared" si="33"/>
        <v>1.1399999999999999</v>
      </c>
      <c r="AL30">
        <f t="shared" si="33"/>
        <v>1.21</v>
      </c>
      <c r="AM30">
        <f t="shared" si="33"/>
        <v>1.1799999999999997</v>
      </c>
      <c r="AN30" t="e">
        <f t="shared" si="33"/>
        <v>#N/A</v>
      </c>
      <c r="AO30">
        <f t="shared" si="33"/>
        <v>1.0399999999999998</v>
      </c>
      <c r="AP30">
        <f t="shared" si="33"/>
        <v>1.0999999999999999</v>
      </c>
      <c r="AQ30">
        <f t="shared" si="33"/>
        <v>1.1399999999999999</v>
      </c>
      <c r="AR30">
        <f t="shared" si="33"/>
        <v>1.1100000000000001</v>
      </c>
      <c r="AS30">
        <f t="shared" si="33"/>
        <v>1.0799999999999998</v>
      </c>
      <c r="AT30" t="e">
        <f t="shared" si="33"/>
        <v>#N/A</v>
      </c>
      <c r="AU30" t="e">
        <f t="shared" si="33"/>
        <v>#N/A</v>
      </c>
      <c r="AV30" t="e">
        <f t="shared" si="33"/>
        <v>#N/A</v>
      </c>
      <c r="AW30" t="e">
        <f t="shared" si="33"/>
        <v>#N/A</v>
      </c>
      <c r="AX30" t="e">
        <f t="shared" si="33"/>
        <v>#N/A</v>
      </c>
      <c r="AY30" t="e">
        <f t="shared" si="33"/>
        <v>#N/A</v>
      </c>
      <c r="AZ30" t="e">
        <f t="shared" si="33"/>
        <v>#N/A</v>
      </c>
      <c r="BA30" t="e">
        <f t="shared" si="33"/>
        <v>#N/A</v>
      </c>
      <c r="BB30" t="e">
        <f t="shared" si="33"/>
        <v>#N/A</v>
      </c>
      <c r="BC30" t="e">
        <f t="shared" si="33"/>
        <v>#N/A</v>
      </c>
      <c r="BD30" t="e">
        <f t="shared" si="33"/>
        <v>#N/A</v>
      </c>
      <c r="BE30" t="e">
        <f t="shared" si="33"/>
        <v>#N/A</v>
      </c>
      <c r="BF30" t="e">
        <f t="shared" si="33"/>
        <v>#N/A</v>
      </c>
      <c r="BG30" t="e">
        <f t="shared" si="33"/>
        <v>#N/A</v>
      </c>
      <c r="BH30" t="e">
        <f t="shared" si="33"/>
        <v>#N/A</v>
      </c>
      <c r="BI30" t="e">
        <f t="shared" si="33"/>
        <v>#N/A</v>
      </c>
      <c r="BJ30" t="e">
        <f t="shared" si="33"/>
        <v>#N/A</v>
      </c>
      <c r="BK30" t="e">
        <f t="shared" si="33"/>
        <v>#N/A</v>
      </c>
      <c r="BL30" t="e">
        <f t="shared" si="33"/>
        <v>#N/A</v>
      </c>
      <c r="BM30" t="e">
        <f t="shared" si="33"/>
        <v>#N/A</v>
      </c>
      <c r="BN30" t="e">
        <f t="shared" si="33"/>
        <v>#N/A</v>
      </c>
      <c r="BO30" t="e">
        <f t="shared" si="33"/>
        <v>#N/A</v>
      </c>
      <c r="BP30" t="e">
        <f t="shared" si="33"/>
        <v>#N/A</v>
      </c>
      <c r="BQ30" t="e">
        <f t="shared" si="33"/>
        <v>#N/A</v>
      </c>
      <c r="BR30" t="e">
        <f t="shared" si="33"/>
        <v>#N/A</v>
      </c>
      <c r="BS30" t="e">
        <f t="shared" si="33"/>
        <v>#N/A</v>
      </c>
      <c r="BT30" t="e">
        <f t="shared" si="33"/>
        <v>#N/A</v>
      </c>
      <c r="BU30" t="e">
        <f t="shared" si="33"/>
        <v>#N/A</v>
      </c>
      <c r="BV30" t="e">
        <f t="shared" ref="BV30:EG30" si="34">IF(BV12=0,NA(),BV12-ROUNDUP(BV12*0.1,2)-ROUNDUP(BV12*0.05,2))</f>
        <v>#N/A</v>
      </c>
      <c r="BW30" t="e">
        <f t="shared" si="34"/>
        <v>#N/A</v>
      </c>
      <c r="BX30" t="e">
        <f t="shared" si="34"/>
        <v>#N/A</v>
      </c>
      <c r="BY30" t="e">
        <f t="shared" si="34"/>
        <v>#N/A</v>
      </c>
      <c r="BZ30" t="e">
        <f t="shared" si="34"/>
        <v>#N/A</v>
      </c>
      <c r="CA30" t="e">
        <f t="shared" si="34"/>
        <v>#N/A</v>
      </c>
      <c r="CB30" t="e">
        <f t="shared" si="34"/>
        <v>#N/A</v>
      </c>
      <c r="CC30" t="e">
        <f t="shared" si="34"/>
        <v>#N/A</v>
      </c>
      <c r="CD30" t="e">
        <f t="shared" si="34"/>
        <v>#N/A</v>
      </c>
      <c r="CE30" t="e">
        <f t="shared" si="34"/>
        <v>#N/A</v>
      </c>
      <c r="CF30" t="e">
        <f t="shared" si="34"/>
        <v>#N/A</v>
      </c>
      <c r="CG30" t="e">
        <f t="shared" si="34"/>
        <v>#N/A</v>
      </c>
      <c r="CH30" t="e">
        <f t="shared" si="34"/>
        <v>#N/A</v>
      </c>
      <c r="CI30" t="e">
        <f t="shared" si="34"/>
        <v>#N/A</v>
      </c>
      <c r="CJ30" t="e">
        <f t="shared" si="34"/>
        <v>#N/A</v>
      </c>
      <c r="CK30" t="e">
        <f t="shared" si="34"/>
        <v>#N/A</v>
      </c>
      <c r="CL30" t="e">
        <f t="shared" si="34"/>
        <v>#N/A</v>
      </c>
      <c r="CM30" t="e">
        <f t="shared" si="34"/>
        <v>#N/A</v>
      </c>
      <c r="CN30" t="e">
        <f t="shared" si="34"/>
        <v>#N/A</v>
      </c>
      <c r="CO30" t="e">
        <f t="shared" si="34"/>
        <v>#N/A</v>
      </c>
      <c r="CP30" t="e">
        <f t="shared" si="34"/>
        <v>#N/A</v>
      </c>
      <c r="CQ30" t="e">
        <f t="shared" si="34"/>
        <v>#N/A</v>
      </c>
      <c r="CR30" t="e">
        <f t="shared" si="34"/>
        <v>#N/A</v>
      </c>
      <c r="CS30" t="e">
        <f t="shared" si="34"/>
        <v>#N/A</v>
      </c>
      <c r="CT30" t="e">
        <f t="shared" si="34"/>
        <v>#N/A</v>
      </c>
      <c r="CU30" t="e">
        <f t="shared" si="34"/>
        <v>#N/A</v>
      </c>
      <c r="CV30" t="e">
        <f t="shared" si="34"/>
        <v>#N/A</v>
      </c>
      <c r="CW30" t="e">
        <f t="shared" si="34"/>
        <v>#N/A</v>
      </c>
      <c r="CX30" t="e">
        <f t="shared" si="34"/>
        <v>#N/A</v>
      </c>
      <c r="CY30" t="e">
        <f t="shared" si="34"/>
        <v>#N/A</v>
      </c>
      <c r="CZ30" t="e">
        <f t="shared" si="34"/>
        <v>#N/A</v>
      </c>
      <c r="DA30" t="e">
        <f t="shared" si="34"/>
        <v>#N/A</v>
      </c>
      <c r="DB30" t="e">
        <f t="shared" si="34"/>
        <v>#N/A</v>
      </c>
      <c r="DC30" t="e">
        <f t="shared" si="34"/>
        <v>#N/A</v>
      </c>
      <c r="DD30" t="e">
        <f t="shared" si="34"/>
        <v>#N/A</v>
      </c>
      <c r="DE30" t="e">
        <f t="shared" si="34"/>
        <v>#N/A</v>
      </c>
      <c r="DF30" t="e">
        <f t="shared" si="34"/>
        <v>#N/A</v>
      </c>
      <c r="DG30" t="e">
        <f t="shared" si="34"/>
        <v>#N/A</v>
      </c>
      <c r="DH30" t="e">
        <f t="shared" si="34"/>
        <v>#N/A</v>
      </c>
      <c r="DI30" t="e">
        <f t="shared" si="34"/>
        <v>#N/A</v>
      </c>
      <c r="DJ30" t="e">
        <f t="shared" si="34"/>
        <v>#N/A</v>
      </c>
      <c r="DK30" t="e">
        <f t="shared" si="34"/>
        <v>#N/A</v>
      </c>
      <c r="DL30" t="e">
        <f t="shared" si="34"/>
        <v>#N/A</v>
      </c>
      <c r="DM30" t="e">
        <f t="shared" si="34"/>
        <v>#N/A</v>
      </c>
      <c r="DN30" t="e">
        <f t="shared" si="34"/>
        <v>#N/A</v>
      </c>
      <c r="DO30" t="e">
        <f t="shared" si="34"/>
        <v>#N/A</v>
      </c>
      <c r="DP30" t="e">
        <f t="shared" si="34"/>
        <v>#N/A</v>
      </c>
      <c r="DQ30" t="e">
        <f t="shared" si="34"/>
        <v>#N/A</v>
      </c>
      <c r="DR30" t="e">
        <f t="shared" si="34"/>
        <v>#N/A</v>
      </c>
      <c r="DS30" t="e">
        <f t="shared" si="34"/>
        <v>#N/A</v>
      </c>
      <c r="DT30" t="e">
        <f t="shared" si="34"/>
        <v>#N/A</v>
      </c>
      <c r="DU30" t="e">
        <f t="shared" si="34"/>
        <v>#N/A</v>
      </c>
      <c r="DV30" t="e">
        <f t="shared" si="34"/>
        <v>#N/A</v>
      </c>
      <c r="DW30" t="e">
        <f t="shared" si="34"/>
        <v>#N/A</v>
      </c>
      <c r="DX30" t="e">
        <f t="shared" si="34"/>
        <v>#N/A</v>
      </c>
      <c r="DY30" t="e">
        <f t="shared" si="34"/>
        <v>#N/A</v>
      </c>
      <c r="DZ30" t="e">
        <f t="shared" si="34"/>
        <v>#N/A</v>
      </c>
      <c r="EA30" t="e">
        <f t="shared" si="34"/>
        <v>#N/A</v>
      </c>
      <c r="EB30" t="e">
        <f t="shared" si="34"/>
        <v>#N/A</v>
      </c>
      <c r="EC30" t="e">
        <f t="shared" si="34"/>
        <v>#N/A</v>
      </c>
      <c r="ED30" t="e">
        <f t="shared" si="34"/>
        <v>#N/A</v>
      </c>
      <c r="EE30" t="e">
        <f t="shared" si="34"/>
        <v>#N/A</v>
      </c>
      <c r="EF30" t="e">
        <f t="shared" si="34"/>
        <v>#N/A</v>
      </c>
      <c r="EG30" t="e">
        <f t="shared" si="34"/>
        <v>#N/A</v>
      </c>
      <c r="EH30" t="e">
        <f t="shared" ref="EH30:GA30" si="35">IF(EH12=0,NA(),EH12-ROUNDUP(EH12*0.1,2)-ROUNDUP(EH12*0.05,2))</f>
        <v>#N/A</v>
      </c>
      <c r="EI30" t="e">
        <f t="shared" si="35"/>
        <v>#N/A</v>
      </c>
      <c r="EJ30" t="e">
        <f t="shared" si="35"/>
        <v>#N/A</v>
      </c>
      <c r="EK30" t="e">
        <f t="shared" si="35"/>
        <v>#N/A</v>
      </c>
      <c r="EL30" t="e">
        <f t="shared" si="35"/>
        <v>#N/A</v>
      </c>
      <c r="EM30" t="e">
        <f t="shared" si="35"/>
        <v>#N/A</v>
      </c>
      <c r="EN30" t="e">
        <f t="shared" si="35"/>
        <v>#N/A</v>
      </c>
      <c r="EO30" t="e">
        <f t="shared" si="35"/>
        <v>#N/A</v>
      </c>
      <c r="EP30" t="e">
        <f t="shared" si="35"/>
        <v>#N/A</v>
      </c>
      <c r="EQ30" t="e">
        <f t="shared" si="35"/>
        <v>#N/A</v>
      </c>
      <c r="ER30" t="e">
        <f t="shared" si="35"/>
        <v>#N/A</v>
      </c>
      <c r="ES30" t="e">
        <f t="shared" si="35"/>
        <v>#N/A</v>
      </c>
      <c r="ET30" t="e">
        <f t="shared" si="35"/>
        <v>#N/A</v>
      </c>
      <c r="EU30" t="e">
        <f t="shared" si="35"/>
        <v>#N/A</v>
      </c>
      <c r="EV30" t="e">
        <f t="shared" si="35"/>
        <v>#N/A</v>
      </c>
      <c r="EW30" t="e">
        <f t="shared" si="35"/>
        <v>#N/A</v>
      </c>
      <c r="EX30" t="e">
        <f t="shared" si="35"/>
        <v>#N/A</v>
      </c>
      <c r="EY30" t="e">
        <f t="shared" si="35"/>
        <v>#N/A</v>
      </c>
      <c r="EZ30" t="e">
        <f t="shared" si="35"/>
        <v>#N/A</v>
      </c>
      <c r="FA30" t="e">
        <f t="shared" si="35"/>
        <v>#N/A</v>
      </c>
      <c r="FB30" t="e">
        <f t="shared" si="35"/>
        <v>#N/A</v>
      </c>
      <c r="FC30" t="e">
        <f t="shared" si="35"/>
        <v>#N/A</v>
      </c>
      <c r="FD30" t="e">
        <f t="shared" si="35"/>
        <v>#N/A</v>
      </c>
      <c r="FE30" t="e">
        <f t="shared" si="35"/>
        <v>#N/A</v>
      </c>
      <c r="FF30" t="e">
        <f t="shared" si="35"/>
        <v>#N/A</v>
      </c>
      <c r="FG30" t="e">
        <f t="shared" si="35"/>
        <v>#N/A</v>
      </c>
      <c r="FH30" t="e">
        <f t="shared" si="35"/>
        <v>#N/A</v>
      </c>
      <c r="FI30" t="e">
        <f t="shared" si="35"/>
        <v>#N/A</v>
      </c>
      <c r="FJ30" t="e">
        <f t="shared" si="35"/>
        <v>#N/A</v>
      </c>
      <c r="FK30" t="e">
        <f t="shared" si="35"/>
        <v>#N/A</v>
      </c>
      <c r="FL30" t="e">
        <f t="shared" si="35"/>
        <v>#N/A</v>
      </c>
      <c r="FM30" t="e">
        <f t="shared" si="35"/>
        <v>#N/A</v>
      </c>
      <c r="FN30" t="e">
        <f t="shared" si="35"/>
        <v>#N/A</v>
      </c>
      <c r="FO30" t="e">
        <f t="shared" si="35"/>
        <v>#N/A</v>
      </c>
      <c r="FP30" t="e">
        <f t="shared" si="35"/>
        <v>#N/A</v>
      </c>
      <c r="FQ30" t="e">
        <f t="shared" si="35"/>
        <v>#N/A</v>
      </c>
      <c r="FR30" t="e">
        <f t="shared" si="35"/>
        <v>#N/A</v>
      </c>
      <c r="FS30" t="e">
        <f t="shared" si="35"/>
        <v>#N/A</v>
      </c>
      <c r="FT30" t="e">
        <f t="shared" si="35"/>
        <v>#N/A</v>
      </c>
      <c r="FU30" t="e">
        <f t="shared" si="35"/>
        <v>#N/A</v>
      </c>
      <c r="FV30" t="e">
        <f t="shared" si="35"/>
        <v>#N/A</v>
      </c>
      <c r="FW30" t="e">
        <f t="shared" si="35"/>
        <v>#N/A</v>
      </c>
      <c r="FX30" t="e">
        <f t="shared" si="35"/>
        <v>#N/A</v>
      </c>
      <c r="FY30" t="e">
        <f t="shared" si="35"/>
        <v>#N/A</v>
      </c>
      <c r="FZ30" t="e">
        <f t="shared" si="35"/>
        <v>#N/A</v>
      </c>
      <c r="GA30" t="e">
        <f t="shared" si="35"/>
        <v>#N/A</v>
      </c>
    </row>
    <row r="31" spans="1:183" x14ac:dyDescent="0.45">
      <c r="F31" s="3"/>
    </row>
    <row r="32" spans="1:183" x14ac:dyDescent="0.45">
      <c r="F32" s="3"/>
    </row>
    <row r="33" spans="1:183" x14ac:dyDescent="0.45">
      <c r="F33" s="3"/>
    </row>
    <row r="34" spans="1:183" x14ac:dyDescent="0.45">
      <c r="A34" s="2" t="s">
        <v>12</v>
      </c>
      <c r="F34" s="4"/>
    </row>
    <row r="35" spans="1:183" x14ac:dyDescent="0.45">
      <c r="F35" s="4"/>
      <c r="I35" s="1">
        <f>I20</f>
        <v>44331</v>
      </c>
      <c r="J35" s="1">
        <f t="shared" ref="J35:BU35" si="36">J20</f>
        <v>44332</v>
      </c>
      <c r="K35" s="1">
        <f t="shared" si="36"/>
        <v>44333</v>
      </c>
      <c r="L35" s="1">
        <f t="shared" si="36"/>
        <v>44334</v>
      </c>
      <c r="M35" s="1">
        <f t="shared" si="36"/>
        <v>44335</v>
      </c>
      <c r="N35" s="1">
        <f t="shared" si="36"/>
        <v>44336</v>
      </c>
      <c r="O35" s="1">
        <f t="shared" si="36"/>
        <v>44337</v>
      </c>
      <c r="P35" s="1">
        <f t="shared" si="36"/>
        <v>44338</v>
      </c>
      <c r="Q35" s="1">
        <f t="shared" si="36"/>
        <v>44339</v>
      </c>
      <c r="R35" s="1">
        <f t="shared" si="36"/>
        <v>44340</v>
      </c>
      <c r="S35" s="1">
        <f t="shared" si="36"/>
        <v>44341</v>
      </c>
      <c r="T35" s="1">
        <f t="shared" si="36"/>
        <v>44342</v>
      </c>
      <c r="U35" s="1">
        <f t="shared" si="36"/>
        <v>44343</v>
      </c>
      <c r="V35" s="1">
        <f t="shared" si="36"/>
        <v>44344</v>
      </c>
      <c r="W35" s="1">
        <f t="shared" si="36"/>
        <v>44345</v>
      </c>
      <c r="X35" s="1">
        <f t="shared" si="36"/>
        <v>44346</v>
      </c>
      <c r="Y35" s="1">
        <f t="shared" si="36"/>
        <v>44347</v>
      </c>
      <c r="Z35" s="1">
        <f t="shared" si="36"/>
        <v>44348</v>
      </c>
      <c r="AA35" s="1">
        <f t="shared" si="36"/>
        <v>44349</v>
      </c>
      <c r="AB35" s="1">
        <f t="shared" si="36"/>
        <v>44350</v>
      </c>
      <c r="AC35" s="1">
        <f t="shared" si="36"/>
        <v>44351</v>
      </c>
      <c r="AD35" s="1">
        <f t="shared" si="36"/>
        <v>44352</v>
      </c>
      <c r="AE35" s="1">
        <f t="shared" si="36"/>
        <v>44353</v>
      </c>
      <c r="AF35" s="1">
        <f t="shared" si="36"/>
        <v>44354</v>
      </c>
      <c r="AG35" s="1">
        <f t="shared" si="36"/>
        <v>44355</v>
      </c>
      <c r="AH35" s="1">
        <f t="shared" si="36"/>
        <v>44356</v>
      </c>
      <c r="AI35" s="1">
        <f t="shared" si="36"/>
        <v>44357</v>
      </c>
      <c r="AJ35" s="1">
        <f t="shared" si="36"/>
        <v>44358</v>
      </c>
      <c r="AK35" s="1">
        <f t="shared" si="36"/>
        <v>44359</v>
      </c>
      <c r="AL35" s="1">
        <f t="shared" si="36"/>
        <v>44360</v>
      </c>
      <c r="AM35" s="1">
        <f t="shared" si="36"/>
        <v>44361</v>
      </c>
      <c r="AN35" s="1">
        <f t="shared" si="36"/>
        <v>44362</v>
      </c>
      <c r="AO35" s="1">
        <f t="shared" si="36"/>
        <v>44363</v>
      </c>
      <c r="AP35" s="1">
        <f t="shared" si="36"/>
        <v>44364</v>
      </c>
      <c r="AQ35" s="1">
        <f t="shared" si="36"/>
        <v>44365</v>
      </c>
      <c r="AR35" s="1">
        <f t="shared" si="36"/>
        <v>44366</v>
      </c>
      <c r="AS35" s="1">
        <f t="shared" si="36"/>
        <v>44367</v>
      </c>
      <c r="AT35" s="1">
        <f t="shared" si="36"/>
        <v>44368</v>
      </c>
      <c r="AU35" s="1">
        <f t="shared" si="36"/>
        <v>44369</v>
      </c>
      <c r="AV35" s="1">
        <f t="shared" si="36"/>
        <v>44370</v>
      </c>
      <c r="AW35" s="1">
        <f t="shared" si="36"/>
        <v>44371</v>
      </c>
      <c r="AX35" s="1">
        <f t="shared" si="36"/>
        <v>44372</v>
      </c>
      <c r="AY35" s="1">
        <f t="shared" si="36"/>
        <v>44373</v>
      </c>
      <c r="AZ35" s="1">
        <f t="shared" si="36"/>
        <v>44374</v>
      </c>
      <c r="BA35" s="1">
        <f t="shared" si="36"/>
        <v>44375</v>
      </c>
      <c r="BB35" s="1">
        <f t="shared" si="36"/>
        <v>44376</v>
      </c>
      <c r="BC35" s="1">
        <f t="shared" si="36"/>
        <v>44377</v>
      </c>
      <c r="BD35" s="1">
        <f t="shared" si="36"/>
        <v>44378</v>
      </c>
      <c r="BE35" s="1">
        <f t="shared" si="36"/>
        <v>44379</v>
      </c>
      <c r="BF35" s="1">
        <f t="shared" si="36"/>
        <v>44380</v>
      </c>
      <c r="BG35" s="1">
        <f t="shared" si="36"/>
        <v>44381</v>
      </c>
      <c r="BH35" s="1">
        <f t="shared" si="36"/>
        <v>44382</v>
      </c>
      <c r="BI35" s="1">
        <f t="shared" si="36"/>
        <v>44383</v>
      </c>
      <c r="BJ35" s="1">
        <f t="shared" si="36"/>
        <v>44384</v>
      </c>
      <c r="BK35" s="1">
        <f t="shared" si="36"/>
        <v>44385</v>
      </c>
      <c r="BL35" s="1">
        <f t="shared" si="36"/>
        <v>44386</v>
      </c>
      <c r="BM35" s="1">
        <f t="shared" si="36"/>
        <v>44387</v>
      </c>
      <c r="BN35" s="1">
        <f t="shared" si="36"/>
        <v>44388</v>
      </c>
      <c r="BO35" s="1">
        <f t="shared" si="36"/>
        <v>44389</v>
      </c>
      <c r="BP35" s="1">
        <f t="shared" si="36"/>
        <v>44390</v>
      </c>
      <c r="BQ35" s="1">
        <f t="shared" si="36"/>
        <v>44391</v>
      </c>
      <c r="BR35" s="1">
        <f t="shared" si="36"/>
        <v>44392</v>
      </c>
      <c r="BS35" s="1">
        <f t="shared" si="36"/>
        <v>44393</v>
      </c>
      <c r="BT35" s="1">
        <f t="shared" si="36"/>
        <v>44394</v>
      </c>
      <c r="BU35" s="1">
        <f t="shared" si="36"/>
        <v>44395</v>
      </c>
      <c r="BV35" s="1">
        <f t="shared" ref="BV35:EG35" si="37">BV20</f>
        <v>44396</v>
      </c>
      <c r="BW35" s="1">
        <f t="shared" si="37"/>
        <v>44397</v>
      </c>
      <c r="BX35" s="1">
        <f t="shared" si="37"/>
        <v>44398</v>
      </c>
      <c r="BY35" s="1">
        <f t="shared" si="37"/>
        <v>44399</v>
      </c>
      <c r="BZ35" s="1">
        <f t="shared" si="37"/>
        <v>44400</v>
      </c>
      <c r="CA35" s="1">
        <f t="shared" si="37"/>
        <v>44401</v>
      </c>
      <c r="CB35" s="1">
        <f t="shared" si="37"/>
        <v>44402</v>
      </c>
      <c r="CC35" s="1">
        <f t="shared" si="37"/>
        <v>44403</v>
      </c>
      <c r="CD35" s="1">
        <f t="shared" si="37"/>
        <v>44404</v>
      </c>
      <c r="CE35" s="1">
        <f t="shared" si="37"/>
        <v>44405</v>
      </c>
      <c r="CF35" s="1">
        <f t="shared" si="37"/>
        <v>44406</v>
      </c>
      <c r="CG35" s="1">
        <f t="shared" si="37"/>
        <v>44407</v>
      </c>
      <c r="CH35" s="1">
        <f t="shared" si="37"/>
        <v>44408</v>
      </c>
      <c r="CI35" s="1">
        <f t="shared" si="37"/>
        <v>44409</v>
      </c>
      <c r="CJ35" s="1">
        <f t="shared" si="37"/>
        <v>44410</v>
      </c>
      <c r="CK35" s="1">
        <f t="shared" si="37"/>
        <v>44411</v>
      </c>
      <c r="CL35" s="1">
        <f t="shared" si="37"/>
        <v>44412</v>
      </c>
      <c r="CM35" s="1">
        <f t="shared" si="37"/>
        <v>44413</v>
      </c>
      <c r="CN35" s="1">
        <f t="shared" si="37"/>
        <v>44414</v>
      </c>
      <c r="CO35" s="1">
        <f t="shared" si="37"/>
        <v>44415</v>
      </c>
      <c r="CP35" s="1">
        <f t="shared" si="37"/>
        <v>44416</v>
      </c>
      <c r="CQ35" s="1">
        <f t="shared" si="37"/>
        <v>44417</v>
      </c>
      <c r="CR35" s="1">
        <f t="shared" si="37"/>
        <v>44418</v>
      </c>
      <c r="CS35" s="1">
        <f t="shared" si="37"/>
        <v>44419</v>
      </c>
      <c r="CT35" s="1">
        <f t="shared" si="37"/>
        <v>44420</v>
      </c>
      <c r="CU35" s="1">
        <f t="shared" si="37"/>
        <v>44421</v>
      </c>
      <c r="CV35" s="1">
        <f t="shared" si="37"/>
        <v>44422</v>
      </c>
      <c r="CW35" s="1">
        <f t="shared" si="37"/>
        <v>44423</v>
      </c>
      <c r="CX35" s="1">
        <f t="shared" si="37"/>
        <v>44424</v>
      </c>
      <c r="CY35" s="1">
        <f t="shared" si="37"/>
        <v>44425</v>
      </c>
      <c r="CZ35" s="1">
        <f t="shared" si="37"/>
        <v>44426</v>
      </c>
      <c r="DA35" s="1">
        <f t="shared" si="37"/>
        <v>44427</v>
      </c>
      <c r="DB35" s="1">
        <f t="shared" si="37"/>
        <v>44428</v>
      </c>
      <c r="DC35" s="1">
        <f t="shared" si="37"/>
        <v>44429</v>
      </c>
      <c r="DD35" s="1">
        <f t="shared" si="37"/>
        <v>44430</v>
      </c>
      <c r="DE35" s="1">
        <f t="shared" si="37"/>
        <v>44431</v>
      </c>
      <c r="DF35" s="1">
        <f t="shared" si="37"/>
        <v>44432</v>
      </c>
      <c r="DG35" s="1">
        <f t="shared" si="37"/>
        <v>44433</v>
      </c>
      <c r="DH35" s="1">
        <f t="shared" si="37"/>
        <v>44434</v>
      </c>
      <c r="DI35" s="1">
        <f t="shared" si="37"/>
        <v>44435</v>
      </c>
      <c r="DJ35" s="1">
        <f t="shared" si="37"/>
        <v>44436</v>
      </c>
      <c r="DK35" s="1">
        <f t="shared" si="37"/>
        <v>44437</v>
      </c>
      <c r="DL35" s="1">
        <f t="shared" si="37"/>
        <v>44438</v>
      </c>
      <c r="DM35" s="1">
        <f t="shared" si="37"/>
        <v>44439</v>
      </c>
      <c r="DN35" s="1">
        <f t="shared" si="37"/>
        <v>44440</v>
      </c>
      <c r="DO35" s="1">
        <f t="shared" si="37"/>
        <v>44441</v>
      </c>
      <c r="DP35" s="1">
        <f t="shared" si="37"/>
        <v>44442</v>
      </c>
      <c r="DQ35" s="1">
        <f t="shared" si="37"/>
        <v>44443</v>
      </c>
      <c r="DR35" s="1">
        <f t="shared" si="37"/>
        <v>44444</v>
      </c>
      <c r="DS35" s="1">
        <f t="shared" si="37"/>
        <v>44445</v>
      </c>
      <c r="DT35" s="1">
        <f t="shared" si="37"/>
        <v>44446</v>
      </c>
      <c r="DU35" s="1">
        <f t="shared" si="37"/>
        <v>44447</v>
      </c>
      <c r="DV35" s="1">
        <f t="shared" si="37"/>
        <v>44448</v>
      </c>
      <c r="DW35" s="1">
        <f t="shared" si="37"/>
        <v>44449</v>
      </c>
      <c r="DX35" s="1">
        <f t="shared" si="37"/>
        <v>44450</v>
      </c>
      <c r="DY35" s="1">
        <f t="shared" si="37"/>
        <v>44451</v>
      </c>
      <c r="DZ35" s="1">
        <f t="shared" si="37"/>
        <v>44452</v>
      </c>
      <c r="EA35" s="1">
        <f t="shared" si="37"/>
        <v>44453</v>
      </c>
      <c r="EB35" s="1">
        <f t="shared" si="37"/>
        <v>44454</v>
      </c>
      <c r="EC35" s="1">
        <f t="shared" si="37"/>
        <v>44455</v>
      </c>
      <c r="ED35" s="1">
        <f t="shared" si="37"/>
        <v>44456</v>
      </c>
      <c r="EE35" s="1">
        <f t="shared" si="37"/>
        <v>44457</v>
      </c>
      <c r="EF35" s="1">
        <f t="shared" si="37"/>
        <v>44458</v>
      </c>
      <c r="EG35" s="1">
        <f t="shared" si="37"/>
        <v>44459</v>
      </c>
      <c r="EH35" s="1">
        <f t="shared" ref="EH35:GA35" si="38">EH20</f>
        <v>44460</v>
      </c>
      <c r="EI35" s="1">
        <f t="shared" si="38"/>
        <v>44461</v>
      </c>
      <c r="EJ35" s="1">
        <f t="shared" si="38"/>
        <v>44462</v>
      </c>
      <c r="EK35" s="1">
        <f t="shared" si="38"/>
        <v>44463</v>
      </c>
      <c r="EL35" s="1">
        <f t="shared" si="38"/>
        <v>44464</v>
      </c>
      <c r="EM35" s="1">
        <f t="shared" si="38"/>
        <v>44465</v>
      </c>
      <c r="EN35" s="1">
        <f t="shared" si="38"/>
        <v>44466</v>
      </c>
      <c r="EO35" s="1">
        <f t="shared" si="38"/>
        <v>44467</v>
      </c>
      <c r="EP35" s="1">
        <f t="shared" si="38"/>
        <v>44468</v>
      </c>
      <c r="EQ35" s="1">
        <f t="shared" si="38"/>
        <v>44469</v>
      </c>
      <c r="ER35" s="1">
        <f t="shared" si="38"/>
        <v>44470</v>
      </c>
      <c r="ES35" s="1">
        <f t="shared" si="38"/>
        <v>44471</v>
      </c>
      <c r="ET35" s="1">
        <f t="shared" si="38"/>
        <v>44472</v>
      </c>
      <c r="EU35" s="1">
        <f t="shared" si="38"/>
        <v>44473</v>
      </c>
      <c r="EV35" s="1">
        <f t="shared" si="38"/>
        <v>44474</v>
      </c>
      <c r="EW35" s="1">
        <f t="shared" si="38"/>
        <v>44475</v>
      </c>
      <c r="EX35" s="1">
        <f t="shared" si="38"/>
        <v>44476</v>
      </c>
      <c r="EY35" s="1">
        <f t="shared" si="38"/>
        <v>44477</v>
      </c>
      <c r="EZ35" s="1">
        <f t="shared" si="38"/>
        <v>44478</v>
      </c>
      <c r="FA35" s="1">
        <f t="shared" si="38"/>
        <v>44479</v>
      </c>
      <c r="FB35" s="1">
        <f t="shared" si="38"/>
        <v>44480</v>
      </c>
      <c r="FC35" s="1">
        <f t="shared" si="38"/>
        <v>44481</v>
      </c>
      <c r="FD35" s="1">
        <f t="shared" si="38"/>
        <v>44482</v>
      </c>
      <c r="FE35" s="1">
        <f t="shared" si="38"/>
        <v>44483</v>
      </c>
      <c r="FF35" s="1">
        <f t="shared" si="38"/>
        <v>44484</v>
      </c>
      <c r="FG35" s="1">
        <f t="shared" si="38"/>
        <v>44485</v>
      </c>
      <c r="FH35" s="1">
        <f t="shared" si="38"/>
        <v>44486</v>
      </c>
      <c r="FI35" s="1">
        <f t="shared" si="38"/>
        <v>44487</v>
      </c>
      <c r="FJ35" s="1">
        <f t="shared" si="38"/>
        <v>44488</v>
      </c>
      <c r="FK35" s="1">
        <f t="shared" si="38"/>
        <v>44489</v>
      </c>
      <c r="FL35" s="1">
        <f t="shared" si="38"/>
        <v>44490</v>
      </c>
      <c r="FM35" s="1">
        <f t="shared" si="38"/>
        <v>44491</v>
      </c>
      <c r="FN35" s="1">
        <f t="shared" si="38"/>
        <v>44492</v>
      </c>
      <c r="FO35" s="1">
        <f t="shared" si="38"/>
        <v>44493</v>
      </c>
      <c r="FP35" s="1">
        <f t="shared" si="38"/>
        <v>44494</v>
      </c>
      <c r="FQ35" s="1">
        <f t="shared" si="38"/>
        <v>44495</v>
      </c>
      <c r="FR35" s="1">
        <f t="shared" si="38"/>
        <v>44496</v>
      </c>
      <c r="FS35" s="1">
        <f t="shared" si="38"/>
        <v>44497</v>
      </c>
      <c r="FT35" s="1">
        <f t="shared" si="38"/>
        <v>44498</v>
      </c>
      <c r="FU35" s="1">
        <f t="shared" si="38"/>
        <v>44499</v>
      </c>
      <c r="FV35" s="1">
        <f t="shared" si="38"/>
        <v>44500</v>
      </c>
      <c r="FW35" s="1">
        <f t="shared" si="38"/>
        <v>44501</v>
      </c>
      <c r="FX35" s="1">
        <f t="shared" si="38"/>
        <v>44502</v>
      </c>
      <c r="FY35" s="1">
        <f t="shared" si="38"/>
        <v>44503</v>
      </c>
      <c r="FZ35" s="1">
        <f t="shared" si="38"/>
        <v>44504</v>
      </c>
      <c r="GA35" s="1">
        <f t="shared" si="38"/>
        <v>44505</v>
      </c>
    </row>
    <row r="36" spans="1:183" x14ac:dyDescent="0.45">
      <c r="A36">
        <v>2000</v>
      </c>
      <c r="B36" t="s">
        <v>0</v>
      </c>
      <c r="C36" cm="1">
        <f t="array" ref="C36">LOOKUP(2,1/(I36:GA36&lt;&gt;""),I36:GA36)</f>
        <v>7.0000000000000007E-2</v>
      </c>
      <c r="D36">
        <f t="shared" ref="D36:D40" si="39">D$12</f>
        <v>45</v>
      </c>
      <c r="F36" s="3">
        <f t="shared" ref="F36:F40" si="40">(C36-I36)/I36</f>
        <v>0.40000000000000008</v>
      </c>
      <c r="G36" s="3" cm="1">
        <f t="array" ref="G36">(C36-IF(ISNA(INDEX(I36:GA36,D36-22)),INDEX(I36:GA36,D36-23),INDEX(I36:GA36,D36-22)))/IF(ISNA(INDEX(I36:GA36,D36-22)),INDEX(I36:GA36,D36-23),INDEX(I36:GA36,D36-22))</f>
        <v>0</v>
      </c>
      <c r="I36">
        <f>IF($B36=$B$3,IF(ISBLANK(I$3),NA(),I$3),IF($B36=$B$4,IF(ISBLANK(I$4),NA(),I$4),IF($B36=$B$5,IF(ISBLANK(I$5),NA(),I$5),IF($B36=$B$6,IF(ISBLANK(I$6),NA(),I$6),IF($B36=$B$7,IF(ISBLANK(I$7),NA(),I$7),IF($B36=$B$8,IF(ISBLANK(I$8),NA(),I$8),IF($B36=$B$9,IF(ISBLANK(I$9),NA(),I$9),IF($B36=$B$10,IF(ISBLANK(I$10),NA(),I$10),IF($B36=$B$11,IF(ISBLANK(I$11),NA(),I$11),IF($B36=$B$12,IF(ISBLANK(I$12),NA(),I$12),0))))))))))</f>
        <v>0.05</v>
      </c>
      <c r="J36">
        <f t="shared" ref="J36:BU39" si="41">IF($B36=$B$3,IF(ISBLANK(J$3),NA(),J$3),IF($B36=$B$4,IF(ISBLANK(J$4),NA(),J$4),IF($B36=$B$5,IF(ISBLANK(J$5),NA(),J$5),IF($B36=$B$6,IF(ISBLANK(J$6),NA(),J$6),IF($B36=$B$7,IF(ISBLANK(J$7),NA(),J$7),IF($B36=$B$8,IF(ISBLANK(J$8),NA(),J$8),IF($B36=$B$9,IF(ISBLANK(J$9),NA(),J$9),IF($B36=$B$10,IF(ISBLANK(J$10),NA(),J$10),IF($B36=$B$11,IF(ISBLANK(J$11),NA(),J$11),IF($B36=$B$12,IF(ISBLANK(J$12),NA(),J$12),0))))))))))</f>
        <v>0.05</v>
      </c>
      <c r="K36" t="e">
        <f t="shared" si="41"/>
        <v>#N/A</v>
      </c>
      <c r="L36">
        <f t="shared" si="41"/>
        <v>0.05</v>
      </c>
      <c r="M36" t="e">
        <f t="shared" si="41"/>
        <v>#N/A</v>
      </c>
      <c r="N36">
        <f t="shared" si="41"/>
        <v>0.06</v>
      </c>
      <c r="O36">
        <f t="shared" si="41"/>
        <v>0.06</v>
      </c>
      <c r="P36">
        <f t="shared" si="41"/>
        <v>0.06</v>
      </c>
      <c r="Q36">
        <f t="shared" si="41"/>
        <v>0.05</v>
      </c>
      <c r="R36">
        <f t="shared" si="41"/>
        <v>0.06</v>
      </c>
      <c r="S36">
        <f t="shared" si="41"/>
        <v>0.06</v>
      </c>
      <c r="T36">
        <f t="shared" si="41"/>
        <v>0.06</v>
      </c>
      <c r="U36">
        <f t="shared" si="41"/>
        <v>0.06</v>
      </c>
      <c r="V36">
        <f t="shared" si="41"/>
        <v>0.06</v>
      </c>
      <c r="W36">
        <f t="shared" si="41"/>
        <v>0.06</v>
      </c>
      <c r="X36">
        <f t="shared" si="41"/>
        <v>0.05</v>
      </c>
      <c r="Y36">
        <f t="shared" si="41"/>
        <v>0.06</v>
      </c>
      <c r="Z36">
        <f t="shared" si="41"/>
        <v>0.06</v>
      </c>
      <c r="AA36">
        <f t="shared" si="41"/>
        <v>0.06</v>
      </c>
      <c r="AB36">
        <f t="shared" si="41"/>
        <v>0.06</v>
      </c>
      <c r="AC36">
        <f t="shared" si="41"/>
        <v>7.0000000000000007E-2</v>
      </c>
      <c r="AD36">
        <f t="shared" si="41"/>
        <v>0.08</v>
      </c>
      <c r="AE36">
        <f t="shared" si="41"/>
        <v>7.0000000000000007E-2</v>
      </c>
      <c r="AF36">
        <f t="shared" si="41"/>
        <v>0.08</v>
      </c>
      <c r="AG36">
        <f t="shared" si="41"/>
        <v>0.08</v>
      </c>
      <c r="AH36">
        <f t="shared" si="41"/>
        <v>0.08</v>
      </c>
      <c r="AI36">
        <f t="shared" si="41"/>
        <v>0.08</v>
      </c>
      <c r="AJ36">
        <f t="shared" si="41"/>
        <v>0.08</v>
      </c>
      <c r="AK36">
        <f t="shared" si="41"/>
        <v>0.08</v>
      </c>
      <c r="AL36">
        <f t="shared" si="41"/>
        <v>0.08</v>
      </c>
      <c r="AM36">
        <f t="shared" si="41"/>
        <v>7.0000000000000007E-2</v>
      </c>
      <c r="AN36" t="e">
        <f t="shared" si="41"/>
        <v>#N/A</v>
      </c>
      <c r="AO36">
        <f t="shared" si="41"/>
        <v>7.0000000000000007E-2</v>
      </c>
      <c r="AP36">
        <f t="shared" si="41"/>
        <v>7.0000000000000007E-2</v>
      </c>
      <c r="AQ36">
        <f t="shared" si="41"/>
        <v>7.0000000000000007E-2</v>
      </c>
      <c r="AR36">
        <f t="shared" si="41"/>
        <v>7.0000000000000007E-2</v>
      </c>
      <c r="AS36">
        <f t="shared" si="41"/>
        <v>7.0000000000000007E-2</v>
      </c>
      <c r="AT36" t="e">
        <f t="shared" si="41"/>
        <v>#N/A</v>
      </c>
      <c r="AU36" t="e">
        <f t="shared" si="41"/>
        <v>#N/A</v>
      </c>
      <c r="AV36" t="e">
        <f t="shared" si="41"/>
        <v>#N/A</v>
      </c>
      <c r="AW36" t="e">
        <f t="shared" si="41"/>
        <v>#N/A</v>
      </c>
      <c r="AX36" t="e">
        <f t="shared" si="41"/>
        <v>#N/A</v>
      </c>
      <c r="AY36" t="e">
        <f t="shared" si="41"/>
        <v>#N/A</v>
      </c>
      <c r="AZ36" t="e">
        <f t="shared" si="41"/>
        <v>#N/A</v>
      </c>
      <c r="BA36" t="e">
        <f t="shared" si="41"/>
        <v>#N/A</v>
      </c>
      <c r="BB36" t="e">
        <f t="shared" si="41"/>
        <v>#N/A</v>
      </c>
      <c r="BC36" t="e">
        <f t="shared" si="41"/>
        <v>#N/A</v>
      </c>
      <c r="BD36" t="e">
        <f t="shared" si="41"/>
        <v>#N/A</v>
      </c>
      <c r="BE36" t="e">
        <f t="shared" si="41"/>
        <v>#N/A</v>
      </c>
      <c r="BF36" t="e">
        <f t="shared" si="41"/>
        <v>#N/A</v>
      </c>
      <c r="BG36" t="e">
        <f t="shared" si="41"/>
        <v>#N/A</v>
      </c>
      <c r="BH36" t="e">
        <f t="shared" si="41"/>
        <v>#N/A</v>
      </c>
      <c r="BI36" t="e">
        <f t="shared" si="41"/>
        <v>#N/A</v>
      </c>
      <c r="BJ36" t="e">
        <f t="shared" si="41"/>
        <v>#N/A</v>
      </c>
      <c r="BK36" t="e">
        <f t="shared" si="41"/>
        <v>#N/A</v>
      </c>
      <c r="BL36" t="e">
        <f t="shared" si="41"/>
        <v>#N/A</v>
      </c>
      <c r="BM36" t="e">
        <f t="shared" si="41"/>
        <v>#N/A</v>
      </c>
      <c r="BN36" t="e">
        <f t="shared" si="41"/>
        <v>#N/A</v>
      </c>
      <c r="BO36" t="e">
        <f t="shared" si="41"/>
        <v>#N/A</v>
      </c>
      <c r="BP36" t="e">
        <f t="shared" si="41"/>
        <v>#N/A</v>
      </c>
      <c r="BQ36" t="e">
        <f t="shared" si="41"/>
        <v>#N/A</v>
      </c>
      <c r="BR36" t="e">
        <f t="shared" si="41"/>
        <v>#N/A</v>
      </c>
      <c r="BS36" t="e">
        <f t="shared" si="41"/>
        <v>#N/A</v>
      </c>
      <c r="BT36" t="e">
        <f t="shared" si="41"/>
        <v>#N/A</v>
      </c>
      <c r="BU36" t="e">
        <f t="shared" si="41"/>
        <v>#N/A</v>
      </c>
      <c r="BV36" t="e">
        <f t="shared" ref="BV36:EG39" si="42">IF($B36=$B$3,IF(ISBLANK(BV$3),NA(),BV$3),IF($B36=$B$4,IF(ISBLANK(BV$4),NA(),BV$4),IF($B36=$B$5,IF(ISBLANK(BV$5),NA(),BV$5),IF($B36=$B$6,IF(ISBLANK(BV$6),NA(),BV$6),IF($B36=$B$7,IF(ISBLANK(BV$7),NA(),BV$7),IF($B36=$B$8,IF(ISBLANK(BV$8),NA(),BV$8),IF($B36=$B$9,IF(ISBLANK(BV$9),NA(),BV$9),IF($B36=$B$10,IF(ISBLANK(BV$10),NA(),BV$10),IF($B36=$B$11,IF(ISBLANK(BV$11),NA(),BV$11),IF($B36=$B$12,IF(ISBLANK(BV$12),NA(),BV$12),0))))))))))</f>
        <v>#N/A</v>
      </c>
      <c r="BW36" t="e">
        <f t="shared" si="42"/>
        <v>#N/A</v>
      </c>
      <c r="BX36" t="e">
        <f t="shared" si="42"/>
        <v>#N/A</v>
      </c>
      <c r="BY36" t="e">
        <f t="shared" si="42"/>
        <v>#N/A</v>
      </c>
      <c r="BZ36" t="e">
        <f t="shared" si="42"/>
        <v>#N/A</v>
      </c>
      <c r="CA36" t="e">
        <f t="shared" si="42"/>
        <v>#N/A</v>
      </c>
      <c r="CB36" t="e">
        <f t="shared" si="42"/>
        <v>#N/A</v>
      </c>
      <c r="CC36" t="e">
        <f t="shared" si="42"/>
        <v>#N/A</v>
      </c>
      <c r="CD36" t="e">
        <f t="shared" si="42"/>
        <v>#N/A</v>
      </c>
      <c r="CE36" t="e">
        <f t="shared" si="42"/>
        <v>#N/A</v>
      </c>
      <c r="CF36" t="e">
        <f t="shared" si="42"/>
        <v>#N/A</v>
      </c>
      <c r="CG36" t="e">
        <f t="shared" si="42"/>
        <v>#N/A</v>
      </c>
      <c r="CH36" t="e">
        <f t="shared" si="42"/>
        <v>#N/A</v>
      </c>
      <c r="CI36" t="e">
        <f t="shared" si="42"/>
        <v>#N/A</v>
      </c>
      <c r="CJ36" t="e">
        <f t="shared" si="42"/>
        <v>#N/A</v>
      </c>
      <c r="CK36" t="e">
        <f t="shared" si="42"/>
        <v>#N/A</v>
      </c>
      <c r="CL36" t="e">
        <f t="shared" si="42"/>
        <v>#N/A</v>
      </c>
      <c r="CM36" t="e">
        <f t="shared" si="42"/>
        <v>#N/A</v>
      </c>
      <c r="CN36" t="e">
        <f t="shared" si="42"/>
        <v>#N/A</v>
      </c>
      <c r="CO36" t="e">
        <f t="shared" si="42"/>
        <v>#N/A</v>
      </c>
      <c r="CP36" t="e">
        <f t="shared" si="42"/>
        <v>#N/A</v>
      </c>
      <c r="CQ36" t="e">
        <f t="shared" si="42"/>
        <v>#N/A</v>
      </c>
      <c r="CR36" t="e">
        <f t="shared" si="42"/>
        <v>#N/A</v>
      </c>
      <c r="CS36" t="e">
        <f t="shared" si="42"/>
        <v>#N/A</v>
      </c>
      <c r="CT36" t="e">
        <f t="shared" si="42"/>
        <v>#N/A</v>
      </c>
      <c r="CU36" t="e">
        <f t="shared" si="42"/>
        <v>#N/A</v>
      </c>
      <c r="CV36" t="e">
        <f t="shared" si="42"/>
        <v>#N/A</v>
      </c>
      <c r="CW36" t="e">
        <f t="shared" si="42"/>
        <v>#N/A</v>
      </c>
      <c r="CX36" t="e">
        <f t="shared" si="42"/>
        <v>#N/A</v>
      </c>
      <c r="CY36" t="e">
        <f t="shared" si="42"/>
        <v>#N/A</v>
      </c>
      <c r="CZ36" t="e">
        <f t="shared" si="42"/>
        <v>#N/A</v>
      </c>
      <c r="DA36" t="e">
        <f t="shared" si="42"/>
        <v>#N/A</v>
      </c>
      <c r="DB36" t="e">
        <f t="shared" si="42"/>
        <v>#N/A</v>
      </c>
      <c r="DC36" t="e">
        <f t="shared" si="42"/>
        <v>#N/A</v>
      </c>
      <c r="DD36" t="e">
        <f t="shared" si="42"/>
        <v>#N/A</v>
      </c>
      <c r="DE36" t="e">
        <f t="shared" si="42"/>
        <v>#N/A</v>
      </c>
      <c r="DF36" t="e">
        <f t="shared" si="42"/>
        <v>#N/A</v>
      </c>
      <c r="DG36" t="e">
        <f t="shared" si="42"/>
        <v>#N/A</v>
      </c>
      <c r="DH36" t="e">
        <f t="shared" si="42"/>
        <v>#N/A</v>
      </c>
      <c r="DI36" t="e">
        <f t="shared" si="42"/>
        <v>#N/A</v>
      </c>
      <c r="DJ36" t="e">
        <f t="shared" si="42"/>
        <v>#N/A</v>
      </c>
      <c r="DK36" t="e">
        <f t="shared" si="42"/>
        <v>#N/A</v>
      </c>
      <c r="DL36" t="e">
        <f t="shared" si="42"/>
        <v>#N/A</v>
      </c>
      <c r="DM36" t="e">
        <f t="shared" si="42"/>
        <v>#N/A</v>
      </c>
      <c r="DN36" t="e">
        <f t="shared" si="42"/>
        <v>#N/A</v>
      </c>
      <c r="DO36" t="e">
        <f t="shared" si="42"/>
        <v>#N/A</v>
      </c>
      <c r="DP36" t="e">
        <f t="shared" si="42"/>
        <v>#N/A</v>
      </c>
      <c r="DQ36" t="e">
        <f t="shared" si="42"/>
        <v>#N/A</v>
      </c>
      <c r="DR36" t="e">
        <f t="shared" si="42"/>
        <v>#N/A</v>
      </c>
      <c r="DS36" t="e">
        <f t="shared" si="42"/>
        <v>#N/A</v>
      </c>
      <c r="DT36" t="e">
        <f t="shared" si="42"/>
        <v>#N/A</v>
      </c>
      <c r="DU36" t="e">
        <f t="shared" si="42"/>
        <v>#N/A</v>
      </c>
      <c r="DV36" t="e">
        <f t="shared" si="42"/>
        <v>#N/A</v>
      </c>
      <c r="DW36" t="e">
        <f t="shared" si="42"/>
        <v>#N/A</v>
      </c>
      <c r="DX36" t="e">
        <f t="shared" si="42"/>
        <v>#N/A</v>
      </c>
      <c r="DY36" t="e">
        <f t="shared" si="42"/>
        <v>#N/A</v>
      </c>
      <c r="DZ36" t="e">
        <f t="shared" si="42"/>
        <v>#N/A</v>
      </c>
      <c r="EA36" t="e">
        <f t="shared" si="42"/>
        <v>#N/A</v>
      </c>
      <c r="EB36" t="e">
        <f t="shared" si="42"/>
        <v>#N/A</v>
      </c>
      <c r="EC36" t="e">
        <f t="shared" si="42"/>
        <v>#N/A</v>
      </c>
      <c r="ED36" t="e">
        <f t="shared" si="42"/>
        <v>#N/A</v>
      </c>
      <c r="EE36" t="e">
        <f t="shared" si="42"/>
        <v>#N/A</v>
      </c>
      <c r="EF36" t="e">
        <f t="shared" si="42"/>
        <v>#N/A</v>
      </c>
      <c r="EG36" t="e">
        <f t="shared" si="42"/>
        <v>#N/A</v>
      </c>
      <c r="EH36" t="e">
        <f t="shared" ref="EH36:GA40" si="43">IF($B36=$B$3,IF(ISBLANK(EH$3),NA(),EH$3),IF($B36=$B$4,IF(ISBLANK(EH$4),NA(),EH$4),IF($B36=$B$5,IF(ISBLANK(EH$5),NA(),EH$5),IF($B36=$B$6,IF(ISBLANK(EH$6),NA(),EH$6),IF($B36=$B$7,IF(ISBLANK(EH$7),NA(),EH$7),IF($B36=$B$8,IF(ISBLANK(EH$8),NA(),EH$8),IF($B36=$B$9,IF(ISBLANK(EH$9),NA(),EH$9),IF($B36=$B$10,IF(ISBLANK(EH$10),NA(),EH$10),IF($B36=$B$11,IF(ISBLANK(EH$11),NA(),EH$11),IF($B36=$B$12,IF(ISBLANK(EH$12),NA(),EH$12),0))))))))))</f>
        <v>#N/A</v>
      </c>
      <c r="EI36" t="e">
        <f t="shared" si="43"/>
        <v>#N/A</v>
      </c>
      <c r="EJ36" t="e">
        <f t="shared" si="43"/>
        <v>#N/A</v>
      </c>
      <c r="EK36" t="e">
        <f t="shared" si="43"/>
        <v>#N/A</v>
      </c>
      <c r="EL36" t="e">
        <f t="shared" si="43"/>
        <v>#N/A</v>
      </c>
      <c r="EM36" t="e">
        <f t="shared" si="43"/>
        <v>#N/A</v>
      </c>
      <c r="EN36" t="e">
        <f t="shared" si="43"/>
        <v>#N/A</v>
      </c>
      <c r="EO36" t="e">
        <f t="shared" si="43"/>
        <v>#N/A</v>
      </c>
      <c r="EP36" t="e">
        <f t="shared" si="43"/>
        <v>#N/A</v>
      </c>
      <c r="EQ36" t="e">
        <f t="shared" si="43"/>
        <v>#N/A</v>
      </c>
      <c r="ER36" t="e">
        <f t="shared" si="43"/>
        <v>#N/A</v>
      </c>
      <c r="ES36" t="e">
        <f t="shared" si="43"/>
        <v>#N/A</v>
      </c>
      <c r="ET36" t="e">
        <f t="shared" si="43"/>
        <v>#N/A</v>
      </c>
      <c r="EU36" t="e">
        <f t="shared" si="43"/>
        <v>#N/A</v>
      </c>
      <c r="EV36" t="e">
        <f t="shared" si="43"/>
        <v>#N/A</v>
      </c>
      <c r="EW36" t="e">
        <f t="shared" si="43"/>
        <v>#N/A</v>
      </c>
      <c r="EX36" t="e">
        <f t="shared" si="43"/>
        <v>#N/A</v>
      </c>
      <c r="EY36" t="e">
        <f t="shared" si="43"/>
        <v>#N/A</v>
      </c>
      <c r="EZ36" t="e">
        <f t="shared" si="43"/>
        <v>#N/A</v>
      </c>
      <c r="FA36" t="e">
        <f t="shared" si="43"/>
        <v>#N/A</v>
      </c>
      <c r="FB36" t="e">
        <f t="shared" si="43"/>
        <v>#N/A</v>
      </c>
      <c r="FC36" t="e">
        <f t="shared" si="43"/>
        <v>#N/A</v>
      </c>
      <c r="FD36" t="e">
        <f t="shared" si="43"/>
        <v>#N/A</v>
      </c>
      <c r="FE36" t="e">
        <f t="shared" si="43"/>
        <v>#N/A</v>
      </c>
      <c r="FF36" t="e">
        <f t="shared" si="43"/>
        <v>#N/A</v>
      </c>
      <c r="FG36" t="e">
        <f t="shared" si="43"/>
        <v>#N/A</v>
      </c>
      <c r="FH36" t="e">
        <f t="shared" si="43"/>
        <v>#N/A</v>
      </c>
      <c r="FI36" t="e">
        <f t="shared" si="43"/>
        <v>#N/A</v>
      </c>
      <c r="FJ36" t="e">
        <f t="shared" si="43"/>
        <v>#N/A</v>
      </c>
      <c r="FK36" t="e">
        <f t="shared" si="43"/>
        <v>#N/A</v>
      </c>
      <c r="FL36" t="e">
        <f t="shared" si="43"/>
        <v>#N/A</v>
      </c>
      <c r="FM36" t="e">
        <f t="shared" si="43"/>
        <v>#N/A</v>
      </c>
      <c r="FN36" t="e">
        <f t="shared" si="43"/>
        <v>#N/A</v>
      </c>
      <c r="FO36" t="e">
        <f t="shared" si="43"/>
        <v>#N/A</v>
      </c>
      <c r="FP36" t="e">
        <f t="shared" si="43"/>
        <v>#N/A</v>
      </c>
      <c r="FQ36" t="e">
        <f t="shared" si="43"/>
        <v>#N/A</v>
      </c>
      <c r="FR36" t="e">
        <f t="shared" si="43"/>
        <v>#N/A</v>
      </c>
      <c r="FS36" t="e">
        <f t="shared" si="43"/>
        <v>#N/A</v>
      </c>
      <c r="FT36" t="e">
        <f t="shared" si="43"/>
        <v>#N/A</v>
      </c>
      <c r="FU36" t="e">
        <f t="shared" si="43"/>
        <v>#N/A</v>
      </c>
      <c r="FV36" t="e">
        <f t="shared" si="43"/>
        <v>#N/A</v>
      </c>
      <c r="FW36" t="e">
        <f t="shared" si="43"/>
        <v>#N/A</v>
      </c>
      <c r="FX36" t="e">
        <f t="shared" si="43"/>
        <v>#N/A</v>
      </c>
      <c r="FY36" t="e">
        <f t="shared" si="43"/>
        <v>#N/A</v>
      </c>
      <c r="FZ36" t="e">
        <f t="shared" si="43"/>
        <v>#N/A</v>
      </c>
      <c r="GA36" t="e">
        <f t="shared" si="43"/>
        <v>#N/A</v>
      </c>
    </row>
    <row r="37" spans="1:183" x14ac:dyDescent="0.45">
      <c r="A37">
        <v>1000</v>
      </c>
      <c r="B37" t="s">
        <v>1</v>
      </c>
      <c r="C37" cm="1">
        <f t="array" ref="C37">LOOKUP(2,1/(I37:GA37&lt;&gt;""),I37:GA37)</f>
        <v>0.08</v>
      </c>
      <c r="D37">
        <f t="shared" si="39"/>
        <v>45</v>
      </c>
      <c r="F37" s="3">
        <f t="shared" si="40"/>
        <v>0.14285714285714277</v>
      </c>
      <c r="G37" s="3" cm="1">
        <f t="array" ref="G37">(C37-IF(ISNA(INDEX(I37:GA37,D37-22)),INDEX(I37:GA37,D37-23),INDEX(I37:GA37,D37-22)))/IF(ISNA(INDEX(I37:GA37,D37-22)),INDEX(I37:GA37,D37-23),INDEX(I37:GA37,D37-22))</f>
        <v>0</v>
      </c>
      <c r="I37">
        <f>IF($B37=$B$3,IF(ISBLANK(I$3),NA(),I$3),IF($B37=$B$4,IF(ISBLANK(I$4),NA(),I$4),IF($B37=$B$5,IF(ISBLANK(I$5),NA(),I$5),IF($B37=$B$6,IF(ISBLANK(I$6),NA(),I$6),IF($B37=$B$7,IF(ISBLANK(I$7),NA(),I$7),IF($B37=$B$8,IF(ISBLANK(I$8),NA(),I$8),IF($B37=$B$9,IF(ISBLANK(I$9),NA(),I$9),IF($B37=$B$10,IF(ISBLANK(I$10),NA(),I$10),IF($B37=$B$11,IF(ISBLANK(I$11),NA(),I$11),IF($B37=$B$12,IF(ISBLANK(I$12),NA(),I$12),0))))))))))</f>
        <v>7.0000000000000007E-2</v>
      </c>
      <c r="J37">
        <f t="shared" si="41"/>
        <v>7.0000000000000007E-2</v>
      </c>
      <c r="K37" t="e">
        <f t="shared" si="41"/>
        <v>#N/A</v>
      </c>
      <c r="L37">
        <f t="shared" si="41"/>
        <v>7.0000000000000007E-2</v>
      </c>
      <c r="M37" t="e">
        <f t="shared" si="41"/>
        <v>#N/A</v>
      </c>
      <c r="N37">
        <f t="shared" si="41"/>
        <v>7.0000000000000007E-2</v>
      </c>
      <c r="O37">
        <f t="shared" si="41"/>
        <v>7.0000000000000007E-2</v>
      </c>
      <c r="P37">
        <f t="shared" si="41"/>
        <v>7.0000000000000007E-2</v>
      </c>
      <c r="Q37">
        <f t="shared" si="41"/>
        <v>7.0000000000000007E-2</v>
      </c>
      <c r="R37">
        <f t="shared" si="41"/>
        <v>7.0000000000000007E-2</v>
      </c>
      <c r="S37">
        <f t="shared" si="41"/>
        <v>7.0000000000000007E-2</v>
      </c>
      <c r="T37">
        <f t="shared" si="41"/>
        <v>7.0000000000000007E-2</v>
      </c>
      <c r="U37">
        <f t="shared" si="41"/>
        <v>7.0000000000000007E-2</v>
      </c>
      <c r="V37">
        <f t="shared" si="41"/>
        <v>0.06</v>
      </c>
      <c r="W37">
        <f t="shared" si="41"/>
        <v>0.06</v>
      </c>
      <c r="X37">
        <f t="shared" si="41"/>
        <v>7.0000000000000007E-2</v>
      </c>
      <c r="Y37">
        <f t="shared" si="41"/>
        <v>7.0000000000000007E-2</v>
      </c>
      <c r="Z37">
        <f t="shared" si="41"/>
        <v>7.0000000000000007E-2</v>
      </c>
      <c r="AA37">
        <f t="shared" si="41"/>
        <v>7.0000000000000007E-2</v>
      </c>
      <c r="AB37">
        <f t="shared" si="41"/>
        <v>7.0000000000000007E-2</v>
      </c>
      <c r="AC37">
        <f t="shared" si="41"/>
        <v>0.08</v>
      </c>
      <c r="AD37">
        <f t="shared" si="41"/>
        <v>0.09</v>
      </c>
      <c r="AE37">
        <f t="shared" si="41"/>
        <v>0.08</v>
      </c>
      <c r="AF37">
        <f t="shared" si="41"/>
        <v>0.09</v>
      </c>
      <c r="AG37">
        <f t="shared" si="41"/>
        <v>0.09</v>
      </c>
      <c r="AH37">
        <f t="shared" si="41"/>
        <v>0.08</v>
      </c>
      <c r="AI37">
        <f t="shared" si="41"/>
        <v>0.09</v>
      </c>
      <c r="AJ37">
        <f t="shared" si="41"/>
        <v>0.09</v>
      </c>
      <c r="AK37">
        <f t="shared" si="41"/>
        <v>0.09</v>
      </c>
      <c r="AL37">
        <f t="shared" si="41"/>
        <v>0.09</v>
      </c>
      <c r="AM37">
        <f t="shared" si="41"/>
        <v>0.09</v>
      </c>
      <c r="AN37" t="e">
        <f t="shared" si="41"/>
        <v>#N/A</v>
      </c>
      <c r="AO37">
        <f t="shared" si="41"/>
        <v>0.09</v>
      </c>
      <c r="AP37">
        <f t="shared" si="41"/>
        <v>0.08</v>
      </c>
      <c r="AQ37">
        <f t="shared" si="41"/>
        <v>0.08</v>
      </c>
      <c r="AR37">
        <f t="shared" si="41"/>
        <v>0.08</v>
      </c>
      <c r="AS37">
        <f t="shared" si="41"/>
        <v>0.08</v>
      </c>
      <c r="AT37" t="e">
        <f t="shared" si="41"/>
        <v>#N/A</v>
      </c>
      <c r="AU37" t="e">
        <f t="shared" si="41"/>
        <v>#N/A</v>
      </c>
      <c r="AV37" t="e">
        <f t="shared" si="41"/>
        <v>#N/A</v>
      </c>
      <c r="AW37" t="e">
        <f t="shared" si="41"/>
        <v>#N/A</v>
      </c>
      <c r="AX37" t="e">
        <f t="shared" si="41"/>
        <v>#N/A</v>
      </c>
      <c r="AY37" t="e">
        <f t="shared" si="41"/>
        <v>#N/A</v>
      </c>
      <c r="AZ37" t="e">
        <f t="shared" si="41"/>
        <v>#N/A</v>
      </c>
      <c r="BA37" t="e">
        <f t="shared" si="41"/>
        <v>#N/A</v>
      </c>
      <c r="BB37" t="e">
        <f t="shared" si="41"/>
        <v>#N/A</v>
      </c>
      <c r="BC37" t="e">
        <f t="shared" si="41"/>
        <v>#N/A</v>
      </c>
      <c r="BD37" t="e">
        <f t="shared" si="41"/>
        <v>#N/A</v>
      </c>
      <c r="BE37" t="e">
        <f t="shared" si="41"/>
        <v>#N/A</v>
      </c>
      <c r="BF37" t="e">
        <f t="shared" si="41"/>
        <v>#N/A</v>
      </c>
      <c r="BG37" t="e">
        <f t="shared" si="41"/>
        <v>#N/A</v>
      </c>
      <c r="BH37" t="e">
        <f t="shared" si="41"/>
        <v>#N/A</v>
      </c>
      <c r="BI37" t="e">
        <f t="shared" si="41"/>
        <v>#N/A</v>
      </c>
      <c r="BJ37" t="e">
        <f t="shared" si="41"/>
        <v>#N/A</v>
      </c>
      <c r="BK37" t="e">
        <f t="shared" si="41"/>
        <v>#N/A</v>
      </c>
      <c r="BL37" t="e">
        <f t="shared" si="41"/>
        <v>#N/A</v>
      </c>
      <c r="BM37" t="e">
        <f t="shared" si="41"/>
        <v>#N/A</v>
      </c>
      <c r="BN37" t="e">
        <f t="shared" si="41"/>
        <v>#N/A</v>
      </c>
      <c r="BO37" t="e">
        <f t="shared" si="41"/>
        <v>#N/A</v>
      </c>
      <c r="BP37" t="e">
        <f t="shared" si="41"/>
        <v>#N/A</v>
      </c>
      <c r="BQ37" t="e">
        <f t="shared" si="41"/>
        <v>#N/A</v>
      </c>
      <c r="BR37" t="e">
        <f t="shared" si="41"/>
        <v>#N/A</v>
      </c>
      <c r="BS37" t="e">
        <f t="shared" si="41"/>
        <v>#N/A</v>
      </c>
      <c r="BT37" t="e">
        <f t="shared" si="41"/>
        <v>#N/A</v>
      </c>
      <c r="BU37" t="e">
        <f t="shared" si="41"/>
        <v>#N/A</v>
      </c>
      <c r="BV37" t="e">
        <f t="shared" si="42"/>
        <v>#N/A</v>
      </c>
      <c r="BW37" t="e">
        <f t="shared" si="42"/>
        <v>#N/A</v>
      </c>
      <c r="BX37" t="e">
        <f t="shared" si="42"/>
        <v>#N/A</v>
      </c>
      <c r="BY37" t="e">
        <f t="shared" si="42"/>
        <v>#N/A</v>
      </c>
      <c r="BZ37" t="e">
        <f t="shared" si="42"/>
        <v>#N/A</v>
      </c>
      <c r="CA37" t="e">
        <f t="shared" si="42"/>
        <v>#N/A</v>
      </c>
      <c r="CB37" t="e">
        <f t="shared" si="42"/>
        <v>#N/A</v>
      </c>
      <c r="CC37" t="e">
        <f t="shared" si="42"/>
        <v>#N/A</v>
      </c>
      <c r="CD37" t="e">
        <f t="shared" si="42"/>
        <v>#N/A</v>
      </c>
      <c r="CE37" t="e">
        <f t="shared" si="42"/>
        <v>#N/A</v>
      </c>
      <c r="CF37" t="e">
        <f t="shared" si="42"/>
        <v>#N/A</v>
      </c>
      <c r="CG37" t="e">
        <f t="shared" si="42"/>
        <v>#N/A</v>
      </c>
      <c r="CH37" t="e">
        <f t="shared" si="42"/>
        <v>#N/A</v>
      </c>
      <c r="CI37" t="e">
        <f t="shared" si="42"/>
        <v>#N/A</v>
      </c>
      <c r="CJ37" t="e">
        <f t="shared" si="42"/>
        <v>#N/A</v>
      </c>
      <c r="CK37" t="e">
        <f t="shared" si="42"/>
        <v>#N/A</v>
      </c>
      <c r="CL37" t="e">
        <f t="shared" si="42"/>
        <v>#N/A</v>
      </c>
      <c r="CM37" t="e">
        <f t="shared" si="42"/>
        <v>#N/A</v>
      </c>
      <c r="CN37" t="e">
        <f t="shared" si="42"/>
        <v>#N/A</v>
      </c>
      <c r="CO37" t="e">
        <f t="shared" si="42"/>
        <v>#N/A</v>
      </c>
      <c r="CP37" t="e">
        <f t="shared" si="42"/>
        <v>#N/A</v>
      </c>
      <c r="CQ37" t="e">
        <f t="shared" si="42"/>
        <v>#N/A</v>
      </c>
      <c r="CR37" t="e">
        <f t="shared" si="42"/>
        <v>#N/A</v>
      </c>
      <c r="CS37" t="e">
        <f t="shared" si="42"/>
        <v>#N/A</v>
      </c>
      <c r="CT37" t="e">
        <f t="shared" si="42"/>
        <v>#N/A</v>
      </c>
      <c r="CU37" t="e">
        <f t="shared" si="42"/>
        <v>#N/A</v>
      </c>
      <c r="CV37" t="e">
        <f t="shared" si="42"/>
        <v>#N/A</v>
      </c>
      <c r="CW37" t="e">
        <f t="shared" si="42"/>
        <v>#N/A</v>
      </c>
      <c r="CX37" t="e">
        <f t="shared" si="42"/>
        <v>#N/A</v>
      </c>
      <c r="CY37" t="e">
        <f t="shared" si="42"/>
        <v>#N/A</v>
      </c>
      <c r="CZ37" t="e">
        <f t="shared" si="42"/>
        <v>#N/A</v>
      </c>
      <c r="DA37" t="e">
        <f t="shared" si="42"/>
        <v>#N/A</v>
      </c>
      <c r="DB37" t="e">
        <f t="shared" si="42"/>
        <v>#N/A</v>
      </c>
      <c r="DC37" t="e">
        <f t="shared" si="42"/>
        <v>#N/A</v>
      </c>
      <c r="DD37" t="e">
        <f t="shared" si="42"/>
        <v>#N/A</v>
      </c>
      <c r="DE37" t="e">
        <f t="shared" si="42"/>
        <v>#N/A</v>
      </c>
      <c r="DF37" t="e">
        <f t="shared" si="42"/>
        <v>#N/A</v>
      </c>
      <c r="DG37" t="e">
        <f t="shared" si="42"/>
        <v>#N/A</v>
      </c>
      <c r="DH37" t="e">
        <f t="shared" si="42"/>
        <v>#N/A</v>
      </c>
      <c r="DI37" t="e">
        <f t="shared" si="42"/>
        <v>#N/A</v>
      </c>
      <c r="DJ37" t="e">
        <f t="shared" si="42"/>
        <v>#N/A</v>
      </c>
      <c r="DK37" t="e">
        <f t="shared" si="42"/>
        <v>#N/A</v>
      </c>
      <c r="DL37" t="e">
        <f t="shared" si="42"/>
        <v>#N/A</v>
      </c>
      <c r="DM37" t="e">
        <f t="shared" si="42"/>
        <v>#N/A</v>
      </c>
      <c r="DN37" t="e">
        <f t="shared" si="42"/>
        <v>#N/A</v>
      </c>
      <c r="DO37" t="e">
        <f t="shared" si="42"/>
        <v>#N/A</v>
      </c>
      <c r="DP37" t="e">
        <f t="shared" si="42"/>
        <v>#N/A</v>
      </c>
      <c r="DQ37" t="e">
        <f t="shared" si="42"/>
        <v>#N/A</v>
      </c>
      <c r="DR37" t="e">
        <f t="shared" si="42"/>
        <v>#N/A</v>
      </c>
      <c r="DS37" t="e">
        <f t="shared" si="42"/>
        <v>#N/A</v>
      </c>
      <c r="DT37" t="e">
        <f t="shared" si="42"/>
        <v>#N/A</v>
      </c>
      <c r="DU37" t="e">
        <f t="shared" si="42"/>
        <v>#N/A</v>
      </c>
      <c r="DV37" t="e">
        <f t="shared" si="42"/>
        <v>#N/A</v>
      </c>
      <c r="DW37" t="e">
        <f t="shared" si="42"/>
        <v>#N/A</v>
      </c>
      <c r="DX37" t="e">
        <f t="shared" si="42"/>
        <v>#N/A</v>
      </c>
      <c r="DY37" t="e">
        <f t="shared" si="42"/>
        <v>#N/A</v>
      </c>
      <c r="DZ37" t="e">
        <f t="shared" si="42"/>
        <v>#N/A</v>
      </c>
      <c r="EA37" t="e">
        <f t="shared" si="42"/>
        <v>#N/A</v>
      </c>
      <c r="EB37" t="e">
        <f t="shared" si="42"/>
        <v>#N/A</v>
      </c>
      <c r="EC37" t="e">
        <f t="shared" si="42"/>
        <v>#N/A</v>
      </c>
      <c r="ED37" t="e">
        <f t="shared" si="42"/>
        <v>#N/A</v>
      </c>
      <c r="EE37" t="e">
        <f t="shared" si="42"/>
        <v>#N/A</v>
      </c>
      <c r="EF37" t="e">
        <f t="shared" si="42"/>
        <v>#N/A</v>
      </c>
      <c r="EG37" t="e">
        <f t="shared" si="42"/>
        <v>#N/A</v>
      </c>
      <c r="EH37" t="e">
        <f t="shared" si="43"/>
        <v>#N/A</v>
      </c>
      <c r="EI37" t="e">
        <f t="shared" si="43"/>
        <v>#N/A</v>
      </c>
      <c r="EJ37" t="e">
        <f t="shared" si="43"/>
        <v>#N/A</v>
      </c>
      <c r="EK37" t="e">
        <f t="shared" si="43"/>
        <v>#N/A</v>
      </c>
      <c r="EL37" t="e">
        <f t="shared" si="43"/>
        <v>#N/A</v>
      </c>
      <c r="EM37" t="e">
        <f t="shared" si="43"/>
        <v>#N/A</v>
      </c>
      <c r="EN37" t="e">
        <f t="shared" si="43"/>
        <v>#N/A</v>
      </c>
      <c r="EO37" t="e">
        <f t="shared" si="43"/>
        <v>#N/A</v>
      </c>
      <c r="EP37" t="e">
        <f t="shared" si="43"/>
        <v>#N/A</v>
      </c>
      <c r="EQ37" t="e">
        <f t="shared" si="43"/>
        <v>#N/A</v>
      </c>
      <c r="ER37" t="e">
        <f t="shared" si="43"/>
        <v>#N/A</v>
      </c>
      <c r="ES37" t="e">
        <f t="shared" si="43"/>
        <v>#N/A</v>
      </c>
      <c r="ET37" t="e">
        <f t="shared" si="43"/>
        <v>#N/A</v>
      </c>
      <c r="EU37" t="e">
        <f t="shared" si="43"/>
        <v>#N/A</v>
      </c>
      <c r="EV37" t="e">
        <f t="shared" si="43"/>
        <v>#N/A</v>
      </c>
      <c r="EW37" t="e">
        <f t="shared" si="43"/>
        <v>#N/A</v>
      </c>
      <c r="EX37" t="e">
        <f t="shared" si="43"/>
        <v>#N/A</v>
      </c>
      <c r="EY37" t="e">
        <f t="shared" si="43"/>
        <v>#N/A</v>
      </c>
      <c r="EZ37" t="e">
        <f t="shared" si="43"/>
        <v>#N/A</v>
      </c>
      <c r="FA37" t="e">
        <f t="shared" si="43"/>
        <v>#N/A</v>
      </c>
      <c r="FB37" t="e">
        <f t="shared" si="43"/>
        <v>#N/A</v>
      </c>
      <c r="FC37" t="e">
        <f t="shared" si="43"/>
        <v>#N/A</v>
      </c>
      <c r="FD37" t="e">
        <f t="shared" si="43"/>
        <v>#N/A</v>
      </c>
      <c r="FE37" t="e">
        <f t="shared" si="43"/>
        <v>#N/A</v>
      </c>
      <c r="FF37" t="e">
        <f t="shared" si="43"/>
        <v>#N/A</v>
      </c>
      <c r="FG37" t="e">
        <f t="shared" si="43"/>
        <v>#N/A</v>
      </c>
      <c r="FH37" t="e">
        <f t="shared" si="43"/>
        <v>#N/A</v>
      </c>
      <c r="FI37" t="e">
        <f t="shared" si="43"/>
        <v>#N/A</v>
      </c>
      <c r="FJ37" t="e">
        <f t="shared" si="43"/>
        <v>#N/A</v>
      </c>
      <c r="FK37" t="e">
        <f t="shared" si="43"/>
        <v>#N/A</v>
      </c>
      <c r="FL37" t="e">
        <f t="shared" si="43"/>
        <v>#N/A</v>
      </c>
      <c r="FM37" t="e">
        <f t="shared" si="43"/>
        <v>#N/A</v>
      </c>
      <c r="FN37" t="e">
        <f t="shared" si="43"/>
        <v>#N/A</v>
      </c>
      <c r="FO37" t="e">
        <f t="shared" si="43"/>
        <v>#N/A</v>
      </c>
      <c r="FP37" t="e">
        <f t="shared" si="43"/>
        <v>#N/A</v>
      </c>
      <c r="FQ37" t="e">
        <f t="shared" si="43"/>
        <v>#N/A</v>
      </c>
      <c r="FR37" t="e">
        <f t="shared" si="43"/>
        <v>#N/A</v>
      </c>
      <c r="FS37" t="e">
        <f t="shared" si="43"/>
        <v>#N/A</v>
      </c>
      <c r="FT37" t="e">
        <f t="shared" si="43"/>
        <v>#N/A</v>
      </c>
      <c r="FU37" t="e">
        <f t="shared" si="43"/>
        <v>#N/A</v>
      </c>
      <c r="FV37" t="e">
        <f t="shared" si="43"/>
        <v>#N/A</v>
      </c>
      <c r="FW37" t="e">
        <f t="shared" si="43"/>
        <v>#N/A</v>
      </c>
      <c r="FX37" t="e">
        <f t="shared" si="43"/>
        <v>#N/A</v>
      </c>
      <c r="FY37" t="e">
        <f t="shared" si="43"/>
        <v>#N/A</v>
      </c>
      <c r="FZ37" t="e">
        <f t="shared" si="43"/>
        <v>#N/A</v>
      </c>
      <c r="GA37" t="e">
        <f t="shared" si="43"/>
        <v>#N/A</v>
      </c>
    </row>
    <row r="38" spans="1:183" x14ac:dyDescent="0.45">
      <c r="A38">
        <v>2000</v>
      </c>
      <c r="B38" t="s">
        <v>3</v>
      </c>
      <c r="C38" cm="1">
        <f t="array" ref="C38">LOOKUP(2,1/(I38:GA38&lt;&gt;""),I38:GA38)</f>
        <v>0.12</v>
      </c>
      <c r="D38">
        <f t="shared" si="39"/>
        <v>45</v>
      </c>
      <c r="F38" s="3">
        <f t="shared" si="40"/>
        <v>0.71428571428571408</v>
      </c>
      <c r="G38" s="3" cm="1">
        <f t="array" ref="G38">(C38-IF(ISNA(INDEX(I38:GA38,D38-22)),INDEX(I38:GA38,D38-23),INDEX(I38:GA38,D38-22)))/IF(ISNA(INDEX(I38:GA38,D38-22)),INDEX(I38:GA38,D38-23),INDEX(I38:GA38,D38-22))</f>
        <v>9.090909090909087E-2</v>
      </c>
      <c r="I38">
        <f>IF($B38=$B$3,IF(ISBLANK(I$3),NA(),I$3),IF($B38=$B$4,IF(ISBLANK(I$4),NA(),I$4),IF($B38=$B$5,IF(ISBLANK(I$5),NA(),I$5),IF($B38=$B$6,IF(ISBLANK(I$6),NA(),I$6),IF($B38=$B$7,IF(ISBLANK(I$7),NA(),I$7),IF($B38=$B$8,IF(ISBLANK(I$8),NA(),I$8),IF($B38=$B$9,IF(ISBLANK(I$9),NA(),I$9),IF($B38=$B$10,IF(ISBLANK(I$10),NA(),I$10),IF($B38=$B$11,IF(ISBLANK(I$11),NA(),I$11),IF($B38=$B$12,IF(ISBLANK(I$12),NA(),I$12),0))))))))))</f>
        <v>7.0000000000000007E-2</v>
      </c>
      <c r="J38">
        <f t="shared" si="41"/>
        <v>7.0000000000000007E-2</v>
      </c>
      <c r="K38" t="e">
        <f t="shared" si="41"/>
        <v>#N/A</v>
      </c>
      <c r="L38">
        <f t="shared" si="41"/>
        <v>7.0000000000000007E-2</v>
      </c>
      <c r="M38" t="e">
        <f t="shared" si="41"/>
        <v>#N/A</v>
      </c>
      <c r="N38">
        <f t="shared" si="41"/>
        <v>7.0000000000000007E-2</v>
      </c>
      <c r="O38">
        <f t="shared" si="41"/>
        <v>7.0000000000000007E-2</v>
      </c>
      <c r="P38">
        <f t="shared" si="41"/>
        <v>7.0000000000000007E-2</v>
      </c>
      <c r="Q38">
        <f t="shared" si="41"/>
        <v>7.0000000000000007E-2</v>
      </c>
      <c r="R38">
        <f t="shared" si="41"/>
        <v>7.0000000000000007E-2</v>
      </c>
      <c r="S38">
        <f t="shared" si="41"/>
        <v>7.0000000000000007E-2</v>
      </c>
      <c r="T38">
        <f t="shared" si="41"/>
        <v>7.0000000000000007E-2</v>
      </c>
      <c r="U38">
        <f t="shared" si="41"/>
        <v>7.0000000000000007E-2</v>
      </c>
      <c r="V38">
        <f t="shared" si="41"/>
        <v>7.0000000000000007E-2</v>
      </c>
      <c r="W38">
        <f t="shared" si="41"/>
        <v>7.0000000000000007E-2</v>
      </c>
      <c r="X38">
        <f t="shared" si="41"/>
        <v>7.0000000000000007E-2</v>
      </c>
      <c r="Y38">
        <f t="shared" si="41"/>
        <v>7.0000000000000007E-2</v>
      </c>
      <c r="Z38">
        <f t="shared" si="41"/>
        <v>7.0000000000000007E-2</v>
      </c>
      <c r="AA38">
        <f t="shared" si="41"/>
        <v>7.0000000000000007E-2</v>
      </c>
      <c r="AB38">
        <f t="shared" si="41"/>
        <v>7.0000000000000007E-2</v>
      </c>
      <c r="AC38">
        <f t="shared" si="41"/>
        <v>0.12</v>
      </c>
      <c r="AD38">
        <f t="shared" si="41"/>
        <v>0.14000000000000001</v>
      </c>
      <c r="AE38">
        <f t="shared" si="41"/>
        <v>0.11</v>
      </c>
      <c r="AF38">
        <f t="shared" si="41"/>
        <v>0.12</v>
      </c>
      <c r="AG38">
        <f t="shared" si="41"/>
        <v>0.12</v>
      </c>
      <c r="AH38">
        <f t="shared" si="41"/>
        <v>0.12</v>
      </c>
      <c r="AI38">
        <f t="shared" si="41"/>
        <v>0.12</v>
      </c>
      <c r="AJ38">
        <f t="shared" si="41"/>
        <v>0.13</v>
      </c>
      <c r="AK38">
        <f t="shared" si="41"/>
        <v>0.14000000000000001</v>
      </c>
      <c r="AL38">
        <f t="shared" si="41"/>
        <v>0.13</v>
      </c>
      <c r="AM38">
        <f t="shared" si="41"/>
        <v>0.12</v>
      </c>
      <c r="AN38" t="e">
        <f t="shared" si="41"/>
        <v>#N/A</v>
      </c>
      <c r="AO38">
        <f t="shared" si="41"/>
        <v>0.11</v>
      </c>
      <c r="AP38">
        <f t="shared" si="41"/>
        <v>0.11</v>
      </c>
      <c r="AQ38">
        <f t="shared" si="41"/>
        <v>0.11</v>
      </c>
      <c r="AR38">
        <f t="shared" si="41"/>
        <v>0.12</v>
      </c>
      <c r="AS38">
        <f t="shared" si="41"/>
        <v>0.12</v>
      </c>
      <c r="AT38" t="e">
        <f t="shared" si="41"/>
        <v>#N/A</v>
      </c>
      <c r="AU38" t="e">
        <f t="shared" si="41"/>
        <v>#N/A</v>
      </c>
      <c r="AV38" t="e">
        <f t="shared" si="41"/>
        <v>#N/A</v>
      </c>
      <c r="AW38" t="e">
        <f t="shared" si="41"/>
        <v>#N/A</v>
      </c>
      <c r="AX38" t="e">
        <f t="shared" si="41"/>
        <v>#N/A</v>
      </c>
      <c r="AY38" t="e">
        <f t="shared" si="41"/>
        <v>#N/A</v>
      </c>
      <c r="AZ38" t="e">
        <f t="shared" si="41"/>
        <v>#N/A</v>
      </c>
      <c r="BA38" t="e">
        <f t="shared" si="41"/>
        <v>#N/A</v>
      </c>
      <c r="BB38" t="e">
        <f t="shared" si="41"/>
        <v>#N/A</v>
      </c>
      <c r="BC38" t="e">
        <f t="shared" si="41"/>
        <v>#N/A</v>
      </c>
      <c r="BD38" t="e">
        <f t="shared" si="41"/>
        <v>#N/A</v>
      </c>
      <c r="BE38" t="e">
        <f t="shared" si="41"/>
        <v>#N/A</v>
      </c>
      <c r="BF38" t="e">
        <f t="shared" si="41"/>
        <v>#N/A</v>
      </c>
      <c r="BG38" t="e">
        <f t="shared" si="41"/>
        <v>#N/A</v>
      </c>
      <c r="BH38" t="e">
        <f t="shared" si="41"/>
        <v>#N/A</v>
      </c>
      <c r="BI38" t="e">
        <f t="shared" si="41"/>
        <v>#N/A</v>
      </c>
      <c r="BJ38" t="e">
        <f t="shared" si="41"/>
        <v>#N/A</v>
      </c>
      <c r="BK38" t="e">
        <f t="shared" si="41"/>
        <v>#N/A</v>
      </c>
      <c r="BL38" t="e">
        <f t="shared" si="41"/>
        <v>#N/A</v>
      </c>
      <c r="BM38" t="e">
        <f t="shared" si="41"/>
        <v>#N/A</v>
      </c>
      <c r="BN38" t="e">
        <f t="shared" si="41"/>
        <v>#N/A</v>
      </c>
      <c r="BO38" t="e">
        <f t="shared" si="41"/>
        <v>#N/A</v>
      </c>
      <c r="BP38" t="e">
        <f t="shared" si="41"/>
        <v>#N/A</v>
      </c>
      <c r="BQ38" t="e">
        <f t="shared" si="41"/>
        <v>#N/A</v>
      </c>
      <c r="BR38" t="e">
        <f t="shared" si="41"/>
        <v>#N/A</v>
      </c>
      <c r="BS38" t="e">
        <f t="shared" si="41"/>
        <v>#N/A</v>
      </c>
      <c r="BT38" t="e">
        <f t="shared" si="41"/>
        <v>#N/A</v>
      </c>
      <c r="BU38" t="e">
        <f t="shared" si="41"/>
        <v>#N/A</v>
      </c>
      <c r="BV38" t="e">
        <f t="shared" si="42"/>
        <v>#N/A</v>
      </c>
      <c r="BW38" t="e">
        <f t="shared" si="42"/>
        <v>#N/A</v>
      </c>
      <c r="BX38" t="e">
        <f t="shared" si="42"/>
        <v>#N/A</v>
      </c>
      <c r="BY38" t="e">
        <f t="shared" si="42"/>
        <v>#N/A</v>
      </c>
      <c r="BZ38" t="e">
        <f t="shared" si="42"/>
        <v>#N/A</v>
      </c>
      <c r="CA38" t="e">
        <f t="shared" si="42"/>
        <v>#N/A</v>
      </c>
      <c r="CB38" t="e">
        <f t="shared" si="42"/>
        <v>#N/A</v>
      </c>
      <c r="CC38" t="e">
        <f t="shared" si="42"/>
        <v>#N/A</v>
      </c>
      <c r="CD38" t="e">
        <f t="shared" si="42"/>
        <v>#N/A</v>
      </c>
      <c r="CE38" t="e">
        <f t="shared" si="42"/>
        <v>#N/A</v>
      </c>
      <c r="CF38" t="e">
        <f t="shared" si="42"/>
        <v>#N/A</v>
      </c>
      <c r="CG38" t="e">
        <f t="shared" si="42"/>
        <v>#N/A</v>
      </c>
      <c r="CH38" t="e">
        <f t="shared" si="42"/>
        <v>#N/A</v>
      </c>
      <c r="CI38" t="e">
        <f t="shared" si="42"/>
        <v>#N/A</v>
      </c>
      <c r="CJ38" t="e">
        <f t="shared" si="42"/>
        <v>#N/A</v>
      </c>
      <c r="CK38" t="e">
        <f t="shared" si="42"/>
        <v>#N/A</v>
      </c>
      <c r="CL38" t="e">
        <f t="shared" si="42"/>
        <v>#N/A</v>
      </c>
      <c r="CM38" t="e">
        <f t="shared" si="42"/>
        <v>#N/A</v>
      </c>
      <c r="CN38" t="e">
        <f t="shared" si="42"/>
        <v>#N/A</v>
      </c>
      <c r="CO38" t="e">
        <f t="shared" si="42"/>
        <v>#N/A</v>
      </c>
      <c r="CP38" t="e">
        <f t="shared" si="42"/>
        <v>#N/A</v>
      </c>
      <c r="CQ38" t="e">
        <f t="shared" si="42"/>
        <v>#N/A</v>
      </c>
      <c r="CR38" t="e">
        <f t="shared" si="42"/>
        <v>#N/A</v>
      </c>
      <c r="CS38" t="e">
        <f t="shared" si="42"/>
        <v>#N/A</v>
      </c>
      <c r="CT38" t="e">
        <f t="shared" si="42"/>
        <v>#N/A</v>
      </c>
      <c r="CU38" t="e">
        <f t="shared" si="42"/>
        <v>#N/A</v>
      </c>
      <c r="CV38" t="e">
        <f t="shared" si="42"/>
        <v>#N/A</v>
      </c>
      <c r="CW38" t="e">
        <f t="shared" si="42"/>
        <v>#N/A</v>
      </c>
      <c r="CX38" t="e">
        <f t="shared" si="42"/>
        <v>#N/A</v>
      </c>
      <c r="CY38" t="e">
        <f t="shared" si="42"/>
        <v>#N/A</v>
      </c>
      <c r="CZ38" t="e">
        <f t="shared" si="42"/>
        <v>#N/A</v>
      </c>
      <c r="DA38" t="e">
        <f t="shared" si="42"/>
        <v>#N/A</v>
      </c>
      <c r="DB38" t="e">
        <f t="shared" si="42"/>
        <v>#N/A</v>
      </c>
      <c r="DC38" t="e">
        <f t="shared" si="42"/>
        <v>#N/A</v>
      </c>
      <c r="DD38" t="e">
        <f t="shared" si="42"/>
        <v>#N/A</v>
      </c>
      <c r="DE38" t="e">
        <f t="shared" si="42"/>
        <v>#N/A</v>
      </c>
      <c r="DF38" t="e">
        <f t="shared" si="42"/>
        <v>#N/A</v>
      </c>
      <c r="DG38" t="e">
        <f t="shared" si="42"/>
        <v>#N/A</v>
      </c>
      <c r="DH38" t="e">
        <f t="shared" si="42"/>
        <v>#N/A</v>
      </c>
      <c r="DI38" t="e">
        <f t="shared" si="42"/>
        <v>#N/A</v>
      </c>
      <c r="DJ38" t="e">
        <f t="shared" si="42"/>
        <v>#N/A</v>
      </c>
      <c r="DK38" t="e">
        <f t="shared" si="42"/>
        <v>#N/A</v>
      </c>
      <c r="DL38" t="e">
        <f t="shared" si="42"/>
        <v>#N/A</v>
      </c>
      <c r="DM38" t="e">
        <f t="shared" si="42"/>
        <v>#N/A</v>
      </c>
      <c r="DN38" t="e">
        <f t="shared" si="42"/>
        <v>#N/A</v>
      </c>
      <c r="DO38" t="e">
        <f t="shared" si="42"/>
        <v>#N/A</v>
      </c>
      <c r="DP38" t="e">
        <f t="shared" si="42"/>
        <v>#N/A</v>
      </c>
      <c r="DQ38" t="e">
        <f t="shared" si="42"/>
        <v>#N/A</v>
      </c>
      <c r="DR38" t="e">
        <f t="shared" si="42"/>
        <v>#N/A</v>
      </c>
      <c r="DS38" t="e">
        <f t="shared" si="42"/>
        <v>#N/A</v>
      </c>
      <c r="DT38" t="e">
        <f t="shared" si="42"/>
        <v>#N/A</v>
      </c>
      <c r="DU38" t="e">
        <f t="shared" si="42"/>
        <v>#N/A</v>
      </c>
      <c r="DV38" t="e">
        <f t="shared" si="42"/>
        <v>#N/A</v>
      </c>
      <c r="DW38" t="e">
        <f t="shared" si="42"/>
        <v>#N/A</v>
      </c>
      <c r="DX38" t="e">
        <f t="shared" si="42"/>
        <v>#N/A</v>
      </c>
      <c r="DY38" t="e">
        <f t="shared" si="42"/>
        <v>#N/A</v>
      </c>
      <c r="DZ38" t="e">
        <f t="shared" si="42"/>
        <v>#N/A</v>
      </c>
      <c r="EA38" t="e">
        <f t="shared" si="42"/>
        <v>#N/A</v>
      </c>
      <c r="EB38" t="e">
        <f t="shared" si="42"/>
        <v>#N/A</v>
      </c>
      <c r="EC38" t="e">
        <f t="shared" si="42"/>
        <v>#N/A</v>
      </c>
      <c r="ED38" t="e">
        <f t="shared" si="42"/>
        <v>#N/A</v>
      </c>
      <c r="EE38" t="e">
        <f t="shared" si="42"/>
        <v>#N/A</v>
      </c>
      <c r="EF38" t="e">
        <f t="shared" si="42"/>
        <v>#N/A</v>
      </c>
      <c r="EG38" t="e">
        <f t="shared" si="42"/>
        <v>#N/A</v>
      </c>
      <c r="EH38" t="e">
        <f t="shared" si="43"/>
        <v>#N/A</v>
      </c>
      <c r="EI38" t="e">
        <f t="shared" si="43"/>
        <v>#N/A</v>
      </c>
      <c r="EJ38" t="e">
        <f t="shared" si="43"/>
        <v>#N/A</v>
      </c>
      <c r="EK38" t="e">
        <f t="shared" si="43"/>
        <v>#N/A</v>
      </c>
      <c r="EL38" t="e">
        <f t="shared" si="43"/>
        <v>#N/A</v>
      </c>
      <c r="EM38" t="e">
        <f t="shared" si="43"/>
        <v>#N/A</v>
      </c>
      <c r="EN38" t="e">
        <f t="shared" si="43"/>
        <v>#N/A</v>
      </c>
      <c r="EO38" t="e">
        <f t="shared" si="43"/>
        <v>#N/A</v>
      </c>
      <c r="EP38" t="e">
        <f t="shared" si="43"/>
        <v>#N/A</v>
      </c>
      <c r="EQ38" t="e">
        <f t="shared" si="43"/>
        <v>#N/A</v>
      </c>
      <c r="ER38" t="e">
        <f t="shared" si="43"/>
        <v>#N/A</v>
      </c>
      <c r="ES38" t="e">
        <f t="shared" si="43"/>
        <v>#N/A</v>
      </c>
      <c r="ET38" t="e">
        <f t="shared" si="43"/>
        <v>#N/A</v>
      </c>
      <c r="EU38" t="e">
        <f t="shared" si="43"/>
        <v>#N/A</v>
      </c>
      <c r="EV38" t="e">
        <f t="shared" si="43"/>
        <v>#N/A</v>
      </c>
      <c r="EW38" t="e">
        <f t="shared" si="43"/>
        <v>#N/A</v>
      </c>
      <c r="EX38" t="e">
        <f t="shared" si="43"/>
        <v>#N/A</v>
      </c>
      <c r="EY38" t="e">
        <f t="shared" si="43"/>
        <v>#N/A</v>
      </c>
      <c r="EZ38" t="e">
        <f t="shared" si="43"/>
        <v>#N/A</v>
      </c>
      <c r="FA38" t="e">
        <f t="shared" si="43"/>
        <v>#N/A</v>
      </c>
      <c r="FB38" t="e">
        <f t="shared" si="43"/>
        <v>#N/A</v>
      </c>
      <c r="FC38" t="e">
        <f t="shared" si="43"/>
        <v>#N/A</v>
      </c>
      <c r="FD38" t="e">
        <f t="shared" si="43"/>
        <v>#N/A</v>
      </c>
      <c r="FE38" t="e">
        <f t="shared" si="43"/>
        <v>#N/A</v>
      </c>
      <c r="FF38" t="e">
        <f t="shared" si="43"/>
        <v>#N/A</v>
      </c>
      <c r="FG38" t="e">
        <f t="shared" si="43"/>
        <v>#N/A</v>
      </c>
      <c r="FH38" t="e">
        <f t="shared" si="43"/>
        <v>#N/A</v>
      </c>
      <c r="FI38" t="e">
        <f t="shared" si="43"/>
        <v>#N/A</v>
      </c>
      <c r="FJ38" t="e">
        <f t="shared" si="43"/>
        <v>#N/A</v>
      </c>
      <c r="FK38" t="e">
        <f t="shared" si="43"/>
        <v>#N/A</v>
      </c>
      <c r="FL38" t="e">
        <f t="shared" si="43"/>
        <v>#N/A</v>
      </c>
      <c r="FM38" t="e">
        <f t="shared" si="43"/>
        <v>#N/A</v>
      </c>
      <c r="FN38" t="e">
        <f t="shared" si="43"/>
        <v>#N/A</v>
      </c>
      <c r="FO38" t="e">
        <f t="shared" si="43"/>
        <v>#N/A</v>
      </c>
      <c r="FP38" t="e">
        <f t="shared" si="43"/>
        <v>#N/A</v>
      </c>
      <c r="FQ38" t="e">
        <f t="shared" si="43"/>
        <v>#N/A</v>
      </c>
      <c r="FR38" t="e">
        <f t="shared" si="43"/>
        <v>#N/A</v>
      </c>
      <c r="FS38" t="e">
        <f t="shared" si="43"/>
        <v>#N/A</v>
      </c>
      <c r="FT38" t="e">
        <f t="shared" si="43"/>
        <v>#N/A</v>
      </c>
      <c r="FU38" t="e">
        <f t="shared" si="43"/>
        <v>#N/A</v>
      </c>
      <c r="FV38" t="e">
        <f t="shared" si="43"/>
        <v>#N/A</v>
      </c>
      <c r="FW38" t="e">
        <f t="shared" si="43"/>
        <v>#N/A</v>
      </c>
      <c r="FX38" t="e">
        <f t="shared" si="43"/>
        <v>#N/A</v>
      </c>
      <c r="FY38" t="e">
        <f t="shared" si="43"/>
        <v>#N/A</v>
      </c>
      <c r="FZ38" t="e">
        <f t="shared" si="43"/>
        <v>#N/A</v>
      </c>
      <c r="GA38" t="e">
        <f t="shared" si="43"/>
        <v>#N/A</v>
      </c>
    </row>
    <row r="39" spans="1:183" x14ac:dyDescent="0.45">
      <c r="A39">
        <v>215</v>
      </c>
      <c r="B39" t="s">
        <v>4</v>
      </c>
      <c r="C39" cm="1">
        <f t="array" ref="C39">LOOKUP(2,1/(I39:GA39&lt;&gt;""),I39:GA39)</f>
        <v>0.21</v>
      </c>
      <c r="D39">
        <f t="shared" si="39"/>
        <v>45</v>
      </c>
      <c r="F39" s="3">
        <f t="shared" si="40"/>
        <v>1.625</v>
      </c>
      <c r="G39" s="3" cm="1">
        <f t="array" ref="G39">(C39-IF(ISNA(INDEX(I39:GA39,D39-22)),INDEX(I39:GA39,D39-23),INDEX(I39:GA39,D39-22)))/IF(ISNA(INDEX(I39:GA39,D39-22)),INDEX(I39:GA39,D39-23),INDEX(I39:GA39,D39-22))</f>
        <v>0.23529411764705868</v>
      </c>
      <c r="I39">
        <f>IF($B39=$B$3,IF(ISBLANK(I$3),NA(),I$3),IF($B39=$B$4,IF(ISBLANK(I$4),NA(),I$4),IF($B39=$B$5,IF(ISBLANK(I$5),NA(),I$5),IF($B39=$B$6,IF(ISBLANK(I$6),NA(),I$6),IF($B39=$B$7,IF(ISBLANK(I$7),NA(),I$7),IF($B39=$B$8,IF(ISBLANK(I$8),NA(),I$8),IF($B39=$B$9,IF(ISBLANK(I$9),NA(),I$9),IF($B39=$B$10,IF(ISBLANK(I$10),NA(),I$10),IF($B39=$B$11,IF(ISBLANK(I$11),NA(),I$11),IF($B39=$B$12,IF(ISBLANK(I$12),NA(),I$12),0))))))))))</f>
        <v>0.08</v>
      </c>
      <c r="J39">
        <f t="shared" si="41"/>
        <v>0.08</v>
      </c>
      <c r="K39" t="e">
        <f t="shared" si="41"/>
        <v>#N/A</v>
      </c>
      <c r="L39">
        <f t="shared" si="41"/>
        <v>0.08</v>
      </c>
      <c r="M39" t="e">
        <f t="shared" si="41"/>
        <v>#N/A</v>
      </c>
      <c r="N39">
        <f t="shared" si="41"/>
        <v>0.08</v>
      </c>
      <c r="O39">
        <f t="shared" si="41"/>
        <v>0.08</v>
      </c>
      <c r="P39">
        <f t="shared" si="41"/>
        <v>0.08</v>
      </c>
      <c r="Q39">
        <f t="shared" si="41"/>
        <v>0.08</v>
      </c>
      <c r="R39">
        <f t="shared" si="41"/>
        <v>0.08</v>
      </c>
      <c r="S39">
        <f t="shared" si="41"/>
        <v>0.08</v>
      </c>
      <c r="T39">
        <f t="shared" si="41"/>
        <v>0.08</v>
      </c>
      <c r="U39">
        <f t="shared" si="41"/>
        <v>0.08</v>
      </c>
      <c r="V39">
        <f t="shared" si="41"/>
        <v>0.08</v>
      </c>
      <c r="W39">
        <f t="shared" si="41"/>
        <v>0.08</v>
      </c>
      <c r="X39">
        <f t="shared" si="41"/>
        <v>0.08</v>
      </c>
      <c r="Y39">
        <f t="shared" si="41"/>
        <v>0.08</v>
      </c>
      <c r="Z39">
        <f t="shared" si="41"/>
        <v>0.08</v>
      </c>
      <c r="AA39">
        <f t="shared" si="41"/>
        <v>0.08</v>
      </c>
      <c r="AB39">
        <f t="shared" si="41"/>
        <v>0.08</v>
      </c>
      <c r="AC39">
        <f t="shared" si="41"/>
        <v>0.16</v>
      </c>
      <c r="AD39">
        <f t="shared" si="41"/>
        <v>0.21</v>
      </c>
      <c r="AE39">
        <f t="shared" si="41"/>
        <v>0.17</v>
      </c>
      <c r="AF39">
        <f t="shared" si="41"/>
        <v>0.18</v>
      </c>
      <c r="AG39">
        <f t="shared" si="41"/>
        <v>0.18</v>
      </c>
      <c r="AH39">
        <f t="shared" si="41"/>
        <v>0.2</v>
      </c>
      <c r="AI39">
        <f t="shared" si="41"/>
        <v>0.23</v>
      </c>
      <c r="AJ39">
        <f t="shared" si="41"/>
        <v>0.24</v>
      </c>
      <c r="AK39">
        <f t="shared" si="41"/>
        <v>0.28000000000000003</v>
      </c>
      <c r="AL39">
        <f t="shared" si="41"/>
        <v>0.28000000000000003</v>
      </c>
      <c r="AM39">
        <f t="shared" si="41"/>
        <v>0.27</v>
      </c>
      <c r="AN39" t="e">
        <f t="shared" si="41"/>
        <v>#N/A</v>
      </c>
      <c r="AO39">
        <f t="shared" si="41"/>
        <v>0.23</v>
      </c>
      <c r="AP39">
        <f t="shared" si="41"/>
        <v>0.23</v>
      </c>
      <c r="AQ39">
        <f t="shared" si="41"/>
        <v>0.21</v>
      </c>
      <c r="AR39">
        <f t="shared" si="41"/>
        <v>0.23</v>
      </c>
      <c r="AS39">
        <f t="shared" si="41"/>
        <v>0.21</v>
      </c>
      <c r="AT39" t="e">
        <f t="shared" si="41"/>
        <v>#N/A</v>
      </c>
      <c r="AU39" t="e">
        <f t="shared" si="41"/>
        <v>#N/A</v>
      </c>
      <c r="AV39" t="e">
        <f t="shared" si="41"/>
        <v>#N/A</v>
      </c>
      <c r="AW39" t="e">
        <f t="shared" si="41"/>
        <v>#N/A</v>
      </c>
      <c r="AX39" t="e">
        <f t="shared" si="41"/>
        <v>#N/A</v>
      </c>
      <c r="AY39" t="e">
        <f t="shared" si="41"/>
        <v>#N/A</v>
      </c>
      <c r="AZ39" t="e">
        <f t="shared" si="41"/>
        <v>#N/A</v>
      </c>
      <c r="BA39" t="e">
        <f t="shared" si="41"/>
        <v>#N/A</v>
      </c>
      <c r="BB39" t="e">
        <f t="shared" si="41"/>
        <v>#N/A</v>
      </c>
      <c r="BC39" t="e">
        <f t="shared" si="41"/>
        <v>#N/A</v>
      </c>
      <c r="BD39" t="e">
        <f t="shared" si="41"/>
        <v>#N/A</v>
      </c>
      <c r="BE39" t="e">
        <f t="shared" si="41"/>
        <v>#N/A</v>
      </c>
      <c r="BF39" t="e">
        <f t="shared" si="41"/>
        <v>#N/A</v>
      </c>
      <c r="BG39" t="e">
        <f t="shared" si="41"/>
        <v>#N/A</v>
      </c>
      <c r="BH39" t="e">
        <f t="shared" si="41"/>
        <v>#N/A</v>
      </c>
      <c r="BI39" t="e">
        <f t="shared" si="41"/>
        <v>#N/A</v>
      </c>
      <c r="BJ39" t="e">
        <f t="shared" si="41"/>
        <v>#N/A</v>
      </c>
      <c r="BK39" t="e">
        <f t="shared" si="41"/>
        <v>#N/A</v>
      </c>
      <c r="BL39" t="e">
        <f t="shared" si="41"/>
        <v>#N/A</v>
      </c>
      <c r="BM39" t="e">
        <f t="shared" si="41"/>
        <v>#N/A</v>
      </c>
      <c r="BN39" t="e">
        <f t="shared" si="41"/>
        <v>#N/A</v>
      </c>
      <c r="BO39" t="e">
        <f t="shared" si="41"/>
        <v>#N/A</v>
      </c>
      <c r="BP39" t="e">
        <f t="shared" si="41"/>
        <v>#N/A</v>
      </c>
      <c r="BQ39" t="e">
        <f t="shared" si="41"/>
        <v>#N/A</v>
      </c>
      <c r="BR39" t="e">
        <f t="shared" si="41"/>
        <v>#N/A</v>
      </c>
      <c r="BS39" t="e">
        <f t="shared" si="41"/>
        <v>#N/A</v>
      </c>
      <c r="BT39" t="e">
        <f t="shared" si="41"/>
        <v>#N/A</v>
      </c>
      <c r="BU39" t="e">
        <f t="shared" ref="BU39:CZ40" si="44">IF($B39=$B$3,IF(ISBLANK(BU$3),NA(),BU$3),IF($B39=$B$4,IF(ISBLANK(BU$4),NA(),BU$4),IF($B39=$B$5,IF(ISBLANK(BU$5),NA(),BU$5),IF($B39=$B$6,IF(ISBLANK(BU$6),NA(),BU$6),IF($B39=$B$7,IF(ISBLANK(BU$7),NA(),BU$7),IF($B39=$B$8,IF(ISBLANK(BU$8),NA(),BU$8),IF($B39=$B$9,IF(ISBLANK(BU$9),NA(),BU$9),IF($B39=$B$10,IF(ISBLANK(BU$10),NA(),BU$10),IF($B39=$B$11,IF(ISBLANK(BU$11),NA(),BU$11),IF($B39=$B$12,IF(ISBLANK(BU$12),NA(),BU$12),0))))))))))</f>
        <v>#N/A</v>
      </c>
      <c r="BV39" t="e">
        <f t="shared" si="42"/>
        <v>#N/A</v>
      </c>
      <c r="BW39" t="e">
        <f t="shared" si="42"/>
        <v>#N/A</v>
      </c>
      <c r="BX39" t="e">
        <f t="shared" si="42"/>
        <v>#N/A</v>
      </c>
      <c r="BY39" t="e">
        <f t="shared" si="42"/>
        <v>#N/A</v>
      </c>
      <c r="BZ39" t="e">
        <f t="shared" si="42"/>
        <v>#N/A</v>
      </c>
      <c r="CA39" t="e">
        <f t="shared" si="42"/>
        <v>#N/A</v>
      </c>
      <c r="CB39" t="e">
        <f t="shared" si="42"/>
        <v>#N/A</v>
      </c>
      <c r="CC39" t="e">
        <f t="shared" si="42"/>
        <v>#N/A</v>
      </c>
      <c r="CD39" t="e">
        <f t="shared" si="42"/>
        <v>#N/A</v>
      </c>
      <c r="CE39" t="e">
        <f t="shared" si="42"/>
        <v>#N/A</v>
      </c>
      <c r="CF39" t="e">
        <f t="shared" si="42"/>
        <v>#N/A</v>
      </c>
      <c r="CG39" t="e">
        <f t="shared" si="42"/>
        <v>#N/A</v>
      </c>
      <c r="CH39" t="e">
        <f t="shared" si="42"/>
        <v>#N/A</v>
      </c>
      <c r="CI39" t="e">
        <f t="shared" si="42"/>
        <v>#N/A</v>
      </c>
      <c r="CJ39" t="e">
        <f t="shared" si="42"/>
        <v>#N/A</v>
      </c>
      <c r="CK39" t="e">
        <f t="shared" si="42"/>
        <v>#N/A</v>
      </c>
      <c r="CL39" t="e">
        <f t="shared" si="42"/>
        <v>#N/A</v>
      </c>
      <c r="CM39" t="e">
        <f t="shared" si="42"/>
        <v>#N/A</v>
      </c>
      <c r="CN39" t="e">
        <f t="shared" si="42"/>
        <v>#N/A</v>
      </c>
      <c r="CO39" t="e">
        <f t="shared" si="42"/>
        <v>#N/A</v>
      </c>
      <c r="CP39" t="e">
        <f t="shared" si="42"/>
        <v>#N/A</v>
      </c>
      <c r="CQ39" t="e">
        <f t="shared" si="42"/>
        <v>#N/A</v>
      </c>
      <c r="CR39" t="e">
        <f t="shared" si="42"/>
        <v>#N/A</v>
      </c>
      <c r="CS39" t="e">
        <f t="shared" si="42"/>
        <v>#N/A</v>
      </c>
      <c r="CT39" t="e">
        <f t="shared" si="42"/>
        <v>#N/A</v>
      </c>
      <c r="CU39" t="e">
        <f t="shared" si="42"/>
        <v>#N/A</v>
      </c>
      <c r="CV39" t="e">
        <f t="shared" si="42"/>
        <v>#N/A</v>
      </c>
      <c r="CW39" t="e">
        <f t="shared" si="42"/>
        <v>#N/A</v>
      </c>
      <c r="CX39" t="e">
        <f t="shared" si="42"/>
        <v>#N/A</v>
      </c>
      <c r="CY39" t="e">
        <f t="shared" si="42"/>
        <v>#N/A</v>
      </c>
      <c r="CZ39" t="e">
        <f t="shared" si="42"/>
        <v>#N/A</v>
      </c>
      <c r="DA39" t="e">
        <f t="shared" si="42"/>
        <v>#N/A</v>
      </c>
      <c r="DB39" t="e">
        <f t="shared" si="42"/>
        <v>#N/A</v>
      </c>
      <c r="DC39" t="e">
        <f t="shared" si="42"/>
        <v>#N/A</v>
      </c>
      <c r="DD39" t="e">
        <f t="shared" si="42"/>
        <v>#N/A</v>
      </c>
      <c r="DE39" t="e">
        <f t="shared" si="42"/>
        <v>#N/A</v>
      </c>
      <c r="DF39" t="e">
        <f t="shared" si="42"/>
        <v>#N/A</v>
      </c>
      <c r="DG39" t="e">
        <f t="shared" si="42"/>
        <v>#N/A</v>
      </c>
      <c r="DH39" t="e">
        <f t="shared" si="42"/>
        <v>#N/A</v>
      </c>
      <c r="DI39" t="e">
        <f t="shared" si="42"/>
        <v>#N/A</v>
      </c>
      <c r="DJ39" t="e">
        <f t="shared" si="42"/>
        <v>#N/A</v>
      </c>
      <c r="DK39" t="e">
        <f t="shared" si="42"/>
        <v>#N/A</v>
      </c>
      <c r="DL39" t="e">
        <f t="shared" si="42"/>
        <v>#N/A</v>
      </c>
      <c r="DM39" t="e">
        <f t="shared" si="42"/>
        <v>#N/A</v>
      </c>
      <c r="DN39" t="e">
        <f t="shared" si="42"/>
        <v>#N/A</v>
      </c>
      <c r="DO39" t="e">
        <f t="shared" si="42"/>
        <v>#N/A</v>
      </c>
      <c r="DP39" t="e">
        <f t="shared" si="42"/>
        <v>#N/A</v>
      </c>
      <c r="DQ39" t="e">
        <f t="shared" si="42"/>
        <v>#N/A</v>
      </c>
      <c r="DR39" t="e">
        <f t="shared" si="42"/>
        <v>#N/A</v>
      </c>
      <c r="DS39" t="e">
        <f t="shared" si="42"/>
        <v>#N/A</v>
      </c>
      <c r="DT39" t="e">
        <f t="shared" si="42"/>
        <v>#N/A</v>
      </c>
      <c r="DU39" t="e">
        <f t="shared" si="42"/>
        <v>#N/A</v>
      </c>
      <c r="DV39" t="e">
        <f t="shared" si="42"/>
        <v>#N/A</v>
      </c>
      <c r="DW39" t="e">
        <f t="shared" si="42"/>
        <v>#N/A</v>
      </c>
      <c r="DX39" t="e">
        <f t="shared" si="42"/>
        <v>#N/A</v>
      </c>
      <c r="DY39" t="e">
        <f t="shared" si="42"/>
        <v>#N/A</v>
      </c>
      <c r="DZ39" t="e">
        <f t="shared" si="42"/>
        <v>#N/A</v>
      </c>
      <c r="EA39" t="e">
        <f t="shared" si="42"/>
        <v>#N/A</v>
      </c>
      <c r="EB39" t="e">
        <f t="shared" si="42"/>
        <v>#N/A</v>
      </c>
      <c r="EC39" t="e">
        <f t="shared" si="42"/>
        <v>#N/A</v>
      </c>
      <c r="ED39" t="e">
        <f t="shared" si="42"/>
        <v>#N/A</v>
      </c>
      <c r="EE39" t="e">
        <f t="shared" si="42"/>
        <v>#N/A</v>
      </c>
      <c r="EF39" t="e">
        <f t="shared" si="42"/>
        <v>#N/A</v>
      </c>
      <c r="EG39" t="e">
        <f t="shared" ref="EG39:EG40" si="45">IF($B39=$B$3,IF(ISBLANK(EG$3),NA(),EG$3),IF($B39=$B$4,IF(ISBLANK(EG$4),NA(),EG$4),IF($B39=$B$5,IF(ISBLANK(EG$5),NA(),EG$5),IF($B39=$B$6,IF(ISBLANK(EG$6),NA(),EG$6),IF($B39=$B$7,IF(ISBLANK(EG$7),NA(),EG$7),IF($B39=$B$8,IF(ISBLANK(EG$8),NA(),EG$8),IF($B39=$B$9,IF(ISBLANK(EG$9),NA(),EG$9),IF($B39=$B$10,IF(ISBLANK(EG$10),NA(),EG$10),IF($B39=$B$11,IF(ISBLANK(EG$11),NA(),EG$11),IF($B39=$B$12,IF(ISBLANK(EG$12),NA(),EG$12),0))))))))))</f>
        <v>#N/A</v>
      </c>
      <c r="EH39" t="e">
        <f t="shared" si="43"/>
        <v>#N/A</v>
      </c>
      <c r="EI39" t="e">
        <f t="shared" si="43"/>
        <v>#N/A</v>
      </c>
      <c r="EJ39" t="e">
        <f t="shared" si="43"/>
        <v>#N/A</v>
      </c>
      <c r="EK39" t="e">
        <f t="shared" si="43"/>
        <v>#N/A</v>
      </c>
      <c r="EL39" t="e">
        <f t="shared" si="43"/>
        <v>#N/A</v>
      </c>
      <c r="EM39" t="e">
        <f t="shared" si="43"/>
        <v>#N/A</v>
      </c>
      <c r="EN39" t="e">
        <f t="shared" si="43"/>
        <v>#N/A</v>
      </c>
      <c r="EO39" t="e">
        <f t="shared" si="43"/>
        <v>#N/A</v>
      </c>
      <c r="EP39" t="e">
        <f t="shared" si="43"/>
        <v>#N/A</v>
      </c>
      <c r="EQ39" t="e">
        <f t="shared" si="43"/>
        <v>#N/A</v>
      </c>
      <c r="ER39" t="e">
        <f t="shared" si="43"/>
        <v>#N/A</v>
      </c>
      <c r="ES39" t="e">
        <f t="shared" si="43"/>
        <v>#N/A</v>
      </c>
      <c r="ET39" t="e">
        <f t="shared" si="43"/>
        <v>#N/A</v>
      </c>
      <c r="EU39" t="e">
        <f t="shared" si="43"/>
        <v>#N/A</v>
      </c>
      <c r="EV39" t="e">
        <f t="shared" si="43"/>
        <v>#N/A</v>
      </c>
      <c r="EW39" t="e">
        <f t="shared" si="43"/>
        <v>#N/A</v>
      </c>
      <c r="EX39" t="e">
        <f t="shared" si="43"/>
        <v>#N/A</v>
      </c>
      <c r="EY39" t="e">
        <f t="shared" si="43"/>
        <v>#N/A</v>
      </c>
      <c r="EZ39" t="e">
        <f t="shared" si="43"/>
        <v>#N/A</v>
      </c>
      <c r="FA39" t="e">
        <f t="shared" si="43"/>
        <v>#N/A</v>
      </c>
      <c r="FB39" t="e">
        <f t="shared" si="43"/>
        <v>#N/A</v>
      </c>
      <c r="FC39" t="e">
        <f t="shared" si="43"/>
        <v>#N/A</v>
      </c>
      <c r="FD39" t="e">
        <f t="shared" si="43"/>
        <v>#N/A</v>
      </c>
      <c r="FE39" t="e">
        <f t="shared" si="43"/>
        <v>#N/A</v>
      </c>
      <c r="FF39" t="e">
        <f t="shared" si="43"/>
        <v>#N/A</v>
      </c>
      <c r="FG39" t="e">
        <f t="shared" si="43"/>
        <v>#N/A</v>
      </c>
      <c r="FH39" t="e">
        <f t="shared" si="43"/>
        <v>#N/A</v>
      </c>
      <c r="FI39" t="e">
        <f t="shared" si="43"/>
        <v>#N/A</v>
      </c>
      <c r="FJ39" t="e">
        <f t="shared" si="43"/>
        <v>#N/A</v>
      </c>
      <c r="FK39" t="e">
        <f t="shared" si="43"/>
        <v>#N/A</v>
      </c>
      <c r="FL39" t="e">
        <f t="shared" si="43"/>
        <v>#N/A</v>
      </c>
      <c r="FM39" t="e">
        <f t="shared" si="43"/>
        <v>#N/A</v>
      </c>
      <c r="FN39" t="e">
        <f t="shared" si="43"/>
        <v>#N/A</v>
      </c>
      <c r="FO39" t="e">
        <f t="shared" si="43"/>
        <v>#N/A</v>
      </c>
      <c r="FP39" t="e">
        <f t="shared" si="43"/>
        <v>#N/A</v>
      </c>
      <c r="FQ39" t="e">
        <f t="shared" si="43"/>
        <v>#N/A</v>
      </c>
      <c r="FR39" t="e">
        <f t="shared" si="43"/>
        <v>#N/A</v>
      </c>
      <c r="FS39" t="e">
        <f t="shared" si="43"/>
        <v>#N/A</v>
      </c>
      <c r="FT39" t="e">
        <f t="shared" si="43"/>
        <v>#N/A</v>
      </c>
      <c r="FU39" t="e">
        <f t="shared" si="43"/>
        <v>#N/A</v>
      </c>
      <c r="FV39" t="e">
        <f t="shared" si="43"/>
        <v>#N/A</v>
      </c>
      <c r="FW39" t="e">
        <f t="shared" si="43"/>
        <v>#N/A</v>
      </c>
      <c r="FX39" t="e">
        <f t="shared" si="43"/>
        <v>#N/A</v>
      </c>
      <c r="FY39" t="e">
        <f t="shared" si="43"/>
        <v>#N/A</v>
      </c>
      <c r="FZ39" t="e">
        <f t="shared" si="43"/>
        <v>#N/A</v>
      </c>
      <c r="GA39" t="e">
        <f t="shared" si="43"/>
        <v>#N/A</v>
      </c>
    </row>
    <row r="40" spans="1:183" x14ac:dyDescent="0.45">
      <c r="A40">
        <v>150</v>
      </c>
      <c r="B40" t="s">
        <v>5</v>
      </c>
      <c r="C40" cm="1">
        <f t="array" ref="C40">LOOKUP(2,1/(I40:GA40&lt;&gt;""),I40:GA40)</f>
        <v>0.31</v>
      </c>
      <c r="D40">
        <f t="shared" si="39"/>
        <v>45</v>
      </c>
      <c r="F40" s="3">
        <f t="shared" si="40"/>
        <v>-0.11428571428571424</v>
      </c>
      <c r="G40" s="3" cm="1">
        <f t="array" ref="G40">(C40-IF(ISNA(INDEX(I40:GA40,D40-22)),INDEX(I40:GA40,D40-23),INDEX(I40:GA40,D40-22)))/IF(ISNA(INDEX(I40:GA40,D40-22)),INDEX(I40:GA40,D40-23),INDEX(I40:GA40,D40-22))</f>
        <v>-3.1250000000000028E-2</v>
      </c>
      <c r="I40">
        <f>IF($B40=$B$3,IF(ISBLANK(I$3),NA(),I$3),IF($B40=$B$4,IF(ISBLANK(I$4),NA(),I$4),IF($B40=$B$5,IF(ISBLANK(I$5),NA(),I$5),IF($B40=$B$6,IF(ISBLANK(I$6),NA(),I$6),IF($B40=$B$7,IF(ISBLANK(I$7),NA(),I$7),IF($B40=$B$8,IF(ISBLANK(I$8),NA(),I$8),IF($B40=$B$9,IF(ISBLANK(I$9),NA(),I$9),IF($B40=$B$10,IF(ISBLANK(I$10),NA(),I$10),IF($B40=$B$11,IF(ISBLANK(I$11),NA(),I$11),IF($B40=$B$12,IF(ISBLANK(I$12),NA(),I$12),0))))))))))</f>
        <v>0.35</v>
      </c>
      <c r="J40">
        <f t="shared" ref="J40:BT40" si="46">IF($B40=$B$3,IF(ISBLANK(J$3),NA(),J$3),IF($B40=$B$4,IF(ISBLANK(J$4),NA(),J$4),IF($B40=$B$5,IF(ISBLANK(J$5),NA(),J$5),IF($B40=$B$6,IF(ISBLANK(J$6),NA(),J$6),IF($B40=$B$7,IF(ISBLANK(J$7),NA(),J$7),IF($B40=$B$8,IF(ISBLANK(J$8),NA(),J$8),IF($B40=$B$9,IF(ISBLANK(J$9),NA(),J$9),IF($B40=$B$10,IF(ISBLANK(J$10),NA(),J$10),IF($B40=$B$11,IF(ISBLANK(J$11),NA(),J$11),IF($B40=$B$12,IF(ISBLANK(J$12),NA(),J$12),0))))))))))</f>
        <v>0.35</v>
      </c>
      <c r="K40" t="e">
        <f t="shared" si="46"/>
        <v>#N/A</v>
      </c>
      <c r="L40">
        <f t="shared" si="46"/>
        <v>0.35</v>
      </c>
      <c r="M40" t="e">
        <f t="shared" si="46"/>
        <v>#N/A</v>
      </c>
      <c r="N40">
        <f t="shared" si="46"/>
        <v>0.31</v>
      </c>
      <c r="O40">
        <f t="shared" si="46"/>
        <v>0.3</v>
      </c>
      <c r="P40">
        <f t="shared" si="46"/>
        <v>0.34</v>
      </c>
      <c r="Q40">
        <f t="shared" si="46"/>
        <v>0.3</v>
      </c>
      <c r="R40">
        <f t="shared" si="46"/>
        <v>0.3</v>
      </c>
      <c r="S40">
        <f t="shared" si="46"/>
        <v>0.31</v>
      </c>
      <c r="T40">
        <f t="shared" si="46"/>
        <v>0.3</v>
      </c>
      <c r="U40">
        <f t="shared" si="46"/>
        <v>0.31</v>
      </c>
      <c r="V40">
        <f t="shared" si="46"/>
        <v>0.3</v>
      </c>
      <c r="W40">
        <f t="shared" si="46"/>
        <v>0.32</v>
      </c>
      <c r="X40">
        <f t="shared" si="46"/>
        <v>0.32</v>
      </c>
      <c r="Y40">
        <f t="shared" si="46"/>
        <v>0.34</v>
      </c>
      <c r="Z40">
        <f t="shared" si="46"/>
        <v>0.3</v>
      </c>
      <c r="AA40">
        <f t="shared" si="46"/>
        <v>0.32</v>
      </c>
      <c r="AB40">
        <f t="shared" si="46"/>
        <v>0.3</v>
      </c>
      <c r="AC40">
        <f t="shared" si="46"/>
        <v>0.35</v>
      </c>
      <c r="AD40">
        <f t="shared" si="46"/>
        <v>0.35</v>
      </c>
      <c r="AE40">
        <f t="shared" si="46"/>
        <v>0.32</v>
      </c>
      <c r="AF40">
        <f t="shared" si="46"/>
        <v>0.32</v>
      </c>
      <c r="AG40">
        <f t="shared" si="46"/>
        <v>0.3</v>
      </c>
      <c r="AH40">
        <f t="shared" si="46"/>
        <v>0.31</v>
      </c>
      <c r="AI40">
        <f t="shared" si="46"/>
        <v>0.3</v>
      </c>
      <c r="AJ40">
        <f t="shared" si="46"/>
        <v>0.3</v>
      </c>
      <c r="AK40">
        <f t="shared" si="46"/>
        <v>0.3</v>
      </c>
      <c r="AL40">
        <f t="shared" si="46"/>
        <v>0.31</v>
      </c>
      <c r="AM40">
        <f t="shared" si="46"/>
        <v>0.32</v>
      </c>
      <c r="AN40" t="e">
        <f t="shared" si="46"/>
        <v>#N/A</v>
      </c>
      <c r="AO40">
        <f t="shared" si="46"/>
        <v>0.31</v>
      </c>
      <c r="AP40">
        <f t="shared" si="46"/>
        <v>0.28999999999999998</v>
      </c>
      <c r="AQ40">
        <f t="shared" si="46"/>
        <v>0.3</v>
      </c>
      <c r="AR40">
        <f t="shared" si="46"/>
        <v>0.32</v>
      </c>
      <c r="AS40">
        <f t="shared" si="46"/>
        <v>0.31</v>
      </c>
      <c r="AT40" t="e">
        <f t="shared" si="46"/>
        <v>#N/A</v>
      </c>
      <c r="AU40" t="e">
        <f t="shared" si="46"/>
        <v>#N/A</v>
      </c>
      <c r="AV40" t="e">
        <f t="shared" si="46"/>
        <v>#N/A</v>
      </c>
      <c r="AW40" t="e">
        <f t="shared" si="46"/>
        <v>#N/A</v>
      </c>
      <c r="AX40" t="e">
        <f t="shared" si="46"/>
        <v>#N/A</v>
      </c>
      <c r="AY40" t="e">
        <f t="shared" si="46"/>
        <v>#N/A</v>
      </c>
      <c r="AZ40" t="e">
        <f t="shared" si="46"/>
        <v>#N/A</v>
      </c>
      <c r="BA40" t="e">
        <f t="shared" si="46"/>
        <v>#N/A</v>
      </c>
      <c r="BB40" t="e">
        <f t="shared" si="46"/>
        <v>#N/A</v>
      </c>
      <c r="BC40" t="e">
        <f t="shared" si="46"/>
        <v>#N/A</v>
      </c>
      <c r="BD40" t="e">
        <f t="shared" si="46"/>
        <v>#N/A</v>
      </c>
      <c r="BE40" t="e">
        <f t="shared" si="46"/>
        <v>#N/A</v>
      </c>
      <c r="BF40" t="e">
        <f t="shared" si="46"/>
        <v>#N/A</v>
      </c>
      <c r="BG40" t="e">
        <f t="shared" si="46"/>
        <v>#N/A</v>
      </c>
      <c r="BH40" t="e">
        <f t="shared" si="46"/>
        <v>#N/A</v>
      </c>
      <c r="BI40" t="e">
        <f t="shared" si="46"/>
        <v>#N/A</v>
      </c>
      <c r="BJ40" t="e">
        <f t="shared" si="46"/>
        <v>#N/A</v>
      </c>
      <c r="BK40" t="e">
        <f t="shared" si="46"/>
        <v>#N/A</v>
      </c>
      <c r="BL40" t="e">
        <f t="shared" si="46"/>
        <v>#N/A</v>
      </c>
      <c r="BM40" t="e">
        <f t="shared" si="46"/>
        <v>#N/A</v>
      </c>
      <c r="BN40" t="e">
        <f t="shared" si="46"/>
        <v>#N/A</v>
      </c>
      <c r="BO40" t="e">
        <f t="shared" si="46"/>
        <v>#N/A</v>
      </c>
      <c r="BP40" t="e">
        <f t="shared" si="46"/>
        <v>#N/A</v>
      </c>
      <c r="BQ40" t="e">
        <f t="shared" si="46"/>
        <v>#N/A</v>
      </c>
      <c r="BR40" t="e">
        <f t="shared" si="46"/>
        <v>#N/A</v>
      </c>
      <c r="BS40" t="e">
        <f t="shared" si="46"/>
        <v>#N/A</v>
      </c>
      <c r="BT40" t="e">
        <f t="shared" si="46"/>
        <v>#N/A</v>
      </c>
      <c r="BU40" t="e">
        <f t="shared" si="44"/>
        <v>#N/A</v>
      </c>
      <c r="BV40" t="e">
        <f t="shared" si="44"/>
        <v>#N/A</v>
      </c>
      <c r="BW40" t="e">
        <f t="shared" si="44"/>
        <v>#N/A</v>
      </c>
      <c r="BX40" t="e">
        <f t="shared" si="44"/>
        <v>#N/A</v>
      </c>
      <c r="BY40" t="e">
        <f t="shared" si="44"/>
        <v>#N/A</v>
      </c>
      <c r="BZ40" t="e">
        <f t="shared" si="44"/>
        <v>#N/A</v>
      </c>
      <c r="CA40" t="e">
        <f t="shared" si="44"/>
        <v>#N/A</v>
      </c>
      <c r="CB40" t="e">
        <f t="shared" si="44"/>
        <v>#N/A</v>
      </c>
      <c r="CC40" t="e">
        <f t="shared" si="44"/>
        <v>#N/A</v>
      </c>
      <c r="CD40" t="e">
        <f t="shared" si="44"/>
        <v>#N/A</v>
      </c>
      <c r="CE40" t="e">
        <f t="shared" si="44"/>
        <v>#N/A</v>
      </c>
      <c r="CF40" t="e">
        <f t="shared" si="44"/>
        <v>#N/A</v>
      </c>
      <c r="CG40" t="e">
        <f t="shared" si="44"/>
        <v>#N/A</v>
      </c>
      <c r="CH40" t="e">
        <f t="shared" si="44"/>
        <v>#N/A</v>
      </c>
      <c r="CI40" t="e">
        <f t="shared" si="44"/>
        <v>#N/A</v>
      </c>
      <c r="CJ40" t="e">
        <f t="shared" si="44"/>
        <v>#N/A</v>
      </c>
      <c r="CK40" t="e">
        <f t="shared" si="44"/>
        <v>#N/A</v>
      </c>
      <c r="CL40" t="e">
        <f t="shared" si="44"/>
        <v>#N/A</v>
      </c>
      <c r="CM40" t="e">
        <f t="shared" si="44"/>
        <v>#N/A</v>
      </c>
      <c r="CN40" t="e">
        <f t="shared" si="44"/>
        <v>#N/A</v>
      </c>
      <c r="CO40" t="e">
        <f t="shared" si="44"/>
        <v>#N/A</v>
      </c>
      <c r="CP40" t="e">
        <f t="shared" si="44"/>
        <v>#N/A</v>
      </c>
      <c r="CQ40" t="e">
        <f t="shared" si="44"/>
        <v>#N/A</v>
      </c>
      <c r="CR40" t="e">
        <f t="shared" si="44"/>
        <v>#N/A</v>
      </c>
      <c r="CS40" t="e">
        <f t="shared" si="44"/>
        <v>#N/A</v>
      </c>
      <c r="CT40" t="e">
        <f t="shared" si="44"/>
        <v>#N/A</v>
      </c>
      <c r="CU40" t="e">
        <f t="shared" si="44"/>
        <v>#N/A</v>
      </c>
      <c r="CV40" t="e">
        <f t="shared" si="44"/>
        <v>#N/A</v>
      </c>
      <c r="CW40" t="e">
        <f t="shared" si="44"/>
        <v>#N/A</v>
      </c>
      <c r="CX40" t="e">
        <f t="shared" si="44"/>
        <v>#N/A</v>
      </c>
      <c r="CY40" t="e">
        <f t="shared" si="44"/>
        <v>#N/A</v>
      </c>
      <c r="CZ40" t="e">
        <f t="shared" si="44"/>
        <v>#N/A</v>
      </c>
      <c r="DA40" t="e">
        <f t="shared" ref="DA40:EF40" si="47">IF($B40=$B$3,IF(ISBLANK(DA$3),NA(),DA$3),IF($B40=$B$4,IF(ISBLANK(DA$4),NA(),DA$4),IF($B40=$B$5,IF(ISBLANK(DA$5),NA(),DA$5),IF($B40=$B$6,IF(ISBLANK(DA$6),NA(),DA$6),IF($B40=$B$7,IF(ISBLANK(DA$7),NA(),DA$7),IF($B40=$B$8,IF(ISBLANK(DA$8),NA(),DA$8),IF($B40=$B$9,IF(ISBLANK(DA$9),NA(),DA$9),IF($B40=$B$10,IF(ISBLANK(DA$10),NA(),DA$10),IF($B40=$B$11,IF(ISBLANK(DA$11),NA(),DA$11),IF($B40=$B$12,IF(ISBLANK(DA$12),NA(),DA$12),0))))))))))</f>
        <v>#N/A</v>
      </c>
      <c r="DB40" t="e">
        <f t="shared" si="47"/>
        <v>#N/A</v>
      </c>
      <c r="DC40" t="e">
        <f t="shared" si="47"/>
        <v>#N/A</v>
      </c>
      <c r="DD40" t="e">
        <f t="shared" si="47"/>
        <v>#N/A</v>
      </c>
      <c r="DE40" t="e">
        <f t="shared" si="47"/>
        <v>#N/A</v>
      </c>
      <c r="DF40" t="e">
        <f t="shared" si="47"/>
        <v>#N/A</v>
      </c>
      <c r="DG40" t="e">
        <f t="shared" si="47"/>
        <v>#N/A</v>
      </c>
      <c r="DH40" t="e">
        <f t="shared" si="47"/>
        <v>#N/A</v>
      </c>
      <c r="DI40" t="e">
        <f t="shared" si="47"/>
        <v>#N/A</v>
      </c>
      <c r="DJ40" t="e">
        <f t="shared" si="47"/>
        <v>#N/A</v>
      </c>
      <c r="DK40" t="e">
        <f t="shared" si="47"/>
        <v>#N/A</v>
      </c>
      <c r="DL40" t="e">
        <f t="shared" si="47"/>
        <v>#N/A</v>
      </c>
      <c r="DM40" t="e">
        <f t="shared" si="47"/>
        <v>#N/A</v>
      </c>
      <c r="DN40" t="e">
        <f t="shared" si="47"/>
        <v>#N/A</v>
      </c>
      <c r="DO40" t="e">
        <f t="shared" si="47"/>
        <v>#N/A</v>
      </c>
      <c r="DP40" t="e">
        <f t="shared" si="47"/>
        <v>#N/A</v>
      </c>
      <c r="DQ40" t="e">
        <f t="shared" si="47"/>
        <v>#N/A</v>
      </c>
      <c r="DR40" t="e">
        <f t="shared" si="47"/>
        <v>#N/A</v>
      </c>
      <c r="DS40" t="e">
        <f t="shared" si="47"/>
        <v>#N/A</v>
      </c>
      <c r="DT40" t="e">
        <f t="shared" si="47"/>
        <v>#N/A</v>
      </c>
      <c r="DU40" t="e">
        <f t="shared" si="47"/>
        <v>#N/A</v>
      </c>
      <c r="DV40" t="e">
        <f t="shared" si="47"/>
        <v>#N/A</v>
      </c>
      <c r="DW40" t="e">
        <f t="shared" si="47"/>
        <v>#N/A</v>
      </c>
      <c r="DX40" t="e">
        <f t="shared" si="47"/>
        <v>#N/A</v>
      </c>
      <c r="DY40" t="e">
        <f t="shared" si="47"/>
        <v>#N/A</v>
      </c>
      <c r="DZ40" t="e">
        <f t="shared" si="47"/>
        <v>#N/A</v>
      </c>
      <c r="EA40" t="e">
        <f t="shared" si="47"/>
        <v>#N/A</v>
      </c>
      <c r="EB40" t="e">
        <f t="shared" si="47"/>
        <v>#N/A</v>
      </c>
      <c r="EC40" t="e">
        <f t="shared" si="47"/>
        <v>#N/A</v>
      </c>
      <c r="ED40" t="e">
        <f t="shared" si="47"/>
        <v>#N/A</v>
      </c>
      <c r="EE40" t="e">
        <f t="shared" si="47"/>
        <v>#N/A</v>
      </c>
      <c r="EF40" t="e">
        <f t="shared" si="47"/>
        <v>#N/A</v>
      </c>
      <c r="EG40" t="e">
        <f t="shared" si="45"/>
        <v>#N/A</v>
      </c>
      <c r="EH40" t="e">
        <f t="shared" si="43"/>
        <v>#N/A</v>
      </c>
      <c r="EI40" t="e">
        <f t="shared" si="43"/>
        <v>#N/A</v>
      </c>
      <c r="EJ40" t="e">
        <f t="shared" si="43"/>
        <v>#N/A</v>
      </c>
      <c r="EK40" t="e">
        <f t="shared" si="43"/>
        <v>#N/A</v>
      </c>
      <c r="EL40" t="e">
        <f t="shared" si="43"/>
        <v>#N/A</v>
      </c>
      <c r="EM40" t="e">
        <f t="shared" si="43"/>
        <v>#N/A</v>
      </c>
      <c r="EN40" t="e">
        <f t="shared" si="43"/>
        <v>#N/A</v>
      </c>
      <c r="EO40" t="e">
        <f t="shared" si="43"/>
        <v>#N/A</v>
      </c>
      <c r="EP40" t="e">
        <f t="shared" si="43"/>
        <v>#N/A</v>
      </c>
      <c r="EQ40" t="e">
        <f t="shared" si="43"/>
        <v>#N/A</v>
      </c>
      <c r="ER40" t="e">
        <f t="shared" si="43"/>
        <v>#N/A</v>
      </c>
      <c r="ES40" t="e">
        <f t="shared" si="43"/>
        <v>#N/A</v>
      </c>
      <c r="ET40" t="e">
        <f t="shared" si="43"/>
        <v>#N/A</v>
      </c>
      <c r="EU40" t="e">
        <f t="shared" si="43"/>
        <v>#N/A</v>
      </c>
      <c r="EV40" t="e">
        <f t="shared" si="43"/>
        <v>#N/A</v>
      </c>
      <c r="EW40" t="e">
        <f t="shared" si="43"/>
        <v>#N/A</v>
      </c>
      <c r="EX40" t="e">
        <f t="shared" si="43"/>
        <v>#N/A</v>
      </c>
      <c r="EY40" t="e">
        <f t="shared" si="43"/>
        <v>#N/A</v>
      </c>
      <c r="EZ40" t="e">
        <f t="shared" si="43"/>
        <v>#N/A</v>
      </c>
      <c r="FA40" t="e">
        <f t="shared" si="43"/>
        <v>#N/A</v>
      </c>
      <c r="FB40" t="e">
        <f t="shared" si="43"/>
        <v>#N/A</v>
      </c>
      <c r="FC40" t="e">
        <f t="shared" si="43"/>
        <v>#N/A</v>
      </c>
      <c r="FD40" t="e">
        <f t="shared" si="43"/>
        <v>#N/A</v>
      </c>
      <c r="FE40" t="e">
        <f t="shared" si="43"/>
        <v>#N/A</v>
      </c>
      <c r="FF40" t="e">
        <f t="shared" si="43"/>
        <v>#N/A</v>
      </c>
      <c r="FG40" t="e">
        <f t="shared" si="43"/>
        <v>#N/A</v>
      </c>
      <c r="FH40" t="e">
        <f t="shared" si="43"/>
        <v>#N/A</v>
      </c>
      <c r="FI40" t="e">
        <f t="shared" si="43"/>
        <v>#N/A</v>
      </c>
      <c r="FJ40" t="e">
        <f t="shared" si="43"/>
        <v>#N/A</v>
      </c>
      <c r="FK40" t="e">
        <f t="shared" si="43"/>
        <v>#N/A</v>
      </c>
      <c r="FL40" t="e">
        <f t="shared" si="43"/>
        <v>#N/A</v>
      </c>
      <c r="FM40" t="e">
        <f t="shared" si="43"/>
        <v>#N/A</v>
      </c>
      <c r="FN40" t="e">
        <f t="shared" si="43"/>
        <v>#N/A</v>
      </c>
      <c r="FO40" t="e">
        <f t="shared" si="43"/>
        <v>#N/A</v>
      </c>
      <c r="FP40" t="e">
        <f t="shared" si="43"/>
        <v>#N/A</v>
      </c>
      <c r="FQ40" t="e">
        <f t="shared" si="43"/>
        <v>#N/A</v>
      </c>
      <c r="FR40" t="e">
        <f t="shared" si="43"/>
        <v>#N/A</v>
      </c>
      <c r="FS40" t="e">
        <f t="shared" si="43"/>
        <v>#N/A</v>
      </c>
      <c r="FT40" t="e">
        <f t="shared" si="43"/>
        <v>#N/A</v>
      </c>
      <c r="FU40" t="e">
        <f t="shared" si="43"/>
        <v>#N/A</v>
      </c>
      <c r="FV40" t="e">
        <f t="shared" si="43"/>
        <v>#N/A</v>
      </c>
      <c r="FW40" t="e">
        <f t="shared" si="43"/>
        <v>#N/A</v>
      </c>
      <c r="FX40" t="e">
        <f t="shared" si="43"/>
        <v>#N/A</v>
      </c>
      <c r="FY40" t="e">
        <f t="shared" si="43"/>
        <v>#N/A</v>
      </c>
      <c r="FZ40" t="e">
        <f t="shared" si="43"/>
        <v>#N/A</v>
      </c>
      <c r="GA40" t="e">
        <f t="shared" si="43"/>
        <v>#N/A</v>
      </c>
    </row>
    <row r="41" spans="1:183" x14ac:dyDescent="0.45">
      <c r="F41" s="4"/>
    </row>
    <row r="42" spans="1:183" x14ac:dyDescent="0.45">
      <c r="F42" s="4"/>
    </row>
    <row r="43" spans="1:183" x14ac:dyDescent="0.45">
      <c r="A43" s="2" t="s">
        <v>13</v>
      </c>
      <c r="F43" s="4"/>
    </row>
    <row r="44" spans="1:183" x14ac:dyDescent="0.45">
      <c r="F44" s="4"/>
      <c r="I44" s="1">
        <f>I35</f>
        <v>44331</v>
      </c>
      <c r="J44" s="1">
        <f t="shared" ref="J44:BU44" si="48">J35</f>
        <v>44332</v>
      </c>
      <c r="K44" s="1">
        <f t="shared" si="48"/>
        <v>44333</v>
      </c>
      <c r="L44" s="1">
        <f t="shared" si="48"/>
        <v>44334</v>
      </c>
      <c r="M44" s="1">
        <f t="shared" si="48"/>
        <v>44335</v>
      </c>
      <c r="N44" s="1">
        <f t="shared" si="48"/>
        <v>44336</v>
      </c>
      <c r="O44" s="1">
        <f t="shared" si="48"/>
        <v>44337</v>
      </c>
      <c r="P44" s="1">
        <f t="shared" si="48"/>
        <v>44338</v>
      </c>
      <c r="Q44" s="1">
        <f t="shared" si="48"/>
        <v>44339</v>
      </c>
      <c r="R44" s="1">
        <f t="shared" si="48"/>
        <v>44340</v>
      </c>
      <c r="S44" s="1">
        <f t="shared" si="48"/>
        <v>44341</v>
      </c>
      <c r="T44" s="1">
        <f t="shared" si="48"/>
        <v>44342</v>
      </c>
      <c r="U44" s="1">
        <f t="shared" si="48"/>
        <v>44343</v>
      </c>
      <c r="V44" s="1">
        <f t="shared" si="48"/>
        <v>44344</v>
      </c>
      <c r="W44" s="1">
        <f t="shared" si="48"/>
        <v>44345</v>
      </c>
      <c r="X44" s="1">
        <f t="shared" si="48"/>
        <v>44346</v>
      </c>
      <c r="Y44" s="1">
        <f t="shared" si="48"/>
        <v>44347</v>
      </c>
      <c r="Z44" s="1">
        <f t="shared" si="48"/>
        <v>44348</v>
      </c>
      <c r="AA44" s="1">
        <f t="shared" si="48"/>
        <v>44349</v>
      </c>
      <c r="AB44" s="1">
        <f t="shared" si="48"/>
        <v>44350</v>
      </c>
      <c r="AC44" s="1">
        <f t="shared" si="48"/>
        <v>44351</v>
      </c>
      <c r="AD44" s="1">
        <f t="shared" si="48"/>
        <v>44352</v>
      </c>
      <c r="AE44" s="1">
        <f t="shared" si="48"/>
        <v>44353</v>
      </c>
      <c r="AF44" s="1">
        <f t="shared" si="48"/>
        <v>44354</v>
      </c>
      <c r="AG44" s="1">
        <f t="shared" si="48"/>
        <v>44355</v>
      </c>
      <c r="AH44" s="1">
        <f t="shared" si="48"/>
        <v>44356</v>
      </c>
      <c r="AI44" s="1">
        <f t="shared" si="48"/>
        <v>44357</v>
      </c>
      <c r="AJ44" s="1">
        <f t="shared" si="48"/>
        <v>44358</v>
      </c>
      <c r="AK44" s="1">
        <f t="shared" si="48"/>
        <v>44359</v>
      </c>
      <c r="AL44" s="1">
        <f t="shared" si="48"/>
        <v>44360</v>
      </c>
      <c r="AM44" s="1">
        <f t="shared" si="48"/>
        <v>44361</v>
      </c>
      <c r="AN44" s="1">
        <f t="shared" si="48"/>
        <v>44362</v>
      </c>
      <c r="AO44" s="1">
        <f t="shared" si="48"/>
        <v>44363</v>
      </c>
      <c r="AP44" s="1">
        <f t="shared" si="48"/>
        <v>44364</v>
      </c>
      <c r="AQ44" s="1">
        <f t="shared" si="48"/>
        <v>44365</v>
      </c>
      <c r="AR44" s="1">
        <f t="shared" si="48"/>
        <v>44366</v>
      </c>
      <c r="AS44" s="1">
        <f t="shared" si="48"/>
        <v>44367</v>
      </c>
      <c r="AT44" s="1">
        <f t="shared" si="48"/>
        <v>44368</v>
      </c>
      <c r="AU44" s="1">
        <f t="shared" si="48"/>
        <v>44369</v>
      </c>
      <c r="AV44" s="1">
        <f t="shared" si="48"/>
        <v>44370</v>
      </c>
      <c r="AW44" s="1">
        <f t="shared" si="48"/>
        <v>44371</v>
      </c>
      <c r="AX44" s="1">
        <f t="shared" si="48"/>
        <v>44372</v>
      </c>
      <c r="AY44" s="1">
        <f t="shared" si="48"/>
        <v>44373</v>
      </c>
      <c r="AZ44" s="1">
        <f t="shared" si="48"/>
        <v>44374</v>
      </c>
      <c r="BA44" s="1">
        <f t="shared" si="48"/>
        <v>44375</v>
      </c>
      <c r="BB44" s="1">
        <f t="shared" si="48"/>
        <v>44376</v>
      </c>
      <c r="BC44" s="1">
        <f t="shared" si="48"/>
        <v>44377</v>
      </c>
      <c r="BD44" s="1">
        <f t="shared" si="48"/>
        <v>44378</v>
      </c>
      <c r="BE44" s="1">
        <f t="shared" si="48"/>
        <v>44379</v>
      </c>
      <c r="BF44" s="1">
        <f t="shared" si="48"/>
        <v>44380</v>
      </c>
      <c r="BG44" s="1">
        <f t="shared" si="48"/>
        <v>44381</v>
      </c>
      <c r="BH44" s="1">
        <f t="shared" si="48"/>
        <v>44382</v>
      </c>
      <c r="BI44" s="1">
        <f t="shared" si="48"/>
        <v>44383</v>
      </c>
      <c r="BJ44" s="1">
        <f t="shared" si="48"/>
        <v>44384</v>
      </c>
      <c r="BK44" s="1">
        <f t="shared" si="48"/>
        <v>44385</v>
      </c>
      <c r="BL44" s="1">
        <f t="shared" si="48"/>
        <v>44386</v>
      </c>
      <c r="BM44" s="1">
        <f t="shared" si="48"/>
        <v>44387</v>
      </c>
      <c r="BN44" s="1">
        <f t="shared" si="48"/>
        <v>44388</v>
      </c>
      <c r="BO44" s="1">
        <f t="shared" si="48"/>
        <v>44389</v>
      </c>
      <c r="BP44" s="1">
        <f t="shared" si="48"/>
        <v>44390</v>
      </c>
      <c r="BQ44" s="1">
        <f t="shared" si="48"/>
        <v>44391</v>
      </c>
      <c r="BR44" s="1">
        <f t="shared" si="48"/>
        <v>44392</v>
      </c>
      <c r="BS44" s="1">
        <f t="shared" si="48"/>
        <v>44393</v>
      </c>
      <c r="BT44" s="1">
        <f t="shared" si="48"/>
        <v>44394</v>
      </c>
      <c r="BU44" s="1">
        <f t="shared" si="48"/>
        <v>44395</v>
      </c>
      <c r="BV44" s="1">
        <f t="shared" ref="BV44:EG44" si="49">BV35</f>
        <v>44396</v>
      </c>
      <c r="BW44" s="1">
        <f t="shared" si="49"/>
        <v>44397</v>
      </c>
      <c r="BX44" s="1">
        <f t="shared" si="49"/>
        <v>44398</v>
      </c>
      <c r="BY44" s="1">
        <f t="shared" si="49"/>
        <v>44399</v>
      </c>
      <c r="BZ44" s="1">
        <f t="shared" si="49"/>
        <v>44400</v>
      </c>
      <c r="CA44" s="1">
        <f t="shared" si="49"/>
        <v>44401</v>
      </c>
      <c r="CB44" s="1">
        <f t="shared" si="49"/>
        <v>44402</v>
      </c>
      <c r="CC44" s="1">
        <f t="shared" si="49"/>
        <v>44403</v>
      </c>
      <c r="CD44" s="1">
        <f t="shared" si="49"/>
        <v>44404</v>
      </c>
      <c r="CE44" s="1">
        <f t="shared" si="49"/>
        <v>44405</v>
      </c>
      <c r="CF44" s="1">
        <f t="shared" si="49"/>
        <v>44406</v>
      </c>
      <c r="CG44" s="1">
        <f t="shared" si="49"/>
        <v>44407</v>
      </c>
      <c r="CH44" s="1">
        <f t="shared" si="49"/>
        <v>44408</v>
      </c>
      <c r="CI44" s="1">
        <f t="shared" si="49"/>
        <v>44409</v>
      </c>
      <c r="CJ44" s="1">
        <f t="shared" si="49"/>
        <v>44410</v>
      </c>
      <c r="CK44" s="1">
        <f t="shared" si="49"/>
        <v>44411</v>
      </c>
      <c r="CL44" s="1">
        <f t="shared" si="49"/>
        <v>44412</v>
      </c>
      <c r="CM44" s="1">
        <f t="shared" si="49"/>
        <v>44413</v>
      </c>
      <c r="CN44" s="1">
        <f t="shared" si="49"/>
        <v>44414</v>
      </c>
      <c r="CO44" s="1">
        <f t="shared" si="49"/>
        <v>44415</v>
      </c>
      <c r="CP44" s="1">
        <f t="shared" si="49"/>
        <v>44416</v>
      </c>
      <c r="CQ44" s="1">
        <f t="shared" si="49"/>
        <v>44417</v>
      </c>
      <c r="CR44" s="1">
        <f t="shared" si="49"/>
        <v>44418</v>
      </c>
      <c r="CS44" s="1">
        <f t="shared" si="49"/>
        <v>44419</v>
      </c>
      <c r="CT44" s="1">
        <f t="shared" si="49"/>
        <v>44420</v>
      </c>
      <c r="CU44" s="1">
        <f t="shared" si="49"/>
        <v>44421</v>
      </c>
      <c r="CV44" s="1">
        <f t="shared" si="49"/>
        <v>44422</v>
      </c>
      <c r="CW44" s="1">
        <f t="shared" si="49"/>
        <v>44423</v>
      </c>
      <c r="CX44" s="1">
        <f t="shared" si="49"/>
        <v>44424</v>
      </c>
      <c r="CY44" s="1">
        <f t="shared" si="49"/>
        <v>44425</v>
      </c>
      <c r="CZ44" s="1">
        <f t="shared" si="49"/>
        <v>44426</v>
      </c>
      <c r="DA44" s="1">
        <f t="shared" si="49"/>
        <v>44427</v>
      </c>
      <c r="DB44" s="1">
        <f t="shared" si="49"/>
        <v>44428</v>
      </c>
      <c r="DC44" s="1">
        <f t="shared" si="49"/>
        <v>44429</v>
      </c>
      <c r="DD44" s="1">
        <f t="shared" si="49"/>
        <v>44430</v>
      </c>
      <c r="DE44" s="1">
        <f t="shared" si="49"/>
        <v>44431</v>
      </c>
      <c r="DF44" s="1">
        <f t="shared" si="49"/>
        <v>44432</v>
      </c>
      <c r="DG44" s="1">
        <f t="shared" si="49"/>
        <v>44433</v>
      </c>
      <c r="DH44" s="1">
        <f t="shared" si="49"/>
        <v>44434</v>
      </c>
      <c r="DI44" s="1">
        <f t="shared" si="49"/>
        <v>44435</v>
      </c>
      <c r="DJ44" s="1">
        <f t="shared" si="49"/>
        <v>44436</v>
      </c>
      <c r="DK44" s="1">
        <f t="shared" si="49"/>
        <v>44437</v>
      </c>
      <c r="DL44" s="1">
        <f t="shared" si="49"/>
        <v>44438</v>
      </c>
      <c r="DM44" s="1">
        <f t="shared" si="49"/>
        <v>44439</v>
      </c>
      <c r="DN44" s="1">
        <f t="shared" si="49"/>
        <v>44440</v>
      </c>
      <c r="DO44" s="1">
        <f t="shared" si="49"/>
        <v>44441</v>
      </c>
      <c r="DP44" s="1">
        <f t="shared" si="49"/>
        <v>44442</v>
      </c>
      <c r="DQ44" s="1">
        <f t="shared" si="49"/>
        <v>44443</v>
      </c>
      <c r="DR44" s="1">
        <f t="shared" si="49"/>
        <v>44444</v>
      </c>
      <c r="DS44" s="1">
        <f t="shared" si="49"/>
        <v>44445</v>
      </c>
      <c r="DT44" s="1">
        <f t="shared" si="49"/>
        <v>44446</v>
      </c>
      <c r="DU44" s="1">
        <f t="shared" si="49"/>
        <v>44447</v>
      </c>
      <c r="DV44" s="1">
        <f t="shared" si="49"/>
        <v>44448</v>
      </c>
      <c r="DW44" s="1">
        <f t="shared" si="49"/>
        <v>44449</v>
      </c>
      <c r="DX44" s="1">
        <f t="shared" si="49"/>
        <v>44450</v>
      </c>
      <c r="DY44" s="1">
        <f t="shared" si="49"/>
        <v>44451</v>
      </c>
      <c r="DZ44" s="1">
        <f t="shared" si="49"/>
        <v>44452</v>
      </c>
      <c r="EA44" s="1">
        <f t="shared" si="49"/>
        <v>44453</v>
      </c>
      <c r="EB44" s="1">
        <f t="shared" si="49"/>
        <v>44454</v>
      </c>
      <c r="EC44" s="1">
        <f t="shared" si="49"/>
        <v>44455</v>
      </c>
      <c r="ED44" s="1">
        <f t="shared" si="49"/>
        <v>44456</v>
      </c>
      <c r="EE44" s="1">
        <f t="shared" si="49"/>
        <v>44457</v>
      </c>
      <c r="EF44" s="1">
        <f t="shared" si="49"/>
        <v>44458</v>
      </c>
      <c r="EG44" s="1">
        <f t="shared" si="49"/>
        <v>44459</v>
      </c>
      <c r="EH44" s="1">
        <f t="shared" ref="EH44:GA44" si="50">EH35</f>
        <v>44460</v>
      </c>
      <c r="EI44" s="1">
        <f t="shared" si="50"/>
        <v>44461</v>
      </c>
      <c r="EJ44" s="1">
        <f t="shared" si="50"/>
        <v>44462</v>
      </c>
      <c r="EK44" s="1">
        <f t="shared" si="50"/>
        <v>44463</v>
      </c>
      <c r="EL44" s="1">
        <f t="shared" si="50"/>
        <v>44464</v>
      </c>
      <c r="EM44" s="1">
        <f t="shared" si="50"/>
        <v>44465</v>
      </c>
      <c r="EN44" s="1">
        <f t="shared" si="50"/>
        <v>44466</v>
      </c>
      <c r="EO44" s="1">
        <f t="shared" si="50"/>
        <v>44467</v>
      </c>
      <c r="EP44" s="1">
        <f t="shared" si="50"/>
        <v>44468</v>
      </c>
      <c r="EQ44" s="1">
        <f t="shared" si="50"/>
        <v>44469</v>
      </c>
      <c r="ER44" s="1">
        <f t="shared" si="50"/>
        <v>44470</v>
      </c>
      <c r="ES44" s="1">
        <f t="shared" si="50"/>
        <v>44471</v>
      </c>
      <c r="ET44" s="1">
        <f t="shared" si="50"/>
        <v>44472</v>
      </c>
      <c r="EU44" s="1">
        <f t="shared" si="50"/>
        <v>44473</v>
      </c>
      <c r="EV44" s="1">
        <f t="shared" si="50"/>
        <v>44474</v>
      </c>
      <c r="EW44" s="1">
        <f t="shared" si="50"/>
        <v>44475</v>
      </c>
      <c r="EX44" s="1">
        <f t="shared" si="50"/>
        <v>44476</v>
      </c>
      <c r="EY44" s="1">
        <f t="shared" si="50"/>
        <v>44477</v>
      </c>
      <c r="EZ44" s="1">
        <f t="shared" si="50"/>
        <v>44478</v>
      </c>
      <c r="FA44" s="1">
        <f t="shared" si="50"/>
        <v>44479</v>
      </c>
      <c r="FB44" s="1">
        <f t="shared" si="50"/>
        <v>44480</v>
      </c>
      <c r="FC44" s="1">
        <f t="shared" si="50"/>
        <v>44481</v>
      </c>
      <c r="FD44" s="1">
        <f t="shared" si="50"/>
        <v>44482</v>
      </c>
      <c r="FE44" s="1">
        <f t="shared" si="50"/>
        <v>44483</v>
      </c>
      <c r="FF44" s="1">
        <f t="shared" si="50"/>
        <v>44484</v>
      </c>
      <c r="FG44" s="1">
        <f t="shared" si="50"/>
        <v>44485</v>
      </c>
      <c r="FH44" s="1">
        <f t="shared" si="50"/>
        <v>44486</v>
      </c>
      <c r="FI44" s="1">
        <f t="shared" si="50"/>
        <v>44487</v>
      </c>
      <c r="FJ44" s="1">
        <f t="shared" si="50"/>
        <v>44488</v>
      </c>
      <c r="FK44" s="1">
        <f t="shared" si="50"/>
        <v>44489</v>
      </c>
      <c r="FL44" s="1">
        <f t="shared" si="50"/>
        <v>44490</v>
      </c>
      <c r="FM44" s="1">
        <f t="shared" si="50"/>
        <v>44491</v>
      </c>
      <c r="FN44" s="1">
        <f t="shared" si="50"/>
        <v>44492</v>
      </c>
      <c r="FO44" s="1">
        <f t="shared" si="50"/>
        <v>44493</v>
      </c>
      <c r="FP44" s="1">
        <f t="shared" si="50"/>
        <v>44494</v>
      </c>
      <c r="FQ44" s="1">
        <f t="shared" si="50"/>
        <v>44495</v>
      </c>
      <c r="FR44" s="1">
        <f t="shared" si="50"/>
        <v>44496</v>
      </c>
      <c r="FS44" s="1">
        <f t="shared" si="50"/>
        <v>44497</v>
      </c>
      <c r="FT44" s="1">
        <f t="shared" si="50"/>
        <v>44498</v>
      </c>
      <c r="FU44" s="1">
        <f t="shared" si="50"/>
        <v>44499</v>
      </c>
      <c r="FV44" s="1">
        <f t="shared" si="50"/>
        <v>44500</v>
      </c>
      <c r="FW44" s="1">
        <f t="shared" si="50"/>
        <v>44501</v>
      </c>
      <c r="FX44" s="1">
        <f t="shared" si="50"/>
        <v>44502</v>
      </c>
      <c r="FY44" s="1">
        <f t="shared" si="50"/>
        <v>44503</v>
      </c>
      <c r="FZ44" s="1">
        <f t="shared" si="50"/>
        <v>44504</v>
      </c>
      <c r="GA44" s="1">
        <f t="shared" si="50"/>
        <v>44505</v>
      </c>
    </row>
    <row r="45" spans="1:183" x14ac:dyDescent="0.45">
      <c r="A45">
        <f>A36</f>
        <v>2000</v>
      </c>
      <c r="B45" t="s">
        <v>0</v>
      </c>
      <c r="C45" cm="1">
        <f t="array" ref="C45">LOOKUP(2,1/(I45:GA45&lt;&gt;""),I45:GA45)</f>
        <v>140</v>
      </c>
      <c r="D45">
        <f t="shared" ref="D45:D49" si="51">D$12</f>
        <v>45</v>
      </c>
      <c r="F45" s="3">
        <f t="shared" ref="F45:F49" si="52">(C45-I45)/I45</f>
        <v>0.4</v>
      </c>
      <c r="G45" s="3" cm="1">
        <f t="array" ref="G45">(C45-IF(ISNA(INDEX(I45:GA45,D45-22)),INDEX(I45:GA45,D45-23),INDEX(I45:GA45,D45-22)))/IF(ISNA(INDEX(I45:GA45,D45-22)),INDEX(I45:GA45,D45-23),INDEX(I45:GA45,D45-22))</f>
        <v>0</v>
      </c>
      <c r="I45">
        <f>I36*$A45</f>
        <v>100</v>
      </c>
      <c r="J45">
        <f t="shared" ref="J45:BU45" si="53">J36*$A45</f>
        <v>100</v>
      </c>
      <c r="K45" t="e">
        <f t="shared" si="53"/>
        <v>#N/A</v>
      </c>
      <c r="L45">
        <f t="shared" si="53"/>
        <v>100</v>
      </c>
      <c r="M45" t="e">
        <f t="shared" si="53"/>
        <v>#N/A</v>
      </c>
      <c r="N45">
        <f t="shared" si="53"/>
        <v>120</v>
      </c>
      <c r="O45">
        <f t="shared" si="53"/>
        <v>120</v>
      </c>
      <c r="P45">
        <f t="shared" si="53"/>
        <v>120</v>
      </c>
      <c r="Q45">
        <f t="shared" si="53"/>
        <v>100</v>
      </c>
      <c r="R45">
        <f t="shared" si="53"/>
        <v>120</v>
      </c>
      <c r="S45">
        <f t="shared" si="53"/>
        <v>120</v>
      </c>
      <c r="T45">
        <f t="shared" si="53"/>
        <v>120</v>
      </c>
      <c r="U45">
        <f t="shared" si="53"/>
        <v>120</v>
      </c>
      <c r="V45">
        <f t="shared" si="53"/>
        <v>120</v>
      </c>
      <c r="W45">
        <f t="shared" si="53"/>
        <v>120</v>
      </c>
      <c r="X45">
        <f t="shared" si="53"/>
        <v>100</v>
      </c>
      <c r="Y45">
        <f t="shared" si="53"/>
        <v>120</v>
      </c>
      <c r="Z45">
        <f t="shared" si="53"/>
        <v>120</v>
      </c>
      <c r="AA45">
        <f t="shared" si="53"/>
        <v>120</v>
      </c>
      <c r="AB45">
        <f t="shared" si="53"/>
        <v>120</v>
      </c>
      <c r="AC45">
        <f t="shared" si="53"/>
        <v>140</v>
      </c>
      <c r="AD45">
        <f t="shared" si="53"/>
        <v>160</v>
      </c>
      <c r="AE45">
        <f t="shared" si="53"/>
        <v>140</v>
      </c>
      <c r="AF45">
        <f t="shared" si="53"/>
        <v>160</v>
      </c>
      <c r="AG45">
        <f t="shared" si="53"/>
        <v>160</v>
      </c>
      <c r="AH45">
        <f t="shared" si="53"/>
        <v>160</v>
      </c>
      <c r="AI45">
        <f t="shared" si="53"/>
        <v>160</v>
      </c>
      <c r="AJ45">
        <f t="shared" si="53"/>
        <v>160</v>
      </c>
      <c r="AK45">
        <f t="shared" si="53"/>
        <v>160</v>
      </c>
      <c r="AL45">
        <f t="shared" si="53"/>
        <v>160</v>
      </c>
      <c r="AM45">
        <f t="shared" si="53"/>
        <v>140</v>
      </c>
      <c r="AN45" t="e">
        <f t="shared" si="53"/>
        <v>#N/A</v>
      </c>
      <c r="AO45">
        <f t="shared" si="53"/>
        <v>140</v>
      </c>
      <c r="AP45">
        <f t="shared" si="53"/>
        <v>140</v>
      </c>
      <c r="AQ45">
        <f t="shared" si="53"/>
        <v>140</v>
      </c>
      <c r="AR45">
        <f t="shared" si="53"/>
        <v>140</v>
      </c>
      <c r="AS45">
        <f t="shared" si="53"/>
        <v>140</v>
      </c>
      <c r="AT45" t="e">
        <f t="shared" si="53"/>
        <v>#N/A</v>
      </c>
      <c r="AU45" t="e">
        <f t="shared" si="53"/>
        <v>#N/A</v>
      </c>
      <c r="AV45" t="e">
        <f t="shared" si="53"/>
        <v>#N/A</v>
      </c>
      <c r="AW45" t="e">
        <f t="shared" si="53"/>
        <v>#N/A</v>
      </c>
      <c r="AX45" t="e">
        <f t="shared" si="53"/>
        <v>#N/A</v>
      </c>
      <c r="AY45" t="e">
        <f t="shared" si="53"/>
        <v>#N/A</v>
      </c>
      <c r="AZ45" t="e">
        <f t="shared" si="53"/>
        <v>#N/A</v>
      </c>
      <c r="BA45" t="e">
        <f t="shared" si="53"/>
        <v>#N/A</v>
      </c>
      <c r="BB45" t="e">
        <f t="shared" si="53"/>
        <v>#N/A</v>
      </c>
      <c r="BC45" t="e">
        <f t="shared" si="53"/>
        <v>#N/A</v>
      </c>
      <c r="BD45" t="e">
        <f t="shared" si="53"/>
        <v>#N/A</v>
      </c>
      <c r="BE45" t="e">
        <f t="shared" si="53"/>
        <v>#N/A</v>
      </c>
      <c r="BF45" t="e">
        <f t="shared" si="53"/>
        <v>#N/A</v>
      </c>
      <c r="BG45" t="e">
        <f t="shared" si="53"/>
        <v>#N/A</v>
      </c>
      <c r="BH45" t="e">
        <f t="shared" si="53"/>
        <v>#N/A</v>
      </c>
      <c r="BI45" t="e">
        <f t="shared" si="53"/>
        <v>#N/A</v>
      </c>
      <c r="BJ45" t="e">
        <f t="shared" si="53"/>
        <v>#N/A</v>
      </c>
      <c r="BK45" t="e">
        <f t="shared" si="53"/>
        <v>#N/A</v>
      </c>
      <c r="BL45" t="e">
        <f t="shared" si="53"/>
        <v>#N/A</v>
      </c>
      <c r="BM45" t="e">
        <f t="shared" si="53"/>
        <v>#N/A</v>
      </c>
      <c r="BN45" t="e">
        <f t="shared" si="53"/>
        <v>#N/A</v>
      </c>
      <c r="BO45" t="e">
        <f t="shared" si="53"/>
        <v>#N/A</v>
      </c>
      <c r="BP45" t="e">
        <f t="shared" si="53"/>
        <v>#N/A</v>
      </c>
      <c r="BQ45" t="e">
        <f t="shared" si="53"/>
        <v>#N/A</v>
      </c>
      <c r="BR45" t="e">
        <f t="shared" si="53"/>
        <v>#N/A</v>
      </c>
      <c r="BS45" t="e">
        <f t="shared" si="53"/>
        <v>#N/A</v>
      </c>
      <c r="BT45" t="e">
        <f t="shared" si="53"/>
        <v>#N/A</v>
      </c>
      <c r="BU45" t="e">
        <f t="shared" si="53"/>
        <v>#N/A</v>
      </c>
      <c r="BV45" t="e">
        <f t="shared" ref="BV45:EG45" si="54">BV36*$A45</f>
        <v>#N/A</v>
      </c>
      <c r="BW45" t="e">
        <f t="shared" si="54"/>
        <v>#N/A</v>
      </c>
      <c r="BX45" t="e">
        <f t="shared" si="54"/>
        <v>#N/A</v>
      </c>
      <c r="BY45" t="e">
        <f t="shared" si="54"/>
        <v>#N/A</v>
      </c>
      <c r="BZ45" t="e">
        <f t="shared" si="54"/>
        <v>#N/A</v>
      </c>
      <c r="CA45" t="e">
        <f t="shared" si="54"/>
        <v>#N/A</v>
      </c>
      <c r="CB45" t="e">
        <f t="shared" si="54"/>
        <v>#N/A</v>
      </c>
      <c r="CC45" t="e">
        <f t="shared" si="54"/>
        <v>#N/A</v>
      </c>
      <c r="CD45" t="e">
        <f t="shared" si="54"/>
        <v>#N/A</v>
      </c>
      <c r="CE45" t="e">
        <f t="shared" si="54"/>
        <v>#N/A</v>
      </c>
      <c r="CF45" t="e">
        <f t="shared" si="54"/>
        <v>#N/A</v>
      </c>
      <c r="CG45" t="e">
        <f t="shared" si="54"/>
        <v>#N/A</v>
      </c>
      <c r="CH45" t="e">
        <f t="shared" si="54"/>
        <v>#N/A</v>
      </c>
      <c r="CI45" t="e">
        <f t="shared" si="54"/>
        <v>#N/A</v>
      </c>
      <c r="CJ45" t="e">
        <f t="shared" si="54"/>
        <v>#N/A</v>
      </c>
      <c r="CK45" t="e">
        <f t="shared" si="54"/>
        <v>#N/A</v>
      </c>
      <c r="CL45" t="e">
        <f t="shared" si="54"/>
        <v>#N/A</v>
      </c>
      <c r="CM45" t="e">
        <f t="shared" si="54"/>
        <v>#N/A</v>
      </c>
      <c r="CN45" t="e">
        <f t="shared" si="54"/>
        <v>#N/A</v>
      </c>
      <c r="CO45" t="e">
        <f t="shared" si="54"/>
        <v>#N/A</v>
      </c>
      <c r="CP45" t="e">
        <f t="shared" si="54"/>
        <v>#N/A</v>
      </c>
      <c r="CQ45" t="e">
        <f t="shared" si="54"/>
        <v>#N/A</v>
      </c>
      <c r="CR45" t="e">
        <f t="shared" si="54"/>
        <v>#N/A</v>
      </c>
      <c r="CS45" t="e">
        <f t="shared" si="54"/>
        <v>#N/A</v>
      </c>
      <c r="CT45" t="e">
        <f t="shared" si="54"/>
        <v>#N/A</v>
      </c>
      <c r="CU45" t="e">
        <f t="shared" si="54"/>
        <v>#N/A</v>
      </c>
      <c r="CV45" t="e">
        <f t="shared" si="54"/>
        <v>#N/A</v>
      </c>
      <c r="CW45" t="e">
        <f t="shared" si="54"/>
        <v>#N/A</v>
      </c>
      <c r="CX45" t="e">
        <f t="shared" si="54"/>
        <v>#N/A</v>
      </c>
      <c r="CY45" t="e">
        <f t="shared" si="54"/>
        <v>#N/A</v>
      </c>
      <c r="CZ45" t="e">
        <f t="shared" si="54"/>
        <v>#N/A</v>
      </c>
      <c r="DA45" t="e">
        <f t="shared" si="54"/>
        <v>#N/A</v>
      </c>
      <c r="DB45" t="e">
        <f t="shared" si="54"/>
        <v>#N/A</v>
      </c>
      <c r="DC45" t="e">
        <f t="shared" si="54"/>
        <v>#N/A</v>
      </c>
      <c r="DD45" t="e">
        <f t="shared" si="54"/>
        <v>#N/A</v>
      </c>
      <c r="DE45" t="e">
        <f t="shared" si="54"/>
        <v>#N/A</v>
      </c>
      <c r="DF45" t="e">
        <f t="shared" si="54"/>
        <v>#N/A</v>
      </c>
      <c r="DG45" t="e">
        <f t="shared" si="54"/>
        <v>#N/A</v>
      </c>
      <c r="DH45" t="e">
        <f t="shared" si="54"/>
        <v>#N/A</v>
      </c>
      <c r="DI45" t="e">
        <f t="shared" si="54"/>
        <v>#N/A</v>
      </c>
      <c r="DJ45" t="e">
        <f t="shared" si="54"/>
        <v>#N/A</v>
      </c>
      <c r="DK45" t="e">
        <f t="shared" si="54"/>
        <v>#N/A</v>
      </c>
      <c r="DL45" t="e">
        <f t="shared" si="54"/>
        <v>#N/A</v>
      </c>
      <c r="DM45" t="e">
        <f t="shared" si="54"/>
        <v>#N/A</v>
      </c>
      <c r="DN45" t="e">
        <f t="shared" si="54"/>
        <v>#N/A</v>
      </c>
      <c r="DO45" t="e">
        <f t="shared" si="54"/>
        <v>#N/A</v>
      </c>
      <c r="DP45" t="e">
        <f t="shared" si="54"/>
        <v>#N/A</v>
      </c>
      <c r="DQ45" t="e">
        <f t="shared" si="54"/>
        <v>#N/A</v>
      </c>
      <c r="DR45" t="e">
        <f t="shared" si="54"/>
        <v>#N/A</v>
      </c>
      <c r="DS45" t="e">
        <f t="shared" si="54"/>
        <v>#N/A</v>
      </c>
      <c r="DT45" t="e">
        <f t="shared" si="54"/>
        <v>#N/A</v>
      </c>
      <c r="DU45" t="e">
        <f t="shared" si="54"/>
        <v>#N/A</v>
      </c>
      <c r="DV45" t="e">
        <f t="shared" si="54"/>
        <v>#N/A</v>
      </c>
      <c r="DW45" t="e">
        <f t="shared" si="54"/>
        <v>#N/A</v>
      </c>
      <c r="DX45" t="e">
        <f t="shared" si="54"/>
        <v>#N/A</v>
      </c>
      <c r="DY45" t="e">
        <f t="shared" si="54"/>
        <v>#N/A</v>
      </c>
      <c r="DZ45" t="e">
        <f t="shared" si="54"/>
        <v>#N/A</v>
      </c>
      <c r="EA45" t="e">
        <f t="shared" si="54"/>
        <v>#N/A</v>
      </c>
      <c r="EB45" t="e">
        <f t="shared" si="54"/>
        <v>#N/A</v>
      </c>
      <c r="EC45" t="e">
        <f t="shared" si="54"/>
        <v>#N/A</v>
      </c>
      <c r="ED45" t="e">
        <f t="shared" si="54"/>
        <v>#N/A</v>
      </c>
      <c r="EE45" t="e">
        <f t="shared" si="54"/>
        <v>#N/A</v>
      </c>
      <c r="EF45" t="e">
        <f t="shared" si="54"/>
        <v>#N/A</v>
      </c>
      <c r="EG45" t="e">
        <f t="shared" si="54"/>
        <v>#N/A</v>
      </c>
      <c r="EH45" t="e">
        <f t="shared" ref="EH45:GA45" si="55">EH36*$A45</f>
        <v>#N/A</v>
      </c>
      <c r="EI45" t="e">
        <f t="shared" si="55"/>
        <v>#N/A</v>
      </c>
      <c r="EJ45" t="e">
        <f t="shared" si="55"/>
        <v>#N/A</v>
      </c>
      <c r="EK45" t="e">
        <f t="shared" si="55"/>
        <v>#N/A</v>
      </c>
      <c r="EL45" t="e">
        <f t="shared" si="55"/>
        <v>#N/A</v>
      </c>
      <c r="EM45" t="e">
        <f t="shared" si="55"/>
        <v>#N/A</v>
      </c>
      <c r="EN45" t="e">
        <f t="shared" si="55"/>
        <v>#N/A</v>
      </c>
      <c r="EO45" t="e">
        <f t="shared" si="55"/>
        <v>#N/A</v>
      </c>
      <c r="EP45" t="e">
        <f t="shared" si="55"/>
        <v>#N/A</v>
      </c>
      <c r="EQ45" t="e">
        <f t="shared" si="55"/>
        <v>#N/A</v>
      </c>
      <c r="ER45" t="e">
        <f t="shared" si="55"/>
        <v>#N/A</v>
      </c>
      <c r="ES45" t="e">
        <f t="shared" si="55"/>
        <v>#N/A</v>
      </c>
      <c r="ET45" t="e">
        <f t="shared" si="55"/>
        <v>#N/A</v>
      </c>
      <c r="EU45" t="e">
        <f t="shared" si="55"/>
        <v>#N/A</v>
      </c>
      <c r="EV45" t="e">
        <f t="shared" si="55"/>
        <v>#N/A</v>
      </c>
      <c r="EW45" t="e">
        <f t="shared" si="55"/>
        <v>#N/A</v>
      </c>
      <c r="EX45" t="e">
        <f t="shared" si="55"/>
        <v>#N/A</v>
      </c>
      <c r="EY45" t="e">
        <f t="shared" si="55"/>
        <v>#N/A</v>
      </c>
      <c r="EZ45" t="e">
        <f t="shared" si="55"/>
        <v>#N/A</v>
      </c>
      <c r="FA45" t="e">
        <f t="shared" si="55"/>
        <v>#N/A</v>
      </c>
      <c r="FB45" t="e">
        <f t="shared" si="55"/>
        <v>#N/A</v>
      </c>
      <c r="FC45" t="e">
        <f t="shared" si="55"/>
        <v>#N/A</v>
      </c>
      <c r="FD45" t="e">
        <f t="shared" si="55"/>
        <v>#N/A</v>
      </c>
      <c r="FE45" t="e">
        <f t="shared" si="55"/>
        <v>#N/A</v>
      </c>
      <c r="FF45" t="e">
        <f t="shared" si="55"/>
        <v>#N/A</v>
      </c>
      <c r="FG45" t="e">
        <f t="shared" si="55"/>
        <v>#N/A</v>
      </c>
      <c r="FH45" t="e">
        <f t="shared" si="55"/>
        <v>#N/A</v>
      </c>
      <c r="FI45" t="e">
        <f t="shared" si="55"/>
        <v>#N/A</v>
      </c>
      <c r="FJ45" t="e">
        <f t="shared" si="55"/>
        <v>#N/A</v>
      </c>
      <c r="FK45" t="e">
        <f t="shared" si="55"/>
        <v>#N/A</v>
      </c>
      <c r="FL45" t="e">
        <f t="shared" si="55"/>
        <v>#N/A</v>
      </c>
      <c r="FM45" t="e">
        <f t="shared" si="55"/>
        <v>#N/A</v>
      </c>
      <c r="FN45" t="e">
        <f t="shared" si="55"/>
        <v>#N/A</v>
      </c>
      <c r="FO45" t="e">
        <f t="shared" si="55"/>
        <v>#N/A</v>
      </c>
      <c r="FP45" t="e">
        <f t="shared" si="55"/>
        <v>#N/A</v>
      </c>
      <c r="FQ45" t="e">
        <f t="shared" si="55"/>
        <v>#N/A</v>
      </c>
      <c r="FR45" t="e">
        <f t="shared" si="55"/>
        <v>#N/A</v>
      </c>
      <c r="FS45" t="e">
        <f t="shared" si="55"/>
        <v>#N/A</v>
      </c>
      <c r="FT45" t="e">
        <f t="shared" si="55"/>
        <v>#N/A</v>
      </c>
      <c r="FU45" t="e">
        <f t="shared" si="55"/>
        <v>#N/A</v>
      </c>
      <c r="FV45" t="e">
        <f t="shared" si="55"/>
        <v>#N/A</v>
      </c>
      <c r="FW45" t="e">
        <f t="shared" si="55"/>
        <v>#N/A</v>
      </c>
      <c r="FX45" t="e">
        <f t="shared" si="55"/>
        <v>#N/A</v>
      </c>
      <c r="FY45" t="e">
        <f t="shared" si="55"/>
        <v>#N/A</v>
      </c>
      <c r="FZ45" t="e">
        <f t="shared" si="55"/>
        <v>#N/A</v>
      </c>
      <c r="GA45" t="e">
        <f t="shared" si="55"/>
        <v>#N/A</v>
      </c>
    </row>
    <row r="46" spans="1:183" x14ac:dyDescent="0.45">
      <c r="A46">
        <f t="shared" ref="A46:A49" si="56">A37</f>
        <v>1000</v>
      </c>
      <c r="B46" t="s">
        <v>1</v>
      </c>
      <c r="C46" cm="1">
        <f t="array" ref="C46">LOOKUP(2,1/(I46:GA46&lt;&gt;""),I46:GA46)</f>
        <v>80</v>
      </c>
      <c r="D46">
        <f t="shared" si="51"/>
        <v>45</v>
      </c>
      <c r="F46" s="3">
        <f t="shared" si="52"/>
        <v>0.14285714285714285</v>
      </c>
      <c r="G46" s="3" cm="1">
        <f t="array" ref="G46">(C46-IF(ISNA(INDEX(I46:GA46,D46-22)),INDEX(I46:GA46,D46-23),INDEX(I46:GA46,D46-22)))/IF(ISNA(INDEX(I46:GA46,D46-22)),INDEX(I46:GA46,D46-23),INDEX(I46:GA46,D46-22))</f>
        <v>0</v>
      </c>
      <c r="I46">
        <f>I37*$A46</f>
        <v>70</v>
      </c>
      <c r="J46">
        <f t="shared" ref="J46:BU46" si="57">J37*$A46</f>
        <v>70</v>
      </c>
      <c r="K46" t="e">
        <f t="shared" si="57"/>
        <v>#N/A</v>
      </c>
      <c r="L46">
        <f t="shared" si="57"/>
        <v>70</v>
      </c>
      <c r="M46" t="e">
        <f t="shared" si="57"/>
        <v>#N/A</v>
      </c>
      <c r="N46">
        <f t="shared" si="57"/>
        <v>70</v>
      </c>
      <c r="O46">
        <f t="shared" si="57"/>
        <v>70</v>
      </c>
      <c r="P46">
        <f t="shared" si="57"/>
        <v>70</v>
      </c>
      <c r="Q46">
        <f t="shared" si="57"/>
        <v>70</v>
      </c>
      <c r="R46">
        <f t="shared" si="57"/>
        <v>70</v>
      </c>
      <c r="S46">
        <f t="shared" si="57"/>
        <v>70</v>
      </c>
      <c r="T46">
        <f t="shared" si="57"/>
        <v>70</v>
      </c>
      <c r="U46">
        <f t="shared" si="57"/>
        <v>70</v>
      </c>
      <c r="V46">
        <f t="shared" si="57"/>
        <v>60</v>
      </c>
      <c r="W46">
        <f t="shared" si="57"/>
        <v>60</v>
      </c>
      <c r="X46">
        <f t="shared" si="57"/>
        <v>70</v>
      </c>
      <c r="Y46">
        <f t="shared" si="57"/>
        <v>70</v>
      </c>
      <c r="Z46">
        <f t="shared" si="57"/>
        <v>70</v>
      </c>
      <c r="AA46">
        <f t="shared" si="57"/>
        <v>70</v>
      </c>
      <c r="AB46">
        <f t="shared" si="57"/>
        <v>70</v>
      </c>
      <c r="AC46">
        <f t="shared" si="57"/>
        <v>80</v>
      </c>
      <c r="AD46">
        <f t="shared" si="57"/>
        <v>90</v>
      </c>
      <c r="AE46">
        <f t="shared" si="57"/>
        <v>80</v>
      </c>
      <c r="AF46">
        <f t="shared" si="57"/>
        <v>90</v>
      </c>
      <c r="AG46">
        <f t="shared" si="57"/>
        <v>90</v>
      </c>
      <c r="AH46">
        <f t="shared" si="57"/>
        <v>80</v>
      </c>
      <c r="AI46">
        <f t="shared" si="57"/>
        <v>90</v>
      </c>
      <c r="AJ46">
        <f t="shared" si="57"/>
        <v>90</v>
      </c>
      <c r="AK46">
        <f t="shared" si="57"/>
        <v>90</v>
      </c>
      <c r="AL46">
        <f t="shared" si="57"/>
        <v>90</v>
      </c>
      <c r="AM46">
        <f t="shared" si="57"/>
        <v>90</v>
      </c>
      <c r="AN46" t="e">
        <f t="shared" si="57"/>
        <v>#N/A</v>
      </c>
      <c r="AO46">
        <f t="shared" si="57"/>
        <v>90</v>
      </c>
      <c r="AP46">
        <f t="shared" si="57"/>
        <v>80</v>
      </c>
      <c r="AQ46">
        <f t="shared" si="57"/>
        <v>80</v>
      </c>
      <c r="AR46">
        <f t="shared" si="57"/>
        <v>80</v>
      </c>
      <c r="AS46">
        <f t="shared" si="57"/>
        <v>80</v>
      </c>
      <c r="AT46" t="e">
        <f t="shared" si="57"/>
        <v>#N/A</v>
      </c>
      <c r="AU46" t="e">
        <f t="shared" si="57"/>
        <v>#N/A</v>
      </c>
      <c r="AV46" t="e">
        <f t="shared" si="57"/>
        <v>#N/A</v>
      </c>
      <c r="AW46" t="e">
        <f t="shared" si="57"/>
        <v>#N/A</v>
      </c>
      <c r="AX46" t="e">
        <f t="shared" si="57"/>
        <v>#N/A</v>
      </c>
      <c r="AY46" t="e">
        <f t="shared" si="57"/>
        <v>#N/A</v>
      </c>
      <c r="AZ46" t="e">
        <f t="shared" si="57"/>
        <v>#N/A</v>
      </c>
      <c r="BA46" t="e">
        <f t="shared" si="57"/>
        <v>#N/A</v>
      </c>
      <c r="BB46" t="e">
        <f t="shared" si="57"/>
        <v>#N/A</v>
      </c>
      <c r="BC46" t="e">
        <f t="shared" si="57"/>
        <v>#N/A</v>
      </c>
      <c r="BD46" t="e">
        <f t="shared" si="57"/>
        <v>#N/A</v>
      </c>
      <c r="BE46" t="e">
        <f t="shared" si="57"/>
        <v>#N/A</v>
      </c>
      <c r="BF46" t="e">
        <f t="shared" si="57"/>
        <v>#N/A</v>
      </c>
      <c r="BG46" t="e">
        <f t="shared" si="57"/>
        <v>#N/A</v>
      </c>
      <c r="BH46" t="e">
        <f t="shared" si="57"/>
        <v>#N/A</v>
      </c>
      <c r="BI46" t="e">
        <f t="shared" si="57"/>
        <v>#N/A</v>
      </c>
      <c r="BJ46" t="e">
        <f t="shared" si="57"/>
        <v>#N/A</v>
      </c>
      <c r="BK46" t="e">
        <f t="shared" si="57"/>
        <v>#N/A</v>
      </c>
      <c r="BL46" t="e">
        <f t="shared" si="57"/>
        <v>#N/A</v>
      </c>
      <c r="BM46" t="e">
        <f t="shared" si="57"/>
        <v>#N/A</v>
      </c>
      <c r="BN46" t="e">
        <f t="shared" si="57"/>
        <v>#N/A</v>
      </c>
      <c r="BO46" t="e">
        <f t="shared" si="57"/>
        <v>#N/A</v>
      </c>
      <c r="BP46" t="e">
        <f t="shared" si="57"/>
        <v>#N/A</v>
      </c>
      <c r="BQ46" t="e">
        <f t="shared" si="57"/>
        <v>#N/A</v>
      </c>
      <c r="BR46" t="e">
        <f t="shared" si="57"/>
        <v>#N/A</v>
      </c>
      <c r="BS46" t="e">
        <f t="shared" si="57"/>
        <v>#N/A</v>
      </c>
      <c r="BT46" t="e">
        <f t="shared" si="57"/>
        <v>#N/A</v>
      </c>
      <c r="BU46" t="e">
        <f t="shared" si="57"/>
        <v>#N/A</v>
      </c>
      <c r="BV46" t="e">
        <f t="shared" ref="BV46:EG46" si="58">BV37*$A46</f>
        <v>#N/A</v>
      </c>
      <c r="BW46" t="e">
        <f t="shared" si="58"/>
        <v>#N/A</v>
      </c>
      <c r="BX46" t="e">
        <f t="shared" si="58"/>
        <v>#N/A</v>
      </c>
      <c r="BY46" t="e">
        <f t="shared" si="58"/>
        <v>#N/A</v>
      </c>
      <c r="BZ46" t="e">
        <f t="shared" si="58"/>
        <v>#N/A</v>
      </c>
      <c r="CA46" t="e">
        <f t="shared" si="58"/>
        <v>#N/A</v>
      </c>
      <c r="CB46" t="e">
        <f t="shared" si="58"/>
        <v>#N/A</v>
      </c>
      <c r="CC46" t="e">
        <f t="shared" si="58"/>
        <v>#N/A</v>
      </c>
      <c r="CD46" t="e">
        <f t="shared" si="58"/>
        <v>#N/A</v>
      </c>
      <c r="CE46" t="e">
        <f t="shared" si="58"/>
        <v>#N/A</v>
      </c>
      <c r="CF46" t="e">
        <f t="shared" si="58"/>
        <v>#N/A</v>
      </c>
      <c r="CG46" t="e">
        <f t="shared" si="58"/>
        <v>#N/A</v>
      </c>
      <c r="CH46" t="e">
        <f t="shared" si="58"/>
        <v>#N/A</v>
      </c>
      <c r="CI46" t="e">
        <f t="shared" si="58"/>
        <v>#N/A</v>
      </c>
      <c r="CJ46" t="e">
        <f t="shared" si="58"/>
        <v>#N/A</v>
      </c>
      <c r="CK46" t="e">
        <f t="shared" si="58"/>
        <v>#N/A</v>
      </c>
      <c r="CL46" t="e">
        <f t="shared" si="58"/>
        <v>#N/A</v>
      </c>
      <c r="CM46" t="e">
        <f t="shared" si="58"/>
        <v>#N/A</v>
      </c>
      <c r="CN46" t="e">
        <f t="shared" si="58"/>
        <v>#N/A</v>
      </c>
      <c r="CO46" t="e">
        <f t="shared" si="58"/>
        <v>#N/A</v>
      </c>
      <c r="CP46" t="e">
        <f t="shared" si="58"/>
        <v>#N/A</v>
      </c>
      <c r="CQ46" t="e">
        <f t="shared" si="58"/>
        <v>#N/A</v>
      </c>
      <c r="CR46" t="e">
        <f t="shared" si="58"/>
        <v>#N/A</v>
      </c>
      <c r="CS46" t="e">
        <f t="shared" si="58"/>
        <v>#N/A</v>
      </c>
      <c r="CT46" t="e">
        <f t="shared" si="58"/>
        <v>#N/A</v>
      </c>
      <c r="CU46" t="e">
        <f t="shared" si="58"/>
        <v>#N/A</v>
      </c>
      <c r="CV46" t="e">
        <f t="shared" si="58"/>
        <v>#N/A</v>
      </c>
      <c r="CW46" t="e">
        <f t="shared" si="58"/>
        <v>#N/A</v>
      </c>
      <c r="CX46" t="e">
        <f t="shared" si="58"/>
        <v>#N/A</v>
      </c>
      <c r="CY46" t="e">
        <f t="shared" si="58"/>
        <v>#N/A</v>
      </c>
      <c r="CZ46" t="e">
        <f t="shared" si="58"/>
        <v>#N/A</v>
      </c>
      <c r="DA46" t="e">
        <f t="shared" si="58"/>
        <v>#N/A</v>
      </c>
      <c r="DB46" t="e">
        <f t="shared" si="58"/>
        <v>#N/A</v>
      </c>
      <c r="DC46" t="e">
        <f t="shared" si="58"/>
        <v>#N/A</v>
      </c>
      <c r="DD46" t="e">
        <f t="shared" si="58"/>
        <v>#N/A</v>
      </c>
      <c r="DE46" t="e">
        <f t="shared" si="58"/>
        <v>#N/A</v>
      </c>
      <c r="DF46" t="e">
        <f t="shared" si="58"/>
        <v>#N/A</v>
      </c>
      <c r="DG46" t="e">
        <f t="shared" si="58"/>
        <v>#N/A</v>
      </c>
      <c r="DH46" t="e">
        <f t="shared" si="58"/>
        <v>#N/A</v>
      </c>
      <c r="DI46" t="e">
        <f t="shared" si="58"/>
        <v>#N/A</v>
      </c>
      <c r="DJ46" t="e">
        <f t="shared" si="58"/>
        <v>#N/A</v>
      </c>
      <c r="DK46" t="e">
        <f t="shared" si="58"/>
        <v>#N/A</v>
      </c>
      <c r="DL46" t="e">
        <f t="shared" si="58"/>
        <v>#N/A</v>
      </c>
      <c r="DM46" t="e">
        <f t="shared" si="58"/>
        <v>#N/A</v>
      </c>
      <c r="DN46" t="e">
        <f t="shared" si="58"/>
        <v>#N/A</v>
      </c>
      <c r="DO46" t="e">
        <f t="shared" si="58"/>
        <v>#N/A</v>
      </c>
      <c r="DP46" t="e">
        <f t="shared" si="58"/>
        <v>#N/A</v>
      </c>
      <c r="DQ46" t="e">
        <f t="shared" si="58"/>
        <v>#N/A</v>
      </c>
      <c r="DR46" t="e">
        <f t="shared" si="58"/>
        <v>#N/A</v>
      </c>
      <c r="DS46" t="e">
        <f t="shared" si="58"/>
        <v>#N/A</v>
      </c>
      <c r="DT46" t="e">
        <f t="shared" si="58"/>
        <v>#N/A</v>
      </c>
      <c r="DU46" t="e">
        <f t="shared" si="58"/>
        <v>#N/A</v>
      </c>
      <c r="DV46" t="e">
        <f t="shared" si="58"/>
        <v>#N/A</v>
      </c>
      <c r="DW46" t="e">
        <f t="shared" si="58"/>
        <v>#N/A</v>
      </c>
      <c r="DX46" t="e">
        <f t="shared" si="58"/>
        <v>#N/A</v>
      </c>
      <c r="DY46" t="e">
        <f t="shared" si="58"/>
        <v>#N/A</v>
      </c>
      <c r="DZ46" t="e">
        <f t="shared" si="58"/>
        <v>#N/A</v>
      </c>
      <c r="EA46" t="e">
        <f t="shared" si="58"/>
        <v>#N/A</v>
      </c>
      <c r="EB46" t="e">
        <f t="shared" si="58"/>
        <v>#N/A</v>
      </c>
      <c r="EC46" t="e">
        <f t="shared" si="58"/>
        <v>#N/A</v>
      </c>
      <c r="ED46" t="e">
        <f t="shared" si="58"/>
        <v>#N/A</v>
      </c>
      <c r="EE46" t="e">
        <f t="shared" si="58"/>
        <v>#N/A</v>
      </c>
      <c r="EF46" t="e">
        <f t="shared" si="58"/>
        <v>#N/A</v>
      </c>
      <c r="EG46" t="e">
        <f t="shared" si="58"/>
        <v>#N/A</v>
      </c>
      <c r="EH46" t="e">
        <f t="shared" ref="EH46:GA46" si="59">EH37*$A46</f>
        <v>#N/A</v>
      </c>
      <c r="EI46" t="e">
        <f t="shared" si="59"/>
        <v>#N/A</v>
      </c>
      <c r="EJ46" t="e">
        <f t="shared" si="59"/>
        <v>#N/A</v>
      </c>
      <c r="EK46" t="e">
        <f t="shared" si="59"/>
        <v>#N/A</v>
      </c>
      <c r="EL46" t="e">
        <f t="shared" si="59"/>
        <v>#N/A</v>
      </c>
      <c r="EM46" t="e">
        <f t="shared" si="59"/>
        <v>#N/A</v>
      </c>
      <c r="EN46" t="e">
        <f t="shared" si="59"/>
        <v>#N/A</v>
      </c>
      <c r="EO46" t="e">
        <f t="shared" si="59"/>
        <v>#N/A</v>
      </c>
      <c r="EP46" t="e">
        <f t="shared" si="59"/>
        <v>#N/A</v>
      </c>
      <c r="EQ46" t="e">
        <f t="shared" si="59"/>
        <v>#N/A</v>
      </c>
      <c r="ER46" t="e">
        <f t="shared" si="59"/>
        <v>#N/A</v>
      </c>
      <c r="ES46" t="e">
        <f t="shared" si="59"/>
        <v>#N/A</v>
      </c>
      <c r="ET46" t="e">
        <f t="shared" si="59"/>
        <v>#N/A</v>
      </c>
      <c r="EU46" t="e">
        <f t="shared" si="59"/>
        <v>#N/A</v>
      </c>
      <c r="EV46" t="e">
        <f t="shared" si="59"/>
        <v>#N/A</v>
      </c>
      <c r="EW46" t="e">
        <f t="shared" si="59"/>
        <v>#N/A</v>
      </c>
      <c r="EX46" t="e">
        <f t="shared" si="59"/>
        <v>#N/A</v>
      </c>
      <c r="EY46" t="e">
        <f t="shared" si="59"/>
        <v>#N/A</v>
      </c>
      <c r="EZ46" t="e">
        <f t="shared" si="59"/>
        <v>#N/A</v>
      </c>
      <c r="FA46" t="e">
        <f t="shared" si="59"/>
        <v>#N/A</v>
      </c>
      <c r="FB46" t="e">
        <f t="shared" si="59"/>
        <v>#N/A</v>
      </c>
      <c r="FC46" t="e">
        <f t="shared" si="59"/>
        <v>#N/A</v>
      </c>
      <c r="FD46" t="e">
        <f t="shared" si="59"/>
        <v>#N/A</v>
      </c>
      <c r="FE46" t="e">
        <f t="shared" si="59"/>
        <v>#N/A</v>
      </c>
      <c r="FF46" t="e">
        <f t="shared" si="59"/>
        <v>#N/A</v>
      </c>
      <c r="FG46" t="e">
        <f t="shared" si="59"/>
        <v>#N/A</v>
      </c>
      <c r="FH46" t="e">
        <f t="shared" si="59"/>
        <v>#N/A</v>
      </c>
      <c r="FI46" t="e">
        <f t="shared" si="59"/>
        <v>#N/A</v>
      </c>
      <c r="FJ46" t="e">
        <f t="shared" si="59"/>
        <v>#N/A</v>
      </c>
      <c r="FK46" t="e">
        <f t="shared" si="59"/>
        <v>#N/A</v>
      </c>
      <c r="FL46" t="e">
        <f t="shared" si="59"/>
        <v>#N/A</v>
      </c>
      <c r="FM46" t="e">
        <f t="shared" si="59"/>
        <v>#N/A</v>
      </c>
      <c r="FN46" t="e">
        <f t="shared" si="59"/>
        <v>#N/A</v>
      </c>
      <c r="FO46" t="e">
        <f t="shared" si="59"/>
        <v>#N/A</v>
      </c>
      <c r="FP46" t="e">
        <f t="shared" si="59"/>
        <v>#N/A</v>
      </c>
      <c r="FQ46" t="e">
        <f t="shared" si="59"/>
        <v>#N/A</v>
      </c>
      <c r="FR46" t="e">
        <f t="shared" si="59"/>
        <v>#N/A</v>
      </c>
      <c r="FS46" t="e">
        <f t="shared" si="59"/>
        <v>#N/A</v>
      </c>
      <c r="FT46" t="e">
        <f t="shared" si="59"/>
        <v>#N/A</v>
      </c>
      <c r="FU46" t="e">
        <f t="shared" si="59"/>
        <v>#N/A</v>
      </c>
      <c r="FV46" t="e">
        <f t="shared" si="59"/>
        <v>#N/A</v>
      </c>
      <c r="FW46" t="e">
        <f t="shared" si="59"/>
        <v>#N/A</v>
      </c>
      <c r="FX46" t="e">
        <f t="shared" si="59"/>
        <v>#N/A</v>
      </c>
      <c r="FY46" t="e">
        <f t="shared" si="59"/>
        <v>#N/A</v>
      </c>
      <c r="FZ46" t="e">
        <f t="shared" si="59"/>
        <v>#N/A</v>
      </c>
      <c r="GA46" t="e">
        <f t="shared" si="59"/>
        <v>#N/A</v>
      </c>
    </row>
    <row r="47" spans="1:183" x14ac:dyDescent="0.45">
      <c r="A47">
        <f t="shared" si="56"/>
        <v>2000</v>
      </c>
      <c r="B47" t="s">
        <v>3</v>
      </c>
      <c r="C47" cm="1">
        <f t="array" ref="C47">LOOKUP(2,1/(I47:GA47&lt;&gt;""),I47:GA47)</f>
        <v>240</v>
      </c>
      <c r="D47">
        <f t="shared" si="51"/>
        <v>45</v>
      </c>
      <c r="F47" s="3">
        <f t="shared" si="52"/>
        <v>0.7142857142857143</v>
      </c>
      <c r="G47" s="3" cm="1">
        <f t="array" ref="G47">(C47-IF(ISNA(INDEX(I47:GA47,D47-22)),INDEX(I47:GA47,D47-23),INDEX(I47:GA47,D47-22)))/IF(ISNA(INDEX(I47:GA47,D47-22)),INDEX(I47:GA47,D47-23),INDEX(I47:GA47,D47-22))</f>
        <v>9.0909090909090912E-2</v>
      </c>
      <c r="I47">
        <f>I38*$A47</f>
        <v>140</v>
      </c>
      <c r="J47">
        <f t="shared" ref="J47:BU47" si="60">J38*$A47</f>
        <v>140</v>
      </c>
      <c r="K47" t="e">
        <f t="shared" si="60"/>
        <v>#N/A</v>
      </c>
      <c r="L47">
        <f t="shared" si="60"/>
        <v>140</v>
      </c>
      <c r="M47" t="e">
        <f t="shared" si="60"/>
        <v>#N/A</v>
      </c>
      <c r="N47">
        <f t="shared" si="60"/>
        <v>140</v>
      </c>
      <c r="O47">
        <f t="shared" si="60"/>
        <v>140</v>
      </c>
      <c r="P47">
        <f t="shared" si="60"/>
        <v>140</v>
      </c>
      <c r="Q47">
        <f t="shared" si="60"/>
        <v>140</v>
      </c>
      <c r="R47">
        <f t="shared" si="60"/>
        <v>140</v>
      </c>
      <c r="S47">
        <f t="shared" si="60"/>
        <v>140</v>
      </c>
      <c r="T47">
        <f t="shared" si="60"/>
        <v>140</v>
      </c>
      <c r="U47">
        <f t="shared" si="60"/>
        <v>140</v>
      </c>
      <c r="V47">
        <f t="shared" si="60"/>
        <v>140</v>
      </c>
      <c r="W47">
        <f t="shared" si="60"/>
        <v>140</v>
      </c>
      <c r="X47">
        <f t="shared" si="60"/>
        <v>140</v>
      </c>
      <c r="Y47">
        <f t="shared" si="60"/>
        <v>140</v>
      </c>
      <c r="Z47">
        <f t="shared" si="60"/>
        <v>140</v>
      </c>
      <c r="AA47">
        <f t="shared" si="60"/>
        <v>140</v>
      </c>
      <c r="AB47">
        <f t="shared" si="60"/>
        <v>140</v>
      </c>
      <c r="AC47">
        <f t="shared" si="60"/>
        <v>240</v>
      </c>
      <c r="AD47">
        <f t="shared" si="60"/>
        <v>280</v>
      </c>
      <c r="AE47">
        <f t="shared" si="60"/>
        <v>220</v>
      </c>
      <c r="AF47">
        <f t="shared" si="60"/>
        <v>240</v>
      </c>
      <c r="AG47">
        <f t="shared" si="60"/>
        <v>240</v>
      </c>
      <c r="AH47">
        <f t="shared" si="60"/>
        <v>240</v>
      </c>
      <c r="AI47">
        <f t="shared" si="60"/>
        <v>240</v>
      </c>
      <c r="AJ47">
        <f t="shared" si="60"/>
        <v>260</v>
      </c>
      <c r="AK47">
        <f t="shared" si="60"/>
        <v>280</v>
      </c>
      <c r="AL47">
        <f t="shared" si="60"/>
        <v>260</v>
      </c>
      <c r="AM47">
        <f t="shared" si="60"/>
        <v>240</v>
      </c>
      <c r="AN47" t="e">
        <f t="shared" si="60"/>
        <v>#N/A</v>
      </c>
      <c r="AO47">
        <f t="shared" si="60"/>
        <v>220</v>
      </c>
      <c r="AP47">
        <f t="shared" si="60"/>
        <v>220</v>
      </c>
      <c r="AQ47">
        <f t="shared" si="60"/>
        <v>220</v>
      </c>
      <c r="AR47">
        <f t="shared" si="60"/>
        <v>240</v>
      </c>
      <c r="AS47">
        <f t="shared" si="60"/>
        <v>240</v>
      </c>
      <c r="AT47" t="e">
        <f t="shared" si="60"/>
        <v>#N/A</v>
      </c>
      <c r="AU47" t="e">
        <f t="shared" si="60"/>
        <v>#N/A</v>
      </c>
      <c r="AV47" t="e">
        <f t="shared" si="60"/>
        <v>#N/A</v>
      </c>
      <c r="AW47" t="e">
        <f t="shared" si="60"/>
        <v>#N/A</v>
      </c>
      <c r="AX47" t="e">
        <f t="shared" si="60"/>
        <v>#N/A</v>
      </c>
      <c r="AY47" t="e">
        <f t="shared" si="60"/>
        <v>#N/A</v>
      </c>
      <c r="AZ47" t="e">
        <f t="shared" si="60"/>
        <v>#N/A</v>
      </c>
      <c r="BA47" t="e">
        <f t="shared" si="60"/>
        <v>#N/A</v>
      </c>
      <c r="BB47" t="e">
        <f t="shared" si="60"/>
        <v>#N/A</v>
      </c>
      <c r="BC47" t="e">
        <f t="shared" si="60"/>
        <v>#N/A</v>
      </c>
      <c r="BD47" t="e">
        <f t="shared" si="60"/>
        <v>#N/A</v>
      </c>
      <c r="BE47" t="e">
        <f t="shared" si="60"/>
        <v>#N/A</v>
      </c>
      <c r="BF47" t="e">
        <f t="shared" si="60"/>
        <v>#N/A</v>
      </c>
      <c r="BG47" t="e">
        <f t="shared" si="60"/>
        <v>#N/A</v>
      </c>
      <c r="BH47" t="e">
        <f t="shared" si="60"/>
        <v>#N/A</v>
      </c>
      <c r="BI47" t="e">
        <f t="shared" si="60"/>
        <v>#N/A</v>
      </c>
      <c r="BJ47" t="e">
        <f t="shared" si="60"/>
        <v>#N/A</v>
      </c>
      <c r="BK47" t="e">
        <f t="shared" si="60"/>
        <v>#N/A</v>
      </c>
      <c r="BL47" t="e">
        <f t="shared" si="60"/>
        <v>#N/A</v>
      </c>
      <c r="BM47" t="e">
        <f t="shared" si="60"/>
        <v>#N/A</v>
      </c>
      <c r="BN47" t="e">
        <f t="shared" si="60"/>
        <v>#N/A</v>
      </c>
      <c r="BO47" t="e">
        <f t="shared" si="60"/>
        <v>#N/A</v>
      </c>
      <c r="BP47" t="e">
        <f t="shared" si="60"/>
        <v>#N/A</v>
      </c>
      <c r="BQ47" t="e">
        <f t="shared" si="60"/>
        <v>#N/A</v>
      </c>
      <c r="BR47" t="e">
        <f t="shared" si="60"/>
        <v>#N/A</v>
      </c>
      <c r="BS47" t="e">
        <f t="shared" si="60"/>
        <v>#N/A</v>
      </c>
      <c r="BT47" t="e">
        <f t="shared" si="60"/>
        <v>#N/A</v>
      </c>
      <c r="BU47" t="e">
        <f t="shared" si="60"/>
        <v>#N/A</v>
      </c>
      <c r="BV47" t="e">
        <f t="shared" ref="BV47:EG47" si="61">BV38*$A47</f>
        <v>#N/A</v>
      </c>
      <c r="BW47" t="e">
        <f t="shared" si="61"/>
        <v>#N/A</v>
      </c>
      <c r="BX47" t="e">
        <f t="shared" si="61"/>
        <v>#N/A</v>
      </c>
      <c r="BY47" t="e">
        <f t="shared" si="61"/>
        <v>#N/A</v>
      </c>
      <c r="BZ47" t="e">
        <f t="shared" si="61"/>
        <v>#N/A</v>
      </c>
      <c r="CA47" t="e">
        <f t="shared" si="61"/>
        <v>#N/A</v>
      </c>
      <c r="CB47" t="e">
        <f t="shared" si="61"/>
        <v>#N/A</v>
      </c>
      <c r="CC47" t="e">
        <f t="shared" si="61"/>
        <v>#N/A</v>
      </c>
      <c r="CD47" t="e">
        <f t="shared" si="61"/>
        <v>#N/A</v>
      </c>
      <c r="CE47" t="e">
        <f t="shared" si="61"/>
        <v>#N/A</v>
      </c>
      <c r="CF47" t="e">
        <f t="shared" si="61"/>
        <v>#N/A</v>
      </c>
      <c r="CG47" t="e">
        <f t="shared" si="61"/>
        <v>#N/A</v>
      </c>
      <c r="CH47" t="e">
        <f t="shared" si="61"/>
        <v>#N/A</v>
      </c>
      <c r="CI47" t="e">
        <f t="shared" si="61"/>
        <v>#N/A</v>
      </c>
      <c r="CJ47" t="e">
        <f t="shared" si="61"/>
        <v>#N/A</v>
      </c>
      <c r="CK47" t="e">
        <f t="shared" si="61"/>
        <v>#N/A</v>
      </c>
      <c r="CL47" t="e">
        <f t="shared" si="61"/>
        <v>#N/A</v>
      </c>
      <c r="CM47" t="e">
        <f t="shared" si="61"/>
        <v>#N/A</v>
      </c>
      <c r="CN47" t="e">
        <f t="shared" si="61"/>
        <v>#N/A</v>
      </c>
      <c r="CO47" t="e">
        <f t="shared" si="61"/>
        <v>#N/A</v>
      </c>
      <c r="CP47" t="e">
        <f t="shared" si="61"/>
        <v>#N/A</v>
      </c>
      <c r="CQ47" t="e">
        <f t="shared" si="61"/>
        <v>#N/A</v>
      </c>
      <c r="CR47" t="e">
        <f t="shared" si="61"/>
        <v>#N/A</v>
      </c>
      <c r="CS47" t="e">
        <f t="shared" si="61"/>
        <v>#N/A</v>
      </c>
      <c r="CT47" t="e">
        <f t="shared" si="61"/>
        <v>#N/A</v>
      </c>
      <c r="CU47" t="e">
        <f t="shared" si="61"/>
        <v>#N/A</v>
      </c>
      <c r="CV47" t="e">
        <f t="shared" si="61"/>
        <v>#N/A</v>
      </c>
      <c r="CW47" t="e">
        <f t="shared" si="61"/>
        <v>#N/A</v>
      </c>
      <c r="CX47" t="e">
        <f t="shared" si="61"/>
        <v>#N/A</v>
      </c>
      <c r="CY47" t="e">
        <f t="shared" si="61"/>
        <v>#N/A</v>
      </c>
      <c r="CZ47" t="e">
        <f t="shared" si="61"/>
        <v>#N/A</v>
      </c>
      <c r="DA47" t="e">
        <f t="shared" si="61"/>
        <v>#N/A</v>
      </c>
      <c r="DB47" t="e">
        <f t="shared" si="61"/>
        <v>#N/A</v>
      </c>
      <c r="DC47" t="e">
        <f t="shared" si="61"/>
        <v>#N/A</v>
      </c>
      <c r="DD47" t="e">
        <f t="shared" si="61"/>
        <v>#N/A</v>
      </c>
      <c r="DE47" t="e">
        <f t="shared" si="61"/>
        <v>#N/A</v>
      </c>
      <c r="DF47" t="e">
        <f t="shared" si="61"/>
        <v>#N/A</v>
      </c>
      <c r="DG47" t="e">
        <f t="shared" si="61"/>
        <v>#N/A</v>
      </c>
      <c r="DH47" t="e">
        <f t="shared" si="61"/>
        <v>#N/A</v>
      </c>
      <c r="DI47" t="e">
        <f t="shared" si="61"/>
        <v>#N/A</v>
      </c>
      <c r="DJ47" t="e">
        <f t="shared" si="61"/>
        <v>#N/A</v>
      </c>
      <c r="DK47" t="e">
        <f t="shared" si="61"/>
        <v>#N/A</v>
      </c>
      <c r="DL47" t="e">
        <f t="shared" si="61"/>
        <v>#N/A</v>
      </c>
      <c r="DM47" t="e">
        <f t="shared" si="61"/>
        <v>#N/A</v>
      </c>
      <c r="DN47" t="e">
        <f t="shared" si="61"/>
        <v>#N/A</v>
      </c>
      <c r="DO47" t="e">
        <f t="shared" si="61"/>
        <v>#N/A</v>
      </c>
      <c r="DP47" t="e">
        <f t="shared" si="61"/>
        <v>#N/A</v>
      </c>
      <c r="DQ47" t="e">
        <f t="shared" si="61"/>
        <v>#N/A</v>
      </c>
      <c r="DR47" t="e">
        <f t="shared" si="61"/>
        <v>#N/A</v>
      </c>
      <c r="DS47" t="e">
        <f t="shared" si="61"/>
        <v>#N/A</v>
      </c>
      <c r="DT47" t="e">
        <f t="shared" si="61"/>
        <v>#N/A</v>
      </c>
      <c r="DU47" t="e">
        <f t="shared" si="61"/>
        <v>#N/A</v>
      </c>
      <c r="DV47" t="e">
        <f t="shared" si="61"/>
        <v>#N/A</v>
      </c>
      <c r="DW47" t="e">
        <f t="shared" si="61"/>
        <v>#N/A</v>
      </c>
      <c r="DX47" t="e">
        <f t="shared" si="61"/>
        <v>#N/A</v>
      </c>
      <c r="DY47" t="e">
        <f t="shared" si="61"/>
        <v>#N/A</v>
      </c>
      <c r="DZ47" t="e">
        <f t="shared" si="61"/>
        <v>#N/A</v>
      </c>
      <c r="EA47" t="e">
        <f t="shared" si="61"/>
        <v>#N/A</v>
      </c>
      <c r="EB47" t="e">
        <f t="shared" si="61"/>
        <v>#N/A</v>
      </c>
      <c r="EC47" t="e">
        <f t="shared" si="61"/>
        <v>#N/A</v>
      </c>
      <c r="ED47" t="e">
        <f t="shared" si="61"/>
        <v>#N/A</v>
      </c>
      <c r="EE47" t="e">
        <f t="shared" si="61"/>
        <v>#N/A</v>
      </c>
      <c r="EF47" t="e">
        <f t="shared" si="61"/>
        <v>#N/A</v>
      </c>
      <c r="EG47" t="e">
        <f t="shared" si="61"/>
        <v>#N/A</v>
      </c>
      <c r="EH47" t="e">
        <f t="shared" ref="EH47:GA47" si="62">EH38*$A47</f>
        <v>#N/A</v>
      </c>
      <c r="EI47" t="e">
        <f t="shared" si="62"/>
        <v>#N/A</v>
      </c>
      <c r="EJ47" t="e">
        <f t="shared" si="62"/>
        <v>#N/A</v>
      </c>
      <c r="EK47" t="e">
        <f t="shared" si="62"/>
        <v>#N/A</v>
      </c>
      <c r="EL47" t="e">
        <f t="shared" si="62"/>
        <v>#N/A</v>
      </c>
      <c r="EM47" t="e">
        <f t="shared" si="62"/>
        <v>#N/A</v>
      </c>
      <c r="EN47" t="e">
        <f t="shared" si="62"/>
        <v>#N/A</v>
      </c>
      <c r="EO47" t="e">
        <f t="shared" si="62"/>
        <v>#N/A</v>
      </c>
      <c r="EP47" t="e">
        <f t="shared" si="62"/>
        <v>#N/A</v>
      </c>
      <c r="EQ47" t="e">
        <f t="shared" si="62"/>
        <v>#N/A</v>
      </c>
      <c r="ER47" t="e">
        <f t="shared" si="62"/>
        <v>#N/A</v>
      </c>
      <c r="ES47" t="e">
        <f t="shared" si="62"/>
        <v>#N/A</v>
      </c>
      <c r="ET47" t="e">
        <f t="shared" si="62"/>
        <v>#N/A</v>
      </c>
      <c r="EU47" t="e">
        <f t="shared" si="62"/>
        <v>#N/A</v>
      </c>
      <c r="EV47" t="e">
        <f t="shared" si="62"/>
        <v>#N/A</v>
      </c>
      <c r="EW47" t="e">
        <f t="shared" si="62"/>
        <v>#N/A</v>
      </c>
      <c r="EX47" t="e">
        <f t="shared" si="62"/>
        <v>#N/A</v>
      </c>
      <c r="EY47" t="e">
        <f t="shared" si="62"/>
        <v>#N/A</v>
      </c>
      <c r="EZ47" t="e">
        <f t="shared" si="62"/>
        <v>#N/A</v>
      </c>
      <c r="FA47" t="e">
        <f t="shared" si="62"/>
        <v>#N/A</v>
      </c>
      <c r="FB47" t="e">
        <f t="shared" si="62"/>
        <v>#N/A</v>
      </c>
      <c r="FC47" t="e">
        <f t="shared" si="62"/>
        <v>#N/A</v>
      </c>
      <c r="FD47" t="e">
        <f t="shared" si="62"/>
        <v>#N/A</v>
      </c>
      <c r="FE47" t="e">
        <f t="shared" si="62"/>
        <v>#N/A</v>
      </c>
      <c r="FF47" t="e">
        <f t="shared" si="62"/>
        <v>#N/A</v>
      </c>
      <c r="FG47" t="e">
        <f t="shared" si="62"/>
        <v>#N/A</v>
      </c>
      <c r="FH47" t="e">
        <f t="shared" si="62"/>
        <v>#N/A</v>
      </c>
      <c r="FI47" t="e">
        <f t="shared" si="62"/>
        <v>#N/A</v>
      </c>
      <c r="FJ47" t="e">
        <f t="shared" si="62"/>
        <v>#N/A</v>
      </c>
      <c r="FK47" t="e">
        <f t="shared" si="62"/>
        <v>#N/A</v>
      </c>
      <c r="FL47" t="e">
        <f t="shared" si="62"/>
        <v>#N/A</v>
      </c>
      <c r="FM47" t="e">
        <f t="shared" si="62"/>
        <v>#N/A</v>
      </c>
      <c r="FN47" t="e">
        <f t="shared" si="62"/>
        <v>#N/A</v>
      </c>
      <c r="FO47" t="e">
        <f t="shared" si="62"/>
        <v>#N/A</v>
      </c>
      <c r="FP47" t="e">
        <f t="shared" si="62"/>
        <v>#N/A</v>
      </c>
      <c r="FQ47" t="e">
        <f t="shared" si="62"/>
        <v>#N/A</v>
      </c>
      <c r="FR47" t="e">
        <f t="shared" si="62"/>
        <v>#N/A</v>
      </c>
      <c r="FS47" t="e">
        <f t="shared" si="62"/>
        <v>#N/A</v>
      </c>
      <c r="FT47" t="e">
        <f t="shared" si="62"/>
        <v>#N/A</v>
      </c>
      <c r="FU47" t="e">
        <f t="shared" si="62"/>
        <v>#N/A</v>
      </c>
      <c r="FV47" t="e">
        <f t="shared" si="62"/>
        <v>#N/A</v>
      </c>
      <c r="FW47" t="e">
        <f t="shared" si="62"/>
        <v>#N/A</v>
      </c>
      <c r="FX47" t="e">
        <f t="shared" si="62"/>
        <v>#N/A</v>
      </c>
      <c r="FY47" t="e">
        <f t="shared" si="62"/>
        <v>#N/A</v>
      </c>
      <c r="FZ47" t="e">
        <f t="shared" si="62"/>
        <v>#N/A</v>
      </c>
      <c r="GA47" t="e">
        <f t="shared" si="62"/>
        <v>#N/A</v>
      </c>
    </row>
    <row r="48" spans="1:183" x14ac:dyDescent="0.45">
      <c r="A48">
        <f t="shared" si="56"/>
        <v>215</v>
      </c>
      <c r="B48" t="s">
        <v>4</v>
      </c>
      <c r="C48" cm="1">
        <f t="array" ref="C48">LOOKUP(2,1/(I48:GA48&lt;&gt;""),I48:GA48)</f>
        <v>45.15</v>
      </c>
      <c r="D48">
        <f t="shared" si="51"/>
        <v>45</v>
      </c>
      <c r="F48" s="3">
        <f t="shared" si="52"/>
        <v>1.625</v>
      </c>
      <c r="G48" s="3" cm="1">
        <f t="array" ref="G48">(C48-IF(ISNA(INDEX(I48:GA48,D48-22)),INDEX(I48:GA48,D48-23),INDEX(I48:GA48,D48-22)))/IF(ISNA(INDEX(I48:GA48,D48-22)),INDEX(I48:GA48,D48-23),INDEX(I48:GA48,D48-22))</f>
        <v>0.23529411764705865</v>
      </c>
      <c r="I48">
        <f>I39*$A48</f>
        <v>17.2</v>
      </c>
      <c r="J48">
        <f t="shared" ref="J48:BU48" si="63">J39*$A48</f>
        <v>17.2</v>
      </c>
      <c r="K48" t="e">
        <f t="shared" si="63"/>
        <v>#N/A</v>
      </c>
      <c r="L48">
        <f t="shared" si="63"/>
        <v>17.2</v>
      </c>
      <c r="M48" t="e">
        <f t="shared" si="63"/>
        <v>#N/A</v>
      </c>
      <c r="N48">
        <f t="shared" si="63"/>
        <v>17.2</v>
      </c>
      <c r="O48">
        <f t="shared" si="63"/>
        <v>17.2</v>
      </c>
      <c r="P48">
        <f t="shared" si="63"/>
        <v>17.2</v>
      </c>
      <c r="Q48">
        <f t="shared" si="63"/>
        <v>17.2</v>
      </c>
      <c r="R48">
        <f t="shared" si="63"/>
        <v>17.2</v>
      </c>
      <c r="S48">
        <f t="shared" si="63"/>
        <v>17.2</v>
      </c>
      <c r="T48">
        <f t="shared" si="63"/>
        <v>17.2</v>
      </c>
      <c r="U48">
        <f t="shared" si="63"/>
        <v>17.2</v>
      </c>
      <c r="V48">
        <f t="shared" si="63"/>
        <v>17.2</v>
      </c>
      <c r="W48">
        <f t="shared" si="63"/>
        <v>17.2</v>
      </c>
      <c r="X48">
        <f t="shared" si="63"/>
        <v>17.2</v>
      </c>
      <c r="Y48">
        <f t="shared" si="63"/>
        <v>17.2</v>
      </c>
      <c r="Z48">
        <f t="shared" si="63"/>
        <v>17.2</v>
      </c>
      <c r="AA48">
        <f t="shared" si="63"/>
        <v>17.2</v>
      </c>
      <c r="AB48">
        <f t="shared" si="63"/>
        <v>17.2</v>
      </c>
      <c r="AC48">
        <f t="shared" si="63"/>
        <v>34.4</v>
      </c>
      <c r="AD48">
        <f t="shared" si="63"/>
        <v>45.15</v>
      </c>
      <c r="AE48">
        <f t="shared" si="63"/>
        <v>36.550000000000004</v>
      </c>
      <c r="AF48">
        <f t="shared" si="63"/>
        <v>38.699999999999996</v>
      </c>
      <c r="AG48">
        <f t="shared" si="63"/>
        <v>38.699999999999996</v>
      </c>
      <c r="AH48">
        <f t="shared" si="63"/>
        <v>43</v>
      </c>
      <c r="AI48">
        <f t="shared" si="63"/>
        <v>49.45</v>
      </c>
      <c r="AJ48">
        <f t="shared" si="63"/>
        <v>51.6</v>
      </c>
      <c r="AK48">
        <f t="shared" si="63"/>
        <v>60.2</v>
      </c>
      <c r="AL48">
        <f t="shared" si="63"/>
        <v>60.2</v>
      </c>
      <c r="AM48">
        <f t="shared" si="63"/>
        <v>58.050000000000004</v>
      </c>
      <c r="AN48" t="e">
        <f t="shared" si="63"/>
        <v>#N/A</v>
      </c>
      <c r="AO48">
        <f t="shared" si="63"/>
        <v>49.45</v>
      </c>
      <c r="AP48">
        <f t="shared" si="63"/>
        <v>49.45</v>
      </c>
      <c r="AQ48">
        <f t="shared" si="63"/>
        <v>45.15</v>
      </c>
      <c r="AR48">
        <f t="shared" si="63"/>
        <v>49.45</v>
      </c>
      <c r="AS48">
        <f t="shared" si="63"/>
        <v>45.15</v>
      </c>
      <c r="AT48" t="e">
        <f t="shared" si="63"/>
        <v>#N/A</v>
      </c>
      <c r="AU48" t="e">
        <f t="shared" si="63"/>
        <v>#N/A</v>
      </c>
      <c r="AV48" t="e">
        <f t="shared" si="63"/>
        <v>#N/A</v>
      </c>
      <c r="AW48" t="e">
        <f t="shared" si="63"/>
        <v>#N/A</v>
      </c>
      <c r="AX48" t="e">
        <f t="shared" si="63"/>
        <v>#N/A</v>
      </c>
      <c r="AY48" t="e">
        <f t="shared" si="63"/>
        <v>#N/A</v>
      </c>
      <c r="AZ48" t="e">
        <f t="shared" si="63"/>
        <v>#N/A</v>
      </c>
      <c r="BA48" t="e">
        <f t="shared" si="63"/>
        <v>#N/A</v>
      </c>
      <c r="BB48" t="e">
        <f t="shared" si="63"/>
        <v>#N/A</v>
      </c>
      <c r="BC48" t="e">
        <f t="shared" si="63"/>
        <v>#N/A</v>
      </c>
      <c r="BD48" t="e">
        <f t="shared" si="63"/>
        <v>#N/A</v>
      </c>
      <c r="BE48" t="e">
        <f t="shared" si="63"/>
        <v>#N/A</v>
      </c>
      <c r="BF48" t="e">
        <f t="shared" si="63"/>
        <v>#N/A</v>
      </c>
      <c r="BG48" t="e">
        <f t="shared" si="63"/>
        <v>#N/A</v>
      </c>
      <c r="BH48" t="e">
        <f t="shared" si="63"/>
        <v>#N/A</v>
      </c>
      <c r="BI48" t="e">
        <f t="shared" si="63"/>
        <v>#N/A</v>
      </c>
      <c r="BJ48" t="e">
        <f t="shared" si="63"/>
        <v>#N/A</v>
      </c>
      <c r="BK48" t="e">
        <f t="shared" si="63"/>
        <v>#N/A</v>
      </c>
      <c r="BL48" t="e">
        <f t="shared" si="63"/>
        <v>#N/A</v>
      </c>
      <c r="BM48" t="e">
        <f t="shared" si="63"/>
        <v>#N/A</v>
      </c>
      <c r="BN48" t="e">
        <f t="shared" si="63"/>
        <v>#N/A</v>
      </c>
      <c r="BO48" t="e">
        <f t="shared" si="63"/>
        <v>#N/A</v>
      </c>
      <c r="BP48" t="e">
        <f t="shared" si="63"/>
        <v>#N/A</v>
      </c>
      <c r="BQ48" t="e">
        <f t="shared" si="63"/>
        <v>#N/A</v>
      </c>
      <c r="BR48" t="e">
        <f t="shared" si="63"/>
        <v>#N/A</v>
      </c>
      <c r="BS48" t="e">
        <f t="shared" si="63"/>
        <v>#N/A</v>
      </c>
      <c r="BT48" t="e">
        <f t="shared" si="63"/>
        <v>#N/A</v>
      </c>
      <c r="BU48" t="e">
        <f t="shared" si="63"/>
        <v>#N/A</v>
      </c>
      <c r="BV48" t="e">
        <f t="shared" ref="BV48:EG48" si="64">BV39*$A48</f>
        <v>#N/A</v>
      </c>
      <c r="BW48" t="e">
        <f t="shared" si="64"/>
        <v>#N/A</v>
      </c>
      <c r="BX48" t="e">
        <f t="shared" si="64"/>
        <v>#N/A</v>
      </c>
      <c r="BY48" t="e">
        <f t="shared" si="64"/>
        <v>#N/A</v>
      </c>
      <c r="BZ48" t="e">
        <f t="shared" si="64"/>
        <v>#N/A</v>
      </c>
      <c r="CA48" t="e">
        <f t="shared" si="64"/>
        <v>#N/A</v>
      </c>
      <c r="CB48" t="e">
        <f t="shared" si="64"/>
        <v>#N/A</v>
      </c>
      <c r="CC48" t="e">
        <f t="shared" si="64"/>
        <v>#N/A</v>
      </c>
      <c r="CD48" t="e">
        <f t="shared" si="64"/>
        <v>#N/A</v>
      </c>
      <c r="CE48" t="e">
        <f t="shared" si="64"/>
        <v>#N/A</v>
      </c>
      <c r="CF48" t="e">
        <f t="shared" si="64"/>
        <v>#N/A</v>
      </c>
      <c r="CG48" t="e">
        <f t="shared" si="64"/>
        <v>#N/A</v>
      </c>
      <c r="CH48" t="e">
        <f t="shared" si="64"/>
        <v>#N/A</v>
      </c>
      <c r="CI48" t="e">
        <f t="shared" si="64"/>
        <v>#N/A</v>
      </c>
      <c r="CJ48" t="e">
        <f t="shared" si="64"/>
        <v>#N/A</v>
      </c>
      <c r="CK48" t="e">
        <f t="shared" si="64"/>
        <v>#N/A</v>
      </c>
      <c r="CL48" t="e">
        <f t="shared" si="64"/>
        <v>#N/A</v>
      </c>
      <c r="CM48" t="e">
        <f t="shared" si="64"/>
        <v>#N/A</v>
      </c>
      <c r="CN48" t="e">
        <f t="shared" si="64"/>
        <v>#N/A</v>
      </c>
      <c r="CO48" t="e">
        <f t="shared" si="64"/>
        <v>#N/A</v>
      </c>
      <c r="CP48" t="e">
        <f t="shared" si="64"/>
        <v>#N/A</v>
      </c>
      <c r="CQ48" t="e">
        <f t="shared" si="64"/>
        <v>#N/A</v>
      </c>
      <c r="CR48" t="e">
        <f t="shared" si="64"/>
        <v>#N/A</v>
      </c>
      <c r="CS48" t="e">
        <f t="shared" si="64"/>
        <v>#N/A</v>
      </c>
      <c r="CT48" t="e">
        <f t="shared" si="64"/>
        <v>#N/A</v>
      </c>
      <c r="CU48" t="e">
        <f t="shared" si="64"/>
        <v>#N/A</v>
      </c>
      <c r="CV48" t="e">
        <f t="shared" si="64"/>
        <v>#N/A</v>
      </c>
      <c r="CW48" t="e">
        <f t="shared" si="64"/>
        <v>#N/A</v>
      </c>
      <c r="CX48" t="e">
        <f t="shared" si="64"/>
        <v>#N/A</v>
      </c>
      <c r="CY48" t="e">
        <f t="shared" si="64"/>
        <v>#N/A</v>
      </c>
      <c r="CZ48" t="e">
        <f t="shared" si="64"/>
        <v>#N/A</v>
      </c>
      <c r="DA48" t="e">
        <f t="shared" si="64"/>
        <v>#N/A</v>
      </c>
      <c r="DB48" t="e">
        <f t="shared" si="64"/>
        <v>#N/A</v>
      </c>
      <c r="DC48" t="e">
        <f t="shared" si="64"/>
        <v>#N/A</v>
      </c>
      <c r="DD48" t="e">
        <f t="shared" si="64"/>
        <v>#N/A</v>
      </c>
      <c r="DE48" t="e">
        <f t="shared" si="64"/>
        <v>#N/A</v>
      </c>
      <c r="DF48" t="e">
        <f t="shared" si="64"/>
        <v>#N/A</v>
      </c>
      <c r="DG48" t="e">
        <f t="shared" si="64"/>
        <v>#N/A</v>
      </c>
      <c r="DH48" t="e">
        <f t="shared" si="64"/>
        <v>#N/A</v>
      </c>
      <c r="DI48" t="e">
        <f t="shared" si="64"/>
        <v>#N/A</v>
      </c>
      <c r="DJ48" t="e">
        <f t="shared" si="64"/>
        <v>#N/A</v>
      </c>
      <c r="DK48" t="e">
        <f t="shared" si="64"/>
        <v>#N/A</v>
      </c>
      <c r="DL48" t="e">
        <f t="shared" si="64"/>
        <v>#N/A</v>
      </c>
      <c r="DM48" t="e">
        <f t="shared" si="64"/>
        <v>#N/A</v>
      </c>
      <c r="DN48" t="e">
        <f t="shared" si="64"/>
        <v>#N/A</v>
      </c>
      <c r="DO48" t="e">
        <f t="shared" si="64"/>
        <v>#N/A</v>
      </c>
      <c r="DP48" t="e">
        <f t="shared" si="64"/>
        <v>#N/A</v>
      </c>
      <c r="DQ48" t="e">
        <f t="shared" si="64"/>
        <v>#N/A</v>
      </c>
      <c r="DR48" t="e">
        <f t="shared" si="64"/>
        <v>#N/A</v>
      </c>
      <c r="DS48" t="e">
        <f t="shared" si="64"/>
        <v>#N/A</v>
      </c>
      <c r="DT48" t="e">
        <f t="shared" si="64"/>
        <v>#N/A</v>
      </c>
      <c r="DU48" t="e">
        <f t="shared" si="64"/>
        <v>#N/A</v>
      </c>
      <c r="DV48" t="e">
        <f t="shared" si="64"/>
        <v>#N/A</v>
      </c>
      <c r="DW48" t="e">
        <f t="shared" si="64"/>
        <v>#N/A</v>
      </c>
      <c r="DX48" t="e">
        <f t="shared" si="64"/>
        <v>#N/A</v>
      </c>
      <c r="DY48" t="e">
        <f t="shared" si="64"/>
        <v>#N/A</v>
      </c>
      <c r="DZ48" t="e">
        <f t="shared" si="64"/>
        <v>#N/A</v>
      </c>
      <c r="EA48" t="e">
        <f t="shared" si="64"/>
        <v>#N/A</v>
      </c>
      <c r="EB48" t="e">
        <f t="shared" si="64"/>
        <v>#N/A</v>
      </c>
      <c r="EC48" t="e">
        <f t="shared" si="64"/>
        <v>#N/A</v>
      </c>
      <c r="ED48" t="e">
        <f t="shared" si="64"/>
        <v>#N/A</v>
      </c>
      <c r="EE48" t="e">
        <f t="shared" si="64"/>
        <v>#N/A</v>
      </c>
      <c r="EF48" t="e">
        <f t="shared" si="64"/>
        <v>#N/A</v>
      </c>
      <c r="EG48" t="e">
        <f t="shared" si="64"/>
        <v>#N/A</v>
      </c>
      <c r="EH48" t="e">
        <f t="shared" ref="EH48:GA48" si="65">EH39*$A48</f>
        <v>#N/A</v>
      </c>
      <c r="EI48" t="e">
        <f t="shared" si="65"/>
        <v>#N/A</v>
      </c>
      <c r="EJ48" t="e">
        <f t="shared" si="65"/>
        <v>#N/A</v>
      </c>
      <c r="EK48" t="e">
        <f t="shared" si="65"/>
        <v>#N/A</v>
      </c>
      <c r="EL48" t="e">
        <f t="shared" si="65"/>
        <v>#N/A</v>
      </c>
      <c r="EM48" t="e">
        <f t="shared" si="65"/>
        <v>#N/A</v>
      </c>
      <c r="EN48" t="e">
        <f t="shared" si="65"/>
        <v>#N/A</v>
      </c>
      <c r="EO48" t="e">
        <f t="shared" si="65"/>
        <v>#N/A</v>
      </c>
      <c r="EP48" t="e">
        <f t="shared" si="65"/>
        <v>#N/A</v>
      </c>
      <c r="EQ48" t="e">
        <f t="shared" si="65"/>
        <v>#N/A</v>
      </c>
      <c r="ER48" t="e">
        <f t="shared" si="65"/>
        <v>#N/A</v>
      </c>
      <c r="ES48" t="e">
        <f t="shared" si="65"/>
        <v>#N/A</v>
      </c>
      <c r="ET48" t="e">
        <f t="shared" si="65"/>
        <v>#N/A</v>
      </c>
      <c r="EU48" t="e">
        <f t="shared" si="65"/>
        <v>#N/A</v>
      </c>
      <c r="EV48" t="e">
        <f t="shared" si="65"/>
        <v>#N/A</v>
      </c>
      <c r="EW48" t="e">
        <f t="shared" si="65"/>
        <v>#N/A</v>
      </c>
      <c r="EX48" t="e">
        <f t="shared" si="65"/>
        <v>#N/A</v>
      </c>
      <c r="EY48" t="e">
        <f t="shared" si="65"/>
        <v>#N/A</v>
      </c>
      <c r="EZ48" t="e">
        <f t="shared" si="65"/>
        <v>#N/A</v>
      </c>
      <c r="FA48" t="e">
        <f t="shared" si="65"/>
        <v>#N/A</v>
      </c>
      <c r="FB48" t="e">
        <f t="shared" si="65"/>
        <v>#N/A</v>
      </c>
      <c r="FC48" t="e">
        <f t="shared" si="65"/>
        <v>#N/A</v>
      </c>
      <c r="FD48" t="e">
        <f t="shared" si="65"/>
        <v>#N/A</v>
      </c>
      <c r="FE48" t="e">
        <f t="shared" si="65"/>
        <v>#N/A</v>
      </c>
      <c r="FF48" t="e">
        <f t="shared" si="65"/>
        <v>#N/A</v>
      </c>
      <c r="FG48" t="e">
        <f t="shared" si="65"/>
        <v>#N/A</v>
      </c>
      <c r="FH48" t="e">
        <f t="shared" si="65"/>
        <v>#N/A</v>
      </c>
      <c r="FI48" t="e">
        <f t="shared" si="65"/>
        <v>#N/A</v>
      </c>
      <c r="FJ48" t="e">
        <f t="shared" si="65"/>
        <v>#N/A</v>
      </c>
      <c r="FK48" t="e">
        <f t="shared" si="65"/>
        <v>#N/A</v>
      </c>
      <c r="FL48" t="e">
        <f t="shared" si="65"/>
        <v>#N/A</v>
      </c>
      <c r="FM48" t="e">
        <f t="shared" si="65"/>
        <v>#N/A</v>
      </c>
      <c r="FN48" t="e">
        <f t="shared" si="65"/>
        <v>#N/A</v>
      </c>
      <c r="FO48" t="e">
        <f t="shared" si="65"/>
        <v>#N/A</v>
      </c>
      <c r="FP48" t="e">
        <f t="shared" si="65"/>
        <v>#N/A</v>
      </c>
      <c r="FQ48" t="e">
        <f t="shared" si="65"/>
        <v>#N/A</v>
      </c>
      <c r="FR48" t="e">
        <f t="shared" si="65"/>
        <v>#N/A</v>
      </c>
      <c r="FS48" t="e">
        <f t="shared" si="65"/>
        <v>#N/A</v>
      </c>
      <c r="FT48" t="e">
        <f t="shared" si="65"/>
        <v>#N/A</v>
      </c>
      <c r="FU48" t="e">
        <f t="shared" si="65"/>
        <v>#N/A</v>
      </c>
      <c r="FV48" t="e">
        <f t="shared" si="65"/>
        <v>#N/A</v>
      </c>
      <c r="FW48" t="e">
        <f t="shared" si="65"/>
        <v>#N/A</v>
      </c>
      <c r="FX48" t="e">
        <f t="shared" si="65"/>
        <v>#N/A</v>
      </c>
      <c r="FY48" t="e">
        <f t="shared" si="65"/>
        <v>#N/A</v>
      </c>
      <c r="FZ48" t="e">
        <f t="shared" si="65"/>
        <v>#N/A</v>
      </c>
      <c r="GA48" t="e">
        <f t="shared" si="65"/>
        <v>#N/A</v>
      </c>
    </row>
    <row r="49" spans="1:183" x14ac:dyDescent="0.45">
      <c r="A49">
        <f t="shared" si="56"/>
        <v>150</v>
      </c>
      <c r="B49" t="s">
        <v>5</v>
      </c>
      <c r="C49" cm="1">
        <f t="array" ref="C49">LOOKUP(2,1/(I49:GA49&lt;&gt;""),I49:GA49)</f>
        <v>46.5</v>
      </c>
      <c r="D49">
        <f t="shared" si="51"/>
        <v>45</v>
      </c>
      <c r="F49" s="3">
        <f t="shared" si="52"/>
        <v>-0.11428571428571428</v>
      </c>
      <c r="G49" s="3" cm="1">
        <f t="array" ref="G49">(C49-IF(ISNA(INDEX(I49:GA49,D49-22)),INDEX(I49:GA49,D49-23),INDEX(I49:GA49,D49-22)))/IF(ISNA(INDEX(I49:GA49,D49-22)),INDEX(I49:GA49,D49-23),INDEX(I49:GA49,D49-22))</f>
        <v>-3.125E-2</v>
      </c>
      <c r="I49">
        <f>I40*$A49</f>
        <v>52.5</v>
      </c>
      <c r="J49">
        <f t="shared" ref="J49:BU49" si="66">J40*$A49</f>
        <v>52.5</v>
      </c>
      <c r="K49" t="e">
        <f t="shared" si="66"/>
        <v>#N/A</v>
      </c>
      <c r="L49">
        <f t="shared" si="66"/>
        <v>52.5</v>
      </c>
      <c r="M49" t="e">
        <f t="shared" si="66"/>
        <v>#N/A</v>
      </c>
      <c r="N49">
        <f t="shared" si="66"/>
        <v>46.5</v>
      </c>
      <c r="O49">
        <f t="shared" si="66"/>
        <v>45</v>
      </c>
      <c r="P49">
        <f t="shared" si="66"/>
        <v>51.000000000000007</v>
      </c>
      <c r="Q49">
        <f t="shared" si="66"/>
        <v>45</v>
      </c>
      <c r="R49">
        <f t="shared" si="66"/>
        <v>45</v>
      </c>
      <c r="S49">
        <f t="shared" si="66"/>
        <v>46.5</v>
      </c>
      <c r="T49">
        <f t="shared" si="66"/>
        <v>45</v>
      </c>
      <c r="U49">
        <f t="shared" si="66"/>
        <v>46.5</v>
      </c>
      <c r="V49">
        <f t="shared" si="66"/>
        <v>45</v>
      </c>
      <c r="W49">
        <f t="shared" si="66"/>
        <v>48</v>
      </c>
      <c r="X49">
        <f t="shared" si="66"/>
        <v>48</v>
      </c>
      <c r="Y49">
        <f t="shared" si="66"/>
        <v>51.000000000000007</v>
      </c>
      <c r="Z49">
        <f t="shared" si="66"/>
        <v>45</v>
      </c>
      <c r="AA49">
        <f t="shared" si="66"/>
        <v>48</v>
      </c>
      <c r="AB49">
        <f t="shared" si="66"/>
        <v>45</v>
      </c>
      <c r="AC49">
        <f t="shared" si="66"/>
        <v>52.5</v>
      </c>
      <c r="AD49">
        <f t="shared" si="66"/>
        <v>52.5</v>
      </c>
      <c r="AE49">
        <f t="shared" si="66"/>
        <v>48</v>
      </c>
      <c r="AF49">
        <f t="shared" si="66"/>
        <v>48</v>
      </c>
      <c r="AG49">
        <f t="shared" si="66"/>
        <v>45</v>
      </c>
      <c r="AH49">
        <f t="shared" si="66"/>
        <v>46.5</v>
      </c>
      <c r="AI49">
        <f t="shared" si="66"/>
        <v>45</v>
      </c>
      <c r="AJ49">
        <f t="shared" si="66"/>
        <v>45</v>
      </c>
      <c r="AK49">
        <f t="shared" si="66"/>
        <v>45</v>
      </c>
      <c r="AL49">
        <f t="shared" si="66"/>
        <v>46.5</v>
      </c>
      <c r="AM49">
        <f t="shared" si="66"/>
        <v>48</v>
      </c>
      <c r="AN49" t="e">
        <f t="shared" si="66"/>
        <v>#N/A</v>
      </c>
      <c r="AO49">
        <f t="shared" si="66"/>
        <v>46.5</v>
      </c>
      <c r="AP49">
        <f t="shared" si="66"/>
        <v>43.5</v>
      </c>
      <c r="AQ49">
        <f t="shared" si="66"/>
        <v>45</v>
      </c>
      <c r="AR49">
        <f t="shared" si="66"/>
        <v>48</v>
      </c>
      <c r="AS49">
        <f t="shared" si="66"/>
        <v>46.5</v>
      </c>
      <c r="AT49" t="e">
        <f t="shared" si="66"/>
        <v>#N/A</v>
      </c>
      <c r="AU49" t="e">
        <f t="shared" si="66"/>
        <v>#N/A</v>
      </c>
      <c r="AV49" t="e">
        <f t="shared" si="66"/>
        <v>#N/A</v>
      </c>
      <c r="AW49" t="e">
        <f t="shared" si="66"/>
        <v>#N/A</v>
      </c>
      <c r="AX49" t="e">
        <f t="shared" si="66"/>
        <v>#N/A</v>
      </c>
      <c r="AY49" t="e">
        <f t="shared" si="66"/>
        <v>#N/A</v>
      </c>
      <c r="AZ49" t="e">
        <f t="shared" si="66"/>
        <v>#N/A</v>
      </c>
      <c r="BA49" t="e">
        <f t="shared" si="66"/>
        <v>#N/A</v>
      </c>
      <c r="BB49" t="e">
        <f t="shared" si="66"/>
        <v>#N/A</v>
      </c>
      <c r="BC49" t="e">
        <f t="shared" si="66"/>
        <v>#N/A</v>
      </c>
      <c r="BD49" t="e">
        <f t="shared" si="66"/>
        <v>#N/A</v>
      </c>
      <c r="BE49" t="e">
        <f t="shared" si="66"/>
        <v>#N/A</v>
      </c>
      <c r="BF49" t="e">
        <f t="shared" si="66"/>
        <v>#N/A</v>
      </c>
      <c r="BG49" t="e">
        <f t="shared" si="66"/>
        <v>#N/A</v>
      </c>
      <c r="BH49" t="e">
        <f t="shared" si="66"/>
        <v>#N/A</v>
      </c>
      <c r="BI49" t="e">
        <f t="shared" si="66"/>
        <v>#N/A</v>
      </c>
      <c r="BJ49" t="e">
        <f t="shared" si="66"/>
        <v>#N/A</v>
      </c>
      <c r="BK49" t="e">
        <f t="shared" si="66"/>
        <v>#N/A</v>
      </c>
      <c r="BL49" t="e">
        <f t="shared" si="66"/>
        <v>#N/A</v>
      </c>
      <c r="BM49" t="e">
        <f t="shared" si="66"/>
        <v>#N/A</v>
      </c>
      <c r="BN49" t="e">
        <f t="shared" si="66"/>
        <v>#N/A</v>
      </c>
      <c r="BO49" t="e">
        <f t="shared" si="66"/>
        <v>#N/A</v>
      </c>
      <c r="BP49" t="e">
        <f t="shared" si="66"/>
        <v>#N/A</v>
      </c>
      <c r="BQ49" t="e">
        <f t="shared" si="66"/>
        <v>#N/A</v>
      </c>
      <c r="BR49" t="e">
        <f t="shared" si="66"/>
        <v>#N/A</v>
      </c>
      <c r="BS49" t="e">
        <f t="shared" si="66"/>
        <v>#N/A</v>
      </c>
      <c r="BT49" t="e">
        <f t="shared" si="66"/>
        <v>#N/A</v>
      </c>
      <c r="BU49" t="e">
        <f t="shared" si="66"/>
        <v>#N/A</v>
      </c>
      <c r="BV49" t="e">
        <f t="shared" ref="BV49:EG49" si="67">BV40*$A49</f>
        <v>#N/A</v>
      </c>
      <c r="BW49" t="e">
        <f t="shared" si="67"/>
        <v>#N/A</v>
      </c>
      <c r="BX49" t="e">
        <f t="shared" si="67"/>
        <v>#N/A</v>
      </c>
      <c r="BY49" t="e">
        <f t="shared" si="67"/>
        <v>#N/A</v>
      </c>
      <c r="BZ49" t="e">
        <f t="shared" si="67"/>
        <v>#N/A</v>
      </c>
      <c r="CA49" t="e">
        <f t="shared" si="67"/>
        <v>#N/A</v>
      </c>
      <c r="CB49" t="e">
        <f t="shared" si="67"/>
        <v>#N/A</v>
      </c>
      <c r="CC49" t="e">
        <f t="shared" si="67"/>
        <v>#N/A</v>
      </c>
      <c r="CD49" t="e">
        <f t="shared" si="67"/>
        <v>#N/A</v>
      </c>
      <c r="CE49" t="e">
        <f t="shared" si="67"/>
        <v>#N/A</v>
      </c>
      <c r="CF49" t="e">
        <f t="shared" si="67"/>
        <v>#N/A</v>
      </c>
      <c r="CG49" t="e">
        <f t="shared" si="67"/>
        <v>#N/A</v>
      </c>
      <c r="CH49" t="e">
        <f t="shared" si="67"/>
        <v>#N/A</v>
      </c>
      <c r="CI49" t="e">
        <f t="shared" si="67"/>
        <v>#N/A</v>
      </c>
      <c r="CJ49" t="e">
        <f t="shared" si="67"/>
        <v>#N/A</v>
      </c>
      <c r="CK49" t="e">
        <f t="shared" si="67"/>
        <v>#N/A</v>
      </c>
      <c r="CL49" t="e">
        <f t="shared" si="67"/>
        <v>#N/A</v>
      </c>
      <c r="CM49" t="e">
        <f t="shared" si="67"/>
        <v>#N/A</v>
      </c>
      <c r="CN49" t="e">
        <f t="shared" si="67"/>
        <v>#N/A</v>
      </c>
      <c r="CO49" t="e">
        <f t="shared" si="67"/>
        <v>#N/A</v>
      </c>
      <c r="CP49" t="e">
        <f t="shared" si="67"/>
        <v>#N/A</v>
      </c>
      <c r="CQ49" t="e">
        <f t="shared" si="67"/>
        <v>#N/A</v>
      </c>
      <c r="CR49" t="e">
        <f t="shared" si="67"/>
        <v>#N/A</v>
      </c>
      <c r="CS49" t="e">
        <f t="shared" si="67"/>
        <v>#N/A</v>
      </c>
      <c r="CT49" t="e">
        <f t="shared" si="67"/>
        <v>#N/A</v>
      </c>
      <c r="CU49" t="e">
        <f t="shared" si="67"/>
        <v>#N/A</v>
      </c>
      <c r="CV49" t="e">
        <f t="shared" si="67"/>
        <v>#N/A</v>
      </c>
      <c r="CW49" t="e">
        <f t="shared" si="67"/>
        <v>#N/A</v>
      </c>
      <c r="CX49" t="e">
        <f t="shared" si="67"/>
        <v>#N/A</v>
      </c>
      <c r="CY49" t="e">
        <f t="shared" si="67"/>
        <v>#N/A</v>
      </c>
      <c r="CZ49" t="e">
        <f t="shared" si="67"/>
        <v>#N/A</v>
      </c>
      <c r="DA49" t="e">
        <f t="shared" si="67"/>
        <v>#N/A</v>
      </c>
      <c r="DB49" t="e">
        <f t="shared" si="67"/>
        <v>#N/A</v>
      </c>
      <c r="DC49" t="e">
        <f t="shared" si="67"/>
        <v>#N/A</v>
      </c>
      <c r="DD49" t="e">
        <f t="shared" si="67"/>
        <v>#N/A</v>
      </c>
      <c r="DE49" t="e">
        <f t="shared" si="67"/>
        <v>#N/A</v>
      </c>
      <c r="DF49" t="e">
        <f t="shared" si="67"/>
        <v>#N/A</v>
      </c>
      <c r="DG49" t="e">
        <f t="shared" si="67"/>
        <v>#N/A</v>
      </c>
      <c r="DH49" t="e">
        <f t="shared" si="67"/>
        <v>#N/A</v>
      </c>
      <c r="DI49" t="e">
        <f t="shared" si="67"/>
        <v>#N/A</v>
      </c>
      <c r="DJ49" t="e">
        <f t="shared" si="67"/>
        <v>#N/A</v>
      </c>
      <c r="DK49" t="e">
        <f t="shared" si="67"/>
        <v>#N/A</v>
      </c>
      <c r="DL49" t="e">
        <f t="shared" si="67"/>
        <v>#N/A</v>
      </c>
      <c r="DM49" t="e">
        <f t="shared" si="67"/>
        <v>#N/A</v>
      </c>
      <c r="DN49" t="e">
        <f t="shared" si="67"/>
        <v>#N/A</v>
      </c>
      <c r="DO49" t="e">
        <f t="shared" si="67"/>
        <v>#N/A</v>
      </c>
      <c r="DP49" t="e">
        <f t="shared" si="67"/>
        <v>#N/A</v>
      </c>
      <c r="DQ49" t="e">
        <f t="shared" si="67"/>
        <v>#N/A</v>
      </c>
      <c r="DR49" t="e">
        <f t="shared" si="67"/>
        <v>#N/A</v>
      </c>
      <c r="DS49" t="e">
        <f t="shared" si="67"/>
        <v>#N/A</v>
      </c>
      <c r="DT49" t="e">
        <f t="shared" si="67"/>
        <v>#N/A</v>
      </c>
      <c r="DU49" t="e">
        <f t="shared" si="67"/>
        <v>#N/A</v>
      </c>
      <c r="DV49" t="e">
        <f t="shared" si="67"/>
        <v>#N/A</v>
      </c>
      <c r="DW49" t="e">
        <f t="shared" si="67"/>
        <v>#N/A</v>
      </c>
      <c r="DX49" t="e">
        <f t="shared" si="67"/>
        <v>#N/A</v>
      </c>
      <c r="DY49" t="e">
        <f t="shared" si="67"/>
        <v>#N/A</v>
      </c>
      <c r="DZ49" t="e">
        <f t="shared" si="67"/>
        <v>#N/A</v>
      </c>
      <c r="EA49" t="e">
        <f t="shared" si="67"/>
        <v>#N/A</v>
      </c>
      <c r="EB49" t="e">
        <f t="shared" si="67"/>
        <v>#N/A</v>
      </c>
      <c r="EC49" t="e">
        <f t="shared" si="67"/>
        <v>#N/A</v>
      </c>
      <c r="ED49" t="e">
        <f t="shared" si="67"/>
        <v>#N/A</v>
      </c>
      <c r="EE49" t="e">
        <f t="shared" si="67"/>
        <v>#N/A</v>
      </c>
      <c r="EF49" t="e">
        <f t="shared" si="67"/>
        <v>#N/A</v>
      </c>
      <c r="EG49" t="e">
        <f t="shared" si="67"/>
        <v>#N/A</v>
      </c>
      <c r="EH49" t="e">
        <f t="shared" ref="EH49:GA49" si="68">EH40*$A49</f>
        <v>#N/A</v>
      </c>
      <c r="EI49" t="e">
        <f t="shared" si="68"/>
        <v>#N/A</v>
      </c>
      <c r="EJ49" t="e">
        <f t="shared" si="68"/>
        <v>#N/A</v>
      </c>
      <c r="EK49" t="e">
        <f t="shared" si="68"/>
        <v>#N/A</v>
      </c>
      <c r="EL49" t="e">
        <f t="shared" si="68"/>
        <v>#N/A</v>
      </c>
      <c r="EM49" t="e">
        <f t="shared" si="68"/>
        <v>#N/A</v>
      </c>
      <c r="EN49" t="e">
        <f t="shared" si="68"/>
        <v>#N/A</v>
      </c>
      <c r="EO49" t="e">
        <f t="shared" si="68"/>
        <v>#N/A</v>
      </c>
      <c r="EP49" t="e">
        <f t="shared" si="68"/>
        <v>#N/A</v>
      </c>
      <c r="EQ49" t="e">
        <f t="shared" si="68"/>
        <v>#N/A</v>
      </c>
      <c r="ER49" t="e">
        <f t="shared" si="68"/>
        <v>#N/A</v>
      </c>
      <c r="ES49" t="e">
        <f t="shared" si="68"/>
        <v>#N/A</v>
      </c>
      <c r="ET49" t="e">
        <f t="shared" si="68"/>
        <v>#N/A</v>
      </c>
      <c r="EU49" t="e">
        <f t="shared" si="68"/>
        <v>#N/A</v>
      </c>
      <c r="EV49" t="e">
        <f t="shared" si="68"/>
        <v>#N/A</v>
      </c>
      <c r="EW49" t="e">
        <f t="shared" si="68"/>
        <v>#N/A</v>
      </c>
      <c r="EX49" t="e">
        <f t="shared" si="68"/>
        <v>#N/A</v>
      </c>
      <c r="EY49" t="e">
        <f t="shared" si="68"/>
        <v>#N/A</v>
      </c>
      <c r="EZ49" t="e">
        <f t="shared" si="68"/>
        <v>#N/A</v>
      </c>
      <c r="FA49" t="e">
        <f t="shared" si="68"/>
        <v>#N/A</v>
      </c>
      <c r="FB49" t="e">
        <f t="shared" si="68"/>
        <v>#N/A</v>
      </c>
      <c r="FC49" t="e">
        <f t="shared" si="68"/>
        <v>#N/A</v>
      </c>
      <c r="FD49" t="e">
        <f t="shared" si="68"/>
        <v>#N/A</v>
      </c>
      <c r="FE49" t="e">
        <f t="shared" si="68"/>
        <v>#N/A</v>
      </c>
      <c r="FF49" t="e">
        <f t="shared" si="68"/>
        <v>#N/A</v>
      </c>
      <c r="FG49" t="e">
        <f t="shared" si="68"/>
        <v>#N/A</v>
      </c>
      <c r="FH49" t="e">
        <f t="shared" si="68"/>
        <v>#N/A</v>
      </c>
      <c r="FI49" t="e">
        <f t="shared" si="68"/>
        <v>#N/A</v>
      </c>
      <c r="FJ49" t="e">
        <f t="shared" si="68"/>
        <v>#N/A</v>
      </c>
      <c r="FK49" t="e">
        <f t="shared" si="68"/>
        <v>#N/A</v>
      </c>
      <c r="FL49" t="e">
        <f t="shared" si="68"/>
        <v>#N/A</v>
      </c>
      <c r="FM49" t="e">
        <f t="shared" si="68"/>
        <v>#N/A</v>
      </c>
      <c r="FN49" t="e">
        <f t="shared" si="68"/>
        <v>#N/A</v>
      </c>
      <c r="FO49" t="e">
        <f t="shared" si="68"/>
        <v>#N/A</v>
      </c>
      <c r="FP49" t="e">
        <f t="shared" si="68"/>
        <v>#N/A</v>
      </c>
      <c r="FQ49" t="e">
        <f t="shared" si="68"/>
        <v>#N/A</v>
      </c>
      <c r="FR49" t="e">
        <f t="shared" si="68"/>
        <v>#N/A</v>
      </c>
      <c r="FS49" t="e">
        <f t="shared" si="68"/>
        <v>#N/A</v>
      </c>
      <c r="FT49" t="e">
        <f t="shared" si="68"/>
        <v>#N/A</v>
      </c>
      <c r="FU49" t="e">
        <f t="shared" si="68"/>
        <v>#N/A</v>
      </c>
      <c r="FV49" t="e">
        <f t="shared" si="68"/>
        <v>#N/A</v>
      </c>
      <c r="FW49" t="e">
        <f t="shared" si="68"/>
        <v>#N/A</v>
      </c>
      <c r="FX49" t="e">
        <f t="shared" si="68"/>
        <v>#N/A</v>
      </c>
      <c r="FY49" t="e">
        <f t="shared" si="68"/>
        <v>#N/A</v>
      </c>
      <c r="FZ49" t="e">
        <f t="shared" si="68"/>
        <v>#N/A</v>
      </c>
      <c r="GA49" t="e">
        <f t="shared" si="68"/>
        <v>#N/A</v>
      </c>
    </row>
    <row r="50" spans="1:183" x14ac:dyDescent="0.45">
      <c r="F50" s="4"/>
    </row>
    <row r="51" spans="1:183" x14ac:dyDescent="0.45">
      <c r="F51" s="4"/>
    </row>
    <row r="52" spans="1:183" x14ac:dyDescent="0.45">
      <c r="A52" s="2" t="s">
        <v>14</v>
      </c>
      <c r="F52" s="4"/>
    </row>
    <row r="53" spans="1:183" x14ac:dyDescent="0.45">
      <c r="F53" s="4"/>
      <c r="I53" s="1">
        <f>I44</f>
        <v>44331</v>
      </c>
      <c r="J53" s="1">
        <f t="shared" ref="J53:BU53" si="69">J44</f>
        <v>44332</v>
      </c>
      <c r="K53" s="1">
        <f t="shared" si="69"/>
        <v>44333</v>
      </c>
      <c r="L53" s="1">
        <f t="shared" si="69"/>
        <v>44334</v>
      </c>
      <c r="M53" s="1">
        <f t="shared" si="69"/>
        <v>44335</v>
      </c>
      <c r="N53" s="1">
        <f t="shared" si="69"/>
        <v>44336</v>
      </c>
      <c r="O53" s="1">
        <f t="shared" si="69"/>
        <v>44337</v>
      </c>
      <c r="P53" s="1">
        <f t="shared" si="69"/>
        <v>44338</v>
      </c>
      <c r="Q53" s="1">
        <f t="shared" si="69"/>
        <v>44339</v>
      </c>
      <c r="R53" s="1">
        <f t="shared" si="69"/>
        <v>44340</v>
      </c>
      <c r="S53" s="1">
        <f t="shared" si="69"/>
        <v>44341</v>
      </c>
      <c r="T53" s="1">
        <f t="shared" si="69"/>
        <v>44342</v>
      </c>
      <c r="U53" s="1">
        <f t="shared" si="69"/>
        <v>44343</v>
      </c>
      <c r="V53" s="1">
        <f t="shared" si="69"/>
        <v>44344</v>
      </c>
      <c r="W53" s="1">
        <f t="shared" si="69"/>
        <v>44345</v>
      </c>
      <c r="X53" s="1">
        <f t="shared" si="69"/>
        <v>44346</v>
      </c>
      <c r="Y53" s="1">
        <f t="shared" si="69"/>
        <v>44347</v>
      </c>
      <c r="Z53" s="1">
        <f t="shared" si="69"/>
        <v>44348</v>
      </c>
      <c r="AA53" s="1">
        <f t="shared" si="69"/>
        <v>44349</v>
      </c>
      <c r="AB53" s="1">
        <f t="shared" si="69"/>
        <v>44350</v>
      </c>
      <c r="AC53" s="1">
        <f t="shared" si="69"/>
        <v>44351</v>
      </c>
      <c r="AD53" s="1">
        <f t="shared" si="69"/>
        <v>44352</v>
      </c>
      <c r="AE53" s="1">
        <f t="shared" si="69"/>
        <v>44353</v>
      </c>
      <c r="AF53" s="1">
        <f t="shared" si="69"/>
        <v>44354</v>
      </c>
      <c r="AG53" s="1">
        <f t="shared" si="69"/>
        <v>44355</v>
      </c>
      <c r="AH53" s="1">
        <f t="shared" si="69"/>
        <v>44356</v>
      </c>
      <c r="AI53" s="1">
        <f t="shared" si="69"/>
        <v>44357</v>
      </c>
      <c r="AJ53" s="1">
        <f t="shared" si="69"/>
        <v>44358</v>
      </c>
      <c r="AK53" s="1">
        <f t="shared" si="69"/>
        <v>44359</v>
      </c>
      <c r="AL53" s="1">
        <f t="shared" si="69"/>
        <v>44360</v>
      </c>
      <c r="AM53" s="1">
        <f t="shared" si="69"/>
        <v>44361</v>
      </c>
      <c r="AN53" s="1">
        <f t="shared" si="69"/>
        <v>44362</v>
      </c>
      <c r="AO53" s="1">
        <f t="shared" si="69"/>
        <v>44363</v>
      </c>
      <c r="AP53" s="1">
        <f t="shared" si="69"/>
        <v>44364</v>
      </c>
      <c r="AQ53" s="1">
        <f t="shared" si="69"/>
        <v>44365</v>
      </c>
      <c r="AR53" s="1">
        <f t="shared" si="69"/>
        <v>44366</v>
      </c>
      <c r="AS53" s="1">
        <f t="shared" si="69"/>
        <v>44367</v>
      </c>
      <c r="AT53" s="1">
        <f t="shared" si="69"/>
        <v>44368</v>
      </c>
      <c r="AU53" s="1">
        <f t="shared" si="69"/>
        <v>44369</v>
      </c>
      <c r="AV53" s="1">
        <f t="shared" si="69"/>
        <v>44370</v>
      </c>
      <c r="AW53" s="1">
        <f t="shared" si="69"/>
        <v>44371</v>
      </c>
      <c r="AX53" s="1">
        <f t="shared" si="69"/>
        <v>44372</v>
      </c>
      <c r="AY53" s="1">
        <f t="shared" si="69"/>
        <v>44373</v>
      </c>
      <c r="AZ53" s="1">
        <f t="shared" si="69"/>
        <v>44374</v>
      </c>
      <c r="BA53" s="1">
        <f t="shared" si="69"/>
        <v>44375</v>
      </c>
      <c r="BB53" s="1">
        <f t="shared" si="69"/>
        <v>44376</v>
      </c>
      <c r="BC53" s="1">
        <f t="shared" si="69"/>
        <v>44377</v>
      </c>
      <c r="BD53" s="1">
        <f t="shared" si="69"/>
        <v>44378</v>
      </c>
      <c r="BE53" s="1">
        <f t="shared" si="69"/>
        <v>44379</v>
      </c>
      <c r="BF53" s="1">
        <f t="shared" si="69"/>
        <v>44380</v>
      </c>
      <c r="BG53" s="1">
        <f t="shared" si="69"/>
        <v>44381</v>
      </c>
      <c r="BH53" s="1">
        <f t="shared" si="69"/>
        <v>44382</v>
      </c>
      <c r="BI53" s="1">
        <f t="shared" si="69"/>
        <v>44383</v>
      </c>
      <c r="BJ53" s="1">
        <f t="shared" si="69"/>
        <v>44384</v>
      </c>
      <c r="BK53" s="1">
        <f t="shared" si="69"/>
        <v>44385</v>
      </c>
      <c r="BL53" s="1">
        <f t="shared" si="69"/>
        <v>44386</v>
      </c>
      <c r="BM53" s="1">
        <f t="shared" si="69"/>
        <v>44387</v>
      </c>
      <c r="BN53" s="1">
        <f t="shared" si="69"/>
        <v>44388</v>
      </c>
      <c r="BO53" s="1">
        <f t="shared" si="69"/>
        <v>44389</v>
      </c>
      <c r="BP53" s="1">
        <f t="shared" si="69"/>
        <v>44390</v>
      </c>
      <c r="BQ53" s="1">
        <f t="shared" si="69"/>
        <v>44391</v>
      </c>
      <c r="BR53" s="1">
        <f t="shared" si="69"/>
        <v>44392</v>
      </c>
      <c r="BS53" s="1">
        <f t="shared" si="69"/>
        <v>44393</v>
      </c>
      <c r="BT53" s="1">
        <f t="shared" si="69"/>
        <v>44394</v>
      </c>
      <c r="BU53" s="1">
        <f t="shared" si="69"/>
        <v>44395</v>
      </c>
      <c r="BV53" s="1">
        <f t="shared" ref="BV53:EG53" si="70">BV44</f>
        <v>44396</v>
      </c>
      <c r="BW53" s="1">
        <f t="shared" si="70"/>
        <v>44397</v>
      </c>
      <c r="BX53" s="1">
        <f t="shared" si="70"/>
        <v>44398</v>
      </c>
      <c r="BY53" s="1">
        <f t="shared" si="70"/>
        <v>44399</v>
      </c>
      <c r="BZ53" s="1">
        <f t="shared" si="70"/>
        <v>44400</v>
      </c>
      <c r="CA53" s="1">
        <f t="shared" si="70"/>
        <v>44401</v>
      </c>
      <c r="CB53" s="1">
        <f t="shared" si="70"/>
        <v>44402</v>
      </c>
      <c r="CC53" s="1">
        <f t="shared" si="70"/>
        <v>44403</v>
      </c>
      <c r="CD53" s="1">
        <f t="shared" si="70"/>
        <v>44404</v>
      </c>
      <c r="CE53" s="1">
        <f t="shared" si="70"/>
        <v>44405</v>
      </c>
      <c r="CF53" s="1">
        <f t="shared" si="70"/>
        <v>44406</v>
      </c>
      <c r="CG53" s="1">
        <f t="shared" si="70"/>
        <v>44407</v>
      </c>
      <c r="CH53" s="1">
        <f t="shared" si="70"/>
        <v>44408</v>
      </c>
      <c r="CI53" s="1">
        <f t="shared" si="70"/>
        <v>44409</v>
      </c>
      <c r="CJ53" s="1">
        <f t="shared" si="70"/>
        <v>44410</v>
      </c>
      <c r="CK53" s="1">
        <f t="shared" si="70"/>
        <v>44411</v>
      </c>
      <c r="CL53" s="1">
        <f t="shared" si="70"/>
        <v>44412</v>
      </c>
      <c r="CM53" s="1">
        <f t="shared" si="70"/>
        <v>44413</v>
      </c>
      <c r="CN53" s="1">
        <f t="shared" si="70"/>
        <v>44414</v>
      </c>
      <c r="CO53" s="1">
        <f t="shared" si="70"/>
        <v>44415</v>
      </c>
      <c r="CP53" s="1">
        <f t="shared" si="70"/>
        <v>44416</v>
      </c>
      <c r="CQ53" s="1">
        <f t="shared" si="70"/>
        <v>44417</v>
      </c>
      <c r="CR53" s="1">
        <f t="shared" si="70"/>
        <v>44418</v>
      </c>
      <c r="CS53" s="1">
        <f t="shared" si="70"/>
        <v>44419</v>
      </c>
      <c r="CT53" s="1">
        <f t="shared" si="70"/>
        <v>44420</v>
      </c>
      <c r="CU53" s="1">
        <f t="shared" si="70"/>
        <v>44421</v>
      </c>
      <c r="CV53" s="1">
        <f t="shared" si="70"/>
        <v>44422</v>
      </c>
      <c r="CW53" s="1">
        <f t="shared" si="70"/>
        <v>44423</v>
      </c>
      <c r="CX53" s="1">
        <f t="shared" si="70"/>
        <v>44424</v>
      </c>
      <c r="CY53" s="1">
        <f t="shared" si="70"/>
        <v>44425</v>
      </c>
      <c r="CZ53" s="1">
        <f t="shared" si="70"/>
        <v>44426</v>
      </c>
      <c r="DA53" s="1">
        <f t="shared" si="70"/>
        <v>44427</v>
      </c>
      <c r="DB53" s="1">
        <f t="shared" si="70"/>
        <v>44428</v>
      </c>
      <c r="DC53" s="1">
        <f t="shared" si="70"/>
        <v>44429</v>
      </c>
      <c r="DD53" s="1">
        <f t="shared" si="70"/>
        <v>44430</v>
      </c>
      <c r="DE53" s="1">
        <f t="shared" si="70"/>
        <v>44431</v>
      </c>
      <c r="DF53" s="1">
        <f t="shared" si="70"/>
        <v>44432</v>
      </c>
      <c r="DG53" s="1">
        <f t="shared" si="70"/>
        <v>44433</v>
      </c>
      <c r="DH53" s="1">
        <f t="shared" si="70"/>
        <v>44434</v>
      </c>
      <c r="DI53" s="1">
        <f t="shared" si="70"/>
        <v>44435</v>
      </c>
      <c r="DJ53" s="1">
        <f t="shared" si="70"/>
        <v>44436</v>
      </c>
      <c r="DK53" s="1">
        <f t="shared" si="70"/>
        <v>44437</v>
      </c>
      <c r="DL53" s="1">
        <f t="shared" si="70"/>
        <v>44438</v>
      </c>
      <c r="DM53" s="1">
        <f t="shared" si="70"/>
        <v>44439</v>
      </c>
      <c r="DN53" s="1">
        <f t="shared" si="70"/>
        <v>44440</v>
      </c>
      <c r="DO53" s="1">
        <f t="shared" si="70"/>
        <v>44441</v>
      </c>
      <c r="DP53" s="1">
        <f t="shared" si="70"/>
        <v>44442</v>
      </c>
      <c r="DQ53" s="1">
        <f t="shared" si="70"/>
        <v>44443</v>
      </c>
      <c r="DR53" s="1">
        <f t="shared" si="70"/>
        <v>44444</v>
      </c>
      <c r="DS53" s="1">
        <f t="shared" si="70"/>
        <v>44445</v>
      </c>
      <c r="DT53" s="1">
        <f t="shared" si="70"/>
        <v>44446</v>
      </c>
      <c r="DU53" s="1">
        <f t="shared" si="70"/>
        <v>44447</v>
      </c>
      <c r="DV53" s="1">
        <f t="shared" si="70"/>
        <v>44448</v>
      </c>
      <c r="DW53" s="1">
        <f t="shared" si="70"/>
        <v>44449</v>
      </c>
      <c r="DX53" s="1">
        <f t="shared" si="70"/>
        <v>44450</v>
      </c>
      <c r="DY53" s="1">
        <f t="shared" si="70"/>
        <v>44451</v>
      </c>
      <c r="DZ53" s="1">
        <f t="shared" si="70"/>
        <v>44452</v>
      </c>
      <c r="EA53" s="1">
        <f t="shared" si="70"/>
        <v>44453</v>
      </c>
      <c r="EB53" s="1">
        <f t="shared" si="70"/>
        <v>44454</v>
      </c>
      <c r="EC53" s="1">
        <f t="shared" si="70"/>
        <v>44455</v>
      </c>
      <c r="ED53" s="1">
        <f t="shared" si="70"/>
        <v>44456</v>
      </c>
      <c r="EE53" s="1">
        <f t="shared" si="70"/>
        <v>44457</v>
      </c>
      <c r="EF53" s="1">
        <f t="shared" si="70"/>
        <v>44458</v>
      </c>
      <c r="EG53" s="1">
        <f t="shared" si="70"/>
        <v>44459</v>
      </c>
      <c r="EH53" s="1">
        <f t="shared" ref="EH53:GA53" si="71">EH44</f>
        <v>44460</v>
      </c>
      <c r="EI53" s="1">
        <f t="shared" si="71"/>
        <v>44461</v>
      </c>
      <c r="EJ53" s="1">
        <f t="shared" si="71"/>
        <v>44462</v>
      </c>
      <c r="EK53" s="1">
        <f t="shared" si="71"/>
        <v>44463</v>
      </c>
      <c r="EL53" s="1">
        <f t="shared" si="71"/>
        <v>44464</v>
      </c>
      <c r="EM53" s="1">
        <f t="shared" si="71"/>
        <v>44465</v>
      </c>
      <c r="EN53" s="1">
        <f t="shared" si="71"/>
        <v>44466</v>
      </c>
      <c r="EO53" s="1">
        <f t="shared" si="71"/>
        <v>44467</v>
      </c>
      <c r="EP53" s="1">
        <f t="shared" si="71"/>
        <v>44468</v>
      </c>
      <c r="EQ53" s="1">
        <f t="shared" si="71"/>
        <v>44469</v>
      </c>
      <c r="ER53" s="1">
        <f t="shared" si="71"/>
        <v>44470</v>
      </c>
      <c r="ES53" s="1">
        <f t="shared" si="71"/>
        <v>44471</v>
      </c>
      <c r="ET53" s="1">
        <f t="shared" si="71"/>
        <v>44472</v>
      </c>
      <c r="EU53" s="1">
        <f t="shared" si="71"/>
        <v>44473</v>
      </c>
      <c r="EV53" s="1">
        <f t="shared" si="71"/>
        <v>44474</v>
      </c>
      <c r="EW53" s="1">
        <f t="shared" si="71"/>
        <v>44475</v>
      </c>
      <c r="EX53" s="1">
        <f t="shared" si="71"/>
        <v>44476</v>
      </c>
      <c r="EY53" s="1">
        <f t="shared" si="71"/>
        <v>44477</v>
      </c>
      <c r="EZ53" s="1">
        <f t="shared" si="71"/>
        <v>44478</v>
      </c>
      <c r="FA53" s="1">
        <f t="shared" si="71"/>
        <v>44479</v>
      </c>
      <c r="FB53" s="1">
        <f t="shared" si="71"/>
        <v>44480</v>
      </c>
      <c r="FC53" s="1">
        <f t="shared" si="71"/>
        <v>44481</v>
      </c>
      <c r="FD53" s="1">
        <f t="shared" si="71"/>
        <v>44482</v>
      </c>
      <c r="FE53" s="1">
        <f t="shared" si="71"/>
        <v>44483</v>
      </c>
      <c r="FF53" s="1">
        <f t="shared" si="71"/>
        <v>44484</v>
      </c>
      <c r="FG53" s="1">
        <f t="shared" si="71"/>
        <v>44485</v>
      </c>
      <c r="FH53" s="1">
        <f t="shared" si="71"/>
        <v>44486</v>
      </c>
      <c r="FI53" s="1">
        <f t="shared" si="71"/>
        <v>44487</v>
      </c>
      <c r="FJ53" s="1">
        <f t="shared" si="71"/>
        <v>44488</v>
      </c>
      <c r="FK53" s="1">
        <f t="shared" si="71"/>
        <v>44489</v>
      </c>
      <c r="FL53" s="1">
        <f t="shared" si="71"/>
        <v>44490</v>
      </c>
      <c r="FM53" s="1">
        <f t="shared" si="71"/>
        <v>44491</v>
      </c>
      <c r="FN53" s="1">
        <f t="shared" si="71"/>
        <v>44492</v>
      </c>
      <c r="FO53" s="1">
        <f t="shared" si="71"/>
        <v>44493</v>
      </c>
      <c r="FP53" s="1">
        <f t="shared" si="71"/>
        <v>44494</v>
      </c>
      <c r="FQ53" s="1">
        <f t="shared" si="71"/>
        <v>44495</v>
      </c>
      <c r="FR53" s="1">
        <f t="shared" si="71"/>
        <v>44496</v>
      </c>
      <c r="FS53" s="1">
        <f t="shared" si="71"/>
        <v>44497</v>
      </c>
      <c r="FT53" s="1">
        <f t="shared" si="71"/>
        <v>44498</v>
      </c>
      <c r="FU53" s="1">
        <f t="shared" si="71"/>
        <v>44499</v>
      </c>
      <c r="FV53" s="1">
        <f t="shared" si="71"/>
        <v>44500</v>
      </c>
      <c r="FW53" s="1">
        <f t="shared" si="71"/>
        <v>44501</v>
      </c>
      <c r="FX53" s="1">
        <f t="shared" si="71"/>
        <v>44502</v>
      </c>
      <c r="FY53" s="1">
        <f t="shared" si="71"/>
        <v>44503</v>
      </c>
      <c r="FZ53" s="1">
        <f t="shared" si="71"/>
        <v>44504</v>
      </c>
      <c r="GA53" s="1">
        <f t="shared" si="71"/>
        <v>44505</v>
      </c>
    </row>
    <row r="54" spans="1:183" x14ac:dyDescent="0.45">
      <c r="A54">
        <f>A45</f>
        <v>2000</v>
      </c>
      <c r="B54" t="s">
        <v>0</v>
      </c>
      <c r="C54" cm="1">
        <f t="array" ref="C54">LOOKUP(2,1/(I54:GA54&lt;&gt;""),I54:GA54)</f>
        <v>100</v>
      </c>
      <c r="D54">
        <f t="shared" ref="D54:D58" si="72">D$12</f>
        <v>45</v>
      </c>
      <c r="F54" s="3">
        <f t="shared" ref="F54:F58" si="73">(C54-I54)/I54</f>
        <v>0.66666666666666663</v>
      </c>
      <c r="G54" s="3" cm="1">
        <f t="array" ref="G54">(C54-IF(ISNA(INDEX(I54:GA54,D54-22)),INDEX(I54:GA54,D54-23),INDEX(I54:GA54,D54-22)))/IF(ISNA(INDEX(I54:GA54,D54-22)),INDEX(I54:GA54,D54-23),INDEX(I54:GA54,D54-22))</f>
        <v>0</v>
      </c>
      <c r="I54">
        <f>IF($B54=$B$21,I$21,IF($B54=$B$22,I$22,IF($B54=$B$23,I$23,IF($B54=$B$24,I$24,IF($B54=$B$25,I$25,IF($B54=$B$26,I$26,IF($B54=$B$27,I$27,IF($B54=$B$28,I$28,IF($B54=$B$29,I$29,IF($B54=$B$30,I$30,0))))))))))*$A54</f>
        <v>60</v>
      </c>
      <c r="J54">
        <f t="shared" ref="J54:BU57" si="74">IF($B54=$B$21,J$21,IF($B54=$B$22,J$22,IF($B54=$B$23,J$23,IF($B54=$B$24,J$24,IF($B54=$B$25,J$25,IF($B54=$B$26,J$26,IF($B54=$B$27,J$27,IF($B54=$B$28,J$28,IF($B54=$B$29,J$29,IF($B54=$B$30,J$30,0))))))))))*$A54</f>
        <v>60</v>
      </c>
      <c r="K54" t="e">
        <f t="shared" si="74"/>
        <v>#N/A</v>
      </c>
      <c r="L54">
        <f t="shared" si="74"/>
        <v>60</v>
      </c>
      <c r="M54" t="e">
        <f t="shared" si="74"/>
        <v>#N/A</v>
      </c>
      <c r="N54">
        <f t="shared" si="74"/>
        <v>79.999999999999986</v>
      </c>
      <c r="O54">
        <f t="shared" si="74"/>
        <v>79.999999999999986</v>
      </c>
      <c r="P54">
        <f t="shared" si="74"/>
        <v>79.999999999999986</v>
      </c>
      <c r="Q54">
        <f t="shared" si="74"/>
        <v>60</v>
      </c>
      <c r="R54">
        <f t="shared" si="74"/>
        <v>79.999999999999986</v>
      </c>
      <c r="S54">
        <f t="shared" si="74"/>
        <v>79.999999999999986</v>
      </c>
      <c r="T54">
        <f t="shared" si="74"/>
        <v>79.999999999999986</v>
      </c>
      <c r="U54">
        <f t="shared" si="74"/>
        <v>79.999999999999986</v>
      </c>
      <c r="V54">
        <f t="shared" si="74"/>
        <v>79.999999999999986</v>
      </c>
      <c r="W54">
        <f t="shared" si="74"/>
        <v>79.999999999999986</v>
      </c>
      <c r="X54">
        <f t="shared" si="74"/>
        <v>60</v>
      </c>
      <c r="Y54">
        <f t="shared" si="74"/>
        <v>79.999999999999986</v>
      </c>
      <c r="Z54">
        <f t="shared" si="74"/>
        <v>79.999999999999986</v>
      </c>
      <c r="AA54">
        <f t="shared" si="74"/>
        <v>79.999999999999986</v>
      </c>
      <c r="AB54">
        <f t="shared" si="74"/>
        <v>79.999999999999986</v>
      </c>
      <c r="AC54">
        <f t="shared" si="74"/>
        <v>100</v>
      </c>
      <c r="AD54">
        <f t="shared" si="74"/>
        <v>120.00000000000001</v>
      </c>
      <c r="AE54">
        <f t="shared" si="74"/>
        <v>100</v>
      </c>
      <c r="AF54">
        <f t="shared" si="74"/>
        <v>120.00000000000001</v>
      </c>
      <c r="AG54">
        <f t="shared" si="74"/>
        <v>120.00000000000001</v>
      </c>
      <c r="AH54">
        <f t="shared" si="74"/>
        <v>120.00000000000001</v>
      </c>
      <c r="AI54">
        <f t="shared" si="74"/>
        <v>120.00000000000001</v>
      </c>
      <c r="AJ54">
        <f t="shared" si="74"/>
        <v>120.00000000000001</v>
      </c>
      <c r="AK54">
        <f t="shared" si="74"/>
        <v>120.00000000000001</v>
      </c>
      <c r="AL54">
        <f t="shared" si="74"/>
        <v>120.00000000000001</v>
      </c>
      <c r="AM54">
        <f t="shared" si="74"/>
        <v>100</v>
      </c>
      <c r="AN54" t="e">
        <f t="shared" si="74"/>
        <v>#N/A</v>
      </c>
      <c r="AO54">
        <f t="shared" si="74"/>
        <v>100</v>
      </c>
      <c r="AP54">
        <f t="shared" si="74"/>
        <v>100</v>
      </c>
      <c r="AQ54">
        <f t="shared" si="74"/>
        <v>100</v>
      </c>
      <c r="AR54">
        <f t="shared" si="74"/>
        <v>100</v>
      </c>
      <c r="AS54">
        <f t="shared" si="74"/>
        <v>100</v>
      </c>
      <c r="AT54" t="e">
        <f t="shared" si="74"/>
        <v>#N/A</v>
      </c>
      <c r="AU54" t="e">
        <f t="shared" si="74"/>
        <v>#N/A</v>
      </c>
      <c r="AV54" t="e">
        <f t="shared" si="74"/>
        <v>#N/A</v>
      </c>
      <c r="AW54" t="e">
        <f t="shared" si="74"/>
        <v>#N/A</v>
      </c>
      <c r="AX54" t="e">
        <f t="shared" si="74"/>
        <v>#N/A</v>
      </c>
      <c r="AY54" t="e">
        <f t="shared" si="74"/>
        <v>#N/A</v>
      </c>
      <c r="AZ54" t="e">
        <f t="shared" si="74"/>
        <v>#N/A</v>
      </c>
      <c r="BA54" t="e">
        <f t="shared" si="74"/>
        <v>#N/A</v>
      </c>
      <c r="BB54" t="e">
        <f t="shared" si="74"/>
        <v>#N/A</v>
      </c>
      <c r="BC54" t="e">
        <f t="shared" si="74"/>
        <v>#N/A</v>
      </c>
      <c r="BD54" t="e">
        <f t="shared" si="74"/>
        <v>#N/A</v>
      </c>
      <c r="BE54" t="e">
        <f t="shared" si="74"/>
        <v>#N/A</v>
      </c>
      <c r="BF54" t="e">
        <f t="shared" si="74"/>
        <v>#N/A</v>
      </c>
      <c r="BG54" t="e">
        <f t="shared" si="74"/>
        <v>#N/A</v>
      </c>
      <c r="BH54" t="e">
        <f t="shared" si="74"/>
        <v>#N/A</v>
      </c>
      <c r="BI54" t="e">
        <f t="shared" si="74"/>
        <v>#N/A</v>
      </c>
      <c r="BJ54" t="e">
        <f t="shared" si="74"/>
        <v>#N/A</v>
      </c>
      <c r="BK54" t="e">
        <f t="shared" si="74"/>
        <v>#N/A</v>
      </c>
      <c r="BL54" t="e">
        <f t="shared" si="74"/>
        <v>#N/A</v>
      </c>
      <c r="BM54" t="e">
        <f t="shared" si="74"/>
        <v>#N/A</v>
      </c>
      <c r="BN54" t="e">
        <f t="shared" si="74"/>
        <v>#N/A</v>
      </c>
      <c r="BO54" t="e">
        <f t="shared" si="74"/>
        <v>#N/A</v>
      </c>
      <c r="BP54" t="e">
        <f t="shared" si="74"/>
        <v>#N/A</v>
      </c>
      <c r="BQ54" t="e">
        <f t="shared" si="74"/>
        <v>#N/A</v>
      </c>
      <c r="BR54" t="e">
        <f t="shared" si="74"/>
        <v>#N/A</v>
      </c>
      <c r="BS54" t="e">
        <f t="shared" si="74"/>
        <v>#N/A</v>
      </c>
      <c r="BT54" t="e">
        <f t="shared" si="74"/>
        <v>#N/A</v>
      </c>
      <c r="BU54" t="e">
        <f t="shared" si="74"/>
        <v>#N/A</v>
      </c>
      <c r="BV54" t="e">
        <f t="shared" ref="BV54:EG57" si="75">IF($B54=$B$21,BV$21,IF($B54=$B$22,BV$22,IF($B54=$B$23,BV$23,IF($B54=$B$24,BV$24,IF($B54=$B$25,BV$25,IF($B54=$B$26,BV$26,IF($B54=$B$27,BV$27,IF($B54=$B$28,BV$28,IF($B54=$B$29,BV$29,IF($B54=$B$30,BV$30,0))))))))))*$A54</f>
        <v>#N/A</v>
      </c>
      <c r="BW54" t="e">
        <f t="shared" si="75"/>
        <v>#N/A</v>
      </c>
      <c r="BX54" t="e">
        <f t="shared" si="75"/>
        <v>#N/A</v>
      </c>
      <c r="BY54" t="e">
        <f t="shared" si="75"/>
        <v>#N/A</v>
      </c>
      <c r="BZ54" t="e">
        <f t="shared" si="75"/>
        <v>#N/A</v>
      </c>
      <c r="CA54" t="e">
        <f t="shared" si="75"/>
        <v>#N/A</v>
      </c>
      <c r="CB54" t="e">
        <f t="shared" si="75"/>
        <v>#N/A</v>
      </c>
      <c r="CC54" t="e">
        <f t="shared" si="75"/>
        <v>#N/A</v>
      </c>
      <c r="CD54" t="e">
        <f t="shared" si="75"/>
        <v>#N/A</v>
      </c>
      <c r="CE54" t="e">
        <f t="shared" si="75"/>
        <v>#N/A</v>
      </c>
      <c r="CF54" t="e">
        <f t="shared" si="75"/>
        <v>#N/A</v>
      </c>
      <c r="CG54" t="e">
        <f t="shared" si="75"/>
        <v>#N/A</v>
      </c>
      <c r="CH54" t="e">
        <f t="shared" si="75"/>
        <v>#N/A</v>
      </c>
      <c r="CI54" t="e">
        <f t="shared" si="75"/>
        <v>#N/A</v>
      </c>
      <c r="CJ54" t="e">
        <f t="shared" si="75"/>
        <v>#N/A</v>
      </c>
      <c r="CK54" t="e">
        <f t="shared" si="75"/>
        <v>#N/A</v>
      </c>
      <c r="CL54" t="e">
        <f t="shared" si="75"/>
        <v>#N/A</v>
      </c>
      <c r="CM54" t="e">
        <f t="shared" si="75"/>
        <v>#N/A</v>
      </c>
      <c r="CN54" t="e">
        <f t="shared" si="75"/>
        <v>#N/A</v>
      </c>
      <c r="CO54" t="e">
        <f t="shared" si="75"/>
        <v>#N/A</v>
      </c>
      <c r="CP54" t="e">
        <f t="shared" si="75"/>
        <v>#N/A</v>
      </c>
      <c r="CQ54" t="e">
        <f t="shared" si="75"/>
        <v>#N/A</v>
      </c>
      <c r="CR54" t="e">
        <f t="shared" si="75"/>
        <v>#N/A</v>
      </c>
      <c r="CS54" t="e">
        <f t="shared" si="75"/>
        <v>#N/A</v>
      </c>
      <c r="CT54" t="e">
        <f t="shared" si="75"/>
        <v>#N/A</v>
      </c>
      <c r="CU54" t="e">
        <f t="shared" si="75"/>
        <v>#N/A</v>
      </c>
      <c r="CV54" t="e">
        <f t="shared" si="75"/>
        <v>#N/A</v>
      </c>
      <c r="CW54" t="e">
        <f t="shared" si="75"/>
        <v>#N/A</v>
      </c>
      <c r="CX54" t="e">
        <f t="shared" si="75"/>
        <v>#N/A</v>
      </c>
      <c r="CY54" t="e">
        <f t="shared" si="75"/>
        <v>#N/A</v>
      </c>
      <c r="CZ54" t="e">
        <f t="shared" si="75"/>
        <v>#N/A</v>
      </c>
      <c r="DA54" t="e">
        <f t="shared" si="75"/>
        <v>#N/A</v>
      </c>
      <c r="DB54" t="e">
        <f t="shared" si="75"/>
        <v>#N/A</v>
      </c>
      <c r="DC54" t="e">
        <f t="shared" si="75"/>
        <v>#N/A</v>
      </c>
      <c r="DD54" t="e">
        <f t="shared" si="75"/>
        <v>#N/A</v>
      </c>
      <c r="DE54" t="e">
        <f t="shared" si="75"/>
        <v>#N/A</v>
      </c>
      <c r="DF54" t="e">
        <f t="shared" si="75"/>
        <v>#N/A</v>
      </c>
      <c r="DG54" t="e">
        <f t="shared" si="75"/>
        <v>#N/A</v>
      </c>
      <c r="DH54" t="e">
        <f t="shared" si="75"/>
        <v>#N/A</v>
      </c>
      <c r="DI54" t="e">
        <f t="shared" si="75"/>
        <v>#N/A</v>
      </c>
      <c r="DJ54" t="e">
        <f t="shared" si="75"/>
        <v>#N/A</v>
      </c>
      <c r="DK54" t="e">
        <f t="shared" si="75"/>
        <v>#N/A</v>
      </c>
      <c r="DL54" t="e">
        <f t="shared" si="75"/>
        <v>#N/A</v>
      </c>
      <c r="DM54" t="e">
        <f t="shared" si="75"/>
        <v>#N/A</v>
      </c>
      <c r="DN54" t="e">
        <f t="shared" si="75"/>
        <v>#N/A</v>
      </c>
      <c r="DO54" t="e">
        <f t="shared" si="75"/>
        <v>#N/A</v>
      </c>
      <c r="DP54" t="e">
        <f t="shared" si="75"/>
        <v>#N/A</v>
      </c>
      <c r="DQ54" t="e">
        <f t="shared" si="75"/>
        <v>#N/A</v>
      </c>
      <c r="DR54" t="e">
        <f t="shared" si="75"/>
        <v>#N/A</v>
      </c>
      <c r="DS54" t="e">
        <f t="shared" si="75"/>
        <v>#N/A</v>
      </c>
      <c r="DT54" t="e">
        <f t="shared" si="75"/>
        <v>#N/A</v>
      </c>
      <c r="DU54" t="e">
        <f t="shared" si="75"/>
        <v>#N/A</v>
      </c>
      <c r="DV54" t="e">
        <f t="shared" si="75"/>
        <v>#N/A</v>
      </c>
      <c r="DW54" t="e">
        <f t="shared" si="75"/>
        <v>#N/A</v>
      </c>
      <c r="DX54" t="e">
        <f t="shared" si="75"/>
        <v>#N/A</v>
      </c>
      <c r="DY54" t="e">
        <f t="shared" si="75"/>
        <v>#N/A</v>
      </c>
      <c r="DZ54" t="e">
        <f t="shared" si="75"/>
        <v>#N/A</v>
      </c>
      <c r="EA54" t="e">
        <f t="shared" si="75"/>
        <v>#N/A</v>
      </c>
      <c r="EB54" t="e">
        <f t="shared" si="75"/>
        <v>#N/A</v>
      </c>
      <c r="EC54" t="e">
        <f t="shared" si="75"/>
        <v>#N/A</v>
      </c>
      <c r="ED54" t="e">
        <f t="shared" si="75"/>
        <v>#N/A</v>
      </c>
      <c r="EE54" t="e">
        <f t="shared" si="75"/>
        <v>#N/A</v>
      </c>
      <c r="EF54" t="e">
        <f t="shared" si="75"/>
        <v>#N/A</v>
      </c>
      <c r="EG54" t="e">
        <f t="shared" si="75"/>
        <v>#N/A</v>
      </c>
      <c r="EH54" t="e">
        <f t="shared" ref="EH54:GA58" si="76">IF($B54=$B$21,EH$21,IF($B54=$B$22,EH$22,IF($B54=$B$23,EH$23,IF($B54=$B$24,EH$24,IF($B54=$B$25,EH$25,IF($B54=$B$26,EH$26,IF($B54=$B$27,EH$27,IF($B54=$B$28,EH$28,IF($B54=$B$29,EH$29,IF($B54=$B$30,EH$30,0))))))))))*$A54</f>
        <v>#N/A</v>
      </c>
      <c r="EI54" t="e">
        <f t="shared" si="76"/>
        <v>#N/A</v>
      </c>
      <c r="EJ54" t="e">
        <f t="shared" si="76"/>
        <v>#N/A</v>
      </c>
      <c r="EK54" t="e">
        <f t="shared" si="76"/>
        <v>#N/A</v>
      </c>
      <c r="EL54" t="e">
        <f t="shared" si="76"/>
        <v>#N/A</v>
      </c>
      <c r="EM54" t="e">
        <f t="shared" si="76"/>
        <v>#N/A</v>
      </c>
      <c r="EN54" t="e">
        <f t="shared" si="76"/>
        <v>#N/A</v>
      </c>
      <c r="EO54" t="e">
        <f t="shared" si="76"/>
        <v>#N/A</v>
      </c>
      <c r="EP54" t="e">
        <f t="shared" si="76"/>
        <v>#N/A</v>
      </c>
      <c r="EQ54" t="e">
        <f t="shared" si="76"/>
        <v>#N/A</v>
      </c>
      <c r="ER54" t="e">
        <f t="shared" si="76"/>
        <v>#N/A</v>
      </c>
      <c r="ES54" t="e">
        <f t="shared" si="76"/>
        <v>#N/A</v>
      </c>
      <c r="ET54" t="e">
        <f t="shared" si="76"/>
        <v>#N/A</v>
      </c>
      <c r="EU54" t="e">
        <f t="shared" si="76"/>
        <v>#N/A</v>
      </c>
      <c r="EV54" t="e">
        <f t="shared" si="76"/>
        <v>#N/A</v>
      </c>
      <c r="EW54" t="e">
        <f t="shared" si="76"/>
        <v>#N/A</v>
      </c>
      <c r="EX54" t="e">
        <f t="shared" si="76"/>
        <v>#N/A</v>
      </c>
      <c r="EY54" t="e">
        <f t="shared" si="76"/>
        <v>#N/A</v>
      </c>
      <c r="EZ54" t="e">
        <f t="shared" si="76"/>
        <v>#N/A</v>
      </c>
      <c r="FA54" t="e">
        <f t="shared" si="76"/>
        <v>#N/A</v>
      </c>
      <c r="FB54" t="e">
        <f t="shared" si="76"/>
        <v>#N/A</v>
      </c>
      <c r="FC54" t="e">
        <f t="shared" si="76"/>
        <v>#N/A</v>
      </c>
      <c r="FD54" t="e">
        <f t="shared" si="76"/>
        <v>#N/A</v>
      </c>
      <c r="FE54" t="e">
        <f t="shared" si="76"/>
        <v>#N/A</v>
      </c>
      <c r="FF54" t="e">
        <f t="shared" si="76"/>
        <v>#N/A</v>
      </c>
      <c r="FG54" t="e">
        <f t="shared" si="76"/>
        <v>#N/A</v>
      </c>
      <c r="FH54" t="e">
        <f t="shared" si="76"/>
        <v>#N/A</v>
      </c>
      <c r="FI54" t="e">
        <f t="shared" si="76"/>
        <v>#N/A</v>
      </c>
      <c r="FJ54" t="e">
        <f t="shared" si="76"/>
        <v>#N/A</v>
      </c>
      <c r="FK54" t="e">
        <f t="shared" si="76"/>
        <v>#N/A</v>
      </c>
      <c r="FL54" t="e">
        <f t="shared" si="76"/>
        <v>#N/A</v>
      </c>
      <c r="FM54" t="e">
        <f t="shared" si="76"/>
        <v>#N/A</v>
      </c>
      <c r="FN54" t="e">
        <f t="shared" si="76"/>
        <v>#N/A</v>
      </c>
      <c r="FO54" t="e">
        <f t="shared" si="76"/>
        <v>#N/A</v>
      </c>
      <c r="FP54" t="e">
        <f t="shared" si="76"/>
        <v>#N/A</v>
      </c>
      <c r="FQ54" t="e">
        <f t="shared" si="76"/>
        <v>#N/A</v>
      </c>
      <c r="FR54" t="e">
        <f t="shared" si="76"/>
        <v>#N/A</v>
      </c>
      <c r="FS54" t="e">
        <f t="shared" si="76"/>
        <v>#N/A</v>
      </c>
      <c r="FT54" t="e">
        <f t="shared" si="76"/>
        <v>#N/A</v>
      </c>
      <c r="FU54" t="e">
        <f t="shared" si="76"/>
        <v>#N/A</v>
      </c>
      <c r="FV54" t="e">
        <f t="shared" si="76"/>
        <v>#N/A</v>
      </c>
      <c r="FW54" t="e">
        <f t="shared" si="76"/>
        <v>#N/A</v>
      </c>
      <c r="FX54" t="e">
        <f t="shared" si="76"/>
        <v>#N/A</v>
      </c>
      <c r="FY54" t="e">
        <f t="shared" si="76"/>
        <v>#N/A</v>
      </c>
      <c r="FZ54" t="e">
        <f t="shared" si="76"/>
        <v>#N/A</v>
      </c>
      <c r="GA54" t="e">
        <f t="shared" si="76"/>
        <v>#N/A</v>
      </c>
    </row>
    <row r="55" spans="1:183" x14ac:dyDescent="0.45">
      <c r="A55">
        <f t="shared" ref="A55:A58" si="77">A46</f>
        <v>1000</v>
      </c>
      <c r="B55" t="s">
        <v>1</v>
      </c>
      <c r="C55" cm="1">
        <f t="array" ref="C55">LOOKUP(2,1/(I55:GA55&lt;&gt;""),I55:GA55)</f>
        <v>60.000000000000007</v>
      </c>
      <c r="D55">
        <f t="shared" si="72"/>
        <v>45</v>
      </c>
      <c r="F55" s="3">
        <f t="shared" si="73"/>
        <v>0.20000000000000015</v>
      </c>
      <c r="G55" s="3" cm="1">
        <f t="array" ref="G55">(C55-IF(ISNA(INDEX(I55:GA55,D55-22)),INDEX(I55:GA55,D55-23),INDEX(I55:GA55,D55-22)))/IF(ISNA(INDEX(I55:GA55,D55-22)),INDEX(I55:GA55,D55-23),INDEX(I55:GA55,D55-22))</f>
        <v>0</v>
      </c>
      <c r="I55">
        <f>IF($B55=$B$21,I$21,IF($B55=$B$22,I$22,IF($B55=$B$23,I$23,IF($B55=$B$24,I$24,IF($B55=$B$25,I$25,IF($B55=$B$26,I$26,IF($B55=$B$27,I$27,IF($B55=$B$28,I$28,IF($B55=$B$29,I$29,IF($B55=$B$30,I$30,0))))))))))*$A55</f>
        <v>50</v>
      </c>
      <c r="J55">
        <f t="shared" si="74"/>
        <v>50</v>
      </c>
      <c r="K55" t="e">
        <f t="shared" si="74"/>
        <v>#N/A</v>
      </c>
      <c r="L55">
        <f t="shared" si="74"/>
        <v>50</v>
      </c>
      <c r="M55" t="e">
        <f t="shared" si="74"/>
        <v>#N/A</v>
      </c>
      <c r="N55">
        <f t="shared" si="74"/>
        <v>50</v>
      </c>
      <c r="O55">
        <f t="shared" si="74"/>
        <v>50</v>
      </c>
      <c r="P55">
        <f t="shared" si="74"/>
        <v>50</v>
      </c>
      <c r="Q55">
        <f t="shared" si="74"/>
        <v>50</v>
      </c>
      <c r="R55">
        <f t="shared" si="74"/>
        <v>50</v>
      </c>
      <c r="S55">
        <f t="shared" si="74"/>
        <v>50</v>
      </c>
      <c r="T55">
        <f t="shared" si="74"/>
        <v>50</v>
      </c>
      <c r="U55">
        <f t="shared" si="74"/>
        <v>50</v>
      </c>
      <c r="V55">
        <f t="shared" si="74"/>
        <v>39.999999999999993</v>
      </c>
      <c r="W55">
        <f t="shared" si="74"/>
        <v>39.999999999999993</v>
      </c>
      <c r="X55">
        <f t="shared" si="74"/>
        <v>50</v>
      </c>
      <c r="Y55">
        <f t="shared" si="74"/>
        <v>50</v>
      </c>
      <c r="Z55">
        <f t="shared" si="74"/>
        <v>50</v>
      </c>
      <c r="AA55">
        <f t="shared" si="74"/>
        <v>50</v>
      </c>
      <c r="AB55">
        <f t="shared" si="74"/>
        <v>50</v>
      </c>
      <c r="AC55">
        <f t="shared" si="74"/>
        <v>60.000000000000007</v>
      </c>
      <c r="AD55">
        <f t="shared" si="74"/>
        <v>70</v>
      </c>
      <c r="AE55">
        <f t="shared" si="74"/>
        <v>60.000000000000007</v>
      </c>
      <c r="AF55">
        <f t="shared" si="74"/>
        <v>70</v>
      </c>
      <c r="AG55">
        <f t="shared" si="74"/>
        <v>70</v>
      </c>
      <c r="AH55">
        <f t="shared" si="74"/>
        <v>60.000000000000007</v>
      </c>
      <c r="AI55">
        <f t="shared" si="74"/>
        <v>70</v>
      </c>
      <c r="AJ55">
        <f t="shared" si="74"/>
        <v>70</v>
      </c>
      <c r="AK55">
        <f t="shared" si="74"/>
        <v>70</v>
      </c>
      <c r="AL55">
        <f t="shared" si="74"/>
        <v>70</v>
      </c>
      <c r="AM55">
        <f t="shared" si="74"/>
        <v>70</v>
      </c>
      <c r="AN55" t="e">
        <f t="shared" si="74"/>
        <v>#N/A</v>
      </c>
      <c r="AO55">
        <f t="shared" si="74"/>
        <v>70</v>
      </c>
      <c r="AP55">
        <f t="shared" si="74"/>
        <v>60.000000000000007</v>
      </c>
      <c r="AQ55">
        <f t="shared" si="74"/>
        <v>60.000000000000007</v>
      </c>
      <c r="AR55">
        <f t="shared" si="74"/>
        <v>60.000000000000007</v>
      </c>
      <c r="AS55">
        <f t="shared" si="74"/>
        <v>60.000000000000007</v>
      </c>
      <c r="AT55" t="e">
        <f t="shared" si="74"/>
        <v>#N/A</v>
      </c>
      <c r="AU55" t="e">
        <f t="shared" si="74"/>
        <v>#N/A</v>
      </c>
      <c r="AV55" t="e">
        <f t="shared" si="74"/>
        <v>#N/A</v>
      </c>
      <c r="AW55" t="e">
        <f t="shared" si="74"/>
        <v>#N/A</v>
      </c>
      <c r="AX55" t="e">
        <f t="shared" si="74"/>
        <v>#N/A</v>
      </c>
      <c r="AY55" t="e">
        <f t="shared" si="74"/>
        <v>#N/A</v>
      </c>
      <c r="AZ55" t="e">
        <f t="shared" si="74"/>
        <v>#N/A</v>
      </c>
      <c r="BA55" t="e">
        <f t="shared" si="74"/>
        <v>#N/A</v>
      </c>
      <c r="BB55" t="e">
        <f t="shared" si="74"/>
        <v>#N/A</v>
      </c>
      <c r="BC55" t="e">
        <f t="shared" si="74"/>
        <v>#N/A</v>
      </c>
      <c r="BD55" t="e">
        <f t="shared" si="74"/>
        <v>#N/A</v>
      </c>
      <c r="BE55" t="e">
        <f t="shared" si="74"/>
        <v>#N/A</v>
      </c>
      <c r="BF55" t="e">
        <f t="shared" si="74"/>
        <v>#N/A</v>
      </c>
      <c r="BG55" t="e">
        <f t="shared" si="74"/>
        <v>#N/A</v>
      </c>
      <c r="BH55" t="e">
        <f t="shared" si="74"/>
        <v>#N/A</v>
      </c>
      <c r="BI55" t="e">
        <f t="shared" si="74"/>
        <v>#N/A</v>
      </c>
      <c r="BJ55" t="e">
        <f t="shared" si="74"/>
        <v>#N/A</v>
      </c>
      <c r="BK55" t="e">
        <f t="shared" si="74"/>
        <v>#N/A</v>
      </c>
      <c r="BL55" t="e">
        <f t="shared" si="74"/>
        <v>#N/A</v>
      </c>
      <c r="BM55" t="e">
        <f t="shared" si="74"/>
        <v>#N/A</v>
      </c>
      <c r="BN55" t="e">
        <f t="shared" si="74"/>
        <v>#N/A</v>
      </c>
      <c r="BO55" t="e">
        <f t="shared" si="74"/>
        <v>#N/A</v>
      </c>
      <c r="BP55" t="e">
        <f t="shared" si="74"/>
        <v>#N/A</v>
      </c>
      <c r="BQ55" t="e">
        <f t="shared" si="74"/>
        <v>#N/A</v>
      </c>
      <c r="BR55" t="e">
        <f t="shared" si="74"/>
        <v>#N/A</v>
      </c>
      <c r="BS55" t="e">
        <f t="shared" si="74"/>
        <v>#N/A</v>
      </c>
      <c r="BT55" t="e">
        <f t="shared" si="74"/>
        <v>#N/A</v>
      </c>
      <c r="BU55" t="e">
        <f t="shared" si="74"/>
        <v>#N/A</v>
      </c>
      <c r="BV55" t="e">
        <f t="shared" si="75"/>
        <v>#N/A</v>
      </c>
      <c r="BW55" t="e">
        <f t="shared" si="75"/>
        <v>#N/A</v>
      </c>
      <c r="BX55" t="e">
        <f t="shared" si="75"/>
        <v>#N/A</v>
      </c>
      <c r="BY55" t="e">
        <f t="shared" si="75"/>
        <v>#N/A</v>
      </c>
      <c r="BZ55" t="e">
        <f t="shared" si="75"/>
        <v>#N/A</v>
      </c>
      <c r="CA55" t="e">
        <f t="shared" si="75"/>
        <v>#N/A</v>
      </c>
      <c r="CB55" t="e">
        <f t="shared" si="75"/>
        <v>#N/A</v>
      </c>
      <c r="CC55" t="e">
        <f t="shared" si="75"/>
        <v>#N/A</v>
      </c>
      <c r="CD55" t="e">
        <f t="shared" si="75"/>
        <v>#N/A</v>
      </c>
      <c r="CE55" t="e">
        <f t="shared" si="75"/>
        <v>#N/A</v>
      </c>
      <c r="CF55" t="e">
        <f t="shared" si="75"/>
        <v>#N/A</v>
      </c>
      <c r="CG55" t="e">
        <f t="shared" si="75"/>
        <v>#N/A</v>
      </c>
      <c r="CH55" t="e">
        <f t="shared" si="75"/>
        <v>#N/A</v>
      </c>
      <c r="CI55" t="e">
        <f t="shared" si="75"/>
        <v>#N/A</v>
      </c>
      <c r="CJ55" t="e">
        <f t="shared" si="75"/>
        <v>#N/A</v>
      </c>
      <c r="CK55" t="e">
        <f t="shared" si="75"/>
        <v>#N/A</v>
      </c>
      <c r="CL55" t="e">
        <f t="shared" si="75"/>
        <v>#N/A</v>
      </c>
      <c r="CM55" t="e">
        <f t="shared" si="75"/>
        <v>#N/A</v>
      </c>
      <c r="CN55" t="e">
        <f t="shared" si="75"/>
        <v>#N/A</v>
      </c>
      <c r="CO55" t="e">
        <f t="shared" si="75"/>
        <v>#N/A</v>
      </c>
      <c r="CP55" t="e">
        <f t="shared" si="75"/>
        <v>#N/A</v>
      </c>
      <c r="CQ55" t="e">
        <f t="shared" si="75"/>
        <v>#N/A</v>
      </c>
      <c r="CR55" t="e">
        <f t="shared" si="75"/>
        <v>#N/A</v>
      </c>
      <c r="CS55" t="e">
        <f t="shared" si="75"/>
        <v>#N/A</v>
      </c>
      <c r="CT55" t="e">
        <f t="shared" si="75"/>
        <v>#N/A</v>
      </c>
      <c r="CU55" t="e">
        <f t="shared" si="75"/>
        <v>#N/A</v>
      </c>
      <c r="CV55" t="e">
        <f t="shared" si="75"/>
        <v>#N/A</v>
      </c>
      <c r="CW55" t="e">
        <f t="shared" si="75"/>
        <v>#N/A</v>
      </c>
      <c r="CX55" t="e">
        <f t="shared" si="75"/>
        <v>#N/A</v>
      </c>
      <c r="CY55" t="e">
        <f t="shared" si="75"/>
        <v>#N/A</v>
      </c>
      <c r="CZ55" t="e">
        <f t="shared" si="75"/>
        <v>#N/A</v>
      </c>
      <c r="DA55" t="e">
        <f t="shared" si="75"/>
        <v>#N/A</v>
      </c>
      <c r="DB55" t="e">
        <f t="shared" si="75"/>
        <v>#N/A</v>
      </c>
      <c r="DC55" t="e">
        <f t="shared" si="75"/>
        <v>#N/A</v>
      </c>
      <c r="DD55" t="e">
        <f t="shared" si="75"/>
        <v>#N/A</v>
      </c>
      <c r="DE55" t="e">
        <f t="shared" si="75"/>
        <v>#N/A</v>
      </c>
      <c r="DF55" t="e">
        <f t="shared" si="75"/>
        <v>#N/A</v>
      </c>
      <c r="DG55" t="e">
        <f t="shared" si="75"/>
        <v>#N/A</v>
      </c>
      <c r="DH55" t="e">
        <f t="shared" si="75"/>
        <v>#N/A</v>
      </c>
      <c r="DI55" t="e">
        <f t="shared" si="75"/>
        <v>#N/A</v>
      </c>
      <c r="DJ55" t="e">
        <f t="shared" si="75"/>
        <v>#N/A</v>
      </c>
      <c r="DK55" t="e">
        <f t="shared" si="75"/>
        <v>#N/A</v>
      </c>
      <c r="DL55" t="e">
        <f t="shared" si="75"/>
        <v>#N/A</v>
      </c>
      <c r="DM55" t="e">
        <f t="shared" si="75"/>
        <v>#N/A</v>
      </c>
      <c r="DN55" t="e">
        <f t="shared" si="75"/>
        <v>#N/A</v>
      </c>
      <c r="DO55" t="e">
        <f t="shared" si="75"/>
        <v>#N/A</v>
      </c>
      <c r="DP55" t="e">
        <f t="shared" si="75"/>
        <v>#N/A</v>
      </c>
      <c r="DQ55" t="e">
        <f t="shared" si="75"/>
        <v>#N/A</v>
      </c>
      <c r="DR55" t="e">
        <f t="shared" si="75"/>
        <v>#N/A</v>
      </c>
      <c r="DS55" t="e">
        <f t="shared" si="75"/>
        <v>#N/A</v>
      </c>
      <c r="DT55" t="e">
        <f t="shared" si="75"/>
        <v>#N/A</v>
      </c>
      <c r="DU55" t="e">
        <f t="shared" si="75"/>
        <v>#N/A</v>
      </c>
      <c r="DV55" t="e">
        <f t="shared" si="75"/>
        <v>#N/A</v>
      </c>
      <c r="DW55" t="e">
        <f t="shared" si="75"/>
        <v>#N/A</v>
      </c>
      <c r="DX55" t="e">
        <f t="shared" si="75"/>
        <v>#N/A</v>
      </c>
      <c r="DY55" t="e">
        <f t="shared" si="75"/>
        <v>#N/A</v>
      </c>
      <c r="DZ55" t="e">
        <f t="shared" si="75"/>
        <v>#N/A</v>
      </c>
      <c r="EA55" t="e">
        <f t="shared" si="75"/>
        <v>#N/A</v>
      </c>
      <c r="EB55" t="e">
        <f t="shared" si="75"/>
        <v>#N/A</v>
      </c>
      <c r="EC55" t="e">
        <f t="shared" si="75"/>
        <v>#N/A</v>
      </c>
      <c r="ED55" t="e">
        <f t="shared" si="75"/>
        <v>#N/A</v>
      </c>
      <c r="EE55" t="e">
        <f t="shared" si="75"/>
        <v>#N/A</v>
      </c>
      <c r="EF55" t="e">
        <f t="shared" si="75"/>
        <v>#N/A</v>
      </c>
      <c r="EG55" t="e">
        <f t="shared" si="75"/>
        <v>#N/A</v>
      </c>
      <c r="EH55" t="e">
        <f t="shared" si="76"/>
        <v>#N/A</v>
      </c>
      <c r="EI55" t="e">
        <f t="shared" si="76"/>
        <v>#N/A</v>
      </c>
      <c r="EJ55" t="e">
        <f t="shared" si="76"/>
        <v>#N/A</v>
      </c>
      <c r="EK55" t="e">
        <f t="shared" si="76"/>
        <v>#N/A</v>
      </c>
      <c r="EL55" t="e">
        <f t="shared" si="76"/>
        <v>#N/A</v>
      </c>
      <c r="EM55" t="e">
        <f t="shared" si="76"/>
        <v>#N/A</v>
      </c>
      <c r="EN55" t="e">
        <f t="shared" si="76"/>
        <v>#N/A</v>
      </c>
      <c r="EO55" t="e">
        <f t="shared" si="76"/>
        <v>#N/A</v>
      </c>
      <c r="EP55" t="e">
        <f t="shared" si="76"/>
        <v>#N/A</v>
      </c>
      <c r="EQ55" t="e">
        <f t="shared" si="76"/>
        <v>#N/A</v>
      </c>
      <c r="ER55" t="e">
        <f t="shared" si="76"/>
        <v>#N/A</v>
      </c>
      <c r="ES55" t="e">
        <f t="shared" si="76"/>
        <v>#N/A</v>
      </c>
      <c r="ET55" t="e">
        <f t="shared" si="76"/>
        <v>#N/A</v>
      </c>
      <c r="EU55" t="e">
        <f t="shared" si="76"/>
        <v>#N/A</v>
      </c>
      <c r="EV55" t="e">
        <f t="shared" si="76"/>
        <v>#N/A</v>
      </c>
      <c r="EW55" t="e">
        <f t="shared" si="76"/>
        <v>#N/A</v>
      </c>
      <c r="EX55" t="e">
        <f t="shared" si="76"/>
        <v>#N/A</v>
      </c>
      <c r="EY55" t="e">
        <f t="shared" si="76"/>
        <v>#N/A</v>
      </c>
      <c r="EZ55" t="e">
        <f t="shared" si="76"/>
        <v>#N/A</v>
      </c>
      <c r="FA55" t="e">
        <f t="shared" si="76"/>
        <v>#N/A</v>
      </c>
      <c r="FB55" t="e">
        <f t="shared" si="76"/>
        <v>#N/A</v>
      </c>
      <c r="FC55" t="e">
        <f t="shared" si="76"/>
        <v>#N/A</v>
      </c>
      <c r="FD55" t="e">
        <f t="shared" si="76"/>
        <v>#N/A</v>
      </c>
      <c r="FE55" t="e">
        <f t="shared" si="76"/>
        <v>#N/A</v>
      </c>
      <c r="FF55" t="e">
        <f t="shared" si="76"/>
        <v>#N/A</v>
      </c>
      <c r="FG55" t="e">
        <f t="shared" si="76"/>
        <v>#N/A</v>
      </c>
      <c r="FH55" t="e">
        <f t="shared" si="76"/>
        <v>#N/A</v>
      </c>
      <c r="FI55" t="e">
        <f t="shared" si="76"/>
        <v>#N/A</v>
      </c>
      <c r="FJ55" t="e">
        <f t="shared" si="76"/>
        <v>#N/A</v>
      </c>
      <c r="FK55" t="e">
        <f t="shared" si="76"/>
        <v>#N/A</v>
      </c>
      <c r="FL55" t="e">
        <f t="shared" si="76"/>
        <v>#N/A</v>
      </c>
      <c r="FM55" t="e">
        <f t="shared" si="76"/>
        <v>#N/A</v>
      </c>
      <c r="FN55" t="e">
        <f t="shared" si="76"/>
        <v>#N/A</v>
      </c>
      <c r="FO55" t="e">
        <f t="shared" si="76"/>
        <v>#N/A</v>
      </c>
      <c r="FP55" t="e">
        <f t="shared" si="76"/>
        <v>#N/A</v>
      </c>
      <c r="FQ55" t="e">
        <f t="shared" si="76"/>
        <v>#N/A</v>
      </c>
      <c r="FR55" t="e">
        <f t="shared" si="76"/>
        <v>#N/A</v>
      </c>
      <c r="FS55" t="e">
        <f t="shared" si="76"/>
        <v>#N/A</v>
      </c>
      <c r="FT55" t="e">
        <f t="shared" si="76"/>
        <v>#N/A</v>
      </c>
      <c r="FU55" t="e">
        <f t="shared" si="76"/>
        <v>#N/A</v>
      </c>
      <c r="FV55" t="e">
        <f t="shared" si="76"/>
        <v>#N/A</v>
      </c>
      <c r="FW55" t="e">
        <f t="shared" si="76"/>
        <v>#N/A</v>
      </c>
      <c r="FX55" t="e">
        <f t="shared" si="76"/>
        <v>#N/A</v>
      </c>
      <c r="FY55" t="e">
        <f t="shared" si="76"/>
        <v>#N/A</v>
      </c>
      <c r="FZ55" t="e">
        <f t="shared" si="76"/>
        <v>#N/A</v>
      </c>
      <c r="GA55" t="e">
        <f t="shared" si="76"/>
        <v>#N/A</v>
      </c>
    </row>
    <row r="56" spans="1:183" x14ac:dyDescent="0.45">
      <c r="A56">
        <f t="shared" si="77"/>
        <v>2000</v>
      </c>
      <c r="B56" t="s">
        <v>3</v>
      </c>
      <c r="C56" cm="1">
        <f t="array" ref="C56">LOOKUP(2,1/(I56:GA56&lt;&gt;""),I56:GA56)</f>
        <v>180</v>
      </c>
      <c r="D56">
        <f t="shared" si="72"/>
        <v>45</v>
      </c>
      <c r="F56" s="3">
        <f t="shared" si="73"/>
        <v>0.8</v>
      </c>
      <c r="G56" s="3" cm="1">
        <f t="array" ref="G56">(C56-IF(ISNA(INDEX(I56:GA56,D56-22)),INDEX(I56:GA56,D56-23),INDEX(I56:GA56,D56-22)))/IF(ISNA(INDEX(I56:GA56,D56-22)),INDEX(I56:GA56,D56-23),INDEX(I56:GA56,D56-22))</f>
        <v>0.125</v>
      </c>
      <c r="I56">
        <f>IF($B56=$B$21,I$21,IF($B56=$B$22,I$22,IF($B56=$B$23,I$23,IF($B56=$B$24,I$24,IF($B56=$B$25,I$25,IF($B56=$B$26,I$26,IF($B56=$B$27,I$27,IF($B56=$B$28,I$28,IF($B56=$B$29,I$29,IF($B56=$B$30,I$30,0))))))))))*$A56</f>
        <v>100</v>
      </c>
      <c r="J56">
        <f t="shared" si="74"/>
        <v>100</v>
      </c>
      <c r="K56" t="e">
        <f t="shared" si="74"/>
        <v>#N/A</v>
      </c>
      <c r="L56">
        <f t="shared" si="74"/>
        <v>100</v>
      </c>
      <c r="M56" t="e">
        <f t="shared" si="74"/>
        <v>#N/A</v>
      </c>
      <c r="N56">
        <f t="shared" si="74"/>
        <v>100</v>
      </c>
      <c r="O56">
        <f t="shared" si="74"/>
        <v>100</v>
      </c>
      <c r="P56">
        <f t="shared" si="74"/>
        <v>100</v>
      </c>
      <c r="Q56">
        <f t="shared" si="74"/>
        <v>100</v>
      </c>
      <c r="R56">
        <f t="shared" si="74"/>
        <v>100</v>
      </c>
      <c r="S56">
        <f t="shared" si="74"/>
        <v>100</v>
      </c>
      <c r="T56">
        <f t="shared" si="74"/>
        <v>100</v>
      </c>
      <c r="U56">
        <f t="shared" si="74"/>
        <v>100</v>
      </c>
      <c r="V56">
        <f t="shared" si="74"/>
        <v>100</v>
      </c>
      <c r="W56">
        <f t="shared" si="74"/>
        <v>100</v>
      </c>
      <c r="X56">
        <f t="shared" si="74"/>
        <v>100</v>
      </c>
      <c r="Y56">
        <f t="shared" si="74"/>
        <v>100</v>
      </c>
      <c r="Z56">
        <f t="shared" si="74"/>
        <v>100</v>
      </c>
      <c r="AA56">
        <f t="shared" si="74"/>
        <v>100</v>
      </c>
      <c r="AB56">
        <f t="shared" si="74"/>
        <v>100</v>
      </c>
      <c r="AC56">
        <f t="shared" si="74"/>
        <v>180</v>
      </c>
      <c r="AD56">
        <f t="shared" si="74"/>
        <v>220.00000000000003</v>
      </c>
      <c r="AE56">
        <f t="shared" si="74"/>
        <v>160</v>
      </c>
      <c r="AF56">
        <f t="shared" si="74"/>
        <v>180</v>
      </c>
      <c r="AG56">
        <f t="shared" si="74"/>
        <v>180</v>
      </c>
      <c r="AH56">
        <f t="shared" si="74"/>
        <v>180</v>
      </c>
      <c r="AI56">
        <f t="shared" si="74"/>
        <v>180</v>
      </c>
      <c r="AJ56">
        <f t="shared" si="74"/>
        <v>200</v>
      </c>
      <c r="AK56">
        <f t="shared" si="74"/>
        <v>220.00000000000003</v>
      </c>
      <c r="AL56">
        <f t="shared" si="74"/>
        <v>200</v>
      </c>
      <c r="AM56">
        <f t="shared" si="74"/>
        <v>180</v>
      </c>
      <c r="AN56" t="e">
        <f t="shared" si="74"/>
        <v>#N/A</v>
      </c>
      <c r="AO56">
        <f t="shared" si="74"/>
        <v>160</v>
      </c>
      <c r="AP56">
        <f t="shared" si="74"/>
        <v>160</v>
      </c>
      <c r="AQ56">
        <f t="shared" si="74"/>
        <v>160</v>
      </c>
      <c r="AR56">
        <f t="shared" si="74"/>
        <v>180</v>
      </c>
      <c r="AS56">
        <f t="shared" si="74"/>
        <v>180</v>
      </c>
      <c r="AT56" t="e">
        <f t="shared" si="74"/>
        <v>#N/A</v>
      </c>
      <c r="AU56" t="e">
        <f t="shared" si="74"/>
        <v>#N/A</v>
      </c>
      <c r="AV56" t="e">
        <f t="shared" si="74"/>
        <v>#N/A</v>
      </c>
      <c r="AW56" t="e">
        <f t="shared" si="74"/>
        <v>#N/A</v>
      </c>
      <c r="AX56" t="e">
        <f t="shared" si="74"/>
        <v>#N/A</v>
      </c>
      <c r="AY56" t="e">
        <f t="shared" si="74"/>
        <v>#N/A</v>
      </c>
      <c r="AZ56" t="e">
        <f t="shared" si="74"/>
        <v>#N/A</v>
      </c>
      <c r="BA56" t="e">
        <f t="shared" si="74"/>
        <v>#N/A</v>
      </c>
      <c r="BB56" t="e">
        <f t="shared" si="74"/>
        <v>#N/A</v>
      </c>
      <c r="BC56" t="e">
        <f t="shared" si="74"/>
        <v>#N/A</v>
      </c>
      <c r="BD56" t="e">
        <f t="shared" si="74"/>
        <v>#N/A</v>
      </c>
      <c r="BE56" t="e">
        <f t="shared" si="74"/>
        <v>#N/A</v>
      </c>
      <c r="BF56" t="e">
        <f t="shared" si="74"/>
        <v>#N/A</v>
      </c>
      <c r="BG56" t="e">
        <f t="shared" si="74"/>
        <v>#N/A</v>
      </c>
      <c r="BH56" t="e">
        <f t="shared" si="74"/>
        <v>#N/A</v>
      </c>
      <c r="BI56" t="e">
        <f t="shared" si="74"/>
        <v>#N/A</v>
      </c>
      <c r="BJ56" t="e">
        <f t="shared" si="74"/>
        <v>#N/A</v>
      </c>
      <c r="BK56" t="e">
        <f t="shared" si="74"/>
        <v>#N/A</v>
      </c>
      <c r="BL56" t="e">
        <f t="shared" si="74"/>
        <v>#N/A</v>
      </c>
      <c r="BM56" t="e">
        <f t="shared" si="74"/>
        <v>#N/A</v>
      </c>
      <c r="BN56" t="e">
        <f t="shared" si="74"/>
        <v>#N/A</v>
      </c>
      <c r="BO56" t="e">
        <f t="shared" si="74"/>
        <v>#N/A</v>
      </c>
      <c r="BP56" t="e">
        <f t="shared" si="74"/>
        <v>#N/A</v>
      </c>
      <c r="BQ56" t="e">
        <f t="shared" si="74"/>
        <v>#N/A</v>
      </c>
      <c r="BR56" t="e">
        <f t="shared" si="74"/>
        <v>#N/A</v>
      </c>
      <c r="BS56" t="e">
        <f t="shared" si="74"/>
        <v>#N/A</v>
      </c>
      <c r="BT56" t="e">
        <f t="shared" si="74"/>
        <v>#N/A</v>
      </c>
      <c r="BU56" t="e">
        <f t="shared" si="74"/>
        <v>#N/A</v>
      </c>
      <c r="BV56" t="e">
        <f t="shared" si="75"/>
        <v>#N/A</v>
      </c>
      <c r="BW56" t="e">
        <f t="shared" si="75"/>
        <v>#N/A</v>
      </c>
      <c r="BX56" t="e">
        <f t="shared" si="75"/>
        <v>#N/A</v>
      </c>
      <c r="BY56" t="e">
        <f t="shared" si="75"/>
        <v>#N/A</v>
      </c>
      <c r="BZ56" t="e">
        <f t="shared" si="75"/>
        <v>#N/A</v>
      </c>
      <c r="CA56" t="e">
        <f t="shared" si="75"/>
        <v>#N/A</v>
      </c>
      <c r="CB56" t="e">
        <f t="shared" si="75"/>
        <v>#N/A</v>
      </c>
      <c r="CC56" t="e">
        <f t="shared" si="75"/>
        <v>#N/A</v>
      </c>
      <c r="CD56" t="e">
        <f t="shared" si="75"/>
        <v>#N/A</v>
      </c>
      <c r="CE56" t="e">
        <f t="shared" si="75"/>
        <v>#N/A</v>
      </c>
      <c r="CF56" t="e">
        <f t="shared" si="75"/>
        <v>#N/A</v>
      </c>
      <c r="CG56" t="e">
        <f t="shared" si="75"/>
        <v>#N/A</v>
      </c>
      <c r="CH56" t="e">
        <f t="shared" si="75"/>
        <v>#N/A</v>
      </c>
      <c r="CI56" t="e">
        <f t="shared" si="75"/>
        <v>#N/A</v>
      </c>
      <c r="CJ56" t="e">
        <f t="shared" si="75"/>
        <v>#N/A</v>
      </c>
      <c r="CK56" t="e">
        <f t="shared" si="75"/>
        <v>#N/A</v>
      </c>
      <c r="CL56" t="e">
        <f t="shared" si="75"/>
        <v>#N/A</v>
      </c>
      <c r="CM56" t="e">
        <f t="shared" si="75"/>
        <v>#N/A</v>
      </c>
      <c r="CN56" t="e">
        <f t="shared" si="75"/>
        <v>#N/A</v>
      </c>
      <c r="CO56" t="e">
        <f t="shared" si="75"/>
        <v>#N/A</v>
      </c>
      <c r="CP56" t="e">
        <f t="shared" si="75"/>
        <v>#N/A</v>
      </c>
      <c r="CQ56" t="e">
        <f t="shared" si="75"/>
        <v>#N/A</v>
      </c>
      <c r="CR56" t="e">
        <f t="shared" si="75"/>
        <v>#N/A</v>
      </c>
      <c r="CS56" t="e">
        <f t="shared" si="75"/>
        <v>#N/A</v>
      </c>
      <c r="CT56" t="e">
        <f t="shared" si="75"/>
        <v>#N/A</v>
      </c>
      <c r="CU56" t="e">
        <f t="shared" si="75"/>
        <v>#N/A</v>
      </c>
      <c r="CV56" t="e">
        <f t="shared" si="75"/>
        <v>#N/A</v>
      </c>
      <c r="CW56" t="e">
        <f t="shared" si="75"/>
        <v>#N/A</v>
      </c>
      <c r="CX56" t="e">
        <f t="shared" si="75"/>
        <v>#N/A</v>
      </c>
      <c r="CY56" t="e">
        <f t="shared" si="75"/>
        <v>#N/A</v>
      </c>
      <c r="CZ56" t="e">
        <f t="shared" si="75"/>
        <v>#N/A</v>
      </c>
      <c r="DA56" t="e">
        <f t="shared" si="75"/>
        <v>#N/A</v>
      </c>
      <c r="DB56" t="e">
        <f t="shared" si="75"/>
        <v>#N/A</v>
      </c>
      <c r="DC56" t="e">
        <f t="shared" si="75"/>
        <v>#N/A</v>
      </c>
      <c r="DD56" t="e">
        <f t="shared" si="75"/>
        <v>#N/A</v>
      </c>
      <c r="DE56" t="e">
        <f t="shared" si="75"/>
        <v>#N/A</v>
      </c>
      <c r="DF56" t="e">
        <f t="shared" si="75"/>
        <v>#N/A</v>
      </c>
      <c r="DG56" t="e">
        <f t="shared" si="75"/>
        <v>#N/A</v>
      </c>
      <c r="DH56" t="e">
        <f t="shared" si="75"/>
        <v>#N/A</v>
      </c>
      <c r="DI56" t="e">
        <f t="shared" si="75"/>
        <v>#N/A</v>
      </c>
      <c r="DJ56" t="e">
        <f t="shared" si="75"/>
        <v>#N/A</v>
      </c>
      <c r="DK56" t="e">
        <f t="shared" si="75"/>
        <v>#N/A</v>
      </c>
      <c r="DL56" t="e">
        <f t="shared" si="75"/>
        <v>#N/A</v>
      </c>
      <c r="DM56" t="e">
        <f t="shared" si="75"/>
        <v>#N/A</v>
      </c>
      <c r="DN56" t="e">
        <f t="shared" si="75"/>
        <v>#N/A</v>
      </c>
      <c r="DO56" t="e">
        <f t="shared" si="75"/>
        <v>#N/A</v>
      </c>
      <c r="DP56" t="e">
        <f t="shared" si="75"/>
        <v>#N/A</v>
      </c>
      <c r="DQ56" t="e">
        <f t="shared" si="75"/>
        <v>#N/A</v>
      </c>
      <c r="DR56" t="e">
        <f t="shared" si="75"/>
        <v>#N/A</v>
      </c>
      <c r="DS56" t="e">
        <f t="shared" si="75"/>
        <v>#N/A</v>
      </c>
      <c r="DT56" t="e">
        <f t="shared" si="75"/>
        <v>#N/A</v>
      </c>
      <c r="DU56" t="e">
        <f t="shared" si="75"/>
        <v>#N/A</v>
      </c>
      <c r="DV56" t="e">
        <f t="shared" si="75"/>
        <v>#N/A</v>
      </c>
      <c r="DW56" t="e">
        <f t="shared" si="75"/>
        <v>#N/A</v>
      </c>
      <c r="DX56" t="e">
        <f t="shared" si="75"/>
        <v>#N/A</v>
      </c>
      <c r="DY56" t="e">
        <f t="shared" si="75"/>
        <v>#N/A</v>
      </c>
      <c r="DZ56" t="e">
        <f t="shared" si="75"/>
        <v>#N/A</v>
      </c>
      <c r="EA56" t="e">
        <f t="shared" si="75"/>
        <v>#N/A</v>
      </c>
      <c r="EB56" t="e">
        <f t="shared" si="75"/>
        <v>#N/A</v>
      </c>
      <c r="EC56" t="e">
        <f t="shared" si="75"/>
        <v>#N/A</v>
      </c>
      <c r="ED56" t="e">
        <f t="shared" si="75"/>
        <v>#N/A</v>
      </c>
      <c r="EE56" t="e">
        <f t="shared" si="75"/>
        <v>#N/A</v>
      </c>
      <c r="EF56" t="e">
        <f t="shared" si="75"/>
        <v>#N/A</v>
      </c>
      <c r="EG56" t="e">
        <f t="shared" si="75"/>
        <v>#N/A</v>
      </c>
      <c r="EH56" t="e">
        <f t="shared" si="76"/>
        <v>#N/A</v>
      </c>
      <c r="EI56" t="e">
        <f t="shared" si="76"/>
        <v>#N/A</v>
      </c>
      <c r="EJ56" t="e">
        <f t="shared" si="76"/>
        <v>#N/A</v>
      </c>
      <c r="EK56" t="e">
        <f t="shared" si="76"/>
        <v>#N/A</v>
      </c>
      <c r="EL56" t="e">
        <f t="shared" si="76"/>
        <v>#N/A</v>
      </c>
      <c r="EM56" t="e">
        <f t="shared" si="76"/>
        <v>#N/A</v>
      </c>
      <c r="EN56" t="e">
        <f t="shared" si="76"/>
        <v>#N/A</v>
      </c>
      <c r="EO56" t="e">
        <f t="shared" si="76"/>
        <v>#N/A</v>
      </c>
      <c r="EP56" t="e">
        <f t="shared" si="76"/>
        <v>#N/A</v>
      </c>
      <c r="EQ56" t="e">
        <f t="shared" si="76"/>
        <v>#N/A</v>
      </c>
      <c r="ER56" t="e">
        <f t="shared" si="76"/>
        <v>#N/A</v>
      </c>
      <c r="ES56" t="e">
        <f t="shared" si="76"/>
        <v>#N/A</v>
      </c>
      <c r="ET56" t="e">
        <f t="shared" si="76"/>
        <v>#N/A</v>
      </c>
      <c r="EU56" t="e">
        <f t="shared" si="76"/>
        <v>#N/A</v>
      </c>
      <c r="EV56" t="e">
        <f t="shared" si="76"/>
        <v>#N/A</v>
      </c>
      <c r="EW56" t="e">
        <f t="shared" si="76"/>
        <v>#N/A</v>
      </c>
      <c r="EX56" t="e">
        <f t="shared" si="76"/>
        <v>#N/A</v>
      </c>
      <c r="EY56" t="e">
        <f t="shared" si="76"/>
        <v>#N/A</v>
      </c>
      <c r="EZ56" t="e">
        <f t="shared" si="76"/>
        <v>#N/A</v>
      </c>
      <c r="FA56" t="e">
        <f t="shared" si="76"/>
        <v>#N/A</v>
      </c>
      <c r="FB56" t="e">
        <f t="shared" si="76"/>
        <v>#N/A</v>
      </c>
      <c r="FC56" t="e">
        <f t="shared" si="76"/>
        <v>#N/A</v>
      </c>
      <c r="FD56" t="e">
        <f t="shared" si="76"/>
        <v>#N/A</v>
      </c>
      <c r="FE56" t="e">
        <f t="shared" si="76"/>
        <v>#N/A</v>
      </c>
      <c r="FF56" t="e">
        <f t="shared" si="76"/>
        <v>#N/A</v>
      </c>
      <c r="FG56" t="e">
        <f t="shared" si="76"/>
        <v>#N/A</v>
      </c>
      <c r="FH56" t="e">
        <f t="shared" si="76"/>
        <v>#N/A</v>
      </c>
      <c r="FI56" t="e">
        <f t="shared" si="76"/>
        <v>#N/A</v>
      </c>
      <c r="FJ56" t="e">
        <f t="shared" si="76"/>
        <v>#N/A</v>
      </c>
      <c r="FK56" t="e">
        <f t="shared" si="76"/>
        <v>#N/A</v>
      </c>
      <c r="FL56" t="e">
        <f t="shared" si="76"/>
        <v>#N/A</v>
      </c>
      <c r="FM56" t="e">
        <f t="shared" si="76"/>
        <v>#N/A</v>
      </c>
      <c r="FN56" t="e">
        <f t="shared" si="76"/>
        <v>#N/A</v>
      </c>
      <c r="FO56" t="e">
        <f t="shared" si="76"/>
        <v>#N/A</v>
      </c>
      <c r="FP56" t="e">
        <f t="shared" si="76"/>
        <v>#N/A</v>
      </c>
      <c r="FQ56" t="e">
        <f t="shared" si="76"/>
        <v>#N/A</v>
      </c>
      <c r="FR56" t="e">
        <f t="shared" si="76"/>
        <v>#N/A</v>
      </c>
      <c r="FS56" t="e">
        <f t="shared" si="76"/>
        <v>#N/A</v>
      </c>
      <c r="FT56" t="e">
        <f t="shared" si="76"/>
        <v>#N/A</v>
      </c>
      <c r="FU56" t="e">
        <f t="shared" si="76"/>
        <v>#N/A</v>
      </c>
      <c r="FV56" t="e">
        <f t="shared" si="76"/>
        <v>#N/A</v>
      </c>
      <c r="FW56" t="e">
        <f t="shared" si="76"/>
        <v>#N/A</v>
      </c>
      <c r="FX56" t="e">
        <f t="shared" si="76"/>
        <v>#N/A</v>
      </c>
      <c r="FY56" t="e">
        <f t="shared" si="76"/>
        <v>#N/A</v>
      </c>
      <c r="FZ56" t="e">
        <f t="shared" si="76"/>
        <v>#N/A</v>
      </c>
      <c r="GA56" t="e">
        <f t="shared" si="76"/>
        <v>#N/A</v>
      </c>
    </row>
    <row r="57" spans="1:183" x14ac:dyDescent="0.45">
      <c r="A57">
        <f t="shared" si="77"/>
        <v>215</v>
      </c>
      <c r="B57" t="s">
        <v>4</v>
      </c>
      <c r="C57" cm="1">
        <f t="array" ref="C57">LOOKUP(2,1/(I57:GA57&lt;&gt;""),I57:GA57)</f>
        <v>34.4</v>
      </c>
      <c r="D57">
        <f t="shared" si="72"/>
        <v>45</v>
      </c>
      <c r="F57" s="3">
        <f t="shared" si="73"/>
        <v>1.6666666666666665</v>
      </c>
      <c r="G57" s="3" cm="1">
        <f t="array" ref="G57">(C57-IF(ISNA(INDEX(I57:GA57,D57-22)),INDEX(I57:GA57,D57-23),INDEX(I57:GA57,D57-22)))/IF(ISNA(INDEX(I57:GA57,D57-22)),INDEX(I57:GA57,D57-23),INDEX(I57:GA57,D57-22))</f>
        <v>0.14285714285714277</v>
      </c>
      <c r="I57">
        <f>IF($B57=$B$21,I$21,IF($B57=$B$22,I$22,IF($B57=$B$23,I$23,IF($B57=$B$24,I$24,IF($B57=$B$25,I$25,IF($B57=$B$26,I$26,IF($B57=$B$27,I$27,IF($B57=$B$28,I$28,IF($B57=$B$29,I$29,IF($B57=$B$30,I$30,0))))))))))*$A57</f>
        <v>12.9</v>
      </c>
      <c r="J57">
        <f t="shared" si="74"/>
        <v>12.9</v>
      </c>
      <c r="K57" t="e">
        <f t="shared" si="74"/>
        <v>#N/A</v>
      </c>
      <c r="L57">
        <f t="shared" si="74"/>
        <v>12.9</v>
      </c>
      <c r="M57" t="e">
        <f t="shared" si="74"/>
        <v>#N/A</v>
      </c>
      <c r="N57">
        <f t="shared" si="74"/>
        <v>12.9</v>
      </c>
      <c r="O57">
        <f t="shared" si="74"/>
        <v>12.9</v>
      </c>
      <c r="P57">
        <f t="shared" si="74"/>
        <v>12.9</v>
      </c>
      <c r="Q57">
        <f t="shared" si="74"/>
        <v>12.9</v>
      </c>
      <c r="R57">
        <f t="shared" si="74"/>
        <v>12.9</v>
      </c>
      <c r="S57">
        <f t="shared" si="74"/>
        <v>12.9</v>
      </c>
      <c r="T57">
        <f t="shared" si="74"/>
        <v>12.9</v>
      </c>
      <c r="U57">
        <f t="shared" si="74"/>
        <v>12.9</v>
      </c>
      <c r="V57">
        <f t="shared" si="74"/>
        <v>12.9</v>
      </c>
      <c r="W57">
        <f t="shared" si="74"/>
        <v>12.9</v>
      </c>
      <c r="X57">
        <f t="shared" si="74"/>
        <v>12.9</v>
      </c>
      <c r="Y57">
        <f t="shared" si="74"/>
        <v>12.9</v>
      </c>
      <c r="Z57">
        <f t="shared" si="74"/>
        <v>12.9</v>
      </c>
      <c r="AA57">
        <f t="shared" si="74"/>
        <v>12.9</v>
      </c>
      <c r="AB57">
        <f t="shared" si="74"/>
        <v>12.9</v>
      </c>
      <c r="AC57">
        <f t="shared" si="74"/>
        <v>27.95</v>
      </c>
      <c r="AD57">
        <f t="shared" si="74"/>
        <v>34.4</v>
      </c>
      <c r="AE57">
        <f t="shared" si="74"/>
        <v>30.1</v>
      </c>
      <c r="AF57">
        <f t="shared" si="74"/>
        <v>32.25</v>
      </c>
      <c r="AG57">
        <f t="shared" si="74"/>
        <v>32.25</v>
      </c>
      <c r="AH57">
        <f t="shared" si="74"/>
        <v>36.550000000000004</v>
      </c>
      <c r="AI57">
        <f t="shared" si="74"/>
        <v>38.700000000000003</v>
      </c>
      <c r="AJ57">
        <f t="shared" si="74"/>
        <v>40.85</v>
      </c>
      <c r="AK57">
        <f t="shared" si="74"/>
        <v>49.45</v>
      </c>
      <c r="AL57">
        <f t="shared" si="74"/>
        <v>49.45</v>
      </c>
      <c r="AM57">
        <f t="shared" si="74"/>
        <v>47.300000000000004</v>
      </c>
      <c r="AN57" t="e">
        <f t="shared" si="74"/>
        <v>#N/A</v>
      </c>
      <c r="AO57">
        <f t="shared" si="74"/>
        <v>38.700000000000003</v>
      </c>
      <c r="AP57">
        <f t="shared" si="74"/>
        <v>38.700000000000003</v>
      </c>
      <c r="AQ57">
        <f t="shared" si="74"/>
        <v>34.4</v>
      </c>
      <c r="AR57">
        <f t="shared" si="74"/>
        <v>38.700000000000003</v>
      </c>
      <c r="AS57">
        <f t="shared" si="74"/>
        <v>34.4</v>
      </c>
      <c r="AT57" t="e">
        <f t="shared" si="74"/>
        <v>#N/A</v>
      </c>
      <c r="AU57" t="e">
        <f t="shared" si="74"/>
        <v>#N/A</v>
      </c>
      <c r="AV57" t="e">
        <f t="shared" si="74"/>
        <v>#N/A</v>
      </c>
      <c r="AW57" t="e">
        <f t="shared" si="74"/>
        <v>#N/A</v>
      </c>
      <c r="AX57" t="e">
        <f t="shared" si="74"/>
        <v>#N/A</v>
      </c>
      <c r="AY57" t="e">
        <f t="shared" si="74"/>
        <v>#N/A</v>
      </c>
      <c r="AZ57" t="e">
        <f t="shared" si="74"/>
        <v>#N/A</v>
      </c>
      <c r="BA57" t="e">
        <f t="shared" si="74"/>
        <v>#N/A</v>
      </c>
      <c r="BB57" t="e">
        <f t="shared" si="74"/>
        <v>#N/A</v>
      </c>
      <c r="BC57" t="e">
        <f t="shared" si="74"/>
        <v>#N/A</v>
      </c>
      <c r="BD57" t="e">
        <f t="shared" si="74"/>
        <v>#N/A</v>
      </c>
      <c r="BE57" t="e">
        <f t="shared" si="74"/>
        <v>#N/A</v>
      </c>
      <c r="BF57" t="e">
        <f t="shared" si="74"/>
        <v>#N/A</v>
      </c>
      <c r="BG57" t="e">
        <f t="shared" si="74"/>
        <v>#N/A</v>
      </c>
      <c r="BH57" t="e">
        <f t="shared" si="74"/>
        <v>#N/A</v>
      </c>
      <c r="BI57" t="e">
        <f t="shared" si="74"/>
        <v>#N/A</v>
      </c>
      <c r="BJ57" t="e">
        <f t="shared" si="74"/>
        <v>#N/A</v>
      </c>
      <c r="BK57" t="e">
        <f t="shared" si="74"/>
        <v>#N/A</v>
      </c>
      <c r="BL57" t="e">
        <f t="shared" si="74"/>
        <v>#N/A</v>
      </c>
      <c r="BM57" t="e">
        <f t="shared" si="74"/>
        <v>#N/A</v>
      </c>
      <c r="BN57" t="e">
        <f t="shared" si="74"/>
        <v>#N/A</v>
      </c>
      <c r="BO57" t="e">
        <f t="shared" si="74"/>
        <v>#N/A</v>
      </c>
      <c r="BP57" t="e">
        <f t="shared" si="74"/>
        <v>#N/A</v>
      </c>
      <c r="BQ57" t="e">
        <f t="shared" si="74"/>
        <v>#N/A</v>
      </c>
      <c r="BR57" t="e">
        <f t="shared" si="74"/>
        <v>#N/A</v>
      </c>
      <c r="BS57" t="e">
        <f t="shared" si="74"/>
        <v>#N/A</v>
      </c>
      <c r="BT57" t="e">
        <f t="shared" si="74"/>
        <v>#N/A</v>
      </c>
      <c r="BU57" t="e">
        <f t="shared" ref="BU57:CZ58" si="78">IF($B57=$B$21,BU$21,IF($B57=$B$22,BU$22,IF($B57=$B$23,BU$23,IF($B57=$B$24,BU$24,IF($B57=$B$25,BU$25,IF($B57=$B$26,BU$26,IF($B57=$B$27,BU$27,IF($B57=$B$28,BU$28,IF($B57=$B$29,BU$29,IF($B57=$B$30,BU$30,0))))))))))*$A57</f>
        <v>#N/A</v>
      </c>
      <c r="BV57" t="e">
        <f t="shared" si="75"/>
        <v>#N/A</v>
      </c>
      <c r="BW57" t="e">
        <f t="shared" si="75"/>
        <v>#N/A</v>
      </c>
      <c r="BX57" t="e">
        <f t="shared" si="75"/>
        <v>#N/A</v>
      </c>
      <c r="BY57" t="e">
        <f t="shared" si="75"/>
        <v>#N/A</v>
      </c>
      <c r="BZ57" t="e">
        <f t="shared" si="75"/>
        <v>#N/A</v>
      </c>
      <c r="CA57" t="e">
        <f t="shared" si="75"/>
        <v>#N/A</v>
      </c>
      <c r="CB57" t="e">
        <f t="shared" si="75"/>
        <v>#N/A</v>
      </c>
      <c r="CC57" t="e">
        <f t="shared" si="75"/>
        <v>#N/A</v>
      </c>
      <c r="CD57" t="e">
        <f t="shared" si="75"/>
        <v>#N/A</v>
      </c>
      <c r="CE57" t="e">
        <f t="shared" si="75"/>
        <v>#N/A</v>
      </c>
      <c r="CF57" t="e">
        <f t="shared" si="75"/>
        <v>#N/A</v>
      </c>
      <c r="CG57" t="e">
        <f t="shared" si="75"/>
        <v>#N/A</v>
      </c>
      <c r="CH57" t="e">
        <f t="shared" si="75"/>
        <v>#N/A</v>
      </c>
      <c r="CI57" t="e">
        <f t="shared" si="75"/>
        <v>#N/A</v>
      </c>
      <c r="CJ57" t="e">
        <f t="shared" si="75"/>
        <v>#N/A</v>
      </c>
      <c r="CK57" t="e">
        <f t="shared" si="75"/>
        <v>#N/A</v>
      </c>
      <c r="CL57" t="e">
        <f t="shared" si="75"/>
        <v>#N/A</v>
      </c>
      <c r="CM57" t="e">
        <f t="shared" si="75"/>
        <v>#N/A</v>
      </c>
      <c r="CN57" t="e">
        <f t="shared" si="75"/>
        <v>#N/A</v>
      </c>
      <c r="CO57" t="e">
        <f t="shared" si="75"/>
        <v>#N/A</v>
      </c>
      <c r="CP57" t="e">
        <f t="shared" si="75"/>
        <v>#N/A</v>
      </c>
      <c r="CQ57" t="e">
        <f t="shared" si="75"/>
        <v>#N/A</v>
      </c>
      <c r="CR57" t="e">
        <f t="shared" si="75"/>
        <v>#N/A</v>
      </c>
      <c r="CS57" t="e">
        <f t="shared" si="75"/>
        <v>#N/A</v>
      </c>
      <c r="CT57" t="e">
        <f t="shared" si="75"/>
        <v>#N/A</v>
      </c>
      <c r="CU57" t="e">
        <f t="shared" si="75"/>
        <v>#N/A</v>
      </c>
      <c r="CV57" t="e">
        <f t="shared" si="75"/>
        <v>#N/A</v>
      </c>
      <c r="CW57" t="e">
        <f t="shared" si="75"/>
        <v>#N/A</v>
      </c>
      <c r="CX57" t="e">
        <f t="shared" si="75"/>
        <v>#N/A</v>
      </c>
      <c r="CY57" t="e">
        <f t="shared" si="75"/>
        <v>#N/A</v>
      </c>
      <c r="CZ57" t="e">
        <f t="shared" si="75"/>
        <v>#N/A</v>
      </c>
      <c r="DA57" t="e">
        <f t="shared" si="75"/>
        <v>#N/A</v>
      </c>
      <c r="DB57" t="e">
        <f t="shared" si="75"/>
        <v>#N/A</v>
      </c>
      <c r="DC57" t="e">
        <f t="shared" si="75"/>
        <v>#N/A</v>
      </c>
      <c r="DD57" t="e">
        <f t="shared" si="75"/>
        <v>#N/A</v>
      </c>
      <c r="DE57" t="e">
        <f t="shared" si="75"/>
        <v>#N/A</v>
      </c>
      <c r="DF57" t="e">
        <f t="shared" si="75"/>
        <v>#N/A</v>
      </c>
      <c r="DG57" t="e">
        <f t="shared" si="75"/>
        <v>#N/A</v>
      </c>
      <c r="DH57" t="e">
        <f t="shared" si="75"/>
        <v>#N/A</v>
      </c>
      <c r="DI57" t="e">
        <f t="shared" si="75"/>
        <v>#N/A</v>
      </c>
      <c r="DJ57" t="e">
        <f t="shared" si="75"/>
        <v>#N/A</v>
      </c>
      <c r="DK57" t="e">
        <f t="shared" si="75"/>
        <v>#N/A</v>
      </c>
      <c r="DL57" t="e">
        <f t="shared" si="75"/>
        <v>#N/A</v>
      </c>
      <c r="DM57" t="e">
        <f t="shared" si="75"/>
        <v>#N/A</v>
      </c>
      <c r="DN57" t="e">
        <f t="shared" si="75"/>
        <v>#N/A</v>
      </c>
      <c r="DO57" t="e">
        <f t="shared" si="75"/>
        <v>#N/A</v>
      </c>
      <c r="DP57" t="e">
        <f t="shared" si="75"/>
        <v>#N/A</v>
      </c>
      <c r="DQ57" t="e">
        <f t="shared" si="75"/>
        <v>#N/A</v>
      </c>
      <c r="DR57" t="e">
        <f t="shared" si="75"/>
        <v>#N/A</v>
      </c>
      <c r="DS57" t="e">
        <f t="shared" si="75"/>
        <v>#N/A</v>
      </c>
      <c r="DT57" t="e">
        <f t="shared" si="75"/>
        <v>#N/A</v>
      </c>
      <c r="DU57" t="e">
        <f t="shared" si="75"/>
        <v>#N/A</v>
      </c>
      <c r="DV57" t="e">
        <f t="shared" si="75"/>
        <v>#N/A</v>
      </c>
      <c r="DW57" t="e">
        <f t="shared" si="75"/>
        <v>#N/A</v>
      </c>
      <c r="DX57" t="e">
        <f t="shared" si="75"/>
        <v>#N/A</v>
      </c>
      <c r="DY57" t="e">
        <f t="shared" si="75"/>
        <v>#N/A</v>
      </c>
      <c r="DZ57" t="e">
        <f t="shared" si="75"/>
        <v>#N/A</v>
      </c>
      <c r="EA57" t="e">
        <f t="shared" si="75"/>
        <v>#N/A</v>
      </c>
      <c r="EB57" t="e">
        <f t="shared" si="75"/>
        <v>#N/A</v>
      </c>
      <c r="EC57" t="e">
        <f t="shared" si="75"/>
        <v>#N/A</v>
      </c>
      <c r="ED57" t="e">
        <f t="shared" si="75"/>
        <v>#N/A</v>
      </c>
      <c r="EE57" t="e">
        <f t="shared" si="75"/>
        <v>#N/A</v>
      </c>
      <c r="EF57" t="e">
        <f t="shared" si="75"/>
        <v>#N/A</v>
      </c>
      <c r="EG57" t="e">
        <f t="shared" ref="EG57:EG58" si="79">IF($B57=$B$21,EG$21,IF($B57=$B$22,EG$22,IF($B57=$B$23,EG$23,IF($B57=$B$24,EG$24,IF($B57=$B$25,EG$25,IF($B57=$B$26,EG$26,IF($B57=$B$27,EG$27,IF($B57=$B$28,EG$28,IF($B57=$B$29,EG$29,IF($B57=$B$30,EG$30,0))))))))))*$A57</f>
        <v>#N/A</v>
      </c>
      <c r="EH57" t="e">
        <f t="shared" si="76"/>
        <v>#N/A</v>
      </c>
      <c r="EI57" t="e">
        <f t="shared" si="76"/>
        <v>#N/A</v>
      </c>
      <c r="EJ57" t="e">
        <f t="shared" si="76"/>
        <v>#N/A</v>
      </c>
      <c r="EK57" t="e">
        <f t="shared" si="76"/>
        <v>#N/A</v>
      </c>
      <c r="EL57" t="e">
        <f t="shared" si="76"/>
        <v>#N/A</v>
      </c>
      <c r="EM57" t="e">
        <f t="shared" si="76"/>
        <v>#N/A</v>
      </c>
      <c r="EN57" t="e">
        <f t="shared" si="76"/>
        <v>#N/A</v>
      </c>
      <c r="EO57" t="e">
        <f t="shared" si="76"/>
        <v>#N/A</v>
      </c>
      <c r="EP57" t="e">
        <f t="shared" si="76"/>
        <v>#N/A</v>
      </c>
      <c r="EQ57" t="e">
        <f t="shared" si="76"/>
        <v>#N/A</v>
      </c>
      <c r="ER57" t="e">
        <f t="shared" si="76"/>
        <v>#N/A</v>
      </c>
      <c r="ES57" t="e">
        <f t="shared" si="76"/>
        <v>#N/A</v>
      </c>
      <c r="ET57" t="e">
        <f t="shared" si="76"/>
        <v>#N/A</v>
      </c>
      <c r="EU57" t="e">
        <f t="shared" si="76"/>
        <v>#N/A</v>
      </c>
      <c r="EV57" t="e">
        <f t="shared" si="76"/>
        <v>#N/A</v>
      </c>
      <c r="EW57" t="e">
        <f t="shared" si="76"/>
        <v>#N/A</v>
      </c>
      <c r="EX57" t="e">
        <f t="shared" si="76"/>
        <v>#N/A</v>
      </c>
      <c r="EY57" t="e">
        <f t="shared" si="76"/>
        <v>#N/A</v>
      </c>
      <c r="EZ57" t="e">
        <f t="shared" si="76"/>
        <v>#N/A</v>
      </c>
      <c r="FA57" t="e">
        <f t="shared" si="76"/>
        <v>#N/A</v>
      </c>
      <c r="FB57" t="e">
        <f t="shared" si="76"/>
        <v>#N/A</v>
      </c>
      <c r="FC57" t="e">
        <f t="shared" si="76"/>
        <v>#N/A</v>
      </c>
      <c r="FD57" t="e">
        <f t="shared" si="76"/>
        <v>#N/A</v>
      </c>
      <c r="FE57" t="e">
        <f t="shared" si="76"/>
        <v>#N/A</v>
      </c>
      <c r="FF57" t="e">
        <f t="shared" si="76"/>
        <v>#N/A</v>
      </c>
      <c r="FG57" t="e">
        <f t="shared" si="76"/>
        <v>#N/A</v>
      </c>
      <c r="FH57" t="e">
        <f t="shared" si="76"/>
        <v>#N/A</v>
      </c>
      <c r="FI57" t="e">
        <f t="shared" si="76"/>
        <v>#N/A</v>
      </c>
      <c r="FJ57" t="e">
        <f t="shared" si="76"/>
        <v>#N/A</v>
      </c>
      <c r="FK57" t="e">
        <f t="shared" si="76"/>
        <v>#N/A</v>
      </c>
      <c r="FL57" t="e">
        <f t="shared" si="76"/>
        <v>#N/A</v>
      </c>
      <c r="FM57" t="e">
        <f t="shared" si="76"/>
        <v>#N/A</v>
      </c>
      <c r="FN57" t="e">
        <f t="shared" si="76"/>
        <v>#N/A</v>
      </c>
      <c r="FO57" t="e">
        <f t="shared" si="76"/>
        <v>#N/A</v>
      </c>
      <c r="FP57" t="e">
        <f t="shared" si="76"/>
        <v>#N/A</v>
      </c>
      <c r="FQ57" t="e">
        <f t="shared" si="76"/>
        <v>#N/A</v>
      </c>
      <c r="FR57" t="e">
        <f t="shared" si="76"/>
        <v>#N/A</v>
      </c>
      <c r="FS57" t="e">
        <f t="shared" si="76"/>
        <v>#N/A</v>
      </c>
      <c r="FT57" t="e">
        <f t="shared" si="76"/>
        <v>#N/A</v>
      </c>
      <c r="FU57" t="e">
        <f t="shared" si="76"/>
        <v>#N/A</v>
      </c>
      <c r="FV57" t="e">
        <f t="shared" si="76"/>
        <v>#N/A</v>
      </c>
      <c r="FW57" t="e">
        <f t="shared" si="76"/>
        <v>#N/A</v>
      </c>
      <c r="FX57" t="e">
        <f t="shared" si="76"/>
        <v>#N/A</v>
      </c>
      <c r="FY57" t="e">
        <f t="shared" si="76"/>
        <v>#N/A</v>
      </c>
      <c r="FZ57" t="e">
        <f t="shared" si="76"/>
        <v>#N/A</v>
      </c>
      <c r="GA57" t="e">
        <f t="shared" si="76"/>
        <v>#N/A</v>
      </c>
    </row>
    <row r="58" spans="1:183" x14ac:dyDescent="0.45">
      <c r="A58">
        <f t="shared" si="77"/>
        <v>150</v>
      </c>
      <c r="B58" t="s">
        <v>5</v>
      </c>
      <c r="C58" cm="1">
        <f t="array" ref="C58">LOOKUP(2,1/(I58:GA58&lt;&gt;""),I58:GA58)</f>
        <v>37.5</v>
      </c>
      <c r="D58">
        <f t="shared" si="72"/>
        <v>45</v>
      </c>
      <c r="F58" s="3">
        <f t="shared" si="73"/>
        <v>-0.13793103448275862</v>
      </c>
      <c r="G58" s="3" cm="1">
        <f t="array" ref="G58">(C58-IF(ISNA(INDEX(I58:GA58,D58-22)),INDEX(I58:GA58,D58-23),INDEX(I58:GA58,D58-22)))/IF(ISNA(INDEX(I58:GA58,D58-22)),INDEX(I58:GA58,D58-23),INDEX(I58:GA58,D58-22))</f>
        <v>-3.8461538461538464E-2</v>
      </c>
      <c r="I58">
        <f>IF($B58=$B$21,I$21,IF($B58=$B$22,I$22,IF($B58=$B$23,I$23,IF($B58=$B$24,I$24,IF($B58=$B$25,I$25,IF($B58=$B$26,I$26,IF($B58=$B$27,I$27,IF($B58=$B$28,I$28,IF($B58=$B$29,I$29,IF($B58=$B$30,I$30,0))))))))))*$A58</f>
        <v>43.5</v>
      </c>
      <c r="J58">
        <f t="shared" ref="J58:BT58" si="80">IF($B58=$B$21,J$21,IF($B58=$B$22,J$22,IF($B58=$B$23,J$23,IF($B58=$B$24,J$24,IF($B58=$B$25,J$25,IF($B58=$B$26,J$26,IF($B58=$B$27,J$27,IF($B58=$B$28,J$28,IF($B58=$B$29,J$29,IF($B58=$B$30,J$30,0))))))))))*$A58</f>
        <v>43.5</v>
      </c>
      <c r="K58" t="e">
        <f t="shared" si="80"/>
        <v>#N/A</v>
      </c>
      <c r="L58">
        <f t="shared" si="80"/>
        <v>43.5</v>
      </c>
      <c r="M58" t="e">
        <f t="shared" si="80"/>
        <v>#N/A</v>
      </c>
      <c r="N58">
        <f t="shared" si="80"/>
        <v>37.5</v>
      </c>
      <c r="O58">
        <f t="shared" si="80"/>
        <v>37.5</v>
      </c>
      <c r="P58">
        <f t="shared" si="80"/>
        <v>42.000000000000007</v>
      </c>
      <c r="Q58">
        <f t="shared" si="80"/>
        <v>37.5</v>
      </c>
      <c r="R58">
        <f t="shared" si="80"/>
        <v>37.5</v>
      </c>
      <c r="S58">
        <f t="shared" si="80"/>
        <v>37.5</v>
      </c>
      <c r="T58">
        <f t="shared" si="80"/>
        <v>37.5</v>
      </c>
      <c r="U58">
        <f t="shared" si="80"/>
        <v>37.5</v>
      </c>
      <c r="V58">
        <f t="shared" si="80"/>
        <v>37.5</v>
      </c>
      <c r="W58">
        <f t="shared" si="80"/>
        <v>39</v>
      </c>
      <c r="X58">
        <f t="shared" si="80"/>
        <v>39</v>
      </c>
      <c r="Y58">
        <f t="shared" si="80"/>
        <v>42.000000000000007</v>
      </c>
      <c r="Z58">
        <f t="shared" si="80"/>
        <v>37.5</v>
      </c>
      <c r="AA58">
        <f t="shared" si="80"/>
        <v>39</v>
      </c>
      <c r="AB58">
        <f t="shared" si="80"/>
        <v>37.5</v>
      </c>
      <c r="AC58">
        <f t="shared" si="80"/>
        <v>43.5</v>
      </c>
      <c r="AD58">
        <f t="shared" si="80"/>
        <v>43.5</v>
      </c>
      <c r="AE58">
        <f t="shared" si="80"/>
        <v>39</v>
      </c>
      <c r="AF58">
        <f t="shared" si="80"/>
        <v>39</v>
      </c>
      <c r="AG58">
        <f t="shared" si="80"/>
        <v>37.5</v>
      </c>
      <c r="AH58">
        <f t="shared" si="80"/>
        <v>37.5</v>
      </c>
      <c r="AI58">
        <f t="shared" si="80"/>
        <v>37.5</v>
      </c>
      <c r="AJ58">
        <f t="shared" si="80"/>
        <v>37.5</v>
      </c>
      <c r="AK58">
        <f t="shared" si="80"/>
        <v>37.5</v>
      </c>
      <c r="AL58">
        <f t="shared" si="80"/>
        <v>37.5</v>
      </c>
      <c r="AM58">
        <f t="shared" si="80"/>
        <v>39</v>
      </c>
      <c r="AN58" t="e">
        <f t="shared" si="80"/>
        <v>#N/A</v>
      </c>
      <c r="AO58">
        <f t="shared" si="80"/>
        <v>37.5</v>
      </c>
      <c r="AP58">
        <f t="shared" si="80"/>
        <v>36</v>
      </c>
      <c r="AQ58">
        <f t="shared" si="80"/>
        <v>37.5</v>
      </c>
      <c r="AR58">
        <f t="shared" si="80"/>
        <v>39</v>
      </c>
      <c r="AS58">
        <f t="shared" si="80"/>
        <v>37.5</v>
      </c>
      <c r="AT58" t="e">
        <f t="shared" si="80"/>
        <v>#N/A</v>
      </c>
      <c r="AU58" t="e">
        <f t="shared" si="80"/>
        <v>#N/A</v>
      </c>
      <c r="AV58" t="e">
        <f t="shared" si="80"/>
        <v>#N/A</v>
      </c>
      <c r="AW58" t="e">
        <f t="shared" si="80"/>
        <v>#N/A</v>
      </c>
      <c r="AX58" t="e">
        <f t="shared" si="80"/>
        <v>#N/A</v>
      </c>
      <c r="AY58" t="e">
        <f t="shared" si="80"/>
        <v>#N/A</v>
      </c>
      <c r="AZ58" t="e">
        <f t="shared" si="80"/>
        <v>#N/A</v>
      </c>
      <c r="BA58" t="e">
        <f t="shared" si="80"/>
        <v>#N/A</v>
      </c>
      <c r="BB58" t="e">
        <f t="shared" si="80"/>
        <v>#N/A</v>
      </c>
      <c r="BC58" t="e">
        <f t="shared" si="80"/>
        <v>#N/A</v>
      </c>
      <c r="BD58" t="e">
        <f t="shared" si="80"/>
        <v>#N/A</v>
      </c>
      <c r="BE58" t="e">
        <f t="shared" si="80"/>
        <v>#N/A</v>
      </c>
      <c r="BF58" t="e">
        <f t="shared" si="80"/>
        <v>#N/A</v>
      </c>
      <c r="BG58" t="e">
        <f t="shared" si="80"/>
        <v>#N/A</v>
      </c>
      <c r="BH58" t="e">
        <f t="shared" si="80"/>
        <v>#N/A</v>
      </c>
      <c r="BI58" t="e">
        <f t="shared" si="80"/>
        <v>#N/A</v>
      </c>
      <c r="BJ58" t="e">
        <f t="shared" si="80"/>
        <v>#N/A</v>
      </c>
      <c r="BK58" t="e">
        <f t="shared" si="80"/>
        <v>#N/A</v>
      </c>
      <c r="BL58" t="e">
        <f t="shared" si="80"/>
        <v>#N/A</v>
      </c>
      <c r="BM58" t="e">
        <f t="shared" si="80"/>
        <v>#N/A</v>
      </c>
      <c r="BN58" t="e">
        <f t="shared" si="80"/>
        <v>#N/A</v>
      </c>
      <c r="BO58" t="e">
        <f t="shared" si="80"/>
        <v>#N/A</v>
      </c>
      <c r="BP58" t="e">
        <f t="shared" si="80"/>
        <v>#N/A</v>
      </c>
      <c r="BQ58" t="e">
        <f t="shared" si="80"/>
        <v>#N/A</v>
      </c>
      <c r="BR58" t="e">
        <f t="shared" si="80"/>
        <v>#N/A</v>
      </c>
      <c r="BS58" t="e">
        <f t="shared" si="80"/>
        <v>#N/A</v>
      </c>
      <c r="BT58" t="e">
        <f t="shared" si="80"/>
        <v>#N/A</v>
      </c>
      <c r="BU58" t="e">
        <f t="shared" si="78"/>
        <v>#N/A</v>
      </c>
      <c r="BV58" t="e">
        <f t="shared" si="78"/>
        <v>#N/A</v>
      </c>
      <c r="BW58" t="e">
        <f t="shared" si="78"/>
        <v>#N/A</v>
      </c>
      <c r="BX58" t="e">
        <f t="shared" si="78"/>
        <v>#N/A</v>
      </c>
      <c r="BY58" t="e">
        <f t="shared" si="78"/>
        <v>#N/A</v>
      </c>
      <c r="BZ58" t="e">
        <f t="shared" si="78"/>
        <v>#N/A</v>
      </c>
      <c r="CA58" t="e">
        <f t="shared" si="78"/>
        <v>#N/A</v>
      </c>
      <c r="CB58" t="e">
        <f t="shared" si="78"/>
        <v>#N/A</v>
      </c>
      <c r="CC58" t="e">
        <f t="shared" si="78"/>
        <v>#N/A</v>
      </c>
      <c r="CD58" t="e">
        <f t="shared" si="78"/>
        <v>#N/A</v>
      </c>
      <c r="CE58" t="e">
        <f t="shared" si="78"/>
        <v>#N/A</v>
      </c>
      <c r="CF58" t="e">
        <f t="shared" si="78"/>
        <v>#N/A</v>
      </c>
      <c r="CG58" t="e">
        <f t="shared" si="78"/>
        <v>#N/A</v>
      </c>
      <c r="CH58" t="e">
        <f t="shared" si="78"/>
        <v>#N/A</v>
      </c>
      <c r="CI58" t="e">
        <f t="shared" si="78"/>
        <v>#N/A</v>
      </c>
      <c r="CJ58" t="e">
        <f t="shared" si="78"/>
        <v>#N/A</v>
      </c>
      <c r="CK58" t="e">
        <f t="shared" si="78"/>
        <v>#N/A</v>
      </c>
      <c r="CL58" t="e">
        <f t="shared" si="78"/>
        <v>#N/A</v>
      </c>
      <c r="CM58" t="e">
        <f t="shared" si="78"/>
        <v>#N/A</v>
      </c>
      <c r="CN58" t="e">
        <f t="shared" si="78"/>
        <v>#N/A</v>
      </c>
      <c r="CO58" t="e">
        <f t="shared" si="78"/>
        <v>#N/A</v>
      </c>
      <c r="CP58" t="e">
        <f t="shared" si="78"/>
        <v>#N/A</v>
      </c>
      <c r="CQ58" t="e">
        <f t="shared" si="78"/>
        <v>#N/A</v>
      </c>
      <c r="CR58" t="e">
        <f t="shared" si="78"/>
        <v>#N/A</v>
      </c>
      <c r="CS58" t="e">
        <f t="shared" si="78"/>
        <v>#N/A</v>
      </c>
      <c r="CT58" t="e">
        <f t="shared" si="78"/>
        <v>#N/A</v>
      </c>
      <c r="CU58" t="e">
        <f t="shared" si="78"/>
        <v>#N/A</v>
      </c>
      <c r="CV58" t="e">
        <f t="shared" si="78"/>
        <v>#N/A</v>
      </c>
      <c r="CW58" t="e">
        <f t="shared" si="78"/>
        <v>#N/A</v>
      </c>
      <c r="CX58" t="e">
        <f t="shared" si="78"/>
        <v>#N/A</v>
      </c>
      <c r="CY58" t="e">
        <f t="shared" si="78"/>
        <v>#N/A</v>
      </c>
      <c r="CZ58" t="e">
        <f t="shared" si="78"/>
        <v>#N/A</v>
      </c>
      <c r="DA58" t="e">
        <f t="shared" ref="DA58:EF58" si="81">IF($B58=$B$21,DA$21,IF($B58=$B$22,DA$22,IF($B58=$B$23,DA$23,IF($B58=$B$24,DA$24,IF($B58=$B$25,DA$25,IF($B58=$B$26,DA$26,IF($B58=$B$27,DA$27,IF($B58=$B$28,DA$28,IF($B58=$B$29,DA$29,IF($B58=$B$30,DA$30,0))))))))))*$A58</f>
        <v>#N/A</v>
      </c>
      <c r="DB58" t="e">
        <f t="shared" si="81"/>
        <v>#N/A</v>
      </c>
      <c r="DC58" t="e">
        <f t="shared" si="81"/>
        <v>#N/A</v>
      </c>
      <c r="DD58" t="e">
        <f t="shared" si="81"/>
        <v>#N/A</v>
      </c>
      <c r="DE58" t="e">
        <f t="shared" si="81"/>
        <v>#N/A</v>
      </c>
      <c r="DF58" t="e">
        <f t="shared" si="81"/>
        <v>#N/A</v>
      </c>
      <c r="DG58" t="e">
        <f t="shared" si="81"/>
        <v>#N/A</v>
      </c>
      <c r="DH58" t="e">
        <f t="shared" si="81"/>
        <v>#N/A</v>
      </c>
      <c r="DI58" t="e">
        <f t="shared" si="81"/>
        <v>#N/A</v>
      </c>
      <c r="DJ58" t="e">
        <f t="shared" si="81"/>
        <v>#N/A</v>
      </c>
      <c r="DK58" t="e">
        <f t="shared" si="81"/>
        <v>#N/A</v>
      </c>
      <c r="DL58" t="e">
        <f t="shared" si="81"/>
        <v>#N/A</v>
      </c>
      <c r="DM58" t="e">
        <f t="shared" si="81"/>
        <v>#N/A</v>
      </c>
      <c r="DN58" t="e">
        <f t="shared" si="81"/>
        <v>#N/A</v>
      </c>
      <c r="DO58" t="e">
        <f t="shared" si="81"/>
        <v>#N/A</v>
      </c>
      <c r="DP58" t="e">
        <f t="shared" si="81"/>
        <v>#N/A</v>
      </c>
      <c r="DQ58" t="e">
        <f t="shared" si="81"/>
        <v>#N/A</v>
      </c>
      <c r="DR58" t="e">
        <f t="shared" si="81"/>
        <v>#N/A</v>
      </c>
      <c r="DS58" t="e">
        <f t="shared" si="81"/>
        <v>#N/A</v>
      </c>
      <c r="DT58" t="e">
        <f t="shared" si="81"/>
        <v>#N/A</v>
      </c>
      <c r="DU58" t="e">
        <f t="shared" si="81"/>
        <v>#N/A</v>
      </c>
      <c r="DV58" t="e">
        <f t="shared" si="81"/>
        <v>#N/A</v>
      </c>
      <c r="DW58" t="e">
        <f t="shared" si="81"/>
        <v>#N/A</v>
      </c>
      <c r="DX58" t="e">
        <f t="shared" si="81"/>
        <v>#N/A</v>
      </c>
      <c r="DY58" t="e">
        <f t="shared" si="81"/>
        <v>#N/A</v>
      </c>
      <c r="DZ58" t="e">
        <f t="shared" si="81"/>
        <v>#N/A</v>
      </c>
      <c r="EA58" t="e">
        <f t="shared" si="81"/>
        <v>#N/A</v>
      </c>
      <c r="EB58" t="e">
        <f t="shared" si="81"/>
        <v>#N/A</v>
      </c>
      <c r="EC58" t="e">
        <f t="shared" si="81"/>
        <v>#N/A</v>
      </c>
      <c r="ED58" t="e">
        <f t="shared" si="81"/>
        <v>#N/A</v>
      </c>
      <c r="EE58" t="e">
        <f t="shared" si="81"/>
        <v>#N/A</v>
      </c>
      <c r="EF58" t="e">
        <f t="shared" si="81"/>
        <v>#N/A</v>
      </c>
      <c r="EG58" t="e">
        <f t="shared" si="79"/>
        <v>#N/A</v>
      </c>
      <c r="EH58" t="e">
        <f t="shared" si="76"/>
        <v>#N/A</v>
      </c>
      <c r="EI58" t="e">
        <f t="shared" si="76"/>
        <v>#N/A</v>
      </c>
      <c r="EJ58" t="e">
        <f t="shared" si="76"/>
        <v>#N/A</v>
      </c>
      <c r="EK58" t="e">
        <f t="shared" si="76"/>
        <v>#N/A</v>
      </c>
      <c r="EL58" t="e">
        <f t="shared" si="76"/>
        <v>#N/A</v>
      </c>
      <c r="EM58" t="e">
        <f t="shared" si="76"/>
        <v>#N/A</v>
      </c>
      <c r="EN58" t="e">
        <f t="shared" si="76"/>
        <v>#N/A</v>
      </c>
      <c r="EO58" t="e">
        <f t="shared" si="76"/>
        <v>#N/A</v>
      </c>
      <c r="EP58" t="e">
        <f t="shared" si="76"/>
        <v>#N/A</v>
      </c>
      <c r="EQ58" t="e">
        <f t="shared" si="76"/>
        <v>#N/A</v>
      </c>
      <c r="ER58" t="e">
        <f t="shared" si="76"/>
        <v>#N/A</v>
      </c>
      <c r="ES58" t="e">
        <f t="shared" si="76"/>
        <v>#N/A</v>
      </c>
      <c r="ET58" t="e">
        <f t="shared" si="76"/>
        <v>#N/A</v>
      </c>
      <c r="EU58" t="e">
        <f t="shared" si="76"/>
        <v>#N/A</v>
      </c>
      <c r="EV58" t="e">
        <f t="shared" si="76"/>
        <v>#N/A</v>
      </c>
      <c r="EW58" t="e">
        <f t="shared" si="76"/>
        <v>#N/A</v>
      </c>
      <c r="EX58" t="e">
        <f t="shared" si="76"/>
        <v>#N/A</v>
      </c>
      <c r="EY58" t="e">
        <f t="shared" si="76"/>
        <v>#N/A</v>
      </c>
      <c r="EZ58" t="e">
        <f t="shared" si="76"/>
        <v>#N/A</v>
      </c>
      <c r="FA58" t="e">
        <f t="shared" si="76"/>
        <v>#N/A</v>
      </c>
      <c r="FB58" t="e">
        <f t="shared" si="76"/>
        <v>#N/A</v>
      </c>
      <c r="FC58" t="e">
        <f t="shared" si="76"/>
        <v>#N/A</v>
      </c>
      <c r="FD58" t="e">
        <f t="shared" si="76"/>
        <v>#N/A</v>
      </c>
      <c r="FE58" t="e">
        <f t="shared" si="76"/>
        <v>#N/A</v>
      </c>
      <c r="FF58" t="e">
        <f t="shared" si="76"/>
        <v>#N/A</v>
      </c>
      <c r="FG58" t="e">
        <f t="shared" si="76"/>
        <v>#N/A</v>
      </c>
      <c r="FH58" t="e">
        <f t="shared" si="76"/>
        <v>#N/A</v>
      </c>
      <c r="FI58" t="e">
        <f t="shared" si="76"/>
        <v>#N/A</v>
      </c>
      <c r="FJ58" t="e">
        <f t="shared" si="76"/>
        <v>#N/A</v>
      </c>
      <c r="FK58" t="e">
        <f t="shared" si="76"/>
        <v>#N/A</v>
      </c>
      <c r="FL58" t="e">
        <f t="shared" si="76"/>
        <v>#N/A</v>
      </c>
      <c r="FM58" t="e">
        <f t="shared" si="76"/>
        <v>#N/A</v>
      </c>
      <c r="FN58" t="e">
        <f t="shared" si="76"/>
        <v>#N/A</v>
      </c>
      <c r="FO58" t="e">
        <f t="shared" si="76"/>
        <v>#N/A</v>
      </c>
      <c r="FP58" t="e">
        <f t="shared" si="76"/>
        <v>#N/A</v>
      </c>
      <c r="FQ58" t="e">
        <f t="shared" si="76"/>
        <v>#N/A</v>
      </c>
      <c r="FR58" t="e">
        <f t="shared" si="76"/>
        <v>#N/A</v>
      </c>
      <c r="FS58" t="e">
        <f t="shared" si="76"/>
        <v>#N/A</v>
      </c>
      <c r="FT58" t="e">
        <f t="shared" si="76"/>
        <v>#N/A</v>
      </c>
      <c r="FU58" t="e">
        <f t="shared" si="76"/>
        <v>#N/A</v>
      </c>
      <c r="FV58" t="e">
        <f t="shared" si="76"/>
        <v>#N/A</v>
      </c>
      <c r="FW58" t="e">
        <f t="shared" si="76"/>
        <v>#N/A</v>
      </c>
      <c r="FX58" t="e">
        <f t="shared" si="76"/>
        <v>#N/A</v>
      </c>
      <c r="FY58" t="e">
        <f t="shared" si="76"/>
        <v>#N/A</v>
      </c>
      <c r="FZ58" t="e">
        <f t="shared" si="76"/>
        <v>#N/A</v>
      </c>
      <c r="GA58" t="e">
        <f t="shared" si="76"/>
        <v>#N/A</v>
      </c>
    </row>
    <row r="59" spans="1:183" x14ac:dyDescent="0.45">
      <c r="F59" s="4"/>
    </row>
    <row r="60" spans="1:183" x14ac:dyDescent="0.45">
      <c r="A60" s="2" t="s">
        <v>15</v>
      </c>
      <c r="F60" s="4"/>
    </row>
    <row r="61" spans="1:183" x14ac:dyDescent="0.45">
      <c r="F61" s="4"/>
      <c r="I61" s="1">
        <f>I53</f>
        <v>44331</v>
      </c>
      <c r="J61" s="1">
        <f t="shared" ref="J61:BU61" si="82">J53</f>
        <v>44332</v>
      </c>
      <c r="K61" s="1">
        <f t="shared" si="82"/>
        <v>44333</v>
      </c>
      <c r="L61" s="1">
        <f t="shared" si="82"/>
        <v>44334</v>
      </c>
      <c r="M61" s="1">
        <f t="shared" si="82"/>
        <v>44335</v>
      </c>
      <c r="N61" s="1">
        <f t="shared" si="82"/>
        <v>44336</v>
      </c>
      <c r="O61" s="1">
        <f t="shared" si="82"/>
        <v>44337</v>
      </c>
      <c r="P61" s="1">
        <f t="shared" si="82"/>
        <v>44338</v>
      </c>
      <c r="Q61" s="1">
        <f t="shared" si="82"/>
        <v>44339</v>
      </c>
      <c r="R61" s="1">
        <f t="shared" si="82"/>
        <v>44340</v>
      </c>
      <c r="S61" s="1">
        <f t="shared" si="82"/>
        <v>44341</v>
      </c>
      <c r="T61" s="1">
        <f t="shared" si="82"/>
        <v>44342</v>
      </c>
      <c r="U61" s="1">
        <f t="shared" si="82"/>
        <v>44343</v>
      </c>
      <c r="V61" s="1">
        <f t="shared" si="82"/>
        <v>44344</v>
      </c>
      <c r="W61" s="1">
        <f t="shared" si="82"/>
        <v>44345</v>
      </c>
      <c r="X61" s="1">
        <f t="shared" si="82"/>
        <v>44346</v>
      </c>
      <c r="Y61" s="1">
        <f t="shared" si="82"/>
        <v>44347</v>
      </c>
      <c r="Z61" s="1">
        <f t="shared" si="82"/>
        <v>44348</v>
      </c>
      <c r="AA61" s="1">
        <f t="shared" si="82"/>
        <v>44349</v>
      </c>
      <c r="AB61" s="1">
        <f t="shared" si="82"/>
        <v>44350</v>
      </c>
      <c r="AC61" s="1">
        <f t="shared" si="82"/>
        <v>44351</v>
      </c>
      <c r="AD61" s="1">
        <f t="shared" si="82"/>
        <v>44352</v>
      </c>
      <c r="AE61" s="1">
        <f t="shared" si="82"/>
        <v>44353</v>
      </c>
      <c r="AF61" s="1">
        <f t="shared" si="82"/>
        <v>44354</v>
      </c>
      <c r="AG61" s="1">
        <f t="shared" si="82"/>
        <v>44355</v>
      </c>
      <c r="AH61" s="1">
        <f t="shared" si="82"/>
        <v>44356</v>
      </c>
      <c r="AI61" s="1">
        <f t="shared" si="82"/>
        <v>44357</v>
      </c>
      <c r="AJ61" s="1">
        <f t="shared" si="82"/>
        <v>44358</v>
      </c>
      <c r="AK61" s="1">
        <f t="shared" si="82"/>
        <v>44359</v>
      </c>
      <c r="AL61" s="1">
        <f t="shared" si="82"/>
        <v>44360</v>
      </c>
      <c r="AM61" s="1">
        <f t="shared" si="82"/>
        <v>44361</v>
      </c>
      <c r="AN61" s="1">
        <f t="shared" si="82"/>
        <v>44362</v>
      </c>
      <c r="AO61" s="1">
        <f t="shared" si="82"/>
        <v>44363</v>
      </c>
      <c r="AP61" s="1">
        <f t="shared" si="82"/>
        <v>44364</v>
      </c>
      <c r="AQ61" s="1">
        <f t="shared" si="82"/>
        <v>44365</v>
      </c>
      <c r="AR61" s="1">
        <f t="shared" si="82"/>
        <v>44366</v>
      </c>
      <c r="AS61" s="1">
        <f t="shared" si="82"/>
        <v>44367</v>
      </c>
      <c r="AT61" s="1">
        <f t="shared" si="82"/>
        <v>44368</v>
      </c>
      <c r="AU61" s="1">
        <f t="shared" si="82"/>
        <v>44369</v>
      </c>
      <c r="AV61" s="1">
        <f t="shared" si="82"/>
        <v>44370</v>
      </c>
      <c r="AW61" s="1">
        <f t="shared" si="82"/>
        <v>44371</v>
      </c>
      <c r="AX61" s="1">
        <f t="shared" si="82"/>
        <v>44372</v>
      </c>
      <c r="AY61" s="1">
        <f t="shared" si="82"/>
        <v>44373</v>
      </c>
      <c r="AZ61" s="1">
        <f t="shared" si="82"/>
        <v>44374</v>
      </c>
      <c r="BA61" s="1">
        <f t="shared" si="82"/>
        <v>44375</v>
      </c>
      <c r="BB61" s="1">
        <f t="shared" si="82"/>
        <v>44376</v>
      </c>
      <c r="BC61" s="1">
        <f t="shared" si="82"/>
        <v>44377</v>
      </c>
      <c r="BD61" s="1">
        <f t="shared" si="82"/>
        <v>44378</v>
      </c>
      <c r="BE61" s="1">
        <f t="shared" si="82"/>
        <v>44379</v>
      </c>
      <c r="BF61" s="1">
        <f t="shared" si="82"/>
        <v>44380</v>
      </c>
      <c r="BG61" s="1">
        <f t="shared" si="82"/>
        <v>44381</v>
      </c>
      <c r="BH61" s="1">
        <f t="shared" si="82"/>
        <v>44382</v>
      </c>
      <c r="BI61" s="1">
        <f t="shared" si="82"/>
        <v>44383</v>
      </c>
      <c r="BJ61" s="1">
        <f t="shared" si="82"/>
        <v>44384</v>
      </c>
      <c r="BK61" s="1">
        <f t="shared" si="82"/>
        <v>44385</v>
      </c>
      <c r="BL61" s="1">
        <f t="shared" si="82"/>
        <v>44386</v>
      </c>
      <c r="BM61" s="1">
        <f t="shared" si="82"/>
        <v>44387</v>
      </c>
      <c r="BN61" s="1">
        <f t="shared" si="82"/>
        <v>44388</v>
      </c>
      <c r="BO61" s="1">
        <f t="shared" si="82"/>
        <v>44389</v>
      </c>
      <c r="BP61" s="1">
        <f t="shared" si="82"/>
        <v>44390</v>
      </c>
      <c r="BQ61" s="1">
        <f t="shared" si="82"/>
        <v>44391</v>
      </c>
      <c r="BR61" s="1">
        <f t="shared" si="82"/>
        <v>44392</v>
      </c>
      <c r="BS61" s="1">
        <f t="shared" si="82"/>
        <v>44393</v>
      </c>
      <c r="BT61" s="1">
        <f t="shared" si="82"/>
        <v>44394</v>
      </c>
      <c r="BU61" s="1">
        <f t="shared" si="82"/>
        <v>44395</v>
      </c>
      <c r="BV61" s="1">
        <f t="shared" ref="BV61:EG61" si="83">BV53</f>
        <v>44396</v>
      </c>
      <c r="BW61" s="1">
        <f t="shared" si="83"/>
        <v>44397</v>
      </c>
      <c r="BX61" s="1">
        <f t="shared" si="83"/>
        <v>44398</v>
      </c>
      <c r="BY61" s="1">
        <f t="shared" si="83"/>
        <v>44399</v>
      </c>
      <c r="BZ61" s="1">
        <f t="shared" si="83"/>
        <v>44400</v>
      </c>
      <c r="CA61" s="1">
        <f t="shared" si="83"/>
        <v>44401</v>
      </c>
      <c r="CB61" s="1">
        <f t="shared" si="83"/>
        <v>44402</v>
      </c>
      <c r="CC61" s="1">
        <f t="shared" si="83"/>
        <v>44403</v>
      </c>
      <c r="CD61" s="1">
        <f t="shared" si="83"/>
        <v>44404</v>
      </c>
      <c r="CE61" s="1">
        <f t="shared" si="83"/>
        <v>44405</v>
      </c>
      <c r="CF61" s="1">
        <f t="shared" si="83"/>
        <v>44406</v>
      </c>
      <c r="CG61" s="1">
        <f t="shared" si="83"/>
        <v>44407</v>
      </c>
      <c r="CH61" s="1">
        <f t="shared" si="83"/>
        <v>44408</v>
      </c>
      <c r="CI61" s="1">
        <f t="shared" si="83"/>
        <v>44409</v>
      </c>
      <c r="CJ61" s="1">
        <f t="shared" si="83"/>
        <v>44410</v>
      </c>
      <c r="CK61" s="1">
        <f t="shared" si="83"/>
        <v>44411</v>
      </c>
      <c r="CL61" s="1">
        <f t="shared" si="83"/>
        <v>44412</v>
      </c>
      <c r="CM61" s="1">
        <f t="shared" si="83"/>
        <v>44413</v>
      </c>
      <c r="CN61" s="1">
        <f t="shared" si="83"/>
        <v>44414</v>
      </c>
      <c r="CO61" s="1">
        <f t="shared" si="83"/>
        <v>44415</v>
      </c>
      <c r="CP61" s="1">
        <f t="shared" si="83"/>
        <v>44416</v>
      </c>
      <c r="CQ61" s="1">
        <f t="shared" si="83"/>
        <v>44417</v>
      </c>
      <c r="CR61" s="1">
        <f t="shared" si="83"/>
        <v>44418</v>
      </c>
      <c r="CS61" s="1">
        <f t="shared" si="83"/>
        <v>44419</v>
      </c>
      <c r="CT61" s="1">
        <f t="shared" si="83"/>
        <v>44420</v>
      </c>
      <c r="CU61" s="1">
        <f t="shared" si="83"/>
        <v>44421</v>
      </c>
      <c r="CV61" s="1">
        <f t="shared" si="83"/>
        <v>44422</v>
      </c>
      <c r="CW61" s="1">
        <f t="shared" si="83"/>
        <v>44423</v>
      </c>
      <c r="CX61" s="1">
        <f t="shared" si="83"/>
        <v>44424</v>
      </c>
      <c r="CY61" s="1">
        <f t="shared" si="83"/>
        <v>44425</v>
      </c>
      <c r="CZ61" s="1">
        <f t="shared" si="83"/>
        <v>44426</v>
      </c>
      <c r="DA61" s="1">
        <f t="shared" si="83"/>
        <v>44427</v>
      </c>
      <c r="DB61" s="1">
        <f t="shared" si="83"/>
        <v>44428</v>
      </c>
      <c r="DC61" s="1">
        <f t="shared" si="83"/>
        <v>44429</v>
      </c>
      <c r="DD61" s="1">
        <f t="shared" si="83"/>
        <v>44430</v>
      </c>
      <c r="DE61" s="1">
        <f t="shared" si="83"/>
        <v>44431</v>
      </c>
      <c r="DF61" s="1">
        <f t="shared" si="83"/>
        <v>44432</v>
      </c>
      <c r="DG61" s="1">
        <f t="shared" si="83"/>
        <v>44433</v>
      </c>
      <c r="DH61" s="1">
        <f t="shared" si="83"/>
        <v>44434</v>
      </c>
      <c r="DI61" s="1">
        <f t="shared" si="83"/>
        <v>44435</v>
      </c>
      <c r="DJ61" s="1">
        <f t="shared" si="83"/>
        <v>44436</v>
      </c>
      <c r="DK61" s="1">
        <f t="shared" si="83"/>
        <v>44437</v>
      </c>
      <c r="DL61" s="1">
        <f t="shared" si="83"/>
        <v>44438</v>
      </c>
      <c r="DM61" s="1">
        <f t="shared" si="83"/>
        <v>44439</v>
      </c>
      <c r="DN61" s="1">
        <f t="shared" si="83"/>
        <v>44440</v>
      </c>
      <c r="DO61" s="1">
        <f t="shared" si="83"/>
        <v>44441</v>
      </c>
      <c r="DP61" s="1">
        <f t="shared" si="83"/>
        <v>44442</v>
      </c>
      <c r="DQ61" s="1">
        <f t="shared" si="83"/>
        <v>44443</v>
      </c>
      <c r="DR61" s="1">
        <f t="shared" si="83"/>
        <v>44444</v>
      </c>
      <c r="DS61" s="1">
        <f t="shared" si="83"/>
        <v>44445</v>
      </c>
      <c r="DT61" s="1">
        <f t="shared" si="83"/>
        <v>44446</v>
      </c>
      <c r="DU61" s="1">
        <f t="shared" si="83"/>
        <v>44447</v>
      </c>
      <c r="DV61" s="1">
        <f t="shared" si="83"/>
        <v>44448</v>
      </c>
      <c r="DW61" s="1">
        <f t="shared" si="83"/>
        <v>44449</v>
      </c>
      <c r="DX61" s="1">
        <f t="shared" si="83"/>
        <v>44450</v>
      </c>
      <c r="DY61" s="1">
        <f t="shared" si="83"/>
        <v>44451</v>
      </c>
      <c r="DZ61" s="1">
        <f t="shared" si="83"/>
        <v>44452</v>
      </c>
      <c r="EA61" s="1">
        <f t="shared" si="83"/>
        <v>44453</v>
      </c>
      <c r="EB61" s="1">
        <f t="shared" si="83"/>
        <v>44454</v>
      </c>
      <c r="EC61" s="1">
        <f t="shared" si="83"/>
        <v>44455</v>
      </c>
      <c r="ED61" s="1">
        <f t="shared" si="83"/>
        <v>44456</v>
      </c>
      <c r="EE61" s="1">
        <f t="shared" si="83"/>
        <v>44457</v>
      </c>
      <c r="EF61" s="1">
        <f t="shared" si="83"/>
        <v>44458</v>
      </c>
      <c r="EG61" s="1">
        <f t="shared" si="83"/>
        <v>44459</v>
      </c>
      <c r="EH61" s="1">
        <f t="shared" ref="EH61:GA61" si="84">EH53</f>
        <v>44460</v>
      </c>
      <c r="EI61" s="1">
        <f t="shared" si="84"/>
        <v>44461</v>
      </c>
      <c r="EJ61" s="1">
        <f t="shared" si="84"/>
        <v>44462</v>
      </c>
      <c r="EK61" s="1">
        <f t="shared" si="84"/>
        <v>44463</v>
      </c>
      <c r="EL61" s="1">
        <f t="shared" si="84"/>
        <v>44464</v>
      </c>
      <c r="EM61" s="1">
        <f t="shared" si="84"/>
        <v>44465</v>
      </c>
      <c r="EN61" s="1">
        <f t="shared" si="84"/>
        <v>44466</v>
      </c>
      <c r="EO61" s="1">
        <f t="shared" si="84"/>
        <v>44467</v>
      </c>
      <c r="EP61" s="1">
        <f t="shared" si="84"/>
        <v>44468</v>
      </c>
      <c r="EQ61" s="1">
        <f t="shared" si="84"/>
        <v>44469</v>
      </c>
      <c r="ER61" s="1">
        <f t="shared" si="84"/>
        <v>44470</v>
      </c>
      <c r="ES61" s="1">
        <f t="shared" si="84"/>
        <v>44471</v>
      </c>
      <c r="ET61" s="1">
        <f t="shared" si="84"/>
        <v>44472</v>
      </c>
      <c r="EU61" s="1">
        <f t="shared" si="84"/>
        <v>44473</v>
      </c>
      <c r="EV61" s="1">
        <f t="shared" si="84"/>
        <v>44474</v>
      </c>
      <c r="EW61" s="1">
        <f t="shared" si="84"/>
        <v>44475</v>
      </c>
      <c r="EX61" s="1">
        <f t="shared" si="84"/>
        <v>44476</v>
      </c>
      <c r="EY61" s="1">
        <f t="shared" si="84"/>
        <v>44477</v>
      </c>
      <c r="EZ61" s="1">
        <f t="shared" si="84"/>
        <v>44478</v>
      </c>
      <c r="FA61" s="1">
        <f t="shared" si="84"/>
        <v>44479</v>
      </c>
      <c r="FB61" s="1">
        <f t="shared" si="84"/>
        <v>44480</v>
      </c>
      <c r="FC61" s="1">
        <f t="shared" si="84"/>
        <v>44481</v>
      </c>
      <c r="FD61" s="1">
        <f t="shared" si="84"/>
        <v>44482</v>
      </c>
      <c r="FE61" s="1">
        <f t="shared" si="84"/>
        <v>44483</v>
      </c>
      <c r="FF61" s="1">
        <f t="shared" si="84"/>
        <v>44484</v>
      </c>
      <c r="FG61" s="1">
        <f t="shared" si="84"/>
        <v>44485</v>
      </c>
      <c r="FH61" s="1">
        <f t="shared" si="84"/>
        <v>44486</v>
      </c>
      <c r="FI61" s="1">
        <f t="shared" si="84"/>
        <v>44487</v>
      </c>
      <c r="FJ61" s="1">
        <f t="shared" si="84"/>
        <v>44488</v>
      </c>
      <c r="FK61" s="1">
        <f t="shared" si="84"/>
        <v>44489</v>
      </c>
      <c r="FL61" s="1">
        <f t="shared" si="84"/>
        <v>44490</v>
      </c>
      <c r="FM61" s="1">
        <f t="shared" si="84"/>
        <v>44491</v>
      </c>
      <c r="FN61" s="1">
        <f t="shared" si="84"/>
        <v>44492</v>
      </c>
      <c r="FO61" s="1">
        <f t="shared" si="84"/>
        <v>44493</v>
      </c>
      <c r="FP61" s="1">
        <f t="shared" si="84"/>
        <v>44494</v>
      </c>
      <c r="FQ61" s="1">
        <f t="shared" si="84"/>
        <v>44495</v>
      </c>
      <c r="FR61" s="1">
        <f t="shared" si="84"/>
        <v>44496</v>
      </c>
      <c r="FS61" s="1">
        <f t="shared" si="84"/>
        <v>44497</v>
      </c>
      <c r="FT61" s="1">
        <f t="shared" si="84"/>
        <v>44498</v>
      </c>
      <c r="FU61" s="1">
        <f t="shared" si="84"/>
        <v>44499</v>
      </c>
      <c r="FV61" s="1">
        <f t="shared" si="84"/>
        <v>44500</v>
      </c>
      <c r="FW61" s="1">
        <f t="shared" si="84"/>
        <v>44501</v>
      </c>
      <c r="FX61" s="1">
        <f t="shared" si="84"/>
        <v>44502</v>
      </c>
      <c r="FY61" s="1">
        <f t="shared" si="84"/>
        <v>44503</v>
      </c>
      <c r="FZ61" s="1">
        <f t="shared" si="84"/>
        <v>44504</v>
      </c>
      <c r="GA61" s="1">
        <f t="shared" si="84"/>
        <v>44505</v>
      </c>
    </row>
    <row r="62" spans="1:183" x14ac:dyDescent="0.45">
      <c r="A62">
        <f>A54</f>
        <v>2000</v>
      </c>
      <c r="B62" t="s">
        <v>0</v>
      </c>
      <c r="C62" cm="1">
        <f t="array" ref="C62">LOOKUP(2,1/(I62:GA62&lt;&gt;""),I62:GA62)</f>
        <v>75</v>
      </c>
      <c r="D62">
        <f t="shared" ref="D62:D66" si="85">D$12</f>
        <v>45</v>
      </c>
      <c r="F62" s="3">
        <f t="shared" ref="F62:F66" si="86">(C62-I62)/I62</f>
        <v>0.66666666666666663</v>
      </c>
      <c r="G62" s="3" cm="1">
        <f t="array" ref="G62">(C62-IF(ISNA(INDEX(I62:GA62,D62-22)),INDEX(I62:GA62,D62-23),INDEX(I62:GA62,D62-22)))/IF(ISNA(INDEX(I62:GA62,D62-22)),INDEX(I62:GA62,D62-23),INDEX(I62:GA62,D62-22))</f>
        <v>0</v>
      </c>
      <c r="I62">
        <f>ROUNDDOWN(I54*0.75,2)</f>
        <v>45</v>
      </c>
      <c r="J62">
        <f t="shared" ref="J62:BU62" si="87">ROUNDDOWN(J54*0.75,2)</f>
        <v>45</v>
      </c>
      <c r="K62" t="e">
        <f t="shared" si="87"/>
        <v>#N/A</v>
      </c>
      <c r="L62">
        <f t="shared" si="87"/>
        <v>45</v>
      </c>
      <c r="M62" t="e">
        <f t="shared" si="87"/>
        <v>#N/A</v>
      </c>
      <c r="N62">
        <f t="shared" si="87"/>
        <v>60</v>
      </c>
      <c r="O62">
        <f t="shared" si="87"/>
        <v>60</v>
      </c>
      <c r="P62">
        <f t="shared" si="87"/>
        <v>60</v>
      </c>
      <c r="Q62">
        <f t="shared" si="87"/>
        <v>45</v>
      </c>
      <c r="R62">
        <f t="shared" si="87"/>
        <v>60</v>
      </c>
      <c r="S62">
        <f t="shared" si="87"/>
        <v>60</v>
      </c>
      <c r="T62">
        <f t="shared" si="87"/>
        <v>60</v>
      </c>
      <c r="U62">
        <f t="shared" si="87"/>
        <v>60</v>
      </c>
      <c r="V62">
        <f t="shared" si="87"/>
        <v>60</v>
      </c>
      <c r="W62">
        <f t="shared" si="87"/>
        <v>60</v>
      </c>
      <c r="X62">
        <f t="shared" si="87"/>
        <v>45</v>
      </c>
      <c r="Y62">
        <f t="shared" si="87"/>
        <v>60</v>
      </c>
      <c r="Z62">
        <f t="shared" si="87"/>
        <v>60</v>
      </c>
      <c r="AA62">
        <f t="shared" si="87"/>
        <v>60</v>
      </c>
      <c r="AB62">
        <f t="shared" si="87"/>
        <v>60</v>
      </c>
      <c r="AC62">
        <f t="shared" si="87"/>
        <v>75</v>
      </c>
      <c r="AD62">
        <f t="shared" si="87"/>
        <v>90</v>
      </c>
      <c r="AE62">
        <f t="shared" si="87"/>
        <v>75</v>
      </c>
      <c r="AF62">
        <f t="shared" si="87"/>
        <v>90</v>
      </c>
      <c r="AG62">
        <f t="shared" si="87"/>
        <v>90</v>
      </c>
      <c r="AH62">
        <f t="shared" si="87"/>
        <v>90</v>
      </c>
      <c r="AI62">
        <f t="shared" si="87"/>
        <v>90</v>
      </c>
      <c r="AJ62">
        <f t="shared" si="87"/>
        <v>90</v>
      </c>
      <c r="AK62">
        <f t="shared" si="87"/>
        <v>90</v>
      </c>
      <c r="AL62">
        <f t="shared" si="87"/>
        <v>90</v>
      </c>
      <c r="AM62">
        <f t="shared" si="87"/>
        <v>75</v>
      </c>
      <c r="AN62" t="e">
        <f t="shared" si="87"/>
        <v>#N/A</v>
      </c>
      <c r="AO62">
        <f t="shared" si="87"/>
        <v>75</v>
      </c>
      <c r="AP62">
        <f t="shared" si="87"/>
        <v>75</v>
      </c>
      <c r="AQ62">
        <f t="shared" si="87"/>
        <v>75</v>
      </c>
      <c r="AR62">
        <f t="shared" si="87"/>
        <v>75</v>
      </c>
      <c r="AS62">
        <f t="shared" si="87"/>
        <v>75</v>
      </c>
      <c r="AT62" t="e">
        <f t="shared" si="87"/>
        <v>#N/A</v>
      </c>
      <c r="AU62" t="e">
        <f t="shared" si="87"/>
        <v>#N/A</v>
      </c>
      <c r="AV62" t="e">
        <f t="shared" si="87"/>
        <v>#N/A</v>
      </c>
      <c r="AW62" t="e">
        <f t="shared" si="87"/>
        <v>#N/A</v>
      </c>
      <c r="AX62" t="e">
        <f t="shared" si="87"/>
        <v>#N/A</v>
      </c>
      <c r="AY62" t="e">
        <f t="shared" si="87"/>
        <v>#N/A</v>
      </c>
      <c r="AZ62" t="e">
        <f t="shared" si="87"/>
        <v>#N/A</v>
      </c>
      <c r="BA62" t="e">
        <f t="shared" si="87"/>
        <v>#N/A</v>
      </c>
      <c r="BB62" t="e">
        <f t="shared" si="87"/>
        <v>#N/A</v>
      </c>
      <c r="BC62" t="e">
        <f t="shared" si="87"/>
        <v>#N/A</v>
      </c>
      <c r="BD62" t="e">
        <f t="shared" si="87"/>
        <v>#N/A</v>
      </c>
      <c r="BE62" t="e">
        <f t="shared" si="87"/>
        <v>#N/A</v>
      </c>
      <c r="BF62" t="e">
        <f t="shared" si="87"/>
        <v>#N/A</v>
      </c>
      <c r="BG62" t="e">
        <f t="shared" si="87"/>
        <v>#N/A</v>
      </c>
      <c r="BH62" t="e">
        <f t="shared" si="87"/>
        <v>#N/A</v>
      </c>
      <c r="BI62" t="e">
        <f t="shared" si="87"/>
        <v>#N/A</v>
      </c>
      <c r="BJ62" t="e">
        <f t="shared" si="87"/>
        <v>#N/A</v>
      </c>
      <c r="BK62" t="e">
        <f t="shared" si="87"/>
        <v>#N/A</v>
      </c>
      <c r="BL62" t="e">
        <f t="shared" si="87"/>
        <v>#N/A</v>
      </c>
      <c r="BM62" t="e">
        <f t="shared" si="87"/>
        <v>#N/A</v>
      </c>
      <c r="BN62" t="e">
        <f t="shared" si="87"/>
        <v>#N/A</v>
      </c>
      <c r="BO62" t="e">
        <f t="shared" si="87"/>
        <v>#N/A</v>
      </c>
      <c r="BP62" t="e">
        <f t="shared" si="87"/>
        <v>#N/A</v>
      </c>
      <c r="BQ62" t="e">
        <f t="shared" si="87"/>
        <v>#N/A</v>
      </c>
      <c r="BR62" t="e">
        <f t="shared" si="87"/>
        <v>#N/A</v>
      </c>
      <c r="BS62" t="e">
        <f t="shared" si="87"/>
        <v>#N/A</v>
      </c>
      <c r="BT62" t="e">
        <f t="shared" si="87"/>
        <v>#N/A</v>
      </c>
      <c r="BU62" t="e">
        <f t="shared" si="87"/>
        <v>#N/A</v>
      </c>
      <c r="BV62" t="e">
        <f t="shared" ref="BV62:EG62" si="88">ROUNDDOWN(BV54*0.75,2)</f>
        <v>#N/A</v>
      </c>
      <c r="BW62" t="e">
        <f t="shared" si="88"/>
        <v>#N/A</v>
      </c>
      <c r="BX62" t="e">
        <f t="shared" si="88"/>
        <v>#N/A</v>
      </c>
      <c r="BY62" t="e">
        <f t="shared" si="88"/>
        <v>#N/A</v>
      </c>
      <c r="BZ62" t="e">
        <f t="shared" si="88"/>
        <v>#N/A</v>
      </c>
      <c r="CA62" t="e">
        <f t="shared" si="88"/>
        <v>#N/A</v>
      </c>
      <c r="CB62" t="e">
        <f t="shared" si="88"/>
        <v>#N/A</v>
      </c>
      <c r="CC62" t="e">
        <f t="shared" si="88"/>
        <v>#N/A</v>
      </c>
      <c r="CD62" t="e">
        <f t="shared" si="88"/>
        <v>#N/A</v>
      </c>
      <c r="CE62" t="e">
        <f t="shared" si="88"/>
        <v>#N/A</v>
      </c>
      <c r="CF62" t="e">
        <f t="shared" si="88"/>
        <v>#N/A</v>
      </c>
      <c r="CG62" t="e">
        <f t="shared" si="88"/>
        <v>#N/A</v>
      </c>
      <c r="CH62" t="e">
        <f t="shared" si="88"/>
        <v>#N/A</v>
      </c>
      <c r="CI62" t="e">
        <f t="shared" si="88"/>
        <v>#N/A</v>
      </c>
      <c r="CJ62" t="e">
        <f t="shared" si="88"/>
        <v>#N/A</v>
      </c>
      <c r="CK62" t="e">
        <f t="shared" si="88"/>
        <v>#N/A</v>
      </c>
      <c r="CL62" t="e">
        <f t="shared" si="88"/>
        <v>#N/A</v>
      </c>
      <c r="CM62" t="e">
        <f t="shared" si="88"/>
        <v>#N/A</v>
      </c>
      <c r="CN62" t="e">
        <f t="shared" si="88"/>
        <v>#N/A</v>
      </c>
      <c r="CO62" t="e">
        <f t="shared" si="88"/>
        <v>#N/A</v>
      </c>
      <c r="CP62" t="e">
        <f t="shared" si="88"/>
        <v>#N/A</v>
      </c>
      <c r="CQ62" t="e">
        <f t="shared" si="88"/>
        <v>#N/A</v>
      </c>
      <c r="CR62" t="e">
        <f t="shared" si="88"/>
        <v>#N/A</v>
      </c>
      <c r="CS62" t="e">
        <f t="shared" si="88"/>
        <v>#N/A</v>
      </c>
      <c r="CT62" t="e">
        <f t="shared" si="88"/>
        <v>#N/A</v>
      </c>
      <c r="CU62" t="e">
        <f t="shared" si="88"/>
        <v>#N/A</v>
      </c>
      <c r="CV62" t="e">
        <f t="shared" si="88"/>
        <v>#N/A</v>
      </c>
      <c r="CW62" t="e">
        <f t="shared" si="88"/>
        <v>#N/A</v>
      </c>
      <c r="CX62" t="e">
        <f t="shared" si="88"/>
        <v>#N/A</v>
      </c>
      <c r="CY62" t="e">
        <f t="shared" si="88"/>
        <v>#N/A</v>
      </c>
      <c r="CZ62" t="e">
        <f t="shared" si="88"/>
        <v>#N/A</v>
      </c>
      <c r="DA62" t="e">
        <f t="shared" si="88"/>
        <v>#N/A</v>
      </c>
      <c r="DB62" t="e">
        <f t="shared" si="88"/>
        <v>#N/A</v>
      </c>
      <c r="DC62" t="e">
        <f t="shared" si="88"/>
        <v>#N/A</v>
      </c>
      <c r="DD62" t="e">
        <f t="shared" si="88"/>
        <v>#N/A</v>
      </c>
      <c r="DE62" t="e">
        <f t="shared" si="88"/>
        <v>#N/A</v>
      </c>
      <c r="DF62" t="e">
        <f t="shared" si="88"/>
        <v>#N/A</v>
      </c>
      <c r="DG62" t="e">
        <f t="shared" si="88"/>
        <v>#N/A</v>
      </c>
      <c r="DH62" t="e">
        <f t="shared" si="88"/>
        <v>#N/A</v>
      </c>
      <c r="DI62" t="e">
        <f t="shared" si="88"/>
        <v>#N/A</v>
      </c>
      <c r="DJ62" t="e">
        <f t="shared" si="88"/>
        <v>#N/A</v>
      </c>
      <c r="DK62" t="e">
        <f t="shared" si="88"/>
        <v>#N/A</v>
      </c>
      <c r="DL62" t="e">
        <f t="shared" si="88"/>
        <v>#N/A</v>
      </c>
      <c r="DM62" t="e">
        <f t="shared" si="88"/>
        <v>#N/A</v>
      </c>
      <c r="DN62" t="e">
        <f t="shared" si="88"/>
        <v>#N/A</v>
      </c>
      <c r="DO62" t="e">
        <f t="shared" si="88"/>
        <v>#N/A</v>
      </c>
      <c r="DP62" t="e">
        <f t="shared" si="88"/>
        <v>#N/A</v>
      </c>
      <c r="DQ62" t="e">
        <f t="shared" si="88"/>
        <v>#N/A</v>
      </c>
      <c r="DR62" t="e">
        <f t="shared" si="88"/>
        <v>#N/A</v>
      </c>
      <c r="DS62" t="e">
        <f t="shared" si="88"/>
        <v>#N/A</v>
      </c>
      <c r="DT62" t="e">
        <f t="shared" si="88"/>
        <v>#N/A</v>
      </c>
      <c r="DU62" t="e">
        <f t="shared" si="88"/>
        <v>#N/A</v>
      </c>
      <c r="DV62" t="e">
        <f t="shared" si="88"/>
        <v>#N/A</v>
      </c>
      <c r="DW62" t="e">
        <f t="shared" si="88"/>
        <v>#N/A</v>
      </c>
      <c r="DX62" t="e">
        <f t="shared" si="88"/>
        <v>#N/A</v>
      </c>
      <c r="DY62" t="e">
        <f t="shared" si="88"/>
        <v>#N/A</v>
      </c>
      <c r="DZ62" t="e">
        <f t="shared" si="88"/>
        <v>#N/A</v>
      </c>
      <c r="EA62" t="e">
        <f t="shared" si="88"/>
        <v>#N/A</v>
      </c>
      <c r="EB62" t="e">
        <f t="shared" si="88"/>
        <v>#N/A</v>
      </c>
      <c r="EC62" t="e">
        <f t="shared" si="88"/>
        <v>#N/A</v>
      </c>
      <c r="ED62" t="e">
        <f t="shared" si="88"/>
        <v>#N/A</v>
      </c>
      <c r="EE62" t="e">
        <f t="shared" si="88"/>
        <v>#N/A</v>
      </c>
      <c r="EF62" t="e">
        <f t="shared" si="88"/>
        <v>#N/A</v>
      </c>
      <c r="EG62" t="e">
        <f t="shared" si="88"/>
        <v>#N/A</v>
      </c>
      <c r="EH62" t="e">
        <f t="shared" ref="EH62:GA62" si="89">ROUNDDOWN(EH54*0.75,2)</f>
        <v>#N/A</v>
      </c>
      <c r="EI62" t="e">
        <f t="shared" si="89"/>
        <v>#N/A</v>
      </c>
      <c r="EJ62" t="e">
        <f t="shared" si="89"/>
        <v>#N/A</v>
      </c>
      <c r="EK62" t="e">
        <f t="shared" si="89"/>
        <v>#N/A</v>
      </c>
      <c r="EL62" t="e">
        <f t="shared" si="89"/>
        <v>#N/A</v>
      </c>
      <c r="EM62" t="e">
        <f t="shared" si="89"/>
        <v>#N/A</v>
      </c>
      <c r="EN62" t="e">
        <f t="shared" si="89"/>
        <v>#N/A</v>
      </c>
      <c r="EO62" t="e">
        <f t="shared" si="89"/>
        <v>#N/A</v>
      </c>
      <c r="EP62" t="e">
        <f t="shared" si="89"/>
        <v>#N/A</v>
      </c>
      <c r="EQ62" t="e">
        <f t="shared" si="89"/>
        <v>#N/A</v>
      </c>
      <c r="ER62" t="e">
        <f t="shared" si="89"/>
        <v>#N/A</v>
      </c>
      <c r="ES62" t="e">
        <f t="shared" si="89"/>
        <v>#N/A</v>
      </c>
      <c r="ET62" t="e">
        <f t="shared" si="89"/>
        <v>#N/A</v>
      </c>
      <c r="EU62" t="e">
        <f t="shared" si="89"/>
        <v>#N/A</v>
      </c>
      <c r="EV62" t="e">
        <f t="shared" si="89"/>
        <v>#N/A</v>
      </c>
      <c r="EW62" t="e">
        <f t="shared" si="89"/>
        <v>#N/A</v>
      </c>
      <c r="EX62" t="e">
        <f t="shared" si="89"/>
        <v>#N/A</v>
      </c>
      <c r="EY62" t="e">
        <f t="shared" si="89"/>
        <v>#N/A</v>
      </c>
      <c r="EZ62" t="e">
        <f t="shared" si="89"/>
        <v>#N/A</v>
      </c>
      <c r="FA62" t="e">
        <f t="shared" si="89"/>
        <v>#N/A</v>
      </c>
      <c r="FB62" t="e">
        <f t="shared" si="89"/>
        <v>#N/A</v>
      </c>
      <c r="FC62" t="e">
        <f t="shared" si="89"/>
        <v>#N/A</v>
      </c>
      <c r="FD62" t="e">
        <f t="shared" si="89"/>
        <v>#N/A</v>
      </c>
      <c r="FE62" t="e">
        <f t="shared" si="89"/>
        <v>#N/A</v>
      </c>
      <c r="FF62" t="e">
        <f t="shared" si="89"/>
        <v>#N/A</v>
      </c>
      <c r="FG62" t="e">
        <f t="shared" si="89"/>
        <v>#N/A</v>
      </c>
      <c r="FH62" t="e">
        <f t="shared" si="89"/>
        <v>#N/A</v>
      </c>
      <c r="FI62" t="e">
        <f t="shared" si="89"/>
        <v>#N/A</v>
      </c>
      <c r="FJ62" t="e">
        <f t="shared" si="89"/>
        <v>#N/A</v>
      </c>
      <c r="FK62" t="e">
        <f t="shared" si="89"/>
        <v>#N/A</v>
      </c>
      <c r="FL62" t="e">
        <f t="shared" si="89"/>
        <v>#N/A</v>
      </c>
      <c r="FM62" t="e">
        <f t="shared" si="89"/>
        <v>#N/A</v>
      </c>
      <c r="FN62" t="e">
        <f t="shared" si="89"/>
        <v>#N/A</v>
      </c>
      <c r="FO62" t="e">
        <f t="shared" si="89"/>
        <v>#N/A</v>
      </c>
      <c r="FP62" t="e">
        <f t="shared" si="89"/>
        <v>#N/A</v>
      </c>
      <c r="FQ62" t="e">
        <f t="shared" si="89"/>
        <v>#N/A</v>
      </c>
      <c r="FR62" t="e">
        <f t="shared" si="89"/>
        <v>#N/A</v>
      </c>
      <c r="FS62" t="e">
        <f t="shared" si="89"/>
        <v>#N/A</v>
      </c>
      <c r="FT62" t="e">
        <f t="shared" si="89"/>
        <v>#N/A</v>
      </c>
      <c r="FU62" t="e">
        <f t="shared" si="89"/>
        <v>#N/A</v>
      </c>
      <c r="FV62" t="e">
        <f t="shared" si="89"/>
        <v>#N/A</v>
      </c>
      <c r="FW62" t="e">
        <f t="shared" si="89"/>
        <v>#N/A</v>
      </c>
      <c r="FX62" t="e">
        <f t="shared" si="89"/>
        <v>#N/A</v>
      </c>
      <c r="FY62" t="e">
        <f t="shared" si="89"/>
        <v>#N/A</v>
      </c>
      <c r="FZ62" t="e">
        <f t="shared" si="89"/>
        <v>#N/A</v>
      </c>
      <c r="GA62" t="e">
        <f t="shared" si="89"/>
        <v>#N/A</v>
      </c>
    </row>
    <row r="63" spans="1:183" x14ac:dyDescent="0.45">
      <c r="A63">
        <f t="shared" ref="A63:A66" si="90">A55</f>
        <v>1000</v>
      </c>
      <c r="B63" t="s">
        <v>1</v>
      </c>
      <c r="C63" cm="1">
        <f t="array" ref="C63">LOOKUP(2,1/(I63:GA63&lt;&gt;""),I63:GA63)</f>
        <v>45</v>
      </c>
      <c r="D63">
        <f t="shared" si="85"/>
        <v>45</v>
      </c>
      <c r="F63" s="3">
        <f t="shared" si="86"/>
        <v>0.2</v>
      </c>
      <c r="G63" s="3" cm="1">
        <f t="array" ref="G63">(C63-IF(ISNA(INDEX(I63:GA63,D63-22)),INDEX(I63:GA63,D63-23),INDEX(I63:GA63,D63-22)))/IF(ISNA(INDEX(I63:GA63,D63-22)),INDEX(I63:GA63,D63-23),INDEX(I63:GA63,D63-22))</f>
        <v>0</v>
      </c>
      <c r="I63">
        <f t="shared" ref="I63:I66" si="91">ROUNDDOWN(I55*0.75,2)</f>
        <v>37.5</v>
      </c>
      <c r="J63">
        <f t="shared" ref="J63:BU63" si="92">ROUNDDOWN(J55*0.75,2)</f>
        <v>37.5</v>
      </c>
      <c r="K63" t="e">
        <f t="shared" si="92"/>
        <v>#N/A</v>
      </c>
      <c r="L63">
        <f t="shared" si="92"/>
        <v>37.5</v>
      </c>
      <c r="M63" t="e">
        <f t="shared" si="92"/>
        <v>#N/A</v>
      </c>
      <c r="N63">
        <f t="shared" si="92"/>
        <v>37.5</v>
      </c>
      <c r="O63">
        <f t="shared" si="92"/>
        <v>37.5</v>
      </c>
      <c r="P63">
        <f t="shared" si="92"/>
        <v>37.5</v>
      </c>
      <c r="Q63">
        <f t="shared" si="92"/>
        <v>37.5</v>
      </c>
      <c r="R63">
        <f t="shared" si="92"/>
        <v>37.5</v>
      </c>
      <c r="S63">
        <f t="shared" si="92"/>
        <v>37.5</v>
      </c>
      <c r="T63">
        <f t="shared" si="92"/>
        <v>37.5</v>
      </c>
      <c r="U63">
        <f t="shared" si="92"/>
        <v>37.5</v>
      </c>
      <c r="V63">
        <f t="shared" si="92"/>
        <v>30</v>
      </c>
      <c r="W63">
        <f t="shared" si="92"/>
        <v>30</v>
      </c>
      <c r="X63">
        <f t="shared" si="92"/>
        <v>37.5</v>
      </c>
      <c r="Y63">
        <f t="shared" si="92"/>
        <v>37.5</v>
      </c>
      <c r="Z63">
        <f t="shared" si="92"/>
        <v>37.5</v>
      </c>
      <c r="AA63">
        <f t="shared" si="92"/>
        <v>37.5</v>
      </c>
      <c r="AB63">
        <f t="shared" si="92"/>
        <v>37.5</v>
      </c>
      <c r="AC63">
        <f t="shared" si="92"/>
        <v>45</v>
      </c>
      <c r="AD63">
        <f t="shared" si="92"/>
        <v>52.5</v>
      </c>
      <c r="AE63">
        <f t="shared" si="92"/>
        <v>45</v>
      </c>
      <c r="AF63">
        <f t="shared" si="92"/>
        <v>52.5</v>
      </c>
      <c r="AG63">
        <f t="shared" si="92"/>
        <v>52.5</v>
      </c>
      <c r="AH63">
        <f t="shared" si="92"/>
        <v>45</v>
      </c>
      <c r="AI63">
        <f t="shared" si="92"/>
        <v>52.5</v>
      </c>
      <c r="AJ63">
        <f t="shared" si="92"/>
        <v>52.5</v>
      </c>
      <c r="AK63">
        <f t="shared" si="92"/>
        <v>52.5</v>
      </c>
      <c r="AL63">
        <f t="shared" si="92"/>
        <v>52.5</v>
      </c>
      <c r="AM63">
        <f t="shared" si="92"/>
        <v>52.5</v>
      </c>
      <c r="AN63" t="e">
        <f t="shared" si="92"/>
        <v>#N/A</v>
      </c>
      <c r="AO63">
        <f t="shared" si="92"/>
        <v>52.5</v>
      </c>
      <c r="AP63">
        <f t="shared" si="92"/>
        <v>45</v>
      </c>
      <c r="AQ63">
        <f t="shared" si="92"/>
        <v>45</v>
      </c>
      <c r="AR63">
        <f t="shared" si="92"/>
        <v>45</v>
      </c>
      <c r="AS63">
        <f t="shared" si="92"/>
        <v>45</v>
      </c>
      <c r="AT63" t="e">
        <f t="shared" si="92"/>
        <v>#N/A</v>
      </c>
      <c r="AU63" t="e">
        <f t="shared" si="92"/>
        <v>#N/A</v>
      </c>
      <c r="AV63" t="e">
        <f t="shared" si="92"/>
        <v>#N/A</v>
      </c>
      <c r="AW63" t="e">
        <f t="shared" si="92"/>
        <v>#N/A</v>
      </c>
      <c r="AX63" t="e">
        <f t="shared" si="92"/>
        <v>#N/A</v>
      </c>
      <c r="AY63" t="e">
        <f t="shared" si="92"/>
        <v>#N/A</v>
      </c>
      <c r="AZ63" t="e">
        <f t="shared" si="92"/>
        <v>#N/A</v>
      </c>
      <c r="BA63" t="e">
        <f t="shared" si="92"/>
        <v>#N/A</v>
      </c>
      <c r="BB63" t="e">
        <f t="shared" si="92"/>
        <v>#N/A</v>
      </c>
      <c r="BC63" t="e">
        <f t="shared" si="92"/>
        <v>#N/A</v>
      </c>
      <c r="BD63" t="e">
        <f t="shared" si="92"/>
        <v>#N/A</v>
      </c>
      <c r="BE63" t="e">
        <f t="shared" si="92"/>
        <v>#N/A</v>
      </c>
      <c r="BF63" t="e">
        <f t="shared" si="92"/>
        <v>#N/A</v>
      </c>
      <c r="BG63" t="e">
        <f t="shared" si="92"/>
        <v>#N/A</v>
      </c>
      <c r="BH63" t="e">
        <f t="shared" si="92"/>
        <v>#N/A</v>
      </c>
      <c r="BI63" t="e">
        <f t="shared" si="92"/>
        <v>#N/A</v>
      </c>
      <c r="BJ63" t="e">
        <f t="shared" si="92"/>
        <v>#N/A</v>
      </c>
      <c r="BK63" t="e">
        <f t="shared" si="92"/>
        <v>#N/A</v>
      </c>
      <c r="BL63" t="e">
        <f t="shared" si="92"/>
        <v>#N/A</v>
      </c>
      <c r="BM63" t="e">
        <f t="shared" si="92"/>
        <v>#N/A</v>
      </c>
      <c r="BN63" t="e">
        <f t="shared" si="92"/>
        <v>#N/A</v>
      </c>
      <c r="BO63" t="e">
        <f t="shared" si="92"/>
        <v>#N/A</v>
      </c>
      <c r="BP63" t="e">
        <f t="shared" si="92"/>
        <v>#N/A</v>
      </c>
      <c r="BQ63" t="e">
        <f t="shared" si="92"/>
        <v>#N/A</v>
      </c>
      <c r="BR63" t="e">
        <f t="shared" si="92"/>
        <v>#N/A</v>
      </c>
      <c r="BS63" t="e">
        <f t="shared" si="92"/>
        <v>#N/A</v>
      </c>
      <c r="BT63" t="e">
        <f t="shared" si="92"/>
        <v>#N/A</v>
      </c>
      <c r="BU63" t="e">
        <f t="shared" si="92"/>
        <v>#N/A</v>
      </c>
      <c r="BV63" t="e">
        <f t="shared" ref="BV63:EG63" si="93">ROUNDDOWN(BV55*0.75,2)</f>
        <v>#N/A</v>
      </c>
      <c r="BW63" t="e">
        <f t="shared" si="93"/>
        <v>#N/A</v>
      </c>
      <c r="BX63" t="e">
        <f t="shared" si="93"/>
        <v>#N/A</v>
      </c>
      <c r="BY63" t="e">
        <f t="shared" si="93"/>
        <v>#N/A</v>
      </c>
      <c r="BZ63" t="e">
        <f t="shared" si="93"/>
        <v>#N/A</v>
      </c>
      <c r="CA63" t="e">
        <f t="shared" si="93"/>
        <v>#N/A</v>
      </c>
      <c r="CB63" t="e">
        <f t="shared" si="93"/>
        <v>#N/A</v>
      </c>
      <c r="CC63" t="e">
        <f t="shared" si="93"/>
        <v>#N/A</v>
      </c>
      <c r="CD63" t="e">
        <f t="shared" si="93"/>
        <v>#N/A</v>
      </c>
      <c r="CE63" t="e">
        <f t="shared" si="93"/>
        <v>#N/A</v>
      </c>
      <c r="CF63" t="e">
        <f t="shared" si="93"/>
        <v>#N/A</v>
      </c>
      <c r="CG63" t="e">
        <f t="shared" si="93"/>
        <v>#N/A</v>
      </c>
      <c r="CH63" t="e">
        <f t="shared" si="93"/>
        <v>#N/A</v>
      </c>
      <c r="CI63" t="e">
        <f t="shared" si="93"/>
        <v>#N/A</v>
      </c>
      <c r="CJ63" t="e">
        <f t="shared" si="93"/>
        <v>#N/A</v>
      </c>
      <c r="CK63" t="e">
        <f t="shared" si="93"/>
        <v>#N/A</v>
      </c>
      <c r="CL63" t="e">
        <f t="shared" si="93"/>
        <v>#N/A</v>
      </c>
      <c r="CM63" t="e">
        <f t="shared" si="93"/>
        <v>#N/A</v>
      </c>
      <c r="CN63" t="e">
        <f t="shared" si="93"/>
        <v>#N/A</v>
      </c>
      <c r="CO63" t="e">
        <f t="shared" si="93"/>
        <v>#N/A</v>
      </c>
      <c r="CP63" t="e">
        <f t="shared" si="93"/>
        <v>#N/A</v>
      </c>
      <c r="CQ63" t="e">
        <f t="shared" si="93"/>
        <v>#N/A</v>
      </c>
      <c r="CR63" t="e">
        <f t="shared" si="93"/>
        <v>#N/A</v>
      </c>
      <c r="CS63" t="e">
        <f t="shared" si="93"/>
        <v>#N/A</v>
      </c>
      <c r="CT63" t="e">
        <f t="shared" si="93"/>
        <v>#N/A</v>
      </c>
      <c r="CU63" t="e">
        <f t="shared" si="93"/>
        <v>#N/A</v>
      </c>
      <c r="CV63" t="e">
        <f t="shared" si="93"/>
        <v>#N/A</v>
      </c>
      <c r="CW63" t="e">
        <f t="shared" si="93"/>
        <v>#N/A</v>
      </c>
      <c r="CX63" t="e">
        <f t="shared" si="93"/>
        <v>#N/A</v>
      </c>
      <c r="CY63" t="e">
        <f t="shared" si="93"/>
        <v>#N/A</v>
      </c>
      <c r="CZ63" t="e">
        <f t="shared" si="93"/>
        <v>#N/A</v>
      </c>
      <c r="DA63" t="e">
        <f t="shared" si="93"/>
        <v>#N/A</v>
      </c>
      <c r="DB63" t="e">
        <f t="shared" si="93"/>
        <v>#N/A</v>
      </c>
      <c r="DC63" t="e">
        <f t="shared" si="93"/>
        <v>#N/A</v>
      </c>
      <c r="DD63" t="e">
        <f t="shared" si="93"/>
        <v>#N/A</v>
      </c>
      <c r="DE63" t="e">
        <f t="shared" si="93"/>
        <v>#N/A</v>
      </c>
      <c r="DF63" t="e">
        <f t="shared" si="93"/>
        <v>#N/A</v>
      </c>
      <c r="DG63" t="e">
        <f t="shared" si="93"/>
        <v>#N/A</v>
      </c>
      <c r="DH63" t="e">
        <f t="shared" si="93"/>
        <v>#N/A</v>
      </c>
      <c r="DI63" t="e">
        <f t="shared" si="93"/>
        <v>#N/A</v>
      </c>
      <c r="DJ63" t="e">
        <f t="shared" si="93"/>
        <v>#N/A</v>
      </c>
      <c r="DK63" t="e">
        <f t="shared" si="93"/>
        <v>#N/A</v>
      </c>
      <c r="DL63" t="e">
        <f t="shared" si="93"/>
        <v>#N/A</v>
      </c>
      <c r="DM63" t="e">
        <f t="shared" si="93"/>
        <v>#N/A</v>
      </c>
      <c r="DN63" t="e">
        <f t="shared" si="93"/>
        <v>#N/A</v>
      </c>
      <c r="DO63" t="e">
        <f t="shared" si="93"/>
        <v>#N/A</v>
      </c>
      <c r="DP63" t="e">
        <f t="shared" si="93"/>
        <v>#N/A</v>
      </c>
      <c r="DQ63" t="e">
        <f t="shared" si="93"/>
        <v>#N/A</v>
      </c>
      <c r="DR63" t="e">
        <f t="shared" si="93"/>
        <v>#N/A</v>
      </c>
      <c r="DS63" t="e">
        <f t="shared" si="93"/>
        <v>#N/A</v>
      </c>
      <c r="DT63" t="e">
        <f t="shared" si="93"/>
        <v>#N/A</v>
      </c>
      <c r="DU63" t="e">
        <f t="shared" si="93"/>
        <v>#N/A</v>
      </c>
      <c r="DV63" t="e">
        <f t="shared" si="93"/>
        <v>#N/A</v>
      </c>
      <c r="DW63" t="e">
        <f t="shared" si="93"/>
        <v>#N/A</v>
      </c>
      <c r="DX63" t="e">
        <f t="shared" si="93"/>
        <v>#N/A</v>
      </c>
      <c r="DY63" t="e">
        <f t="shared" si="93"/>
        <v>#N/A</v>
      </c>
      <c r="DZ63" t="e">
        <f t="shared" si="93"/>
        <v>#N/A</v>
      </c>
      <c r="EA63" t="e">
        <f t="shared" si="93"/>
        <v>#N/A</v>
      </c>
      <c r="EB63" t="e">
        <f t="shared" si="93"/>
        <v>#N/A</v>
      </c>
      <c r="EC63" t="e">
        <f t="shared" si="93"/>
        <v>#N/A</v>
      </c>
      <c r="ED63" t="e">
        <f t="shared" si="93"/>
        <v>#N/A</v>
      </c>
      <c r="EE63" t="e">
        <f t="shared" si="93"/>
        <v>#N/A</v>
      </c>
      <c r="EF63" t="e">
        <f t="shared" si="93"/>
        <v>#N/A</v>
      </c>
      <c r="EG63" t="e">
        <f t="shared" si="93"/>
        <v>#N/A</v>
      </c>
      <c r="EH63" t="e">
        <f t="shared" ref="EH63:GA63" si="94">ROUNDDOWN(EH55*0.75,2)</f>
        <v>#N/A</v>
      </c>
      <c r="EI63" t="e">
        <f t="shared" si="94"/>
        <v>#N/A</v>
      </c>
      <c r="EJ63" t="e">
        <f t="shared" si="94"/>
        <v>#N/A</v>
      </c>
      <c r="EK63" t="e">
        <f t="shared" si="94"/>
        <v>#N/A</v>
      </c>
      <c r="EL63" t="e">
        <f t="shared" si="94"/>
        <v>#N/A</v>
      </c>
      <c r="EM63" t="e">
        <f t="shared" si="94"/>
        <v>#N/A</v>
      </c>
      <c r="EN63" t="e">
        <f t="shared" si="94"/>
        <v>#N/A</v>
      </c>
      <c r="EO63" t="e">
        <f t="shared" si="94"/>
        <v>#N/A</v>
      </c>
      <c r="EP63" t="e">
        <f t="shared" si="94"/>
        <v>#N/A</v>
      </c>
      <c r="EQ63" t="e">
        <f t="shared" si="94"/>
        <v>#N/A</v>
      </c>
      <c r="ER63" t="e">
        <f t="shared" si="94"/>
        <v>#N/A</v>
      </c>
      <c r="ES63" t="e">
        <f t="shared" si="94"/>
        <v>#N/A</v>
      </c>
      <c r="ET63" t="e">
        <f t="shared" si="94"/>
        <v>#N/A</v>
      </c>
      <c r="EU63" t="e">
        <f t="shared" si="94"/>
        <v>#N/A</v>
      </c>
      <c r="EV63" t="e">
        <f t="shared" si="94"/>
        <v>#N/A</v>
      </c>
      <c r="EW63" t="e">
        <f t="shared" si="94"/>
        <v>#N/A</v>
      </c>
      <c r="EX63" t="e">
        <f t="shared" si="94"/>
        <v>#N/A</v>
      </c>
      <c r="EY63" t="e">
        <f t="shared" si="94"/>
        <v>#N/A</v>
      </c>
      <c r="EZ63" t="e">
        <f t="shared" si="94"/>
        <v>#N/A</v>
      </c>
      <c r="FA63" t="e">
        <f t="shared" si="94"/>
        <v>#N/A</v>
      </c>
      <c r="FB63" t="e">
        <f t="shared" si="94"/>
        <v>#N/A</v>
      </c>
      <c r="FC63" t="e">
        <f t="shared" si="94"/>
        <v>#N/A</v>
      </c>
      <c r="FD63" t="e">
        <f t="shared" si="94"/>
        <v>#N/A</v>
      </c>
      <c r="FE63" t="e">
        <f t="shared" si="94"/>
        <v>#N/A</v>
      </c>
      <c r="FF63" t="e">
        <f t="shared" si="94"/>
        <v>#N/A</v>
      </c>
      <c r="FG63" t="e">
        <f t="shared" si="94"/>
        <v>#N/A</v>
      </c>
      <c r="FH63" t="e">
        <f t="shared" si="94"/>
        <v>#N/A</v>
      </c>
      <c r="FI63" t="e">
        <f t="shared" si="94"/>
        <v>#N/A</v>
      </c>
      <c r="FJ63" t="e">
        <f t="shared" si="94"/>
        <v>#N/A</v>
      </c>
      <c r="FK63" t="e">
        <f t="shared" si="94"/>
        <v>#N/A</v>
      </c>
      <c r="FL63" t="e">
        <f t="shared" si="94"/>
        <v>#N/A</v>
      </c>
      <c r="FM63" t="e">
        <f t="shared" si="94"/>
        <v>#N/A</v>
      </c>
      <c r="FN63" t="e">
        <f t="shared" si="94"/>
        <v>#N/A</v>
      </c>
      <c r="FO63" t="e">
        <f t="shared" si="94"/>
        <v>#N/A</v>
      </c>
      <c r="FP63" t="e">
        <f t="shared" si="94"/>
        <v>#N/A</v>
      </c>
      <c r="FQ63" t="e">
        <f t="shared" si="94"/>
        <v>#N/A</v>
      </c>
      <c r="FR63" t="e">
        <f t="shared" si="94"/>
        <v>#N/A</v>
      </c>
      <c r="FS63" t="e">
        <f t="shared" si="94"/>
        <v>#N/A</v>
      </c>
      <c r="FT63" t="e">
        <f t="shared" si="94"/>
        <v>#N/A</v>
      </c>
      <c r="FU63" t="e">
        <f t="shared" si="94"/>
        <v>#N/A</v>
      </c>
      <c r="FV63" t="e">
        <f t="shared" si="94"/>
        <v>#N/A</v>
      </c>
      <c r="FW63" t="e">
        <f t="shared" si="94"/>
        <v>#N/A</v>
      </c>
      <c r="FX63" t="e">
        <f t="shared" si="94"/>
        <v>#N/A</v>
      </c>
      <c r="FY63" t="e">
        <f t="shared" si="94"/>
        <v>#N/A</v>
      </c>
      <c r="FZ63" t="e">
        <f t="shared" si="94"/>
        <v>#N/A</v>
      </c>
      <c r="GA63" t="e">
        <f t="shared" si="94"/>
        <v>#N/A</v>
      </c>
    </row>
    <row r="64" spans="1:183" x14ac:dyDescent="0.45">
      <c r="A64">
        <f t="shared" si="90"/>
        <v>2000</v>
      </c>
      <c r="B64" t="s">
        <v>3</v>
      </c>
      <c r="C64" cm="1">
        <f t="array" ref="C64">LOOKUP(2,1/(I64:GA64&lt;&gt;""),I64:GA64)</f>
        <v>135</v>
      </c>
      <c r="D64">
        <f t="shared" si="85"/>
        <v>45</v>
      </c>
      <c r="F64" s="3">
        <f t="shared" si="86"/>
        <v>0.8</v>
      </c>
      <c r="G64" s="3" cm="1">
        <f t="array" ref="G64">(C64-IF(ISNA(INDEX(I64:GA64,D64-22)),INDEX(I64:GA64,D64-23),INDEX(I64:GA64,D64-22)))/IF(ISNA(INDEX(I64:GA64,D64-22)),INDEX(I64:GA64,D64-23),INDEX(I64:GA64,D64-22))</f>
        <v>0.125</v>
      </c>
      <c r="I64">
        <f t="shared" si="91"/>
        <v>75</v>
      </c>
      <c r="J64">
        <f t="shared" ref="J64:BU64" si="95">ROUNDDOWN(J56*0.75,2)</f>
        <v>75</v>
      </c>
      <c r="K64" t="e">
        <f t="shared" si="95"/>
        <v>#N/A</v>
      </c>
      <c r="L64">
        <f t="shared" si="95"/>
        <v>75</v>
      </c>
      <c r="M64" t="e">
        <f t="shared" si="95"/>
        <v>#N/A</v>
      </c>
      <c r="N64">
        <f t="shared" si="95"/>
        <v>75</v>
      </c>
      <c r="O64">
        <f t="shared" si="95"/>
        <v>75</v>
      </c>
      <c r="P64">
        <f t="shared" si="95"/>
        <v>75</v>
      </c>
      <c r="Q64">
        <f t="shared" si="95"/>
        <v>75</v>
      </c>
      <c r="R64">
        <f t="shared" si="95"/>
        <v>75</v>
      </c>
      <c r="S64">
        <f t="shared" si="95"/>
        <v>75</v>
      </c>
      <c r="T64">
        <f t="shared" si="95"/>
        <v>75</v>
      </c>
      <c r="U64">
        <f t="shared" si="95"/>
        <v>75</v>
      </c>
      <c r="V64">
        <f t="shared" si="95"/>
        <v>75</v>
      </c>
      <c r="W64">
        <f t="shared" si="95"/>
        <v>75</v>
      </c>
      <c r="X64">
        <f t="shared" si="95"/>
        <v>75</v>
      </c>
      <c r="Y64">
        <f t="shared" si="95"/>
        <v>75</v>
      </c>
      <c r="Z64">
        <f t="shared" si="95"/>
        <v>75</v>
      </c>
      <c r="AA64">
        <f t="shared" si="95"/>
        <v>75</v>
      </c>
      <c r="AB64">
        <f t="shared" si="95"/>
        <v>75</v>
      </c>
      <c r="AC64">
        <f t="shared" si="95"/>
        <v>135</v>
      </c>
      <c r="AD64">
        <f t="shared" si="95"/>
        <v>165</v>
      </c>
      <c r="AE64">
        <f t="shared" si="95"/>
        <v>120</v>
      </c>
      <c r="AF64">
        <f t="shared" si="95"/>
        <v>135</v>
      </c>
      <c r="AG64">
        <f t="shared" si="95"/>
        <v>135</v>
      </c>
      <c r="AH64">
        <f t="shared" si="95"/>
        <v>135</v>
      </c>
      <c r="AI64">
        <f t="shared" si="95"/>
        <v>135</v>
      </c>
      <c r="AJ64">
        <f t="shared" si="95"/>
        <v>150</v>
      </c>
      <c r="AK64">
        <f t="shared" si="95"/>
        <v>165</v>
      </c>
      <c r="AL64">
        <f t="shared" si="95"/>
        <v>150</v>
      </c>
      <c r="AM64">
        <f t="shared" si="95"/>
        <v>135</v>
      </c>
      <c r="AN64" t="e">
        <f t="shared" si="95"/>
        <v>#N/A</v>
      </c>
      <c r="AO64">
        <f t="shared" si="95"/>
        <v>120</v>
      </c>
      <c r="AP64">
        <f t="shared" si="95"/>
        <v>120</v>
      </c>
      <c r="AQ64">
        <f t="shared" si="95"/>
        <v>120</v>
      </c>
      <c r="AR64">
        <f t="shared" si="95"/>
        <v>135</v>
      </c>
      <c r="AS64">
        <f t="shared" si="95"/>
        <v>135</v>
      </c>
      <c r="AT64" t="e">
        <f t="shared" si="95"/>
        <v>#N/A</v>
      </c>
      <c r="AU64" t="e">
        <f t="shared" si="95"/>
        <v>#N/A</v>
      </c>
      <c r="AV64" t="e">
        <f t="shared" si="95"/>
        <v>#N/A</v>
      </c>
      <c r="AW64" t="e">
        <f t="shared" si="95"/>
        <v>#N/A</v>
      </c>
      <c r="AX64" t="e">
        <f t="shared" si="95"/>
        <v>#N/A</v>
      </c>
      <c r="AY64" t="e">
        <f t="shared" si="95"/>
        <v>#N/A</v>
      </c>
      <c r="AZ64" t="e">
        <f t="shared" si="95"/>
        <v>#N/A</v>
      </c>
      <c r="BA64" t="e">
        <f t="shared" si="95"/>
        <v>#N/A</v>
      </c>
      <c r="BB64" t="e">
        <f t="shared" si="95"/>
        <v>#N/A</v>
      </c>
      <c r="BC64" t="e">
        <f t="shared" si="95"/>
        <v>#N/A</v>
      </c>
      <c r="BD64" t="e">
        <f t="shared" si="95"/>
        <v>#N/A</v>
      </c>
      <c r="BE64" t="e">
        <f t="shared" si="95"/>
        <v>#N/A</v>
      </c>
      <c r="BF64" t="e">
        <f t="shared" si="95"/>
        <v>#N/A</v>
      </c>
      <c r="BG64" t="e">
        <f t="shared" si="95"/>
        <v>#N/A</v>
      </c>
      <c r="BH64" t="e">
        <f t="shared" si="95"/>
        <v>#N/A</v>
      </c>
      <c r="BI64" t="e">
        <f t="shared" si="95"/>
        <v>#N/A</v>
      </c>
      <c r="BJ64" t="e">
        <f t="shared" si="95"/>
        <v>#N/A</v>
      </c>
      <c r="BK64" t="e">
        <f t="shared" si="95"/>
        <v>#N/A</v>
      </c>
      <c r="BL64" t="e">
        <f t="shared" si="95"/>
        <v>#N/A</v>
      </c>
      <c r="BM64" t="e">
        <f t="shared" si="95"/>
        <v>#N/A</v>
      </c>
      <c r="BN64" t="e">
        <f t="shared" si="95"/>
        <v>#N/A</v>
      </c>
      <c r="BO64" t="e">
        <f t="shared" si="95"/>
        <v>#N/A</v>
      </c>
      <c r="BP64" t="e">
        <f t="shared" si="95"/>
        <v>#N/A</v>
      </c>
      <c r="BQ64" t="e">
        <f t="shared" si="95"/>
        <v>#N/A</v>
      </c>
      <c r="BR64" t="e">
        <f t="shared" si="95"/>
        <v>#N/A</v>
      </c>
      <c r="BS64" t="e">
        <f t="shared" si="95"/>
        <v>#N/A</v>
      </c>
      <c r="BT64" t="e">
        <f t="shared" si="95"/>
        <v>#N/A</v>
      </c>
      <c r="BU64" t="e">
        <f t="shared" si="95"/>
        <v>#N/A</v>
      </c>
      <c r="BV64" t="e">
        <f t="shared" ref="BV64:EG64" si="96">ROUNDDOWN(BV56*0.75,2)</f>
        <v>#N/A</v>
      </c>
      <c r="BW64" t="e">
        <f t="shared" si="96"/>
        <v>#N/A</v>
      </c>
      <c r="BX64" t="e">
        <f t="shared" si="96"/>
        <v>#N/A</v>
      </c>
      <c r="BY64" t="e">
        <f t="shared" si="96"/>
        <v>#N/A</v>
      </c>
      <c r="BZ64" t="e">
        <f t="shared" si="96"/>
        <v>#N/A</v>
      </c>
      <c r="CA64" t="e">
        <f t="shared" si="96"/>
        <v>#N/A</v>
      </c>
      <c r="CB64" t="e">
        <f t="shared" si="96"/>
        <v>#N/A</v>
      </c>
      <c r="CC64" t="e">
        <f t="shared" si="96"/>
        <v>#N/A</v>
      </c>
      <c r="CD64" t="e">
        <f t="shared" si="96"/>
        <v>#N/A</v>
      </c>
      <c r="CE64" t="e">
        <f t="shared" si="96"/>
        <v>#N/A</v>
      </c>
      <c r="CF64" t="e">
        <f t="shared" si="96"/>
        <v>#N/A</v>
      </c>
      <c r="CG64" t="e">
        <f t="shared" si="96"/>
        <v>#N/A</v>
      </c>
      <c r="CH64" t="e">
        <f t="shared" si="96"/>
        <v>#N/A</v>
      </c>
      <c r="CI64" t="e">
        <f t="shared" si="96"/>
        <v>#N/A</v>
      </c>
      <c r="CJ64" t="e">
        <f t="shared" si="96"/>
        <v>#N/A</v>
      </c>
      <c r="CK64" t="e">
        <f t="shared" si="96"/>
        <v>#N/A</v>
      </c>
      <c r="CL64" t="e">
        <f t="shared" si="96"/>
        <v>#N/A</v>
      </c>
      <c r="CM64" t="e">
        <f t="shared" si="96"/>
        <v>#N/A</v>
      </c>
      <c r="CN64" t="e">
        <f t="shared" si="96"/>
        <v>#N/A</v>
      </c>
      <c r="CO64" t="e">
        <f t="shared" si="96"/>
        <v>#N/A</v>
      </c>
      <c r="CP64" t="e">
        <f t="shared" si="96"/>
        <v>#N/A</v>
      </c>
      <c r="CQ64" t="e">
        <f t="shared" si="96"/>
        <v>#N/A</v>
      </c>
      <c r="CR64" t="e">
        <f t="shared" si="96"/>
        <v>#N/A</v>
      </c>
      <c r="CS64" t="e">
        <f t="shared" si="96"/>
        <v>#N/A</v>
      </c>
      <c r="CT64" t="e">
        <f t="shared" si="96"/>
        <v>#N/A</v>
      </c>
      <c r="CU64" t="e">
        <f t="shared" si="96"/>
        <v>#N/A</v>
      </c>
      <c r="CV64" t="e">
        <f t="shared" si="96"/>
        <v>#N/A</v>
      </c>
      <c r="CW64" t="e">
        <f t="shared" si="96"/>
        <v>#N/A</v>
      </c>
      <c r="CX64" t="e">
        <f t="shared" si="96"/>
        <v>#N/A</v>
      </c>
      <c r="CY64" t="e">
        <f t="shared" si="96"/>
        <v>#N/A</v>
      </c>
      <c r="CZ64" t="e">
        <f t="shared" si="96"/>
        <v>#N/A</v>
      </c>
      <c r="DA64" t="e">
        <f t="shared" si="96"/>
        <v>#N/A</v>
      </c>
      <c r="DB64" t="e">
        <f t="shared" si="96"/>
        <v>#N/A</v>
      </c>
      <c r="DC64" t="e">
        <f t="shared" si="96"/>
        <v>#N/A</v>
      </c>
      <c r="DD64" t="e">
        <f t="shared" si="96"/>
        <v>#N/A</v>
      </c>
      <c r="DE64" t="e">
        <f t="shared" si="96"/>
        <v>#N/A</v>
      </c>
      <c r="DF64" t="e">
        <f t="shared" si="96"/>
        <v>#N/A</v>
      </c>
      <c r="DG64" t="e">
        <f t="shared" si="96"/>
        <v>#N/A</v>
      </c>
      <c r="DH64" t="e">
        <f t="shared" si="96"/>
        <v>#N/A</v>
      </c>
      <c r="DI64" t="e">
        <f t="shared" si="96"/>
        <v>#N/A</v>
      </c>
      <c r="DJ64" t="e">
        <f t="shared" si="96"/>
        <v>#N/A</v>
      </c>
      <c r="DK64" t="e">
        <f t="shared" si="96"/>
        <v>#N/A</v>
      </c>
      <c r="DL64" t="e">
        <f t="shared" si="96"/>
        <v>#N/A</v>
      </c>
      <c r="DM64" t="e">
        <f t="shared" si="96"/>
        <v>#N/A</v>
      </c>
      <c r="DN64" t="e">
        <f t="shared" si="96"/>
        <v>#N/A</v>
      </c>
      <c r="DO64" t="e">
        <f t="shared" si="96"/>
        <v>#N/A</v>
      </c>
      <c r="DP64" t="e">
        <f t="shared" si="96"/>
        <v>#N/A</v>
      </c>
      <c r="DQ64" t="e">
        <f t="shared" si="96"/>
        <v>#N/A</v>
      </c>
      <c r="DR64" t="e">
        <f t="shared" si="96"/>
        <v>#N/A</v>
      </c>
      <c r="DS64" t="e">
        <f t="shared" si="96"/>
        <v>#N/A</v>
      </c>
      <c r="DT64" t="e">
        <f t="shared" si="96"/>
        <v>#N/A</v>
      </c>
      <c r="DU64" t="e">
        <f t="shared" si="96"/>
        <v>#N/A</v>
      </c>
      <c r="DV64" t="e">
        <f t="shared" si="96"/>
        <v>#N/A</v>
      </c>
      <c r="DW64" t="e">
        <f t="shared" si="96"/>
        <v>#N/A</v>
      </c>
      <c r="DX64" t="e">
        <f t="shared" si="96"/>
        <v>#N/A</v>
      </c>
      <c r="DY64" t="e">
        <f t="shared" si="96"/>
        <v>#N/A</v>
      </c>
      <c r="DZ64" t="e">
        <f t="shared" si="96"/>
        <v>#N/A</v>
      </c>
      <c r="EA64" t="e">
        <f t="shared" si="96"/>
        <v>#N/A</v>
      </c>
      <c r="EB64" t="e">
        <f t="shared" si="96"/>
        <v>#N/A</v>
      </c>
      <c r="EC64" t="e">
        <f t="shared" si="96"/>
        <v>#N/A</v>
      </c>
      <c r="ED64" t="e">
        <f t="shared" si="96"/>
        <v>#N/A</v>
      </c>
      <c r="EE64" t="e">
        <f t="shared" si="96"/>
        <v>#N/A</v>
      </c>
      <c r="EF64" t="e">
        <f t="shared" si="96"/>
        <v>#N/A</v>
      </c>
      <c r="EG64" t="e">
        <f t="shared" si="96"/>
        <v>#N/A</v>
      </c>
      <c r="EH64" t="e">
        <f t="shared" ref="EH64:GA64" si="97">ROUNDDOWN(EH56*0.75,2)</f>
        <v>#N/A</v>
      </c>
      <c r="EI64" t="e">
        <f t="shared" si="97"/>
        <v>#N/A</v>
      </c>
      <c r="EJ64" t="e">
        <f t="shared" si="97"/>
        <v>#N/A</v>
      </c>
      <c r="EK64" t="e">
        <f t="shared" si="97"/>
        <v>#N/A</v>
      </c>
      <c r="EL64" t="e">
        <f t="shared" si="97"/>
        <v>#N/A</v>
      </c>
      <c r="EM64" t="e">
        <f t="shared" si="97"/>
        <v>#N/A</v>
      </c>
      <c r="EN64" t="e">
        <f t="shared" si="97"/>
        <v>#N/A</v>
      </c>
      <c r="EO64" t="e">
        <f t="shared" si="97"/>
        <v>#N/A</v>
      </c>
      <c r="EP64" t="e">
        <f t="shared" si="97"/>
        <v>#N/A</v>
      </c>
      <c r="EQ64" t="e">
        <f t="shared" si="97"/>
        <v>#N/A</v>
      </c>
      <c r="ER64" t="e">
        <f t="shared" si="97"/>
        <v>#N/A</v>
      </c>
      <c r="ES64" t="e">
        <f t="shared" si="97"/>
        <v>#N/A</v>
      </c>
      <c r="ET64" t="e">
        <f t="shared" si="97"/>
        <v>#N/A</v>
      </c>
      <c r="EU64" t="e">
        <f t="shared" si="97"/>
        <v>#N/A</v>
      </c>
      <c r="EV64" t="e">
        <f t="shared" si="97"/>
        <v>#N/A</v>
      </c>
      <c r="EW64" t="e">
        <f t="shared" si="97"/>
        <v>#N/A</v>
      </c>
      <c r="EX64" t="e">
        <f t="shared" si="97"/>
        <v>#N/A</v>
      </c>
      <c r="EY64" t="e">
        <f t="shared" si="97"/>
        <v>#N/A</v>
      </c>
      <c r="EZ64" t="e">
        <f t="shared" si="97"/>
        <v>#N/A</v>
      </c>
      <c r="FA64" t="e">
        <f t="shared" si="97"/>
        <v>#N/A</v>
      </c>
      <c r="FB64" t="e">
        <f t="shared" si="97"/>
        <v>#N/A</v>
      </c>
      <c r="FC64" t="e">
        <f t="shared" si="97"/>
        <v>#N/A</v>
      </c>
      <c r="FD64" t="e">
        <f t="shared" si="97"/>
        <v>#N/A</v>
      </c>
      <c r="FE64" t="e">
        <f t="shared" si="97"/>
        <v>#N/A</v>
      </c>
      <c r="FF64" t="e">
        <f t="shared" si="97"/>
        <v>#N/A</v>
      </c>
      <c r="FG64" t="e">
        <f t="shared" si="97"/>
        <v>#N/A</v>
      </c>
      <c r="FH64" t="e">
        <f t="shared" si="97"/>
        <v>#N/A</v>
      </c>
      <c r="FI64" t="e">
        <f t="shared" si="97"/>
        <v>#N/A</v>
      </c>
      <c r="FJ64" t="e">
        <f t="shared" si="97"/>
        <v>#N/A</v>
      </c>
      <c r="FK64" t="e">
        <f t="shared" si="97"/>
        <v>#N/A</v>
      </c>
      <c r="FL64" t="e">
        <f t="shared" si="97"/>
        <v>#N/A</v>
      </c>
      <c r="FM64" t="e">
        <f t="shared" si="97"/>
        <v>#N/A</v>
      </c>
      <c r="FN64" t="e">
        <f t="shared" si="97"/>
        <v>#N/A</v>
      </c>
      <c r="FO64" t="e">
        <f t="shared" si="97"/>
        <v>#N/A</v>
      </c>
      <c r="FP64" t="e">
        <f t="shared" si="97"/>
        <v>#N/A</v>
      </c>
      <c r="FQ64" t="e">
        <f t="shared" si="97"/>
        <v>#N/A</v>
      </c>
      <c r="FR64" t="e">
        <f t="shared" si="97"/>
        <v>#N/A</v>
      </c>
      <c r="FS64" t="e">
        <f t="shared" si="97"/>
        <v>#N/A</v>
      </c>
      <c r="FT64" t="e">
        <f t="shared" si="97"/>
        <v>#N/A</v>
      </c>
      <c r="FU64" t="e">
        <f t="shared" si="97"/>
        <v>#N/A</v>
      </c>
      <c r="FV64" t="e">
        <f t="shared" si="97"/>
        <v>#N/A</v>
      </c>
      <c r="FW64" t="e">
        <f t="shared" si="97"/>
        <v>#N/A</v>
      </c>
      <c r="FX64" t="e">
        <f t="shared" si="97"/>
        <v>#N/A</v>
      </c>
      <c r="FY64" t="e">
        <f t="shared" si="97"/>
        <v>#N/A</v>
      </c>
      <c r="FZ64" t="e">
        <f t="shared" si="97"/>
        <v>#N/A</v>
      </c>
      <c r="GA64" t="e">
        <f t="shared" si="97"/>
        <v>#N/A</v>
      </c>
    </row>
    <row r="65" spans="1:183" x14ac:dyDescent="0.45">
      <c r="A65">
        <f t="shared" si="90"/>
        <v>215</v>
      </c>
      <c r="B65" t="s">
        <v>4</v>
      </c>
      <c r="C65" cm="1">
        <f t="array" ref="C65">LOOKUP(2,1/(I65:GA65&lt;&gt;""),I65:GA65)</f>
        <v>25.8</v>
      </c>
      <c r="D65">
        <f t="shared" si="85"/>
        <v>45</v>
      </c>
      <c r="F65" s="3">
        <f t="shared" si="86"/>
        <v>1.6680455015511895</v>
      </c>
      <c r="G65" s="3" cm="1">
        <f t="array" ref="G65">(C65-IF(ISNA(INDEX(I65:GA65,D65-22)),INDEX(I65:GA65,D65-23),INDEX(I65:GA65,D65-22)))/IF(ISNA(INDEX(I65:GA65,D65-22)),INDEX(I65:GA65,D65-23),INDEX(I65:GA65,D65-22))</f>
        <v>0.1431103234381923</v>
      </c>
      <c r="I65">
        <f t="shared" si="91"/>
        <v>9.67</v>
      </c>
      <c r="J65">
        <f t="shared" ref="J65:BU65" si="98">ROUNDDOWN(J57*0.75,2)</f>
        <v>9.67</v>
      </c>
      <c r="K65" t="e">
        <f t="shared" si="98"/>
        <v>#N/A</v>
      </c>
      <c r="L65">
        <f t="shared" si="98"/>
        <v>9.67</v>
      </c>
      <c r="M65" t="e">
        <f t="shared" si="98"/>
        <v>#N/A</v>
      </c>
      <c r="N65">
        <f t="shared" si="98"/>
        <v>9.67</v>
      </c>
      <c r="O65">
        <f t="shared" si="98"/>
        <v>9.67</v>
      </c>
      <c r="P65">
        <f t="shared" si="98"/>
        <v>9.67</v>
      </c>
      <c r="Q65">
        <f t="shared" si="98"/>
        <v>9.67</v>
      </c>
      <c r="R65">
        <f t="shared" si="98"/>
        <v>9.67</v>
      </c>
      <c r="S65">
        <f t="shared" si="98"/>
        <v>9.67</v>
      </c>
      <c r="T65">
        <f t="shared" si="98"/>
        <v>9.67</v>
      </c>
      <c r="U65">
        <f t="shared" si="98"/>
        <v>9.67</v>
      </c>
      <c r="V65">
        <f t="shared" si="98"/>
        <v>9.67</v>
      </c>
      <c r="W65">
        <f t="shared" si="98"/>
        <v>9.67</v>
      </c>
      <c r="X65">
        <f t="shared" si="98"/>
        <v>9.67</v>
      </c>
      <c r="Y65">
        <f t="shared" si="98"/>
        <v>9.67</v>
      </c>
      <c r="Z65">
        <f t="shared" si="98"/>
        <v>9.67</v>
      </c>
      <c r="AA65">
        <f t="shared" si="98"/>
        <v>9.67</v>
      </c>
      <c r="AB65">
        <f t="shared" si="98"/>
        <v>9.67</v>
      </c>
      <c r="AC65">
        <f t="shared" si="98"/>
        <v>20.96</v>
      </c>
      <c r="AD65">
        <f t="shared" si="98"/>
        <v>25.8</v>
      </c>
      <c r="AE65">
        <f t="shared" si="98"/>
        <v>22.57</v>
      </c>
      <c r="AF65">
        <f t="shared" si="98"/>
        <v>24.18</v>
      </c>
      <c r="AG65">
        <f t="shared" si="98"/>
        <v>24.18</v>
      </c>
      <c r="AH65">
        <f t="shared" si="98"/>
        <v>27.41</v>
      </c>
      <c r="AI65">
        <f t="shared" si="98"/>
        <v>29.02</v>
      </c>
      <c r="AJ65">
        <f t="shared" si="98"/>
        <v>30.63</v>
      </c>
      <c r="AK65">
        <f t="shared" si="98"/>
        <v>37.08</v>
      </c>
      <c r="AL65">
        <f t="shared" si="98"/>
        <v>37.08</v>
      </c>
      <c r="AM65">
        <f t="shared" si="98"/>
        <v>35.47</v>
      </c>
      <c r="AN65" t="e">
        <f t="shared" si="98"/>
        <v>#N/A</v>
      </c>
      <c r="AO65">
        <f t="shared" si="98"/>
        <v>29.02</v>
      </c>
      <c r="AP65">
        <f t="shared" si="98"/>
        <v>29.02</v>
      </c>
      <c r="AQ65">
        <f t="shared" si="98"/>
        <v>25.8</v>
      </c>
      <c r="AR65">
        <f t="shared" si="98"/>
        <v>29.02</v>
      </c>
      <c r="AS65">
        <f t="shared" si="98"/>
        <v>25.8</v>
      </c>
      <c r="AT65" t="e">
        <f t="shared" si="98"/>
        <v>#N/A</v>
      </c>
      <c r="AU65" t="e">
        <f t="shared" si="98"/>
        <v>#N/A</v>
      </c>
      <c r="AV65" t="e">
        <f t="shared" si="98"/>
        <v>#N/A</v>
      </c>
      <c r="AW65" t="e">
        <f t="shared" si="98"/>
        <v>#N/A</v>
      </c>
      <c r="AX65" t="e">
        <f t="shared" si="98"/>
        <v>#N/A</v>
      </c>
      <c r="AY65" t="e">
        <f t="shared" si="98"/>
        <v>#N/A</v>
      </c>
      <c r="AZ65" t="e">
        <f t="shared" si="98"/>
        <v>#N/A</v>
      </c>
      <c r="BA65" t="e">
        <f t="shared" si="98"/>
        <v>#N/A</v>
      </c>
      <c r="BB65" t="e">
        <f t="shared" si="98"/>
        <v>#N/A</v>
      </c>
      <c r="BC65" t="e">
        <f t="shared" si="98"/>
        <v>#N/A</v>
      </c>
      <c r="BD65" t="e">
        <f t="shared" si="98"/>
        <v>#N/A</v>
      </c>
      <c r="BE65" t="e">
        <f t="shared" si="98"/>
        <v>#N/A</v>
      </c>
      <c r="BF65" t="e">
        <f t="shared" si="98"/>
        <v>#N/A</v>
      </c>
      <c r="BG65" t="e">
        <f t="shared" si="98"/>
        <v>#N/A</v>
      </c>
      <c r="BH65" t="e">
        <f t="shared" si="98"/>
        <v>#N/A</v>
      </c>
      <c r="BI65" t="e">
        <f t="shared" si="98"/>
        <v>#N/A</v>
      </c>
      <c r="BJ65" t="e">
        <f t="shared" si="98"/>
        <v>#N/A</v>
      </c>
      <c r="BK65" t="e">
        <f t="shared" si="98"/>
        <v>#N/A</v>
      </c>
      <c r="BL65" t="e">
        <f t="shared" si="98"/>
        <v>#N/A</v>
      </c>
      <c r="BM65" t="e">
        <f t="shared" si="98"/>
        <v>#N/A</v>
      </c>
      <c r="BN65" t="e">
        <f t="shared" si="98"/>
        <v>#N/A</v>
      </c>
      <c r="BO65" t="e">
        <f t="shared" si="98"/>
        <v>#N/A</v>
      </c>
      <c r="BP65" t="e">
        <f t="shared" si="98"/>
        <v>#N/A</v>
      </c>
      <c r="BQ65" t="e">
        <f t="shared" si="98"/>
        <v>#N/A</v>
      </c>
      <c r="BR65" t="e">
        <f t="shared" si="98"/>
        <v>#N/A</v>
      </c>
      <c r="BS65" t="e">
        <f t="shared" si="98"/>
        <v>#N/A</v>
      </c>
      <c r="BT65" t="e">
        <f t="shared" si="98"/>
        <v>#N/A</v>
      </c>
      <c r="BU65" t="e">
        <f t="shared" si="98"/>
        <v>#N/A</v>
      </c>
      <c r="BV65" t="e">
        <f t="shared" ref="BV65:EG65" si="99">ROUNDDOWN(BV57*0.75,2)</f>
        <v>#N/A</v>
      </c>
      <c r="BW65" t="e">
        <f t="shared" si="99"/>
        <v>#N/A</v>
      </c>
      <c r="BX65" t="e">
        <f t="shared" si="99"/>
        <v>#N/A</v>
      </c>
      <c r="BY65" t="e">
        <f t="shared" si="99"/>
        <v>#N/A</v>
      </c>
      <c r="BZ65" t="e">
        <f t="shared" si="99"/>
        <v>#N/A</v>
      </c>
      <c r="CA65" t="e">
        <f t="shared" si="99"/>
        <v>#N/A</v>
      </c>
      <c r="CB65" t="e">
        <f t="shared" si="99"/>
        <v>#N/A</v>
      </c>
      <c r="CC65" t="e">
        <f t="shared" si="99"/>
        <v>#N/A</v>
      </c>
      <c r="CD65" t="e">
        <f t="shared" si="99"/>
        <v>#N/A</v>
      </c>
      <c r="CE65" t="e">
        <f t="shared" si="99"/>
        <v>#N/A</v>
      </c>
      <c r="CF65" t="e">
        <f t="shared" si="99"/>
        <v>#N/A</v>
      </c>
      <c r="CG65" t="e">
        <f t="shared" si="99"/>
        <v>#N/A</v>
      </c>
      <c r="CH65" t="e">
        <f t="shared" si="99"/>
        <v>#N/A</v>
      </c>
      <c r="CI65" t="e">
        <f t="shared" si="99"/>
        <v>#N/A</v>
      </c>
      <c r="CJ65" t="e">
        <f t="shared" si="99"/>
        <v>#N/A</v>
      </c>
      <c r="CK65" t="e">
        <f t="shared" si="99"/>
        <v>#N/A</v>
      </c>
      <c r="CL65" t="e">
        <f t="shared" si="99"/>
        <v>#N/A</v>
      </c>
      <c r="CM65" t="e">
        <f t="shared" si="99"/>
        <v>#N/A</v>
      </c>
      <c r="CN65" t="e">
        <f t="shared" si="99"/>
        <v>#N/A</v>
      </c>
      <c r="CO65" t="e">
        <f t="shared" si="99"/>
        <v>#N/A</v>
      </c>
      <c r="CP65" t="e">
        <f t="shared" si="99"/>
        <v>#N/A</v>
      </c>
      <c r="CQ65" t="e">
        <f t="shared" si="99"/>
        <v>#N/A</v>
      </c>
      <c r="CR65" t="e">
        <f t="shared" si="99"/>
        <v>#N/A</v>
      </c>
      <c r="CS65" t="e">
        <f t="shared" si="99"/>
        <v>#N/A</v>
      </c>
      <c r="CT65" t="e">
        <f t="shared" si="99"/>
        <v>#N/A</v>
      </c>
      <c r="CU65" t="e">
        <f t="shared" si="99"/>
        <v>#N/A</v>
      </c>
      <c r="CV65" t="e">
        <f t="shared" si="99"/>
        <v>#N/A</v>
      </c>
      <c r="CW65" t="e">
        <f t="shared" si="99"/>
        <v>#N/A</v>
      </c>
      <c r="CX65" t="e">
        <f t="shared" si="99"/>
        <v>#N/A</v>
      </c>
      <c r="CY65" t="e">
        <f t="shared" si="99"/>
        <v>#N/A</v>
      </c>
      <c r="CZ65" t="e">
        <f t="shared" si="99"/>
        <v>#N/A</v>
      </c>
      <c r="DA65" t="e">
        <f t="shared" si="99"/>
        <v>#N/A</v>
      </c>
      <c r="DB65" t="e">
        <f t="shared" si="99"/>
        <v>#N/A</v>
      </c>
      <c r="DC65" t="e">
        <f t="shared" si="99"/>
        <v>#N/A</v>
      </c>
      <c r="DD65" t="e">
        <f t="shared" si="99"/>
        <v>#N/A</v>
      </c>
      <c r="DE65" t="e">
        <f t="shared" si="99"/>
        <v>#N/A</v>
      </c>
      <c r="DF65" t="e">
        <f t="shared" si="99"/>
        <v>#N/A</v>
      </c>
      <c r="DG65" t="e">
        <f t="shared" si="99"/>
        <v>#N/A</v>
      </c>
      <c r="DH65" t="e">
        <f t="shared" si="99"/>
        <v>#N/A</v>
      </c>
      <c r="DI65" t="e">
        <f t="shared" si="99"/>
        <v>#N/A</v>
      </c>
      <c r="DJ65" t="e">
        <f t="shared" si="99"/>
        <v>#N/A</v>
      </c>
      <c r="DK65" t="e">
        <f t="shared" si="99"/>
        <v>#N/A</v>
      </c>
      <c r="DL65" t="e">
        <f t="shared" si="99"/>
        <v>#N/A</v>
      </c>
      <c r="DM65" t="e">
        <f t="shared" si="99"/>
        <v>#N/A</v>
      </c>
      <c r="DN65" t="e">
        <f t="shared" si="99"/>
        <v>#N/A</v>
      </c>
      <c r="DO65" t="e">
        <f t="shared" si="99"/>
        <v>#N/A</v>
      </c>
      <c r="DP65" t="e">
        <f t="shared" si="99"/>
        <v>#N/A</v>
      </c>
      <c r="DQ65" t="e">
        <f t="shared" si="99"/>
        <v>#N/A</v>
      </c>
      <c r="DR65" t="e">
        <f t="shared" si="99"/>
        <v>#N/A</v>
      </c>
      <c r="DS65" t="e">
        <f t="shared" si="99"/>
        <v>#N/A</v>
      </c>
      <c r="DT65" t="e">
        <f t="shared" si="99"/>
        <v>#N/A</v>
      </c>
      <c r="DU65" t="e">
        <f t="shared" si="99"/>
        <v>#N/A</v>
      </c>
      <c r="DV65" t="e">
        <f t="shared" si="99"/>
        <v>#N/A</v>
      </c>
      <c r="DW65" t="e">
        <f t="shared" si="99"/>
        <v>#N/A</v>
      </c>
      <c r="DX65" t="e">
        <f t="shared" si="99"/>
        <v>#N/A</v>
      </c>
      <c r="DY65" t="e">
        <f t="shared" si="99"/>
        <v>#N/A</v>
      </c>
      <c r="DZ65" t="e">
        <f t="shared" si="99"/>
        <v>#N/A</v>
      </c>
      <c r="EA65" t="e">
        <f t="shared" si="99"/>
        <v>#N/A</v>
      </c>
      <c r="EB65" t="e">
        <f t="shared" si="99"/>
        <v>#N/A</v>
      </c>
      <c r="EC65" t="e">
        <f t="shared" si="99"/>
        <v>#N/A</v>
      </c>
      <c r="ED65" t="e">
        <f t="shared" si="99"/>
        <v>#N/A</v>
      </c>
      <c r="EE65" t="e">
        <f t="shared" si="99"/>
        <v>#N/A</v>
      </c>
      <c r="EF65" t="e">
        <f t="shared" si="99"/>
        <v>#N/A</v>
      </c>
      <c r="EG65" t="e">
        <f t="shared" si="99"/>
        <v>#N/A</v>
      </c>
      <c r="EH65" t="e">
        <f t="shared" ref="EH65:GA65" si="100">ROUNDDOWN(EH57*0.75,2)</f>
        <v>#N/A</v>
      </c>
      <c r="EI65" t="e">
        <f t="shared" si="100"/>
        <v>#N/A</v>
      </c>
      <c r="EJ65" t="e">
        <f t="shared" si="100"/>
        <v>#N/A</v>
      </c>
      <c r="EK65" t="e">
        <f t="shared" si="100"/>
        <v>#N/A</v>
      </c>
      <c r="EL65" t="e">
        <f t="shared" si="100"/>
        <v>#N/A</v>
      </c>
      <c r="EM65" t="e">
        <f t="shared" si="100"/>
        <v>#N/A</v>
      </c>
      <c r="EN65" t="e">
        <f t="shared" si="100"/>
        <v>#N/A</v>
      </c>
      <c r="EO65" t="e">
        <f t="shared" si="100"/>
        <v>#N/A</v>
      </c>
      <c r="EP65" t="e">
        <f t="shared" si="100"/>
        <v>#N/A</v>
      </c>
      <c r="EQ65" t="e">
        <f t="shared" si="100"/>
        <v>#N/A</v>
      </c>
      <c r="ER65" t="e">
        <f t="shared" si="100"/>
        <v>#N/A</v>
      </c>
      <c r="ES65" t="e">
        <f t="shared" si="100"/>
        <v>#N/A</v>
      </c>
      <c r="ET65" t="e">
        <f t="shared" si="100"/>
        <v>#N/A</v>
      </c>
      <c r="EU65" t="e">
        <f t="shared" si="100"/>
        <v>#N/A</v>
      </c>
      <c r="EV65" t="e">
        <f t="shared" si="100"/>
        <v>#N/A</v>
      </c>
      <c r="EW65" t="e">
        <f t="shared" si="100"/>
        <v>#N/A</v>
      </c>
      <c r="EX65" t="e">
        <f t="shared" si="100"/>
        <v>#N/A</v>
      </c>
      <c r="EY65" t="e">
        <f t="shared" si="100"/>
        <v>#N/A</v>
      </c>
      <c r="EZ65" t="e">
        <f t="shared" si="100"/>
        <v>#N/A</v>
      </c>
      <c r="FA65" t="e">
        <f t="shared" si="100"/>
        <v>#N/A</v>
      </c>
      <c r="FB65" t="e">
        <f t="shared" si="100"/>
        <v>#N/A</v>
      </c>
      <c r="FC65" t="e">
        <f t="shared" si="100"/>
        <v>#N/A</v>
      </c>
      <c r="FD65" t="e">
        <f t="shared" si="100"/>
        <v>#N/A</v>
      </c>
      <c r="FE65" t="e">
        <f t="shared" si="100"/>
        <v>#N/A</v>
      </c>
      <c r="FF65" t="e">
        <f t="shared" si="100"/>
        <v>#N/A</v>
      </c>
      <c r="FG65" t="e">
        <f t="shared" si="100"/>
        <v>#N/A</v>
      </c>
      <c r="FH65" t="e">
        <f t="shared" si="100"/>
        <v>#N/A</v>
      </c>
      <c r="FI65" t="e">
        <f t="shared" si="100"/>
        <v>#N/A</v>
      </c>
      <c r="FJ65" t="e">
        <f t="shared" si="100"/>
        <v>#N/A</v>
      </c>
      <c r="FK65" t="e">
        <f t="shared" si="100"/>
        <v>#N/A</v>
      </c>
      <c r="FL65" t="e">
        <f t="shared" si="100"/>
        <v>#N/A</v>
      </c>
      <c r="FM65" t="e">
        <f t="shared" si="100"/>
        <v>#N/A</v>
      </c>
      <c r="FN65" t="e">
        <f t="shared" si="100"/>
        <v>#N/A</v>
      </c>
      <c r="FO65" t="e">
        <f t="shared" si="100"/>
        <v>#N/A</v>
      </c>
      <c r="FP65" t="e">
        <f t="shared" si="100"/>
        <v>#N/A</v>
      </c>
      <c r="FQ65" t="e">
        <f t="shared" si="100"/>
        <v>#N/A</v>
      </c>
      <c r="FR65" t="e">
        <f t="shared" si="100"/>
        <v>#N/A</v>
      </c>
      <c r="FS65" t="e">
        <f t="shared" si="100"/>
        <v>#N/A</v>
      </c>
      <c r="FT65" t="e">
        <f t="shared" si="100"/>
        <v>#N/A</v>
      </c>
      <c r="FU65" t="e">
        <f t="shared" si="100"/>
        <v>#N/A</v>
      </c>
      <c r="FV65" t="e">
        <f t="shared" si="100"/>
        <v>#N/A</v>
      </c>
      <c r="FW65" t="e">
        <f t="shared" si="100"/>
        <v>#N/A</v>
      </c>
      <c r="FX65" t="e">
        <f t="shared" si="100"/>
        <v>#N/A</v>
      </c>
      <c r="FY65" t="e">
        <f t="shared" si="100"/>
        <v>#N/A</v>
      </c>
      <c r="FZ65" t="e">
        <f t="shared" si="100"/>
        <v>#N/A</v>
      </c>
      <c r="GA65" t="e">
        <f t="shared" si="100"/>
        <v>#N/A</v>
      </c>
    </row>
    <row r="66" spans="1:183" x14ac:dyDescent="0.45">
      <c r="A66">
        <f t="shared" si="90"/>
        <v>150</v>
      </c>
      <c r="B66" t="s">
        <v>5</v>
      </c>
      <c r="C66" cm="1">
        <f t="array" ref="C66">LOOKUP(2,1/(I66:GA66&lt;&gt;""),I66:GA66)</f>
        <v>28.12</v>
      </c>
      <c r="D66">
        <f t="shared" si="85"/>
        <v>45</v>
      </c>
      <c r="F66" s="3">
        <f t="shared" si="86"/>
        <v>-0.13795217657878592</v>
      </c>
      <c r="G66" s="3" cm="1">
        <f t="array" ref="G66">(C66-IF(ISNA(INDEX(I66:GA66,D66-22)),INDEX(I66:GA66,D66-23),INDEX(I66:GA66,D66-22)))/IF(ISNA(INDEX(I66:GA66,D66-22)),INDEX(I66:GA66,D66-23),INDEX(I66:GA66,D66-22))</f>
        <v>-3.8632478632478595E-2</v>
      </c>
      <c r="I66">
        <f t="shared" si="91"/>
        <v>32.619999999999997</v>
      </c>
      <c r="J66">
        <f t="shared" ref="J66:BU66" si="101">ROUNDDOWN(J58*0.75,2)</f>
        <v>32.619999999999997</v>
      </c>
      <c r="K66" t="e">
        <f t="shared" si="101"/>
        <v>#N/A</v>
      </c>
      <c r="L66">
        <f t="shared" si="101"/>
        <v>32.619999999999997</v>
      </c>
      <c r="M66" t="e">
        <f t="shared" si="101"/>
        <v>#N/A</v>
      </c>
      <c r="N66">
        <f t="shared" si="101"/>
        <v>28.12</v>
      </c>
      <c r="O66">
        <f t="shared" si="101"/>
        <v>28.12</v>
      </c>
      <c r="P66">
        <f t="shared" si="101"/>
        <v>31.5</v>
      </c>
      <c r="Q66">
        <f t="shared" si="101"/>
        <v>28.12</v>
      </c>
      <c r="R66">
        <f t="shared" si="101"/>
        <v>28.12</v>
      </c>
      <c r="S66">
        <f t="shared" si="101"/>
        <v>28.12</v>
      </c>
      <c r="T66">
        <f t="shared" si="101"/>
        <v>28.12</v>
      </c>
      <c r="U66">
        <f t="shared" si="101"/>
        <v>28.12</v>
      </c>
      <c r="V66">
        <f t="shared" si="101"/>
        <v>28.12</v>
      </c>
      <c r="W66">
        <f t="shared" si="101"/>
        <v>29.25</v>
      </c>
      <c r="X66">
        <f t="shared" si="101"/>
        <v>29.25</v>
      </c>
      <c r="Y66">
        <f t="shared" si="101"/>
        <v>31.5</v>
      </c>
      <c r="Z66">
        <f t="shared" si="101"/>
        <v>28.12</v>
      </c>
      <c r="AA66">
        <f t="shared" si="101"/>
        <v>29.25</v>
      </c>
      <c r="AB66">
        <f t="shared" si="101"/>
        <v>28.12</v>
      </c>
      <c r="AC66">
        <f t="shared" si="101"/>
        <v>32.619999999999997</v>
      </c>
      <c r="AD66">
        <f t="shared" si="101"/>
        <v>32.619999999999997</v>
      </c>
      <c r="AE66">
        <f t="shared" si="101"/>
        <v>29.25</v>
      </c>
      <c r="AF66">
        <f t="shared" si="101"/>
        <v>29.25</v>
      </c>
      <c r="AG66">
        <f t="shared" si="101"/>
        <v>28.12</v>
      </c>
      <c r="AH66">
        <f t="shared" si="101"/>
        <v>28.12</v>
      </c>
      <c r="AI66">
        <f t="shared" si="101"/>
        <v>28.12</v>
      </c>
      <c r="AJ66">
        <f t="shared" si="101"/>
        <v>28.12</v>
      </c>
      <c r="AK66">
        <f t="shared" si="101"/>
        <v>28.12</v>
      </c>
      <c r="AL66">
        <f t="shared" si="101"/>
        <v>28.12</v>
      </c>
      <c r="AM66">
        <f t="shared" si="101"/>
        <v>29.25</v>
      </c>
      <c r="AN66" t="e">
        <f t="shared" si="101"/>
        <v>#N/A</v>
      </c>
      <c r="AO66">
        <f t="shared" si="101"/>
        <v>28.12</v>
      </c>
      <c r="AP66">
        <f t="shared" si="101"/>
        <v>27</v>
      </c>
      <c r="AQ66">
        <f t="shared" si="101"/>
        <v>28.12</v>
      </c>
      <c r="AR66">
        <f t="shared" si="101"/>
        <v>29.25</v>
      </c>
      <c r="AS66">
        <f t="shared" si="101"/>
        <v>28.12</v>
      </c>
      <c r="AT66" t="e">
        <f t="shared" si="101"/>
        <v>#N/A</v>
      </c>
      <c r="AU66" t="e">
        <f t="shared" si="101"/>
        <v>#N/A</v>
      </c>
      <c r="AV66" t="e">
        <f t="shared" si="101"/>
        <v>#N/A</v>
      </c>
      <c r="AW66" t="e">
        <f t="shared" si="101"/>
        <v>#N/A</v>
      </c>
      <c r="AX66" t="e">
        <f t="shared" si="101"/>
        <v>#N/A</v>
      </c>
      <c r="AY66" t="e">
        <f t="shared" si="101"/>
        <v>#N/A</v>
      </c>
      <c r="AZ66" t="e">
        <f t="shared" si="101"/>
        <v>#N/A</v>
      </c>
      <c r="BA66" t="e">
        <f t="shared" si="101"/>
        <v>#N/A</v>
      </c>
      <c r="BB66" t="e">
        <f t="shared" si="101"/>
        <v>#N/A</v>
      </c>
      <c r="BC66" t="e">
        <f t="shared" si="101"/>
        <v>#N/A</v>
      </c>
      <c r="BD66" t="e">
        <f t="shared" si="101"/>
        <v>#N/A</v>
      </c>
      <c r="BE66" t="e">
        <f t="shared" si="101"/>
        <v>#N/A</v>
      </c>
      <c r="BF66" t="e">
        <f t="shared" si="101"/>
        <v>#N/A</v>
      </c>
      <c r="BG66" t="e">
        <f t="shared" si="101"/>
        <v>#N/A</v>
      </c>
      <c r="BH66" t="e">
        <f t="shared" si="101"/>
        <v>#N/A</v>
      </c>
      <c r="BI66" t="e">
        <f t="shared" si="101"/>
        <v>#N/A</v>
      </c>
      <c r="BJ66" t="e">
        <f t="shared" si="101"/>
        <v>#N/A</v>
      </c>
      <c r="BK66" t="e">
        <f t="shared" si="101"/>
        <v>#N/A</v>
      </c>
      <c r="BL66" t="e">
        <f t="shared" si="101"/>
        <v>#N/A</v>
      </c>
      <c r="BM66" t="e">
        <f t="shared" si="101"/>
        <v>#N/A</v>
      </c>
      <c r="BN66" t="e">
        <f t="shared" si="101"/>
        <v>#N/A</v>
      </c>
      <c r="BO66" t="e">
        <f t="shared" si="101"/>
        <v>#N/A</v>
      </c>
      <c r="BP66" t="e">
        <f t="shared" si="101"/>
        <v>#N/A</v>
      </c>
      <c r="BQ66" t="e">
        <f t="shared" si="101"/>
        <v>#N/A</v>
      </c>
      <c r="BR66" t="e">
        <f t="shared" si="101"/>
        <v>#N/A</v>
      </c>
      <c r="BS66" t="e">
        <f t="shared" si="101"/>
        <v>#N/A</v>
      </c>
      <c r="BT66" t="e">
        <f t="shared" si="101"/>
        <v>#N/A</v>
      </c>
      <c r="BU66" t="e">
        <f t="shared" si="101"/>
        <v>#N/A</v>
      </c>
      <c r="BV66" t="e">
        <f t="shared" ref="BV66:EG66" si="102">ROUNDDOWN(BV58*0.75,2)</f>
        <v>#N/A</v>
      </c>
      <c r="BW66" t="e">
        <f t="shared" si="102"/>
        <v>#N/A</v>
      </c>
      <c r="BX66" t="e">
        <f t="shared" si="102"/>
        <v>#N/A</v>
      </c>
      <c r="BY66" t="e">
        <f t="shared" si="102"/>
        <v>#N/A</v>
      </c>
      <c r="BZ66" t="e">
        <f t="shared" si="102"/>
        <v>#N/A</v>
      </c>
      <c r="CA66" t="e">
        <f t="shared" si="102"/>
        <v>#N/A</v>
      </c>
      <c r="CB66" t="e">
        <f t="shared" si="102"/>
        <v>#N/A</v>
      </c>
      <c r="CC66" t="e">
        <f t="shared" si="102"/>
        <v>#N/A</v>
      </c>
      <c r="CD66" t="e">
        <f t="shared" si="102"/>
        <v>#N/A</v>
      </c>
      <c r="CE66" t="e">
        <f t="shared" si="102"/>
        <v>#N/A</v>
      </c>
      <c r="CF66" t="e">
        <f t="shared" si="102"/>
        <v>#N/A</v>
      </c>
      <c r="CG66" t="e">
        <f t="shared" si="102"/>
        <v>#N/A</v>
      </c>
      <c r="CH66" t="e">
        <f t="shared" si="102"/>
        <v>#N/A</v>
      </c>
      <c r="CI66" t="e">
        <f t="shared" si="102"/>
        <v>#N/A</v>
      </c>
      <c r="CJ66" t="e">
        <f t="shared" si="102"/>
        <v>#N/A</v>
      </c>
      <c r="CK66" t="e">
        <f t="shared" si="102"/>
        <v>#N/A</v>
      </c>
      <c r="CL66" t="e">
        <f t="shared" si="102"/>
        <v>#N/A</v>
      </c>
      <c r="CM66" t="e">
        <f t="shared" si="102"/>
        <v>#N/A</v>
      </c>
      <c r="CN66" t="e">
        <f t="shared" si="102"/>
        <v>#N/A</v>
      </c>
      <c r="CO66" t="e">
        <f t="shared" si="102"/>
        <v>#N/A</v>
      </c>
      <c r="CP66" t="e">
        <f t="shared" si="102"/>
        <v>#N/A</v>
      </c>
      <c r="CQ66" t="e">
        <f t="shared" si="102"/>
        <v>#N/A</v>
      </c>
      <c r="CR66" t="e">
        <f t="shared" si="102"/>
        <v>#N/A</v>
      </c>
      <c r="CS66" t="e">
        <f t="shared" si="102"/>
        <v>#N/A</v>
      </c>
      <c r="CT66" t="e">
        <f t="shared" si="102"/>
        <v>#N/A</v>
      </c>
      <c r="CU66" t="e">
        <f t="shared" si="102"/>
        <v>#N/A</v>
      </c>
      <c r="CV66" t="e">
        <f t="shared" si="102"/>
        <v>#N/A</v>
      </c>
      <c r="CW66" t="e">
        <f t="shared" si="102"/>
        <v>#N/A</v>
      </c>
      <c r="CX66" t="e">
        <f t="shared" si="102"/>
        <v>#N/A</v>
      </c>
      <c r="CY66" t="e">
        <f t="shared" si="102"/>
        <v>#N/A</v>
      </c>
      <c r="CZ66" t="e">
        <f t="shared" si="102"/>
        <v>#N/A</v>
      </c>
      <c r="DA66" t="e">
        <f t="shared" si="102"/>
        <v>#N/A</v>
      </c>
      <c r="DB66" t="e">
        <f t="shared" si="102"/>
        <v>#N/A</v>
      </c>
      <c r="DC66" t="e">
        <f t="shared" si="102"/>
        <v>#N/A</v>
      </c>
      <c r="DD66" t="e">
        <f t="shared" si="102"/>
        <v>#N/A</v>
      </c>
      <c r="DE66" t="e">
        <f t="shared" si="102"/>
        <v>#N/A</v>
      </c>
      <c r="DF66" t="e">
        <f t="shared" si="102"/>
        <v>#N/A</v>
      </c>
      <c r="DG66" t="e">
        <f t="shared" si="102"/>
        <v>#N/A</v>
      </c>
      <c r="DH66" t="e">
        <f t="shared" si="102"/>
        <v>#N/A</v>
      </c>
      <c r="DI66" t="e">
        <f t="shared" si="102"/>
        <v>#N/A</v>
      </c>
      <c r="DJ66" t="e">
        <f t="shared" si="102"/>
        <v>#N/A</v>
      </c>
      <c r="DK66" t="e">
        <f t="shared" si="102"/>
        <v>#N/A</v>
      </c>
      <c r="DL66" t="e">
        <f t="shared" si="102"/>
        <v>#N/A</v>
      </c>
      <c r="DM66" t="e">
        <f t="shared" si="102"/>
        <v>#N/A</v>
      </c>
      <c r="DN66" t="e">
        <f t="shared" si="102"/>
        <v>#N/A</v>
      </c>
      <c r="DO66" t="e">
        <f t="shared" si="102"/>
        <v>#N/A</v>
      </c>
      <c r="DP66" t="e">
        <f t="shared" si="102"/>
        <v>#N/A</v>
      </c>
      <c r="DQ66" t="e">
        <f t="shared" si="102"/>
        <v>#N/A</v>
      </c>
      <c r="DR66" t="e">
        <f t="shared" si="102"/>
        <v>#N/A</v>
      </c>
      <c r="DS66" t="e">
        <f t="shared" si="102"/>
        <v>#N/A</v>
      </c>
      <c r="DT66" t="e">
        <f t="shared" si="102"/>
        <v>#N/A</v>
      </c>
      <c r="DU66" t="e">
        <f t="shared" si="102"/>
        <v>#N/A</v>
      </c>
      <c r="DV66" t="e">
        <f t="shared" si="102"/>
        <v>#N/A</v>
      </c>
      <c r="DW66" t="e">
        <f t="shared" si="102"/>
        <v>#N/A</v>
      </c>
      <c r="DX66" t="e">
        <f t="shared" si="102"/>
        <v>#N/A</v>
      </c>
      <c r="DY66" t="e">
        <f t="shared" si="102"/>
        <v>#N/A</v>
      </c>
      <c r="DZ66" t="e">
        <f t="shared" si="102"/>
        <v>#N/A</v>
      </c>
      <c r="EA66" t="e">
        <f t="shared" si="102"/>
        <v>#N/A</v>
      </c>
      <c r="EB66" t="e">
        <f t="shared" si="102"/>
        <v>#N/A</v>
      </c>
      <c r="EC66" t="e">
        <f t="shared" si="102"/>
        <v>#N/A</v>
      </c>
      <c r="ED66" t="e">
        <f t="shared" si="102"/>
        <v>#N/A</v>
      </c>
      <c r="EE66" t="e">
        <f t="shared" si="102"/>
        <v>#N/A</v>
      </c>
      <c r="EF66" t="e">
        <f t="shared" si="102"/>
        <v>#N/A</v>
      </c>
      <c r="EG66" t="e">
        <f t="shared" si="102"/>
        <v>#N/A</v>
      </c>
      <c r="EH66" t="e">
        <f t="shared" ref="EH66:GA66" si="103">ROUNDDOWN(EH58*0.75,2)</f>
        <v>#N/A</v>
      </c>
      <c r="EI66" t="e">
        <f t="shared" si="103"/>
        <v>#N/A</v>
      </c>
      <c r="EJ66" t="e">
        <f t="shared" si="103"/>
        <v>#N/A</v>
      </c>
      <c r="EK66" t="e">
        <f t="shared" si="103"/>
        <v>#N/A</v>
      </c>
      <c r="EL66" t="e">
        <f t="shared" si="103"/>
        <v>#N/A</v>
      </c>
      <c r="EM66" t="e">
        <f t="shared" si="103"/>
        <v>#N/A</v>
      </c>
      <c r="EN66" t="e">
        <f t="shared" si="103"/>
        <v>#N/A</v>
      </c>
      <c r="EO66" t="e">
        <f t="shared" si="103"/>
        <v>#N/A</v>
      </c>
      <c r="EP66" t="e">
        <f t="shared" si="103"/>
        <v>#N/A</v>
      </c>
      <c r="EQ66" t="e">
        <f t="shared" si="103"/>
        <v>#N/A</v>
      </c>
      <c r="ER66" t="e">
        <f t="shared" si="103"/>
        <v>#N/A</v>
      </c>
      <c r="ES66" t="e">
        <f t="shared" si="103"/>
        <v>#N/A</v>
      </c>
      <c r="ET66" t="e">
        <f t="shared" si="103"/>
        <v>#N/A</v>
      </c>
      <c r="EU66" t="e">
        <f t="shared" si="103"/>
        <v>#N/A</v>
      </c>
      <c r="EV66" t="e">
        <f t="shared" si="103"/>
        <v>#N/A</v>
      </c>
      <c r="EW66" t="e">
        <f t="shared" si="103"/>
        <v>#N/A</v>
      </c>
      <c r="EX66" t="e">
        <f t="shared" si="103"/>
        <v>#N/A</v>
      </c>
      <c r="EY66" t="e">
        <f t="shared" si="103"/>
        <v>#N/A</v>
      </c>
      <c r="EZ66" t="e">
        <f t="shared" si="103"/>
        <v>#N/A</v>
      </c>
      <c r="FA66" t="e">
        <f t="shared" si="103"/>
        <v>#N/A</v>
      </c>
      <c r="FB66" t="e">
        <f t="shared" si="103"/>
        <v>#N/A</v>
      </c>
      <c r="FC66" t="e">
        <f t="shared" si="103"/>
        <v>#N/A</v>
      </c>
      <c r="FD66" t="e">
        <f t="shared" si="103"/>
        <v>#N/A</v>
      </c>
      <c r="FE66" t="e">
        <f t="shared" si="103"/>
        <v>#N/A</v>
      </c>
      <c r="FF66" t="e">
        <f t="shared" si="103"/>
        <v>#N/A</v>
      </c>
      <c r="FG66" t="e">
        <f t="shared" si="103"/>
        <v>#N/A</v>
      </c>
      <c r="FH66" t="e">
        <f t="shared" si="103"/>
        <v>#N/A</v>
      </c>
      <c r="FI66" t="e">
        <f t="shared" si="103"/>
        <v>#N/A</v>
      </c>
      <c r="FJ66" t="e">
        <f t="shared" si="103"/>
        <v>#N/A</v>
      </c>
      <c r="FK66" t="e">
        <f t="shared" si="103"/>
        <v>#N/A</v>
      </c>
      <c r="FL66" t="e">
        <f t="shared" si="103"/>
        <v>#N/A</v>
      </c>
      <c r="FM66" t="e">
        <f t="shared" si="103"/>
        <v>#N/A</v>
      </c>
      <c r="FN66" t="e">
        <f t="shared" si="103"/>
        <v>#N/A</v>
      </c>
      <c r="FO66" t="e">
        <f t="shared" si="103"/>
        <v>#N/A</v>
      </c>
      <c r="FP66" t="e">
        <f t="shared" si="103"/>
        <v>#N/A</v>
      </c>
      <c r="FQ66" t="e">
        <f t="shared" si="103"/>
        <v>#N/A</v>
      </c>
      <c r="FR66" t="e">
        <f t="shared" si="103"/>
        <v>#N/A</v>
      </c>
      <c r="FS66" t="e">
        <f t="shared" si="103"/>
        <v>#N/A</v>
      </c>
      <c r="FT66" t="e">
        <f t="shared" si="103"/>
        <v>#N/A</v>
      </c>
      <c r="FU66" t="e">
        <f t="shared" si="103"/>
        <v>#N/A</v>
      </c>
      <c r="FV66" t="e">
        <f t="shared" si="103"/>
        <v>#N/A</v>
      </c>
      <c r="FW66" t="e">
        <f t="shared" si="103"/>
        <v>#N/A</v>
      </c>
      <c r="FX66" t="e">
        <f t="shared" si="103"/>
        <v>#N/A</v>
      </c>
      <c r="FY66" t="e">
        <f t="shared" si="103"/>
        <v>#N/A</v>
      </c>
      <c r="FZ66" t="e">
        <f t="shared" si="103"/>
        <v>#N/A</v>
      </c>
      <c r="GA66" t="e">
        <f t="shared" si="103"/>
        <v>#N/A</v>
      </c>
    </row>
    <row r="67" spans="1:183" x14ac:dyDescent="0.45">
      <c r="F67" s="4"/>
    </row>
    <row r="68" spans="1:183" x14ac:dyDescent="0.45">
      <c r="F68" s="4"/>
    </row>
    <row r="69" spans="1:183" x14ac:dyDescent="0.45">
      <c r="A69" s="2" t="s">
        <v>16</v>
      </c>
      <c r="F69" s="4"/>
    </row>
    <row r="70" spans="1:183" x14ac:dyDescent="0.45">
      <c r="F70" s="4"/>
      <c r="I70" s="1">
        <f>I61</f>
        <v>44331</v>
      </c>
      <c r="J70" s="1">
        <f t="shared" ref="J70:BU70" si="104">J61</f>
        <v>44332</v>
      </c>
      <c r="K70" s="1">
        <f t="shared" si="104"/>
        <v>44333</v>
      </c>
      <c r="L70" s="1">
        <f t="shared" si="104"/>
        <v>44334</v>
      </c>
      <c r="M70" s="1">
        <f t="shared" si="104"/>
        <v>44335</v>
      </c>
      <c r="N70" s="1">
        <f t="shared" si="104"/>
        <v>44336</v>
      </c>
      <c r="O70" s="1">
        <f t="shared" si="104"/>
        <v>44337</v>
      </c>
      <c r="P70" s="1">
        <f t="shared" si="104"/>
        <v>44338</v>
      </c>
      <c r="Q70" s="1">
        <f t="shared" si="104"/>
        <v>44339</v>
      </c>
      <c r="R70" s="1">
        <f t="shared" si="104"/>
        <v>44340</v>
      </c>
      <c r="S70" s="1">
        <f t="shared" si="104"/>
        <v>44341</v>
      </c>
      <c r="T70" s="1">
        <f t="shared" si="104"/>
        <v>44342</v>
      </c>
      <c r="U70" s="1">
        <f t="shared" si="104"/>
        <v>44343</v>
      </c>
      <c r="V70" s="1">
        <f t="shared" si="104"/>
        <v>44344</v>
      </c>
      <c r="W70" s="1">
        <f t="shared" si="104"/>
        <v>44345</v>
      </c>
      <c r="X70" s="1">
        <f t="shared" si="104"/>
        <v>44346</v>
      </c>
      <c r="Y70" s="1">
        <f t="shared" si="104"/>
        <v>44347</v>
      </c>
      <c r="Z70" s="1">
        <f t="shared" si="104"/>
        <v>44348</v>
      </c>
      <c r="AA70" s="1">
        <f t="shared" si="104"/>
        <v>44349</v>
      </c>
      <c r="AB70" s="1">
        <f t="shared" si="104"/>
        <v>44350</v>
      </c>
      <c r="AC70" s="1">
        <f t="shared" si="104"/>
        <v>44351</v>
      </c>
      <c r="AD70" s="1">
        <f t="shared" si="104"/>
        <v>44352</v>
      </c>
      <c r="AE70" s="1">
        <f t="shared" si="104"/>
        <v>44353</v>
      </c>
      <c r="AF70" s="1">
        <f t="shared" si="104"/>
        <v>44354</v>
      </c>
      <c r="AG70" s="1">
        <f t="shared" si="104"/>
        <v>44355</v>
      </c>
      <c r="AH70" s="1">
        <f t="shared" si="104"/>
        <v>44356</v>
      </c>
      <c r="AI70" s="1">
        <f t="shared" si="104"/>
        <v>44357</v>
      </c>
      <c r="AJ70" s="1">
        <f t="shared" si="104"/>
        <v>44358</v>
      </c>
      <c r="AK70" s="1">
        <f t="shared" si="104"/>
        <v>44359</v>
      </c>
      <c r="AL70" s="1">
        <f t="shared" si="104"/>
        <v>44360</v>
      </c>
      <c r="AM70" s="1">
        <f t="shared" si="104"/>
        <v>44361</v>
      </c>
      <c r="AN70" s="1">
        <f t="shared" si="104"/>
        <v>44362</v>
      </c>
      <c r="AO70" s="1">
        <f t="shared" si="104"/>
        <v>44363</v>
      </c>
      <c r="AP70" s="1">
        <f t="shared" si="104"/>
        <v>44364</v>
      </c>
      <c r="AQ70" s="1">
        <f t="shared" si="104"/>
        <v>44365</v>
      </c>
      <c r="AR70" s="1">
        <f t="shared" si="104"/>
        <v>44366</v>
      </c>
      <c r="AS70" s="1">
        <f t="shared" si="104"/>
        <v>44367</v>
      </c>
      <c r="AT70" s="1">
        <f t="shared" si="104"/>
        <v>44368</v>
      </c>
      <c r="AU70" s="1">
        <f t="shared" si="104"/>
        <v>44369</v>
      </c>
      <c r="AV70" s="1">
        <f t="shared" si="104"/>
        <v>44370</v>
      </c>
      <c r="AW70" s="1">
        <f t="shared" si="104"/>
        <v>44371</v>
      </c>
      <c r="AX70" s="1">
        <f t="shared" si="104"/>
        <v>44372</v>
      </c>
      <c r="AY70" s="1">
        <f t="shared" si="104"/>
        <v>44373</v>
      </c>
      <c r="AZ70" s="1">
        <f t="shared" si="104"/>
        <v>44374</v>
      </c>
      <c r="BA70" s="1">
        <f t="shared" si="104"/>
        <v>44375</v>
      </c>
      <c r="BB70" s="1">
        <f t="shared" si="104"/>
        <v>44376</v>
      </c>
      <c r="BC70" s="1">
        <f t="shared" si="104"/>
        <v>44377</v>
      </c>
      <c r="BD70" s="1">
        <f t="shared" si="104"/>
        <v>44378</v>
      </c>
      <c r="BE70" s="1">
        <f t="shared" si="104"/>
        <v>44379</v>
      </c>
      <c r="BF70" s="1">
        <f t="shared" si="104"/>
        <v>44380</v>
      </c>
      <c r="BG70" s="1">
        <f t="shared" si="104"/>
        <v>44381</v>
      </c>
      <c r="BH70" s="1">
        <f t="shared" si="104"/>
        <v>44382</v>
      </c>
      <c r="BI70" s="1">
        <f t="shared" si="104"/>
        <v>44383</v>
      </c>
      <c r="BJ70" s="1">
        <f t="shared" si="104"/>
        <v>44384</v>
      </c>
      <c r="BK70" s="1">
        <f t="shared" si="104"/>
        <v>44385</v>
      </c>
      <c r="BL70" s="1">
        <f t="shared" si="104"/>
        <v>44386</v>
      </c>
      <c r="BM70" s="1">
        <f t="shared" si="104"/>
        <v>44387</v>
      </c>
      <c r="BN70" s="1">
        <f t="shared" si="104"/>
        <v>44388</v>
      </c>
      <c r="BO70" s="1">
        <f t="shared" si="104"/>
        <v>44389</v>
      </c>
      <c r="BP70" s="1">
        <f t="shared" si="104"/>
        <v>44390</v>
      </c>
      <c r="BQ70" s="1">
        <f t="shared" si="104"/>
        <v>44391</v>
      </c>
      <c r="BR70" s="1">
        <f t="shared" si="104"/>
        <v>44392</v>
      </c>
      <c r="BS70" s="1">
        <f t="shared" si="104"/>
        <v>44393</v>
      </c>
      <c r="BT70" s="1">
        <f t="shared" si="104"/>
        <v>44394</v>
      </c>
      <c r="BU70" s="1">
        <f t="shared" si="104"/>
        <v>44395</v>
      </c>
      <c r="BV70" s="1">
        <f t="shared" ref="BV70:EG70" si="105">BV61</f>
        <v>44396</v>
      </c>
      <c r="BW70" s="1">
        <f t="shared" si="105"/>
        <v>44397</v>
      </c>
      <c r="BX70" s="1">
        <f t="shared" si="105"/>
        <v>44398</v>
      </c>
      <c r="BY70" s="1">
        <f t="shared" si="105"/>
        <v>44399</v>
      </c>
      <c r="BZ70" s="1">
        <f t="shared" si="105"/>
        <v>44400</v>
      </c>
      <c r="CA70" s="1">
        <f t="shared" si="105"/>
        <v>44401</v>
      </c>
      <c r="CB70" s="1">
        <f t="shared" si="105"/>
        <v>44402</v>
      </c>
      <c r="CC70" s="1">
        <f t="shared" si="105"/>
        <v>44403</v>
      </c>
      <c r="CD70" s="1">
        <f t="shared" si="105"/>
        <v>44404</v>
      </c>
      <c r="CE70" s="1">
        <f t="shared" si="105"/>
        <v>44405</v>
      </c>
      <c r="CF70" s="1">
        <f t="shared" si="105"/>
        <v>44406</v>
      </c>
      <c r="CG70" s="1">
        <f t="shared" si="105"/>
        <v>44407</v>
      </c>
      <c r="CH70" s="1">
        <f t="shared" si="105"/>
        <v>44408</v>
      </c>
      <c r="CI70" s="1">
        <f t="shared" si="105"/>
        <v>44409</v>
      </c>
      <c r="CJ70" s="1">
        <f t="shared" si="105"/>
        <v>44410</v>
      </c>
      <c r="CK70" s="1">
        <f t="shared" si="105"/>
        <v>44411</v>
      </c>
      <c r="CL70" s="1">
        <f t="shared" si="105"/>
        <v>44412</v>
      </c>
      <c r="CM70" s="1">
        <f t="shared" si="105"/>
        <v>44413</v>
      </c>
      <c r="CN70" s="1">
        <f t="shared" si="105"/>
        <v>44414</v>
      </c>
      <c r="CO70" s="1">
        <f t="shared" si="105"/>
        <v>44415</v>
      </c>
      <c r="CP70" s="1">
        <f t="shared" si="105"/>
        <v>44416</v>
      </c>
      <c r="CQ70" s="1">
        <f t="shared" si="105"/>
        <v>44417</v>
      </c>
      <c r="CR70" s="1">
        <f t="shared" si="105"/>
        <v>44418</v>
      </c>
      <c r="CS70" s="1">
        <f t="shared" si="105"/>
        <v>44419</v>
      </c>
      <c r="CT70" s="1">
        <f t="shared" si="105"/>
        <v>44420</v>
      </c>
      <c r="CU70" s="1">
        <f t="shared" si="105"/>
        <v>44421</v>
      </c>
      <c r="CV70" s="1">
        <f t="shared" si="105"/>
        <v>44422</v>
      </c>
      <c r="CW70" s="1">
        <f t="shared" si="105"/>
        <v>44423</v>
      </c>
      <c r="CX70" s="1">
        <f t="shared" si="105"/>
        <v>44424</v>
      </c>
      <c r="CY70" s="1">
        <f t="shared" si="105"/>
        <v>44425</v>
      </c>
      <c r="CZ70" s="1">
        <f t="shared" si="105"/>
        <v>44426</v>
      </c>
      <c r="DA70" s="1">
        <f t="shared" si="105"/>
        <v>44427</v>
      </c>
      <c r="DB70" s="1">
        <f t="shared" si="105"/>
        <v>44428</v>
      </c>
      <c r="DC70" s="1">
        <f t="shared" si="105"/>
        <v>44429</v>
      </c>
      <c r="DD70" s="1">
        <f t="shared" si="105"/>
        <v>44430</v>
      </c>
      <c r="DE70" s="1">
        <f t="shared" si="105"/>
        <v>44431</v>
      </c>
      <c r="DF70" s="1">
        <f t="shared" si="105"/>
        <v>44432</v>
      </c>
      <c r="DG70" s="1">
        <f t="shared" si="105"/>
        <v>44433</v>
      </c>
      <c r="DH70" s="1">
        <f t="shared" si="105"/>
        <v>44434</v>
      </c>
      <c r="DI70" s="1">
        <f t="shared" si="105"/>
        <v>44435</v>
      </c>
      <c r="DJ70" s="1">
        <f t="shared" si="105"/>
        <v>44436</v>
      </c>
      <c r="DK70" s="1">
        <f t="shared" si="105"/>
        <v>44437</v>
      </c>
      <c r="DL70" s="1">
        <f t="shared" si="105"/>
        <v>44438</v>
      </c>
      <c r="DM70" s="1">
        <f t="shared" si="105"/>
        <v>44439</v>
      </c>
      <c r="DN70" s="1">
        <f t="shared" si="105"/>
        <v>44440</v>
      </c>
      <c r="DO70" s="1">
        <f t="shared" si="105"/>
        <v>44441</v>
      </c>
      <c r="DP70" s="1">
        <f t="shared" si="105"/>
        <v>44442</v>
      </c>
      <c r="DQ70" s="1">
        <f t="shared" si="105"/>
        <v>44443</v>
      </c>
      <c r="DR70" s="1">
        <f t="shared" si="105"/>
        <v>44444</v>
      </c>
      <c r="DS70" s="1">
        <f t="shared" si="105"/>
        <v>44445</v>
      </c>
      <c r="DT70" s="1">
        <f t="shared" si="105"/>
        <v>44446</v>
      </c>
      <c r="DU70" s="1">
        <f t="shared" si="105"/>
        <v>44447</v>
      </c>
      <c r="DV70" s="1">
        <f t="shared" si="105"/>
        <v>44448</v>
      </c>
      <c r="DW70" s="1">
        <f t="shared" si="105"/>
        <v>44449</v>
      </c>
      <c r="DX70" s="1">
        <f t="shared" si="105"/>
        <v>44450</v>
      </c>
      <c r="DY70" s="1">
        <f t="shared" si="105"/>
        <v>44451</v>
      </c>
      <c r="DZ70" s="1">
        <f t="shared" si="105"/>
        <v>44452</v>
      </c>
      <c r="EA70" s="1">
        <f t="shared" si="105"/>
        <v>44453</v>
      </c>
      <c r="EB70" s="1">
        <f t="shared" si="105"/>
        <v>44454</v>
      </c>
      <c r="EC70" s="1">
        <f t="shared" si="105"/>
        <v>44455</v>
      </c>
      <c r="ED70" s="1">
        <f t="shared" si="105"/>
        <v>44456</v>
      </c>
      <c r="EE70" s="1">
        <f t="shared" si="105"/>
        <v>44457</v>
      </c>
      <c r="EF70" s="1">
        <f t="shared" si="105"/>
        <v>44458</v>
      </c>
      <c r="EG70" s="1">
        <f t="shared" si="105"/>
        <v>44459</v>
      </c>
      <c r="EH70" s="1">
        <f t="shared" ref="EH70:GA70" si="106">EH61</f>
        <v>44460</v>
      </c>
      <c r="EI70" s="1">
        <f t="shared" si="106"/>
        <v>44461</v>
      </c>
      <c r="EJ70" s="1">
        <f t="shared" si="106"/>
        <v>44462</v>
      </c>
      <c r="EK70" s="1">
        <f t="shared" si="106"/>
        <v>44463</v>
      </c>
      <c r="EL70" s="1">
        <f t="shared" si="106"/>
        <v>44464</v>
      </c>
      <c r="EM70" s="1">
        <f t="shared" si="106"/>
        <v>44465</v>
      </c>
      <c r="EN70" s="1">
        <f t="shared" si="106"/>
        <v>44466</v>
      </c>
      <c r="EO70" s="1">
        <f t="shared" si="106"/>
        <v>44467</v>
      </c>
      <c r="EP70" s="1">
        <f t="shared" si="106"/>
        <v>44468</v>
      </c>
      <c r="EQ70" s="1">
        <f t="shared" si="106"/>
        <v>44469</v>
      </c>
      <c r="ER70" s="1">
        <f t="shared" si="106"/>
        <v>44470</v>
      </c>
      <c r="ES70" s="1">
        <f t="shared" si="106"/>
        <v>44471</v>
      </c>
      <c r="ET70" s="1">
        <f t="shared" si="106"/>
        <v>44472</v>
      </c>
      <c r="EU70" s="1">
        <f t="shared" si="106"/>
        <v>44473</v>
      </c>
      <c r="EV70" s="1">
        <f t="shared" si="106"/>
        <v>44474</v>
      </c>
      <c r="EW70" s="1">
        <f t="shared" si="106"/>
        <v>44475</v>
      </c>
      <c r="EX70" s="1">
        <f t="shared" si="106"/>
        <v>44476</v>
      </c>
      <c r="EY70" s="1">
        <f t="shared" si="106"/>
        <v>44477</v>
      </c>
      <c r="EZ70" s="1">
        <f t="shared" si="106"/>
        <v>44478</v>
      </c>
      <c r="FA70" s="1">
        <f t="shared" si="106"/>
        <v>44479</v>
      </c>
      <c r="FB70" s="1">
        <f t="shared" si="106"/>
        <v>44480</v>
      </c>
      <c r="FC70" s="1">
        <f t="shared" si="106"/>
        <v>44481</v>
      </c>
      <c r="FD70" s="1">
        <f t="shared" si="106"/>
        <v>44482</v>
      </c>
      <c r="FE70" s="1">
        <f t="shared" si="106"/>
        <v>44483</v>
      </c>
      <c r="FF70" s="1">
        <f t="shared" si="106"/>
        <v>44484</v>
      </c>
      <c r="FG70" s="1">
        <f t="shared" si="106"/>
        <v>44485</v>
      </c>
      <c r="FH70" s="1">
        <f t="shared" si="106"/>
        <v>44486</v>
      </c>
      <c r="FI70" s="1">
        <f t="shared" si="106"/>
        <v>44487</v>
      </c>
      <c r="FJ70" s="1">
        <f t="shared" si="106"/>
        <v>44488</v>
      </c>
      <c r="FK70" s="1">
        <f t="shared" si="106"/>
        <v>44489</v>
      </c>
      <c r="FL70" s="1">
        <f t="shared" si="106"/>
        <v>44490</v>
      </c>
      <c r="FM70" s="1">
        <f t="shared" si="106"/>
        <v>44491</v>
      </c>
      <c r="FN70" s="1">
        <f t="shared" si="106"/>
        <v>44492</v>
      </c>
      <c r="FO70" s="1">
        <f t="shared" si="106"/>
        <v>44493</v>
      </c>
      <c r="FP70" s="1">
        <f t="shared" si="106"/>
        <v>44494</v>
      </c>
      <c r="FQ70" s="1">
        <f t="shared" si="106"/>
        <v>44495</v>
      </c>
      <c r="FR70" s="1">
        <f t="shared" si="106"/>
        <v>44496</v>
      </c>
      <c r="FS70" s="1">
        <f t="shared" si="106"/>
        <v>44497</v>
      </c>
      <c r="FT70" s="1">
        <f t="shared" si="106"/>
        <v>44498</v>
      </c>
      <c r="FU70" s="1">
        <f t="shared" si="106"/>
        <v>44499</v>
      </c>
      <c r="FV70" s="1">
        <f t="shared" si="106"/>
        <v>44500</v>
      </c>
      <c r="FW70" s="1">
        <f t="shared" si="106"/>
        <v>44501</v>
      </c>
      <c r="FX70" s="1">
        <f t="shared" si="106"/>
        <v>44502</v>
      </c>
      <c r="FY70" s="1">
        <f t="shared" si="106"/>
        <v>44503</v>
      </c>
      <c r="FZ70" s="1">
        <f t="shared" si="106"/>
        <v>44504</v>
      </c>
      <c r="GA70" s="1">
        <f t="shared" si="106"/>
        <v>44505</v>
      </c>
    </row>
    <row r="71" spans="1:183" x14ac:dyDescent="0.45">
      <c r="A71">
        <v>120</v>
      </c>
      <c r="B71" t="s">
        <v>0</v>
      </c>
      <c r="C71" cm="1">
        <f t="array" ref="C71">LOOKUP(2,1/(I71:GA71&lt;&gt;""),I71:GA71)</f>
        <v>-45</v>
      </c>
      <c r="D71">
        <f t="shared" ref="D71:D75" si="107">D$12</f>
        <v>45</v>
      </c>
      <c r="F71" s="3">
        <f>(C62-A71)/A71</f>
        <v>-0.375</v>
      </c>
      <c r="G71" s="3" cm="1">
        <f t="array" ref="G71">(C62-INDEX(I62:GA62,D62-22))/A71</f>
        <v>0</v>
      </c>
      <c r="I71">
        <f>IF(I62=0,0,I62-$A71)</f>
        <v>-75</v>
      </c>
      <c r="J71">
        <f t="shared" ref="J71:BU71" si="108">IF(J62=0,0,J62-$A71)</f>
        <v>-75</v>
      </c>
      <c r="K71" t="e">
        <f t="shared" si="108"/>
        <v>#N/A</v>
      </c>
      <c r="L71">
        <f t="shared" si="108"/>
        <v>-75</v>
      </c>
      <c r="M71" t="e">
        <f t="shared" si="108"/>
        <v>#N/A</v>
      </c>
      <c r="N71">
        <f t="shared" si="108"/>
        <v>-60</v>
      </c>
      <c r="O71">
        <f t="shared" si="108"/>
        <v>-60</v>
      </c>
      <c r="P71">
        <f t="shared" si="108"/>
        <v>-60</v>
      </c>
      <c r="Q71">
        <f t="shared" si="108"/>
        <v>-75</v>
      </c>
      <c r="R71">
        <f t="shared" si="108"/>
        <v>-60</v>
      </c>
      <c r="S71">
        <f t="shared" si="108"/>
        <v>-60</v>
      </c>
      <c r="T71">
        <f t="shared" si="108"/>
        <v>-60</v>
      </c>
      <c r="U71">
        <f t="shared" si="108"/>
        <v>-60</v>
      </c>
      <c r="V71">
        <f t="shared" si="108"/>
        <v>-60</v>
      </c>
      <c r="W71">
        <f t="shared" si="108"/>
        <v>-60</v>
      </c>
      <c r="X71">
        <f t="shared" si="108"/>
        <v>-75</v>
      </c>
      <c r="Y71">
        <f t="shared" si="108"/>
        <v>-60</v>
      </c>
      <c r="Z71">
        <f t="shared" si="108"/>
        <v>-60</v>
      </c>
      <c r="AA71">
        <f t="shared" si="108"/>
        <v>-60</v>
      </c>
      <c r="AB71">
        <f t="shared" si="108"/>
        <v>-60</v>
      </c>
      <c r="AC71">
        <f t="shared" si="108"/>
        <v>-45</v>
      </c>
      <c r="AD71">
        <f t="shared" si="108"/>
        <v>-30</v>
      </c>
      <c r="AE71">
        <f t="shared" si="108"/>
        <v>-45</v>
      </c>
      <c r="AF71">
        <f t="shared" si="108"/>
        <v>-30</v>
      </c>
      <c r="AG71">
        <f t="shared" si="108"/>
        <v>-30</v>
      </c>
      <c r="AH71">
        <f t="shared" si="108"/>
        <v>-30</v>
      </c>
      <c r="AI71">
        <f t="shared" si="108"/>
        <v>-30</v>
      </c>
      <c r="AJ71">
        <f t="shared" si="108"/>
        <v>-30</v>
      </c>
      <c r="AK71">
        <f t="shared" si="108"/>
        <v>-30</v>
      </c>
      <c r="AL71">
        <f t="shared" si="108"/>
        <v>-30</v>
      </c>
      <c r="AM71">
        <f t="shared" si="108"/>
        <v>-45</v>
      </c>
      <c r="AN71" t="e">
        <f t="shared" si="108"/>
        <v>#N/A</v>
      </c>
      <c r="AO71">
        <f t="shared" si="108"/>
        <v>-45</v>
      </c>
      <c r="AP71">
        <f t="shared" si="108"/>
        <v>-45</v>
      </c>
      <c r="AQ71">
        <f t="shared" si="108"/>
        <v>-45</v>
      </c>
      <c r="AR71">
        <f t="shared" si="108"/>
        <v>-45</v>
      </c>
      <c r="AS71">
        <f t="shared" si="108"/>
        <v>-45</v>
      </c>
      <c r="AT71" t="e">
        <f t="shared" si="108"/>
        <v>#N/A</v>
      </c>
      <c r="AU71" t="e">
        <f t="shared" si="108"/>
        <v>#N/A</v>
      </c>
      <c r="AV71" t="e">
        <f t="shared" si="108"/>
        <v>#N/A</v>
      </c>
      <c r="AW71" t="e">
        <f t="shared" si="108"/>
        <v>#N/A</v>
      </c>
      <c r="AX71" t="e">
        <f t="shared" si="108"/>
        <v>#N/A</v>
      </c>
      <c r="AY71" t="e">
        <f t="shared" si="108"/>
        <v>#N/A</v>
      </c>
      <c r="AZ71" t="e">
        <f t="shared" si="108"/>
        <v>#N/A</v>
      </c>
      <c r="BA71" t="e">
        <f t="shared" si="108"/>
        <v>#N/A</v>
      </c>
      <c r="BB71" t="e">
        <f t="shared" si="108"/>
        <v>#N/A</v>
      </c>
      <c r="BC71" t="e">
        <f t="shared" si="108"/>
        <v>#N/A</v>
      </c>
      <c r="BD71" t="e">
        <f t="shared" si="108"/>
        <v>#N/A</v>
      </c>
      <c r="BE71" t="e">
        <f t="shared" si="108"/>
        <v>#N/A</v>
      </c>
      <c r="BF71" t="e">
        <f t="shared" si="108"/>
        <v>#N/A</v>
      </c>
      <c r="BG71" t="e">
        <f t="shared" si="108"/>
        <v>#N/A</v>
      </c>
      <c r="BH71" t="e">
        <f t="shared" si="108"/>
        <v>#N/A</v>
      </c>
      <c r="BI71" t="e">
        <f t="shared" si="108"/>
        <v>#N/A</v>
      </c>
      <c r="BJ71" t="e">
        <f t="shared" si="108"/>
        <v>#N/A</v>
      </c>
      <c r="BK71" t="e">
        <f t="shared" si="108"/>
        <v>#N/A</v>
      </c>
      <c r="BL71" t="e">
        <f t="shared" si="108"/>
        <v>#N/A</v>
      </c>
      <c r="BM71" t="e">
        <f t="shared" si="108"/>
        <v>#N/A</v>
      </c>
      <c r="BN71" t="e">
        <f t="shared" si="108"/>
        <v>#N/A</v>
      </c>
      <c r="BO71" t="e">
        <f t="shared" si="108"/>
        <v>#N/A</v>
      </c>
      <c r="BP71" t="e">
        <f t="shared" si="108"/>
        <v>#N/A</v>
      </c>
      <c r="BQ71" t="e">
        <f t="shared" si="108"/>
        <v>#N/A</v>
      </c>
      <c r="BR71" t="e">
        <f t="shared" si="108"/>
        <v>#N/A</v>
      </c>
      <c r="BS71" t="e">
        <f t="shared" si="108"/>
        <v>#N/A</v>
      </c>
      <c r="BT71" t="e">
        <f t="shared" si="108"/>
        <v>#N/A</v>
      </c>
      <c r="BU71" t="e">
        <f t="shared" si="108"/>
        <v>#N/A</v>
      </c>
      <c r="BV71" t="e">
        <f t="shared" ref="BV71:EG71" si="109">IF(BV62=0,0,BV62-$A71)</f>
        <v>#N/A</v>
      </c>
      <c r="BW71" t="e">
        <f t="shared" si="109"/>
        <v>#N/A</v>
      </c>
      <c r="BX71" t="e">
        <f t="shared" si="109"/>
        <v>#N/A</v>
      </c>
      <c r="BY71" t="e">
        <f t="shared" si="109"/>
        <v>#N/A</v>
      </c>
      <c r="BZ71" t="e">
        <f t="shared" si="109"/>
        <v>#N/A</v>
      </c>
      <c r="CA71" t="e">
        <f t="shared" si="109"/>
        <v>#N/A</v>
      </c>
      <c r="CB71" t="e">
        <f t="shared" si="109"/>
        <v>#N/A</v>
      </c>
      <c r="CC71" t="e">
        <f t="shared" si="109"/>
        <v>#N/A</v>
      </c>
      <c r="CD71" t="e">
        <f t="shared" si="109"/>
        <v>#N/A</v>
      </c>
      <c r="CE71" t="e">
        <f t="shared" si="109"/>
        <v>#N/A</v>
      </c>
      <c r="CF71" t="e">
        <f t="shared" si="109"/>
        <v>#N/A</v>
      </c>
      <c r="CG71" t="e">
        <f t="shared" si="109"/>
        <v>#N/A</v>
      </c>
      <c r="CH71" t="e">
        <f t="shared" si="109"/>
        <v>#N/A</v>
      </c>
      <c r="CI71" t="e">
        <f t="shared" si="109"/>
        <v>#N/A</v>
      </c>
      <c r="CJ71" t="e">
        <f t="shared" si="109"/>
        <v>#N/A</v>
      </c>
      <c r="CK71" t="e">
        <f t="shared" si="109"/>
        <v>#N/A</v>
      </c>
      <c r="CL71" t="e">
        <f t="shared" si="109"/>
        <v>#N/A</v>
      </c>
      <c r="CM71" t="e">
        <f t="shared" si="109"/>
        <v>#N/A</v>
      </c>
      <c r="CN71" t="e">
        <f t="shared" si="109"/>
        <v>#N/A</v>
      </c>
      <c r="CO71" t="e">
        <f t="shared" si="109"/>
        <v>#N/A</v>
      </c>
      <c r="CP71" t="e">
        <f t="shared" si="109"/>
        <v>#N/A</v>
      </c>
      <c r="CQ71" t="e">
        <f t="shared" si="109"/>
        <v>#N/A</v>
      </c>
      <c r="CR71" t="e">
        <f t="shared" si="109"/>
        <v>#N/A</v>
      </c>
      <c r="CS71" t="e">
        <f t="shared" si="109"/>
        <v>#N/A</v>
      </c>
      <c r="CT71" t="e">
        <f t="shared" si="109"/>
        <v>#N/A</v>
      </c>
      <c r="CU71" t="e">
        <f t="shared" si="109"/>
        <v>#N/A</v>
      </c>
      <c r="CV71" t="e">
        <f t="shared" si="109"/>
        <v>#N/A</v>
      </c>
      <c r="CW71" t="e">
        <f t="shared" si="109"/>
        <v>#N/A</v>
      </c>
      <c r="CX71" t="e">
        <f t="shared" si="109"/>
        <v>#N/A</v>
      </c>
      <c r="CY71" t="e">
        <f t="shared" si="109"/>
        <v>#N/A</v>
      </c>
      <c r="CZ71" t="e">
        <f t="shared" si="109"/>
        <v>#N/A</v>
      </c>
      <c r="DA71" t="e">
        <f t="shared" si="109"/>
        <v>#N/A</v>
      </c>
      <c r="DB71" t="e">
        <f t="shared" si="109"/>
        <v>#N/A</v>
      </c>
      <c r="DC71" t="e">
        <f t="shared" si="109"/>
        <v>#N/A</v>
      </c>
      <c r="DD71" t="e">
        <f t="shared" si="109"/>
        <v>#N/A</v>
      </c>
      <c r="DE71" t="e">
        <f t="shared" si="109"/>
        <v>#N/A</v>
      </c>
      <c r="DF71" t="e">
        <f t="shared" si="109"/>
        <v>#N/A</v>
      </c>
      <c r="DG71" t="e">
        <f t="shared" si="109"/>
        <v>#N/A</v>
      </c>
      <c r="DH71" t="e">
        <f t="shared" si="109"/>
        <v>#N/A</v>
      </c>
      <c r="DI71" t="e">
        <f t="shared" si="109"/>
        <v>#N/A</v>
      </c>
      <c r="DJ71" t="e">
        <f t="shared" si="109"/>
        <v>#N/A</v>
      </c>
      <c r="DK71" t="e">
        <f t="shared" si="109"/>
        <v>#N/A</v>
      </c>
      <c r="DL71" t="e">
        <f t="shared" si="109"/>
        <v>#N/A</v>
      </c>
      <c r="DM71" t="e">
        <f t="shared" si="109"/>
        <v>#N/A</v>
      </c>
      <c r="DN71" t="e">
        <f t="shared" si="109"/>
        <v>#N/A</v>
      </c>
      <c r="DO71" t="e">
        <f t="shared" si="109"/>
        <v>#N/A</v>
      </c>
      <c r="DP71" t="e">
        <f t="shared" si="109"/>
        <v>#N/A</v>
      </c>
      <c r="DQ71" t="e">
        <f t="shared" si="109"/>
        <v>#N/A</v>
      </c>
      <c r="DR71" t="e">
        <f t="shared" si="109"/>
        <v>#N/A</v>
      </c>
      <c r="DS71" t="e">
        <f t="shared" si="109"/>
        <v>#N/A</v>
      </c>
      <c r="DT71" t="e">
        <f t="shared" si="109"/>
        <v>#N/A</v>
      </c>
      <c r="DU71" t="e">
        <f t="shared" si="109"/>
        <v>#N/A</v>
      </c>
      <c r="DV71" t="e">
        <f t="shared" si="109"/>
        <v>#N/A</v>
      </c>
      <c r="DW71" t="e">
        <f t="shared" si="109"/>
        <v>#N/A</v>
      </c>
      <c r="DX71" t="e">
        <f t="shared" si="109"/>
        <v>#N/A</v>
      </c>
      <c r="DY71" t="e">
        <f t="shared" si="109"/>
        <v>#N/A</v>
      </c>
      <c r="DZ71" t="e">
        <f t="shared" si="109"/>
        <v>#N/A</v>
      </c>
      <c r="EA71" t="e">
        <f t="shared" si="109"/>
        <v>#N/A</v>
      </c>
      <c r="EB71" t="e">
        <f t="shared" si="109"/>
        <v>#N/A</v>
      </c>
      <c r="EC71" t="e">
        <f t="shared" si="109"/>
        <v>#N/A</v>
      </c>
      <c r="ED71" t="e">
        <f t="shared" si="109"/>
        <v>#N/A</v>
      </c>
      <c r="EE71" t="e">
        <f t="shared" si="109"/>
        <v>#N/A</v>
      </c>
      <c r="EF71" t="e">
        <f t="shared" si="109"/>
        <v>#N/A</v>
      </c>
      <c r="EG71" t="e">
        <f t="shared" si="109"/>
        <v>#N/A</v>
      </c>
      <c r="EH71" t="e">
        <f t="shared" ref="EH71:GA71" si="110">IF(EH62=0,0,EH62-$A71)</f>
        <v>#N/A</v>
      </c>
      <c r="EI71" t="e">
        <f t="shared" si="110"/>
        <v>#N/A</v>
      </c>
      <c r="EJ71" t="e">
        <f t="shared" si="110"/>
        <v>#N/A</v>
      </c>
      <c r="EK71" t="e">
        <f t="shared" si="110"/>
        <v>#N/A</v>
      </c>
      <c r="EL71" t="e">
        <f t="shared" si="110"/>
        <v>#N/A</v>
      </c>
      <c r="EM71" t="e">
        <f t="shared" si="110"/>
        <v>#N/A</v>
      </c>
      <c r="EN71" t="e">
        <f t="shared" si="110"/>
        <v>#N/A</v>
      </c>
      <c r="EO71" t="e">
        <f t="shared" si="110"/>
        <v>#N/A</v>
      </c>
      <c r="EP71" t="e">
        <f t="shared" si="110"/>
        <v>#N/A</v>
      </c>
      <c r="EQ71" t="e">
        <f t="shared" si="110"/>
        <v>#N/A</v>
      </c>
      <c r="ER71" t="e">
        <f t="shared" si="110"/>
        <v>#N/A</v>
      </c>
      <c r="ES71" t="e">
        <f t="shared" si="110"/>
        <v>#N/A</v>
      </c>
      <c r="ET71" t="e">
        <f t="shared" si="110"/>
        <v>#N/A</v>
      </c>
      <c r="EU71" t="e">
        <f t="shared" si="110"/>
        <v>#N/A</v>
      </c>
      <c r="EV71" t="e">
        <f t="shared" si="110"/>
        <v>#N/A</v>
      </c>
      <c r="EW71" t="e">
        <f t="shared" si="110"/>
        <v>#N/A</v>
      </c>
      <c r="EX71" t="e">
        <f t="shared" si="110"/>
        <v>#N/A</v>
      </c>
      <c r="EY71" t="e">
        <f t="shared" si="110"/>
        <v>#N/A</v>
      </c>
      <c r="EZ71" t="e">
        <f t="shared" si="110"/>
        <v>#N/A</v>
      </c>
      <c r="FA71" t="e">
        <f t="shared" si="110"/>
        <v>#N/A</v>
      </c>
      <c r="FB71" t="e">
        <f t="shared" si="110"/>
        <v>#N/A</v>
      </c>
      <c r="FC71" t="e">
        <f t="shared" si="110"/>
        <v>#N/A</v>
      </c>
      <c r="FD71" t="e">
        <f t="shared" si="110"/>
        <v>#N/A</v>
      </c>
      <c r="FE71" t="e">
        <f t="shared" si="110"/>
        <v>#N/A</v>
      </c>
      <c r="FF71" t="e">
        <f t="shared" si="110"/>
        <v>#N/A</v>
      </c>
      <c r="FG71" t="e">
        <f t="shared" si="110"/>
        <v>#N/A</v>
      </c>
      <c r="FH71" t="e">
        <f t="shared" si="110"/>
        <v>#N/A</v>
      </c>
      <c r="FI71" t="e">
        <f t="shared" si="110"/>
        <v>#N/A</v>
      </c>
      <c r="FJ71" t="e">
        <f t="shared" si="110"/>
        <v>#N/A</v>
      </c>
      <c r="FK71" t="e">
        <f t="shared" si="110"/>
        <v>#N/A</v>
      </c>
      <c r="FL71" t="e">
        <f t="shared" si="110"/>
        <v>#N/A</v>
      </c>
      <c r="FM71" t="e">
        <f t="shared" si="110"/>
        <v>#N/A</v>
      </c>
      <c r="FN71" t="e">
        <f t="shared" si="110"/>
        <v>#N/A</v>
      </c>
      <c r="FO71" t="e">
        <f t="shared" si="110"/>
        <v>#N/A</v>
      </c>
      <c r="FP71" t="e">
        <f t="shared" si="110"/>
        <v>#N/A</v>
      </c>
      <c r="FQ71" t="e">
        <f t="shared" si="110"/>
        <v>#N/A</v>
      </c>
      <c r="FR71" t="e">
        <f t="shared" si="110"/>
        <v>#N/A</v>
      </c>
      <c r="FS71" t="e">
        <f t="shared" si="110"/>
        <v>#N/A</v>
      </c>
      <c r="FT71" t="e">
        <f t="shared" si="110"/>
        <v>#N/A</v>
      </c>
      <c r="FU71" t="e">
        <f t="shared" si="110"/>
        <v>#N/A</v>
      </c>
      <c r="FV71" t="e">
        <f t="shared" si="110"/>
        <v>#N/A</v>
      </c>
      <c r="FW71" t="e">
        <f t="shared" si="110"/>
        <v>#N/A</v>
      </c>
      <c r="FX71" t="e">
        <f t="shared" si="110"/>
        <v>#N/A</v>
      </c>
      <c r="FY71" t="e">
        <f t="shared" si="110"/>
        <v>#N/A</v>
      </c>
      <c r="FZ71" t="e">
        <f t="shared" si="110"/>
        <v>#N/A</v>
      </c>
      <c r="GA71" t="e">
        <f t="shared" si="110"/>
        <v>#N/A</v>
      </c>
    </row>
    <row r="72" spans="1:183" x14ac:dyDescent="0.45">
      <c r="A72">
        <v>70</v>
      </c>
      <c r="B72" t="s">
        <v>1</v>
      </c>
      <c r="C72" cm="1">
        <f t="array" ref="C72">LOOKUP(2,1/(I72:GA72&lt;&gt;""),I72:GA72)</f>
        <v>-25</v>
      </c>
      <c r="D72">
        <f t="shared" si="107"/>
        <v>45</v>
      </c>
      <c r="F72" s="3">
        <f t="shared" ref="F72:F75" si="111">(C63-A72)/A72</f>
        <v>-0.35714285714285715</v>
      </c>
      <c r="G72" s="3" cm="1">
        <f t="array" ref="G72">(C63-INDEX(I63:GA63,D63-22))/A72</f>
        <v>0</v>
      </c>
      <c r="I72">
        <f>IF(I63=0,0,I63-$A72)</f>
        <v>-32.5</v>
      </c>
      <c r="J72">
        <f t="shared" ref="J72:BU72" si="112">IF(J63=0,0,J63-$A72)</f>
        <v>-32.5</v>
      </c>
      <c r="K72" t="e">
        <f t="shared" si="112"/>
        <v>#N/A</v>
      </c>
      <c r="L72">
        <f t="shared" si="112"/>
        <v>-32.5</v>
      </c>
      <c r="M72" t="e">
        <f t="shared" si="112"/>
        <v>#N/A</v>
      </c>
      <c r="N72">
        <f t="shared" si="112"/>
        <v>-32.5</v>
      </c>
      <c r="O72">
        <f t="shared" si="112"/>
        <v>-32.5</v>
      </c>
      <c r="P72">
        <f t="shared" si="112"/>
        <v>-32.5</v>
      </c>
      <c r="Q72">
        <f t="shared" si="112"/>
        <v>-32.5</v>
      </c>
      <c r="R72">
        <f t="shared" si="112"/>
        <v>-32.5</v>
      </c>
      <c r="S72">
        <f t="shared" si="112"/>
        <v>-32.5</v>
      </c>
      <c r="T72">
        <f t="shared" si="112"/>
        <v>-32.5</v>
      </c>
      <c r="U72">
        <f t="shared" si="112"/>
        <v>-32.5</v>
      </c>
      <c r="V72">
        <f t="shared" si="112"/>
        <v>-40</v>
      </c>
      <c r="W72">
        <f t="shared" si="112"/>
        <v>-40</v>
      </c>
      <c r="X72">
        <f t="shared" si="112"/>
        <v>-32.5</v>
      </c>
      <c r="Y72">
        <f t="shared" si="112"/>
        <v>-32.5</v>
      </c>
      <c r="Z72">
        <f t="shared" si="112"/>
        <v>-32.5</v>
      </c>
      <c r="AA72">
        <f t="shared" si="112"/>
        <v>-32.5</v>
      </c>
      <c r="AB72">
        <f t="shared" si="112"/>
        <v>-32.5</v>
      </c>
      <c r="AC72">
        <f t="shared" si="112"/>
        <v>-25</v>
      </c>
      <c r="AD72">
        <f t="shared" si="112"/>
        <v>-17.5</v>
      </c>
      <c r="AE72">
        <f t="shared" si="112"/>
        <v>-25</v>
      </c>
      <c r="AF72">
        <f t="shared" si="112"/>
        <v>-17.5</v>
      </c>
      <c r="AG72">
        <f t="shared" si="112"/>
        <v>-17.5</v>
      </c>
      <c r="AH72">
        <f t="shared" si="112"/>
        <v>-25</v>
      </c>
      <c r="AI72">
        <f t="shared" si="112"/>
        <v>-17.5</v>
      </c>
      <c r="AJ72">
        <f t="shared" si="112"/>
        <v>-17.5</v>
      </c>
      <c r="AK72">
        <f t="shared" si="112"/>
        <v>-17.5</v>
      </c>
      <c r="AL72">
        <f t="shared" si="112"/>
        <v>-17.5</v>
      </c>
      <c r="AM72">
        <f t="shared" si="112"/>
        <v>-17.5</v>
      </c>
      <c r="AN72" t="e">
        <f t="shared" si="112"/>
        <v>#N/A</v>
      </c>
      <c r="AO72">
        <f t="shared" si="112"/>
        <v>-17.5</v>
      </c>
      <c r="AP72">
        <f t="shared" si="112"/>
        <v>-25</v>
      </c>
      <c r="AQ72">
        <f t="shared" si="112"/>
        <v>-25</v>
      </c>
      <c r="AR72">
        <f t="shared" si="112"/>
        <v>-25</v>
      </c>
      <c r="AS72">
        <f t="shared" si="112"/>
        <v>-25</v>
      </c>
      <c r="AT72" t="e">
        <f t="shared" si="112"/>
        <v>#N/A</v>
      </c>
      <c r="AU72" t="e">
        <f t="shared" si="112"/>
        <v>#N/A</v>
      </c>
      <c r="AV72" t="e">
        <f t="shared" si="112"/>
        <v>#N/A</v>
      </c>
      <c r="AW72" t="e">
        <f t="shared" si="112"/>
        <v>#N/A</v>
      </c>
      <c r="AX72" t="e">
        <f t="shared" si="112"/>
        <v>#N/A</v>
      </c>
      <c r="AY72" t="e">
        <f t="shared" si="112"/>
        <v>#N/A</v>
      </c>
      <c r="AZ72" t="e">
        <f t="shared" si="112"/>
        <v>#N/A</v>
      </c>
      <c r="BA72" t="e">
        <f t="shared" si="112"/>
        <v>#N/A</v>
      </c>
      <c r="BB72" t="e">
        <f t="shared" si="112"/>
        <v>#N/A</v>
      </c>
      <c r="BC72" t="e">
        <f t="shared" si="112"/>
        <v>#N/A</v>
      </c>
      <c r="BD72" t="e">
        <f t="shared" si="112"/>
        <v>#N/A</v>
      </c>
      <c r="BE72" t="e">
        <f t="shared" si="112"/>
        <v>#N/A</v>
      </c>
      <c r="BF72" t="e">
        <f t="shared" si="112"/>
        <v>#N/A</v>
      </c>
      <c r="BG72" t="e">
        <f t="shared" si="112"/>
        <v>#N/A</v>
      </c>
      <c r="BH72" t="e">
        <f t="shared" si="112"/>
        <v>#N/A</v>
      </c>
      <c r="BI72" t="e">
        <f t="shared" si="112"/>
        <v>#N/A</v>
      </c>
      <c r="BJ72" t="e">
        <f t="shared" si="112"/>
        <v>#N/A</v>
      </c>
      <c r="BK72" t="e">
        <f t="shared" si="112"/>
        <v>#N/A</v>
      </c>
      <c r="BL72" t="e">
        <f t="shared" si="112"/>
        <v>#N/A</v>
      </c>
      <c r="BM72" t="e">
        <f t="shared" si="112"/>
        <v>#N/A</v>
      </c>
      <c r="BN72" t="e">
        <f t="shared" si="112"/>
        <v>#N/A</v>
      </c>
      <c r="BO72" t="e">
        <f t="shared" si="112"/>
        <v>#N/A</v>
      </c>
      <c r="BP72" t="e">
        <f t="shared" si="112"/>
        <v>#N/A</v>
      </c>
      <c r="BQ72" t="e">
        <f t="shared" si="112"/>
        <v>#N/A</v>
      </c>
      <c r="BR72" t="e">
        <f t="shared" si="112"/>
        <v>#N/A</v>
      </c>
      <c r="BS72" t="e">
        <f t="shared" si="112"/>
        <v>#N/A</v>
      </c>
      <c r="BT72" t="e">
        <f t="shared" si="112"/>
        <v>#N/A</v>
      </c>
      <c r="BU72" t="e">
        <f t="shared" si="112"/>
        <v>#N/A</v>
      </c>
      <c r="BV72" t="e">
        <f t="shared" ref="BV72:EG72" si="113">IF(BV63=0,0,BV63-$A72)</f>
        <v>#N/A</v>
      </c>
      <c r="BW72" t="e">
        <f t="shared" si="113"/>
        <v>#N/A</v>
      </c>
      <c r="BX72" t="e">
        <f t="shared" si="113"/>
        <v>#N/A</v>
      </c>
      <c r="BY72" t="e">
        <f t="shared" si="113"/>
        <v>#N/A</v>
      </c>
      <c r="BZ72" t="e">
        <f t="shared" si="113"/>
        <v>#N/A</v>
      </c>
      <c r="CA72" t="e">
        <f t="shared" si="113"/>
        <v>#N/A</v>
      </c>
      <c r="CB72" t="e">
        <f t="shared" si="113"/>
        <v>#N/A</v>
      </c>
      <c r="CC72" t="e">
        <f t="shared" si="113"/>
        <v>#N/A</v>
      </c>
      <c r="CD72" t="e">
        <f t="shared" si="113"/>
        <v>#N/A</v>
      </c>
      <c r="CE72" t="e">
        <f t="shared" si="113"/>
        <v>#N/A</v>
      </c>
      <c r="CF72" t="e">
        <f t="shared" si="113"/>
        <v>#N/A</v>
      </c>
      <c r="CG72" t="e">
        <f t="shared" si="113"/>
        <v>#N/A</v>
      </c>
      <c r="CH72" t="e">
        <f t="shared" si="113"/>
        <v>#N/A</v>
      </c>
      <c r="CI72" t="e">
        <f t="shared" si="113"/>
        <v>#N/A</v>
      </c>
      <c r="CJ72" t="e">
        <f t="shared" si="113"/>
        <v>#N/A</v>
      </c>
      <c r="CK72" t="e">
        <f t="shared" si="113"/>
        <v>#N/A</v>
      </c>
      <c r="CL72" t="e">
        <f t="shared" si="113"/>
        <v>#N/A</v>
      </c>
      <c r="CM72" t="e">
        <f t="shared" si="113"/>
        <v>#N/A</v>
      </c>
      <c r="CN72" t="e">
        <f t="shared" si="113"/>
        <v>#N/A</v>
      </c>
      <c r="CO72" t="e">
        <f t="shared" si="113"/>
        <v>#N/A</v>
      </c>
      <c r="CP72" t="e">
        <f t="shared" si="113"/>
        <v>#N/A</v>
      </c>
      <c r="CQ72" t="e">
        <f t="shared" si="113"/>
        <v>#N/A</v>
      </c>
      <c r="CR72" t="e">
        <f t="shared" si="113"/>
        <v>#N/A</v>
      </c>
      <c r="CS72" t="e">
        <f t="shared" si="113"/>
        <v>#N/A</v>
      </c>
      <c r="CT72" t="e">
        <f t="shared" si="113"/>
        <v>#N/A</v>
      </c>
      <c r="CU72" t="e">
        <f t="shared" si="113"/>
        <v>#N/A</v>
      </c>
      <c r="CV72" t="e">
        <f t="shared" si="113"/>
        <v>#N/A</v>
      </c>
      <c r="CW72" t="e">
        <f t="shared" si="113"/>
        <v>#N/A</v>
      </c>
      <c r="CX72" t="e">
        <f t="shared" si="113"/>
        <v>#N/A</v>
      </c>
      <c r="CY72" t="e">
        <f t="shared" si="113"/>
        <v>#N/A</v>
      </c>
      <c r="CZ72" t="e">
        <f t="shared" si="113"/>
        <v>#N/A</v>
      </c>
      <c r="DA72" t="e">
        <f t="shared" si="113"/>
        <v>#N/A</v>
      </c>
      <c r="DB72" t="e">
        <f t="shared" si="113"/>
        <v>#N/A</v>
      </c>
      <c r="DC72" t="e">
        <f t="shared" si="113"/>
        <v>#N/A</v>
      </c>
      <c r="DD72" t="e">
        <f t="shared" si="113"/>
        <v>#N/A</v>
      </c>
      <c r="DE72" t="e">
        <f t="shared" si="113"/>
        <v>#N/A</v>
      </c>
      <c r="DF72" t="e">
        <f t="shared" si="113"/>
        <v>#N/A</v>
      </c>
      <c r="DG72" t="e">
        <f t="shared" si="113"/>
        <v>#N/A</v>
      </c>
      <c r="DH72" t="e">
        <f t="shared" si="113"/>
        <v>#N/A</v>
      </c>
      <c r="DI72" t="e">
        <f t="shared" si="113"/>
        <v>#N/A</v>
      </c>
      <c r="DJ72" t="e">
        <f t="shared" si="113"/>
        <v>#N/A</v>
      </c>
      <c r="DK72" t="e">
        <f t="shared" si="113"/>
        <v>#N/A</v>
      </c>
      <c r="DL72" t="e">
        <f t="shared" si="113"/>
        <v>#N/A</v>
      </c>
      <c r="DM72" t="e">
        <f t="shared" si="113"/>
        <v>#N/A</v>
      </c>
      <c r="DN72" t="e">
        <f t="shared" si="113"/>
        <v>#N/A</v>
      </c>
      <c r="DO72" t="e">
        <f t="shared" si="113"/>
        <v>#N/A</v>
      </c>
      <c r="DP72" t="e">
        <f t="shared" si="113"/>
        <v>#N/A</v>
      </c>
      <c r="DQ72" t="e">
        <f t="shared" si="113"/>
        <v>#N/A</v>
      </c>
      <c r="DR72" t="e">
        <f t="shared" si="113"/>
        <v>#N/A</v>
      </c>
      <c r="DS72" t="e">
        <f t="shared" si="113"/>
        <v>#N/A</v>
      </c>
      <c r="DT72" t="e">
        <f t="shared" si="113"/>
        <v>#N/A</v>
      </c>
      <c r="DU72" t="e">
        <f t="shared" si="113"/>
        <v>#N/A</v>
      </c>
      <c r="DV72" t="e">
        <f t="shared" si="113"/>
        <v>#N/A</v>
      </c>
      <c r="DW72" t="e">
        <f t="shared" si="113"/>
        <v>#N/A</v>
      </c>
      <c r="DX72" t="e">
        <f t="shared" si="113"/>
        <v>#N/A</v>
      </c>
      <c r="DY72" t="e">
        <f t="shared" si="113"/>
        <v>#N/A</v>
      </c>
      <c r="DZ72" t="e">
        <f t="shared" si="113"/>
        <v>#N/A</v>
      </c>
      <c r="EA72" t="e">
        <f t="shared" si="113"/>
        <v>#N/A</v>
      </c>
      <c r="EB72" t="e">
        <f t="shared" si="113"/>
        <v>#N/A</v>
      </c>
      <c r="EC72" t="e">
        <f t="shared" si="113"/>
        <v>#N/A</v>
      </c>
      <c r="ED72" t="e">
        <f t="shared" si="113"/>
        <v>#N/A</v>
      </c>
      <c r="EE72" t="e">
        <f t="shared" si="113"/>
        <v>#N/A</v>
      </c>
      <c r="EF72" t="e">
        <f t="shared" si="113"/>
        <v>#N/A</v>
      </c>
      <c r="EG72" t="e">
        <f t="shared" si="113"/>
        <v>#N/A</v>
      </c>
      <c r="EH72" t="e">
        <f t="shared" ref="EH72:GA72" si="114">IF(EH63=0,0,EH63-$A72)</f>
        <v>#N/A</v>
      </c>
      <c r="EI72" t="e">
        <f t="shared" si="114"/>
        <v>#N/A</v>
      </c>
      <c r="EJ72" t="e">
        <f t="shared" si="114"/>
        <v>#N/A</v>
      </c>
      <c r="EK72" t="e">
        <f t="shared" si="114"/>
        <v>#N/A</v>
      </c>
      <c r="EL72" t="e">
        <f t="shared" si="114"/>
        <v>#N/A</v>
      </c>
      <c r="EM72" t="e">
        <f t="shared" si="114"/>
        <v>#N/A</v>
      </c>
      <c r="EN72" t="e">
        <f t="shared" si="114"/>
        <v>#N/A</v>
      </c>
      <c r="EO72" t="e">
        <f t="shared" si="114"/>
        <v>#N/A</v>
      </c>
      <c r="EP72" t="e">
        <f t="shared" si="114"/>
        <v>#N/A</v>
      </c>
      <c r="EQ72" t="e">
        <f t="shared" si="114"/>
        <v>#N/A</v>
      </c>
      <c r="ER72" t="e">
        <f t="shared" si="114"/>
        <v>#N/A</v>
      </c>
      <c r="ES72" t="e">
        <f t="shared" si="114"/>
        <v>#N/A</v>
      </c>
      <c r="ET72" t="e">
        <f t="shared" si="114"/>
        <v>#N/A</v>
      </c>
      <c r="EU72" t="e">
        <f t="shared" si="114"/>
        <v>#N/A</v>
      </c>
      <c r="EV72" t="e">
        <f t="shared" si="114"/>
        <v>#N/A</v>
      </c>
      <c r="EW72" t="e">
        <f t="shared" si="114"/>
        <v>#N/A</v>
      </c>
      <c r="EX72" t="e">
        <f t="shared" si="114"/>
        <v>#N/A</v>
      </c>
      <c r="EY72" t="e">
        <f t="shared" si="114"/>
        <v>#N/A</v>
      </c>
      <c r="EZ72" t="e">
        <f t="shared" si="114"/>
        <v>#N/A</v>
      </c>
      <c r="FA72" t="e">
        <f t="shared" si="114"/>
        <v>#N/A</v>
      </c>
      <c r="FB72" t="e">
        <f t="shared" si="114"/>
        <v>#N/A</v>
      </c>
      <c r="FC72" t="e">
        <f t="shared" si="114"/>
        <v>#N/A</v>
      </c>
      <c r="FD72" t="e">
        <f t="shared" si="114"/>
        <v>#N/A</v>
      </c>
      <c r="FE72" t="e">
        <f t="shared" si="114"/>
        <v>#N/A</v>
      </c>
      <c r="FF72" t="e">
        <f t="shared" si="114"/>
        <v>#N/A</v>
      </c>
      <c r="FG72" t="e">
        <f t="shared" si="114"/>
        <v>#N/A</v>
      </c>
      <c r="FH72" t="e">
        <f t="shared" si="114"/>
        <v>#N/A</v>
      </c>
      <c r="FI72" t="e">
        <f t="shared" si="114"/>
        <v>#N/A</v>
      </c>
      <c r="FJ72" t="e">
        <f t="shared" si="114"/>
        <v>#N/A</v>
      </c>
      <c r="FK72" t="e">
        <f t="shared" si="114"/>
        <v>#N/A</v>
      </c>
      <c r="FL72" t="e">
        <f t="shared" si="114"/>
        <v>#N/A</v>
      </c>
      <c r="FM72" t="e">
        <f t="shared" si="114"/>
        <v>#N/A</v>
      </c>
      <c r="FN72" t="e">
        <f t="shared" si="114"/>
        <v>#N/A</v>
      </c>
      <c r="FO72" t="e">
        <f t="shared" si="114"/>
        <v>#N/A</v>
      </c>
      <c r="FP72" t="e">
        <f t="shared" si="114"/>
        <v>#N/A</v>
      </c>
      <c r="FQ72" t="e">
        <f t="shared" si="114"/>
        <v>#N/A</v>
      </c>
      <c r="FR72" t="e">
        <f t="shared" si="114"/>
        <v>#N/A</v>
      </c>
      <c r="FS72" t="e">
        <f t="shared" si="114"/>
        <v>#N/A</v>
      </c>
      <c r="FT72" t="e">
        <f t="shared" si="114"/>
        <v>#N/A</v>
      </c>
      <c r="FU72" t="e">
        <f t="shared" si="114"/>
        <v>#N/A</v>
      </c>
      <c r="FV72" t="e">
        <f t="shared" si="114"/>
        <v>#N/A</v>
      </c>
      <c r="FW72" t="e">
        <f t="shared" si="114"/>
        <v>#N/A</v>
      </c>
      <c r="FX72" t="e">
        <f t="shared" si="114"/>
        <v>#N/A</v>
      </c>
      <c r="FY72" t="e">
        <f t="shared" si="114"/>
        <v>#N/A</v>
      </c>
      <c r="FZ72" t="e">
        <f t="shared" si="114"/>
        <v>#N/A</v>
      </c>
      <c r="GA72" t="e">
        <f t="shared" si="114"/>
        <v>#N/A</v>
      </c>
    </row>
    <row r="73" spans="1:183" x14ac:dyDescent="0.45">
      <c r="A73">
        <v>200</v>
      </c>
      <c r="B73" t="s">
        <v>3</v>
      </c>
      <c r="C73" cm="1">
        <f t="array" ref="C73">LOOKUP(2,1/(I73:GA73&lt;&gt;""),I73:GA73)</f>
        <v>-65</v>
      </c>
      <c r="D73">
        <f t="shared" si="107"/>
        <v>45</v>
      </c>
      <c r="F73" s="3">
        <f t="shared" si="111"/>
        <v>-0.32500000000000001</v>
      </c>
      <c r="G73" s="3" cm="1">
        <f t="array" ref="G73">(C64-INDEX(I64:GA64,D64-22))/A73</f>
        <v>7.4999999999999997E-2</v>
      </c>
      <c r="I73">
        <f>IF(I64=0,0,I64-$A73)</f>
        <v>-125</v>
      </c>
      <c r="J73">
        <f t="shared" ref="J73:BU73" si="115">IF(J64=0,0,J64-$A73)</f>
        <v>-125</v>
      </c>
      <c r="K73" t="e">
        <f t="shared" si="115"/>
        <v>#N/A</v>
      </c>
      <c r="L73">
        <f t="shared" si="115"/>
        <v>-125</v>
      </c>
      <c r="M73" t="e">
        <f t="shared" si="115"/>
        <v>#N/A</v>
      </c>
      <c r="N73">
        <f t="shared" si="115"/>
        <v>-125</v>
      </c>
      <c r="O73">
        <f t="shared" si="115"/>
        <v>-125</v>
      </c>
      <c r="P73">
        <f t="shared" si="115"/>
        <v>-125</v>
      </c>
      <c r="Q73">
        <f t="shared" si="115"/>
        <v>-125</v>
      </c>
      <c r="R73">
        <f t="shared" si="115"/>
        <v>-125</v>
      </c>
      <c r="S73">
        <f t="shared" si="115"/>
        <v>-125</v>
      </c>
      <c r="T73">
        <f t="shared" si="115"/>
        <v>-125</v>
      </c>
      <c r="U73">
        <f t="shared" si="115"/>
        <v>-125</v>
      </c>
      <c r="V73">
        <f t="shared" si="115"/>
        <v>-125</v>
      </c>
      <c r="W73">
        <f t="shared" si="115"/>
        <v>-125</v>
      </c>
      <c r="X73">
        <f t="shared" si="115"/>
        <v>-125</v>
      </c>
      <c r="Y73">
        <f t="shared" si="115"/>
        <v>-125</v>
      </c>
      <c r="Z73">
        <f t="shared" si="115"/>
        <v>-125</v>
      </c>
      <c r="AA73">
        <f t="shared" si="115"/>
        <v>-125</v>
      </c>
      <c r="AB73">
        <f t="shared" si="115"/>
        <v>-125</v>
      </c>
      <c r="AC73">
        <f t="shared" si="115"/>
        <v>-65</v>
      </c>
      <c r="AD73">
        <f t="shared" si="115"/>
        <v>-35</v>
      </c>
      <c r="AE73">
        <f t="shared" si="115"/>
        <v>-80</v>
      </c>
      <c r="AF73">
        <f t="shared" si="115"/>
        <v>-65</v>
      </c>
      <c r="AG73">
        <f t="shared" si="115"/>
        <v>-65</v>
      </c>
      <c r="AH73">
        <f t="shared" si="115"/>
        <v>-65</v>
      </c>
      <c r="AI73">
        <f t="shared" si="115"/>
        <v>-65</v>
      </c>
      <c r="AJ73">
        <f t="shared" si="115"/>
        <v>-50</v>
      </c>
      <c r="AK73">
        <f t="shared" si="115"/>
        <v>-35</v>
      </c>
      <c r="AL73">
        <f t="shared" si="115"/>
        <v>-50</v>
      </c>
      <c r="AM73">
        <f t="shared" si="115"/>
        <v>-65</v>
      </c>
      <c r="AN73" t="e">
        <f t="shared" si="115"/>
        <v>#N/A</v>
      </c>
      <c r="AO73">
        <f t="shared" si="115"/>
        <v>-80</v>
      </c>
      <c r="AP73">
        <f t="shared" si="115"/>
        <v>-80</v>
      </c>
      <c r="AQ73">
        <f t="shared" si="115"/>
        <v>-80</v>
      </c>
      <c r="AR73">
        <f t="shared" si="115"/>
        <v>-65</v>
      </c>
      <c r="AS73">
        <f t="shared" si="115"/>
        <v>-65</v>
      </c>
      <c r="AT73" t="e">
        <f t="shared" si="115"/>
        <v>#N/A</v>
      </c>
      <c r="AU73" t="e">
        <f t="shared" si="115"/>
        <v>#N/A</v>
      </c>
      <c r="AV73" t="e">
        <f t="shared" si="115"/>
        <v>#N/A</v>
      </c>
      <c r="AW73" t="e">
        <f t="shared" si="115"/>
        <v>#N/A</v>
      </c>
      <c r="AX73" t="e">
        <f t="shared" si="115"/>
        <v>#N/A</v>
      </c>
      <c r="AY73" t="e">
        <f t="shared" si="115"/>
        <v>#N/A</v>
      </c>
      <c r="AZ73" t="e">
        <f t="shared" si="115"/>
        <v>#N/A</v>
      </c>
      <c r="BA73" t="e">
        <f t="shared" si="115"/>
        <v>#N/A</v>
      </c>
      <c r="BB73" t="e">
        <f t="shared" si="115"/>
        <v>#N/A</v>
      </c>
      <c r="BC73" t="e">
        <f t="shared" si="115"/>
        <v>#N/A</v>
      </c>
      <c r="BD73" t="e">
        <f t="shared" si="115"/>
        <v>#N/A</v>
      </c>
      <c r="BE73" t="e">
        <f t="shared" si="115"/>
        <v>#N/A</v>
      </c>
      <c r="BF73" t="e">
        <f t="shared" si="115"/>
        <v>#N/A</v>
      </c>
      <c r="BG73" t="e">
        <f t="shared" si="115"/>
        <v>#N/A</v>
      </c>
      <c r="BH73" t="e">
        <f t="shared" si="115"/>
        <v>#N/A</v>
      </c>
      <c r="BI73" t="e">
        <f t="shared" si="115"/>
        <v>#N/A</v>
      </c>
      <c r="BJ73" t="e">
        <f t="shared" si="115"/>
        <v>#N/A</v>
      </c>
      <c r="BK73" t="e">
        <f t="shared" si="115"/>
        <v>#N/A</v>
      </c>
      <c r="BL73" t="e">
        <f t="shared" si="115"/>
        <v>#N/A</v>
      </c>
      <c r="BM73" t="e">
        <f t="shared" si="115"/>
        <v>#N/A</v>
      </c>
      <c r="BN73" t="e">
        <f t="shared" si="115"/>
        <v>#N/A</v>
      </c>
      <c r="BO73" t="e">
        <f t="shared" si="115"/>
        <v>#N/A</v>
      </c>
      <c r="BP73" t="e">
        <f t="shared" si="115"/>
        <v>#N/A</v>
      </c>
      <c r="BQ73" t="e">
        <f t="shared" si="115"/>
        <v>#N/A</v>
      </c>
      <c r="BR73" t="e">
        <f t="shared" si="115"/>
        <v>#N/A</v>
      </c>
      <c r="BS73" t="e">
        <f t="shared" si="115"/>
        <v>#N/A</v>
      </c>
      <c r="BT73" t="e">
        <f t="shared" si="115"/>
        <v>#N/A</v>
      </c>
      <c r="BU73" t="e">
        <f t="shared" si="115"/>
        <v>#N/A</v>
      </c>
      <c r="BV73" t="e">
        <f t="shared" ref="BV73:EG73" si="116">IF(BV64=0,0,BV64-$A73)</f>
        <v>#N/A</v>
      </c>
      <c r="BW73" t="e">
        <f t="shared" si="116"/>
        <v>#N/A</v>
      </c>
      <c r="BX73" t="e">
        <f t="shared" si="116"/>
        <v>#N/A</v>
      </c>
      <c r="BY73" t="e">
        <f t="shared" si="116"/>
        <v>#N/A</v>
      </c>
      <c r="BZ73" t="e">
        <f t="shared" si="116"/>
        <v>#N/A</v>
      </c>
      <c r="CA73" t="e">
        <f t="shared" si="116"/>
        <v>#N/A</v>
      </c>
      <c r="CB73" t="e">
        <f t="shared" si="116"/>
        <v>#N/A</v>
      </c>
      <c r="CC73" t="e">
        <f t="shared" si="116"/>
        <v>#N/A</v>
      </c>
      <c r="CD73" t="e">
        <f t="shared" si="116"/>
        <v>#N/A</v>
      </c>
      <c r="CE73" t="e">
        <f t="shared" si="116"/>
        <v>#N/A</v>
      </c>
      <c r="CF73" t="e">
        <f t="shared" si="116"/>
        <v>#N/A</v>
      </c>
      <c r="CG73" t="e">
        <f t="shared" si="116"/>
        <v>#N/A</v>
      </c>
      <c r="CH73" t="e">
        <f t="shared" si="116"/>
        <v>#N/A</v>
      </c>
      <c r="CI73" t="e">
        <f t="shared" si="116"/>
        <v>#N/A</v>
      </c>
      <c r="CJ73" t="e">
        <f t="shared" si="116"/>
        <v>#N/A</v>
      </c>
      <c r="CK73" t="e">
        <f t="shared" si="116"/>
        <v>#N/A</v>
      </c>
      <c r="CL73" t="e">
        <f t="shared" si="116"/>
        <v>#N/A</v>
      </c>
      <c r="CM73" t="e">
        <f t="shared" si="116"/>
        <v>#N/A</v>
      </c>
      <c r="CN73" t="e">
        <f t="shared" si="116"/>
        <v>#N/A</v>
      </c>
      <c r="CO73" t="e">
        <f t="shared" si="116"/>
        <v>#N/A</v>
      </c>
      <c r="CP73" t="e">
        <f t="shared" si="116"/>
        <v>#N/A</v>
      </c>
      <c r="CQ73" t="e">
        <f t="shared" si="116"/>
        <v>#N/A</v>
      </c>
      <c r="CR73" t="e">
        <f t="shared" si="116"/>
        <v>#N/A</v>
      </c>
      <c r="CS73" t="e">
        <f t="shared" si="116"/>
        <v>#N/A</v>
      </c>
      <c r="CT73" t="e">
        <f t="shared" si="116"/>
        <v>#N/A</v>
      </c>
      <c r="CU73" t="e">
        <f t="shared" si="116"/>
        <v>#N/A</v>
      </c>
      <c r="CV73" t="e">
        <f t="shared" si="116"/>
        <v>#N/A</v>
      </c>
      <c r="CW73" t="e">
        <f t="shared" si="116"/>
        <v>#N/A</v>
      </c>
      <c r="CX73" t="e">
        <f t="shared" si="116"/>
        <v>#N/A</v>
      </c>
      <c r="CY73" t="e">
        <f t="shared" si="116"/>
        <v>#N/A</v>
      </c>
      <c r="CZ73" t="e">
        <f t="shared" si="116"/>
        <v>#N/A</v>
      </c>
      <c r="DA73" t="e">
        <f t="shared" si="116"/>
        <v>#N/A</v>
      </c>
      <c r="DB73" t="e">
        <f t="shared" si="116"/>
        <v>#N/A</v>
      </c>
      <c r="DC73" t="e">
        <f t="shared" si="116"/>
        <v>#N/A</v>
      </c>
      <c r="DD73" t="e">
        <f t="shared" si="116"/>
        <v>#N/A</v>
      </c>
      <c r="DE73" t="e">
        <f t="shared" si="116"/>
        <v>#N/A</v>
      </c>
      <c r="DF73" t="e">
        <f t="shared" si="116"/>
        <v>#N/A</v>
      </c>
      <c r="DG73" t="e">
        <f t="shared" si="116"/>
        <v>#N/A</v>
      </c>
      <c r="DH73" t="e">
        <f t="shared" si="116"/>
        <v>#N/A</v>
      </c>
      <c r="DI73" t="e">
        <f t="shared" si="116"/>
        <v>#N/A</v>
      </c>
      <c r="DJ73" t="e">
        <f t="shared" si="116"/>
        <v>#N/A</v>
      </c>
      <c r="DK73" t="e">
        <f t="shared" si="116"/>
        <v>#N/A</v>
      </c>
      <c r="DL73" t="e">
        <f t="shared" si="116"/>
        <v>#N/A</v>
      </c>
      <c r="DM73" t="e">
        <f t="shared" si="116"/>
        <v>#N/A</v>
      </c>
      <c r="DN73" t="e">
        <f t="shared" si="116"/>
        <v>#N/A</v>
      </c>
      <c r="DO73" t="e">
        <f t="shared" si="116"/>
        <v>#N/A</v>
      </c>
      <c r="DP73" t="e">
        <f t="shared" si="116"/>
        <v>#N/A</v>
      </c>
      <c r="DQ73" t="e">
        <f t="shared" si="116"/>
        <v>#N/A</v>
      </c>
      <c r="DR73" t="e">
        <f t="shared" si="116"/>
        <v>#N/A</v>
      </c>
      <c r="DS73" t="e">
        <f t="shared" si="116"/>
        <v>#N/A</v>
      </c>
      <c r="DT73" t="e">
        <f t="shared" si="116"/>
        <v>#N/A</v>
      </c>
      <c r="DU73" t="e">
        <f t="shared" si="116"/>
        <v>#N/A</v>
      </c>
      <c r="DV73" t="e">
        <f t="shared" si="116"/>
        <v>#N/A</v>
      </c>
      <c r="DW73" t="e">
        <f t="shared" si="116"/>
        <v>#N/A</v>
      </c>
      <c r="DX73" t="e">
        <f t="shared" si="116"/>
        <v>#N/A</v>
      </c>
      <c r="DY73" t="e">
        <f t="shared" si="116"/>
        <v>#N/A</v>
      </c>
      <c r="DZ73" t="e">
        <f t="shared" si="116"/>
        <v>#N/A</v>
      </c>
      <c r="EA73" t="e">
        <f t="shared" si="116"/>
        <v>#N/A</v>
      </c>
      <c r="EB73" t="e">
        <f t="shared" si="116"/>
        <v>#N/A</v>
      </c>
      <c r="EC73" t="e">
        <f t="shared" si="116"/>
        <v>#N/A</v>
      </c>
      <c r="ED73" t="e">
        <f t="shared" si="116"/>
        <v>#N/A</v>
      </c>
      <c r="EE73" t="e">
        <f t="shared" si="116"/>
        <v>#N/A</v>
      </c>
      <c r="EF73" t="e">
        <f t="shared" si="116"/>
        <v>#N/A</v>
      </c>
      <c r="EG73" t="e">
        <f t="shared" si="116"/>
        <v>#N/A</v>
      </c>
      <c r="EH73" t="e">
        <f t="shared" ref="EH73:GA73" si="117">IF(EH64=0,0,EH64-$A73)</f>
        <v>#N/A</v>
      </c>
      <c r="EI73" t="e">
        <f t="shared" si="117"/>
        <v>#N/A</v>
      </c>
      <c r="EJ73" t="e">
        <f t="shared" si="117"/>
        <v>#N/A</v>
      </c>
      <c r="EK73" t="e">
        <f t="shared" si="117"/>
        <v>#N/A</v>
      </c>
      <c r="EL73" t="e">
        <f t="shared" si="117"/>
        <v>#N/A</v>
      </c>
      <c r="EM73" t="e">
        <f t="shared" si="117"/>
        <v>#N/A</v>
      </c>
      <c r="EN73" t="e">
        <f t="shared" si="117"/>
        <v>#N/A</v>
      </c>
      <c r="EO73" t="e">
        <f t="shared" si="117"/>
        <v>#N/A</v>
      </c>
      <c r="EP73" t="e">
        <f t="shared" si="117"/>
        <v>#N/A</v>
      </c>
      <c r="EQ73" t="e">
        <f t="shared" si="117"/>
        <v>#N/A</v>
      </c>
      <c r="ER73" t="e">
        <f t="shared" si="117"/>
        <v>#N/A</v>
      </c>
      <c r="ES73" t="e">
        <f t="shared" si="117"/>
        <v>#N/A</v>
      </c>
      <c r="ET73" t="e">
        <f t="shared" si="117"/>
        <v>#N/A</v>
      </c>
      <c r="EU73" t="e">
        <f t="shared" si="117"/>
        <v>#N/A</v>
      </c>
      <c r="EV73" t="e">
        <f t="shared" si="117"/>
        <v>#N/A</v>
      </c>
      <c r="EW73" t="e">
        <f t="shared" si="117"/>
        <v>#N/A</v>
      </c>
      <c r="EX73" t="e">
        <f t="shared" si="117"/>
        <v>#N/A</v>
      </c>
      <c r="EY73" t="e">
        <f t="shared" si="117"/>
        <v>#N/A</v>
      </c>
      <c r="EZ73" t="e">
        <f t="shared" si="117"/>
        <v>#N/A</v>
      </c>
      <c r="FA73" t="e">
        <f t="shared" si="117"/>
        <v>#N/A</v>
      </c>
      <c r="FB73" t="e">
        <f t="shared" si="117"/>
        <v>#N/A</v>
      </c>
      <c r="FC73" t="e">
        <f t="shared" si="117"/>
        <v>#N/A</v>
      </c>
      <c r="FD73" t="e">
        <f t="shared" si="117"/>
        <v>#N/A</v>
      </c>
      <c r="FE73" t="e">
        <f t="shared" si="117"/>
        <v>#N/A</v>
      </c>
      <c r="FF73" t="e">
        <f t="shared" si="117"/>
        <v>#N/A</v>
      </c>
      <c r="FG73" t="e">
        <f t="shared" si="117"/>
        <v>#N/A</v>
      </c>
      <c r="FH73" t="e">
        <f t="shared" si="117"/>
        <v>#N/A</v>
      </c>
      <c r="FI73" t="e">
        <f t="shared" si="117"/>
        <v>#N/A</v>
      </c>
      <c r="FJ73" t="e">
        <f t="shared" si="117"/>
        <v>#N/A</v>
      </c>
      <c r="FK73" t="e">
        <f t="shared" si="117"/>
        <v>#N/A</v>
      </c>
      <c r="FL73" t="e">
        <f t="shared" si="117"/>
        <v>#N/A</v>
      </c>
      <c r="FM73" t="e">
        <f t="shared" si="117"/>
        <v>#N/A</v>
      </c>
      <c r="FN73" t="e">
        <f t="shared" si="117"/>
        <v>#N/A</v>
      </c>
      <c r="FO73" t="e">
        <f t="shared" si="117"/>
        <v>#N/A</v>
      </c>
      <c r="FP73" t="e">
        <f t="shared" si="117"/>
        <v>#N/A</v>
      </c>
      <c r="FQ73" t="e">
        <f t="shared" si="117"/>
        <v>#N/A</v>
      </c>
      <c r="FR73" t="e">
        <f t="shared" si="117"/>
        <v>#N/A</v>
      </c>
      <c r="FS73" t="e">
        <f t="shared" si="117"/>
        <v>#N/A</v>
      </c>
      <c r="FT73" t="e">
        <f t="shared" si="117"/>
        <v>#N/A</v>
      </c>
      <c r="FU73" t="e">
        <f t="shared" si="117"/>
        <v>#N/A</v>
      </c>
      <c r="FV73" t="e">
        <f t="shared" si="117"/>
        <v>#N/A</v>
      </c>
      <c r="FW73" t="e">
        <f t="shared" si="117"/>
        <v>#N/A</v>
      </c>
      <c r="FX73" t="e">
        <f t="shared" si="117"/>
        <v>#N/A</v>
      </c>
      <c r="FY73" t="e">
        <f t="shared" si="117"/>
        <v>#N/A</v>
      </c>
      <c r="FZ73" t="e">
        <f t="shared" si="117"/>
        <v>#N/A</v>
      </c>
      <c r="GA73" t="e">
        <f t="shared" si="117"/>
        <v>#N/A</v>
      </c>
    </row>
    <row r="74" spans="1:183" x14ac:dyDescent="0.45">
      <c r="A74">
        <v>25.8</v>
      </c>
      <c r="B74" t="s">
        <v>4</v>
      </c>
      <c r="C74" cm="1">
        <f t="array" ref="C74">LOOKUP(2,1/(I74:GA74&lt;&gt;""),I74:GA74)</f>
        <v>0</v>
      </c>
      <c r="D74">
        <f t="shared" si="107"/>
        <v>45</v>
      </c>
      <c r="F74" s="3">
        <f t="shared" si="111"/>
        <v>0</v>
      </c>
      <c r="G74" s="3" cm="1">
        <f t="array" ref="G74">(C65-INDEX(I65:GA65,D65-22))/A74</f>
        <v>0.12519379844961243</v>
      </c>
      <c r="I74">
        <f>IF(I65=0,0,I65-$A74)</f>
        <v>-16.130000000000003</v>
      </c>
      <c r="J74">
        <f t="shared" ref="J74:BU74" si="118">IF(J65=0,0,J65-$A74)</f>
        <v>-16.130000000000003</v>
      </c>
      <c r="K74" t="e">
        <f t="shared" si="118"/>
        <v>#N/A</v>
      </c>
      <c r="L74">
        <f t="shared" si="118"/>
        <v>-16.130000000000003</v>
      </c>
      <c r="M74" t="e">
        <f t="shared" si="118"/>
        <v>#N/A</v>
      </c>
      <c r="N74">
        <f t="shared" si="118"/>
        <v>-16.130000000000003</v>
      </c>
      <c r="O74">
        <f t="shared" si="118"/>
        <v>-16.130000000000003</v>
      </c>
      <c r="P74">
        <f t="shared" si="118"/>
        <v>-16.130000000000003</v>
      </c>
      <c r="Q74">
        <f t="shared" si="118"/>
        <v>-16.130000000000003</v>
      </c>
      <c r="R74">
        <f t="shared" si="118"/>
        <v>-16.130000000000003</v>
      </c>
      <c r="S74">
        <f t="shared" si="118"/>
        <v>-16.130000000000003</v>
      </c>
      <c r="T74">
        <f t="shared" si="118"/>
        <v>-16.130000000000003</v>
      </c>
      <c r="U74">
        <f t="shared" si="118"/>
        <v>-16.130000000000003</v>
      </c>
      <c r="V74">
        <f t="shared" si="118"/>
        <v>-16.130000000000003</v>
      </c>
      <c r="W74">
        <f t="shared" si="118"/>
        <v>-16.130000000000003</v>
      </c>
      <c r="X74">
        <f t="shared" si="118"/>
        <v>-16.130000000000003</v>
      </c>
      <c r="Y74">
        <f t="shared" si="118"/>
        <v>-16.130000000000003</v>
      </c>
      <c r="Z74">
        <f t="shared" si="118"/>
        <v>-16.130000000000003</v>
      </c>
      <c r="AA74">
        <f t="shared" si="118"/>
        <v>-16.130000000000003</v>
      </c>
      <c r="AB74">
        <f t="shared" si="118"/>
        <v>-16.130000000000003</v>
      </c>
      <c r="AC74">
        <f t="shared" si="118"/>
        <v>-4.84</v>
      </c>
      <c r="AD74">
        <f t="shared" si="118"/>
        <v>0</v>
      </c>
      <c r="AE74">
        <f t="shared" si="118"/>
        <v>-3.2300000000000004</v>
      </c>
      <c r="AF74">
        <f t="shared" si="118"/>
        <v>-1.620000000000001</v>
      </c>
      <c r="AG74">
        <f t="shared" si="118"/>
        <v>-1.620000000000001</v>
      </c>
      <c r="AH74">
        <f t="shared" si="118"/>
        <v>1.6099999999999994</v>
      </c>
      <c r="AI74">
        <f t="shared" si="118"/>
        <v>3.2199999999999989</v>
      </c>
      <c r="AJ74">
        <f t="shared" si="118"/>
        <v>4.8299999999999983</v>
      </c>
      <c r="AK74">
        <f t="shared" si="118"/>
        <v>11.279999999999998</v>
      </c>
      <c r="AL74">
        <f t="shared" si="118"/>
        <v>11.279999999999998</v>
      </c>
      <c r="AM74">
        <f t="shared" si="118"/>
        <v>9.6699999999999982</v>
      </c>
      <c r="AN74" t="e">
        <f t="shared" si="118"/>
        <v>#N/A</v>
      </c>
      <c r="AO74">
        <f t="shared" si="118"/>
        <v>3.2199999999999989</v>
      </c>
      <c r="AP74">
        <f t="shared" si="118"/>
        <v>3.2199999999999989</v>
      </c>
      <c r="AQ74">
        <f t="shared" si="118"/>
        <v>0</v>
      </c>
      <c r="AR74">
        <f t="shared" si="118"/>
        <v>3.2199999999999989</v>
      </c>
      <c r="AS74">
        <f t="shared" si="118"/>
        <v>0</v>
      </c>
      <c r="AT74" t="e">
        <f t="shared" si="118"/>
        <v>#N/A</v>
      </c>
      <c r="AU74" t="e">
        <f t="shared" si="118"/>
        <v>#N/A</v>
      </c>
      <c r="AV74" t="e">
        <f t="shared" si="118"/>
        <v>#N/A</v>
      </c>
      <c r="AW74" t="e">
        <f t="shared" si="118"/>
        <v>#N/A</v>
      </c>
      <c r="AX74" t="e">
        <f t="shared" si="118"/>
        <v>#N/A</v>
      </c>
      <c r="AY74" t="e">
        <f t="shared" si="118"/>
        <v>#N/A</v>
      </c>
      <c r="AZ74" t="e">
        <f t="shared" si="118"/>
        <v>#N/A</v>
      </c>
      <c r="BA74" t="e">
        <f t="shared" si="118"/>
        <v>#N/A</v>
      </c>
      <c r="BB74" t="e">
        <f t="shared" si="118"/>
        <v>#N/A</v>
      </c>
      <c r="BC74" t="e">
        <f t="shared" si="118"/>
        <v>#N/A</v>
      </c>
      <c r="BD74" t="e">
        <f t="shared" si="118"/>
        <v>#N/A</v>
      </c>
      <c r="BE74" t="e">
        <f t="shared" si="118"/>
        <v>#N/A</v>
      </c>
      <c r="BF74" t="e">
        <f t="shared" si="118"/>
        <v>#N/A</v>
      </c>
      <c r="BG74" t="e">
        <f t="shared" si="118"/>
        <v>#N/A</v>
      </c>
      <c r="BH74" t="e">
        <f t="shared" si="118"/>
        <v>#N/A</v>
      </c>
      <c r="BI74" t="e">
        <f t="shared" si="118"/>
        <v>#N/A</v>
      </c>
      <c r="BJ74" t="e">
        <f t="shared" si="118"/>
        <v>#N/A</v>
      </c>
      <c r="BK74" t="e">
        <f t="shared" si="118"/>
        <v>#N/A</v>
      </c>
      <c r="BL74" t="e">
        <f t="shared" si="118"/>
        <v>#N/A</v>
      </c>
      <c r="BM74" t="e">
        <f t="shared" si="118"/>
        <v>#N/A</v>
      </c>
      <c r="BN74" t="e">
        <f t="shared" si="118"/>
        <v>#N/A</v>
      </c>
      <c r="BO74" t="e">
        <f t="shared" si="118"/>
        <v>#N/A</v>
      </c>
      <c r="BP74" t="e">
        <f t="shared" si="118"/>
        <v>#N/A</v>
      </c>
      <c r="BQ74" t="e">
        <f t="shared" si="118"/>
        <v>#N/A</v>
      </c>
      <c r="BR74" t="e">
        <f t="shared" si="118"/>
        <v>#N/A</v>
      </c>
      <c r="BS74" t="e">
        <f t="shared" si="118"/>
        <v>#N/A</v>
      </c>
      <c r="BT74" t="e">
        <f t="shared" si="118"/>
        <v>#N/A</v>
      </c>
      <c r="BU74" t="e">
        <f t="shared" si="118"/>
        <v>#N/A</v>
      </c>
      <c r="BV74" t="e">
        <f t="shared" ref="BV74:EG74" si="119">IF(BV65=0,0,BV65-$A74)</f>
        <v>#N/A</v>
      </c>
      <c r="BW74" t="e">
        <f t="shared" si="119"/>
        <v>#N/A</v>
      </c>
      <c r="BX74" t="e">
        <f t="shared" si="119"/>
        <v>#N/A</v>
      </c>
      <c r="BY74" t="e">
        <f t="shared" si="119"/>
        <v>#N/A</v>
      </c>
      <c r="BZ74" t="e">
        <f t="shared" si="119"/>
        <v>#N/A</v>
      </c>
      <c r="CA74" t="e">
        <f t="shared" si="119"/>
        <v>#N/A</v>
      </c>
      <c r="CB74" t="e">
        <f t="shared" si="119"/>
        <v>#N/A</v>
      </c>
      <c r="CC74" t="e">
        <f t="shared" si="119"/>
        <v>#N/A</v>
      </c>
      <c r="CD74" t="e">
        <f t="shared" si="119"/>
        <v>#N/A</v>
      </c>
      <c r="CE74" t="e">
        <f t="shared" si="119"/>
        <v>#N/A</v>
      </c>
      <c r="CF74" t="e">
        <f t="shared" si="119"/>
        <v>#N/A</v>
      </c>
      <c r="CG74" t="e">
        <f t="shared" si="119"/>
        <v>#N/A</v>
      </c>
      <c r="CH74" t="e">
        <f t="shared" si="119"/>
        <v>#N/A</v>
      </c>
      <c r="CI74" t="e">
        <f t="shared" si="119"/>
        <v>#N/A</v>
      </c>
      <c r="CJ74" t="e">
        <f t="shared" si="119"/>
        <v>#N/A</v>
      </c>
      <c r="CK74" t="e">
        <f t="shared" si="119"/>
        <v>#N/A</v>
      </c>
      <c r="CL74" t="e">
        <f t="shared" si="119"/>
        <v>#N/A</v>
      </c>
      <c r="CM74" t="e">
        <f t="shared" si="119"/>
        <v>#N/A</v>
      </c>
      <c r="CN74" t="e">
        <f t="shared" si="119"/>
        <v>#N/A</v>
      </c>
      <c r="CO74" t="e">
        <f t="shared" si="119"/>
        <v>#N/A</v>
      </c>
      <c r="CP74" t="e">
        <f t="shared" si="119"/>
        <v>#N/A</v>
      </c>
      <c r="CQ74" t="e">
        <f t="shared" si="119"/>
        <v>#N/A</v>
      </c>
      <c r="CR74" t="e">
        <f t="shared" si="119"/>
        <v>#N/A</v>
      </c>
      <c r="CS74" t="e">
        <f t="shared" si="119"/>
        <v>#N/A</v>
      </c>
      <c r="CT74" t="e">
        <f t="shared" si="119"/>
        <v>#N/A</v>
      </c>
      <c r="CU74" t="e">
        <f t="shared" si="119"/>
        <v>#N/A</v>
      </c>
      <c r="CV74" t="e">
        <f t="shared" si="119"/>
        <v>#N/A</v>
      </c>
      <c r="CW74" t="e">
        <f t="shared" si="119"/>
        <v>#N/A</v>
      </c>
      <c r="CX74" t="e">
        <f t="shared" si="119"/>
        <v>#N/A</v>
      </c>
      <c r="CY74" t="e">
        <f t="shared" si="119"/>
        <v>#N/A</v>
      </c>
      <c r="CZ74" t="e">
        <f t="shared" si="119"/>
        <v>#N/A</v>
      </c>
      <c r="DA74" t="e">
        <f t="shared" si="119"/>
        <v>#N/A</v>
      </c>
      <c r="DB74" t="e">
        <f t="shared" si="119"/>
        <v>#N/A</v>
      </c>
      <c r="DC74" t="e">
        <f t="shared" si="119"/>
        <v>#N/A</v>
      </c>
      <c r="DD74" t="e">
        <f t="shared" si="119"/>
        <v>#N/A</v>
      </c>
      <c r="DE74" t="e">
        <f t="shared" si="119"/>
        <v>#N/A</v>
      </c>
      <c r="DF74" t="e">
        <f t="shared" si="119"/>
        <v>#N/A</v>
      </c>
      <c r="DG74" t="e">
        <f t="shared" si="119"/>
        <v>#N/A</v>
      </c>
      <c r="DH74" t="e">
        <f t="shared" si="119"/>
        <v>#N/A</v>
      </c>
      <c r="DI74" t="e">
        <f t="shared" si="119"/>
        <v>#N/A</v>
      </c>
      <c r="DJ74" t="e">
        <f t="shared" si="119"/>
        <v>#N/A</v>
      </c>
      <c r="DK74" t="e">
        <f t="shared" si="119"/>
        <v>#N/A</v>
      </c>
      <c r="DL74" t="e">
        <f t="shared" si="119"/>
        <v>#N/A</v>
      </c>
      <c r="DM74" t="e">
        <f t="shared" si="119"/>
        <v>#N/A</v>
      </c>
      <c r="DN74" t="e">
        <f t="shared" si="119"/>
        <v>#N/A</v>
      </c>
      <c r="DO74" t="e">
        <f t="shared" si="119"/>
        <v>#N/A</v>
      </c>
      <c r="DP74" t="e">
        <f t="shared" si="119"/>
        <v>#N/A</v>
      </c>
      <c r="DQ74" t="e">
        <f t="shared" si="119"/>
        <v>#N/A</v>
      </c>
      <c r="DR74" t="e">
        <f t="shared" si="119"/>
        <v>#N/A</v>
      </c>
      <c r="DS74" t="e">
        <f t="shared" si="119"/>
        <v>#N/A</v>
      </c>
      <c r="DT74" t="e">
        <f t="shared" si="119"/>
        <v>#N/A</v>
      </c>
      <c r="DU74" t="e">
        <f t="shared" si="119"/>
        <v>#N/A</v>
      </c>
      <c r="DV74" t="e">
        <f t="shared" si="119"/>
        <v>#N/A</v>
      </c>
      <c r="DW74" t="e">
        <f t="shared" si="119"/>
        <v>#N/A</v>
      </c>
      <c r="DX74" t="e">
        <f t="shared" si="119"/>
        <v>#N/A</v>
      </c>
      <c r="DY74" t="e">
        <f t="shared" si="119"/>
        <v>#N/A</v>
      </c>
      <c r="DZ74" t="e">
        <f t="shared" si="119"/>
        <v>#N/A</v>
      </c>
      <c r="EA74" t="e">
        <f t="shared" si="119"/>
        <v>#N/A</v>
      </c>
      <c r="EB74" t="e">
        <f t="shared" si="119"/>
        <v>#N/A</v>
      </c>
      <c r="EC74" t="e">
        <f t="shared" si="119"/>
        <v>#N/A</v>
      </c>
      <c r="ED74" t="e">
        <f t="shared" si="119"/>
        <v>#N/A</v>
      </c>
      <c r="EE74" t="e">
        <f t="shared" si="119"/>
        <v>#N/A</v>
      </c>
      <c r="EF74" t="e">
        <f t="shared" si="119"/>
        <v>#N/A</v>
      </c>
      <c r="EG74" t="e">
        <f t="shared" si="119"/>
        <v>#N/A</v>
      </c>
      <c r="EH74" t="e">
        <f t="shared" ref="EH74:GA74" si="120">IF(EH65=0,0,EH65-$A74)</f>
        <v>#N/A</v>
      </c>
      <c r="EI74" t="e">
        <f t="shared" si="120"/>
        <v>#N/A</v>
      </c>
      <c r="EJ74" t="e">
        <f t="shared" si="120"/>
        <v>#N/A</v>
      </c>
      <c r="EK74" t="e">
        <f t="shared" si="120"/>
        <v>#N/A</v>
      </c>
      <c r="EL74" t="e">
        <f t="shared" si="120"/>
        <v>#N/A</v>
      </c>
      <c r="EM74" t="e">
        <f t="shared" si="120"/>
        <v>#N/A</v>
      </c>
      <c r="EN74" t="e">
        <f t="shared" si="120"/>
        <v>#N/A</v>
      </c>
      <c r="EO74" t="e">
        <f t="shared" si="120"/>
        <v>#N/A</v>
      </c>
      <c r="EP74" t="e">
        <f t="shared" si="120"/>
        <v>#N/A</v>
      </c>
      <c r="EQ74" t="e">
        <f t="shared" si="120"/>
        <v>#N/A</v>
      </c>
      <c r="ER74" t="e">
        <f t="shared" si="120"/>
        <v>#N/A</v>
      </c>
      <c r="ES74" t="e">
        <f t="shared" si="120"/>
        <v>#N/A</v>
      </c>
      <c r="ET74" t="e">
        <f t="shared" si="120"/>
        <v>#N/A</v>
      </c>
      <c r="EU74" t="e">
        <f t="shared" si="120"/>
        <v>#N/A</v>
      </c>
      <c r="EV74" t="e">
        <f t="shared" si="120"/>
        <v>#N/A</v>
      </c>
      <c r="EW74" t="e">
        <f t="shared" si="120"/>
        <v>#N/A</v>
      </c>
      <c r="EX74" t="e">
        <f t="shared" si="120"/>
        <v>#N/A</v>
      </c>
      <c r="EY74" t="e">
        <f t="shared" si="120"/>
        <v>#N/A</v>
      </c>
      <c r="EZ74" t="e">
        <f t="shared" si="120"/>
        <v>#N/A</v>
      </c>
      <c r="FA74" t="e">
        <f t="shared" si="120"/>
        <v>#N/A</v>
      </c>
      <c r="FB74" t="e">
        <f t="shared" si="120"/>
        <v>#N/A</v>
      </c>
      <c r="FC74" t="e">
        <f t="shared" si="120"/>
        <v>#N/A</v>
      </c>
      <c r="FD74" t="e">
        <f t="shared" si="120"/>
        <v>#N/A</v>
      </c>
      <c r="FE74" t="e">
        <f t="shared" si="120"/>
        <v>#N/A</v>
      </c>
      <c r="FF74" t="e">
        <f t="shared" si="120"/>
        <v>#N/A</v>
      </c>
      <c r="FG74" t="e">
        <f t="shared" si="120"/>
        <v>#N/A</v>
      </c>
      <c r="FH74" t="e">
        <f t="shared" si="120"/>
        <v>#N/A</v>
      </c>
      <c r="FI74" t="e">
        <f t="shared" si="120"/>
        <v>#N/A</v>
      </c>
      <c r="FJ74" t="e">
        <f t="shared" si="120"/>
        <v>#N/A</v>
      </c>
      <c r="FK74" t="e">
        <f t="shared" si="120"/>
        <v>#N/A</v>
      </c>
      <c r="FL74" t="e">
        <f t="shared" si="120"/>
        <v>#N/A</v>
      </c>
      <c r="FM74" t="e">
        <f t="shared" si="120"/>
        <v>#N/A</v>
      </c>
      <c r="FN74" t="e">
        <f t="shared" si="120"/>
        <v>#N/A</v>
      </c>
      <c r="FO74" t="e">
        <f t="shared" si="120"/>
        <v>#N/A</v>
      </c>
      <c r="FP74" t="e">
        <f t="shared" si="120"/>
        <v>#N/A</v>
      </c>
      <c r="FQ74" t="e">
        <f t="shared" si="120"/>
        <v>#N/A</v>
      </c>
      <c r="FR74" t="e">
        <f t="shared" si="120"/>
        <v>#N/A</v>
      </c>
      <c r="FS74" t="e">
        <f t="shared" si="120"/>
        <v>#N/A</v>
      </c>
      <c r="FT74" t="e">
        <f t="shared" si="120"/>
        <v>#N/A</v>
      </c>
      <c r="FU74" t="e">
        <f t="shared" si="120"/>
        <v>#N/A</v>
      </c>
      <c r="FV74" t="e">
        <f t="shared" si="120"/>
        <v>#N/A</v>
      </c>
      <c r="FW74" t="e">
        <f t="shared" si="120"/>
        <v>#N/A</v>
      </c>
      <c r="FX74" t="e">
        <f t="shared" si="120"/>
        <v>#N/A</v>
      </c>
      <c r="FY74" t="e">
        <f t="shared" si="120"/>
        <v>#N/A</v>
      </c>
      <c r="FZ74" t="e">
        <f t="shared" si="120"/>
        <v>#N/A</v>
      </c>
      <c r="GA74" t="e">
        <f t="shared" si="120"/>
        <v>#N/A</v>
      </c>
    </row>
    <row r="75" spans="1:183" x14ac:dyDescent="0.45">
      <c r="A75">
        <v>85.5</v>
      </c>
      <c r="B75" t="s">
        <v>5</v>
      </c>
      <c r="C75" cm="1">
        <f t="array" ref="C75">LOOKUP(2,1/(I75:GA75&lt;&gt;""),I75:GA75)</f>
        <v>-57.379999999999995</v>
      </c>
      <c r="D75">
        <f t="shared" si="107"/>
        <v>45</v>
      </c>
      <c r="F75" s="3">
        <f t="shared" si="111"/>
        <v>-0.6711111111111111</v>
      </c>
      <c r="G75" s="3" cm="1">
        <f t="array" ref="G75">(C66-INDEX(I66:GA66,D66-22))/A75</f>
        <v>-1.3216374269005836E-2</v>
      </c>
      <c r="I75">
        <f>IF(I66=0,0,I66-$A75)</f>
        <v>-52.88</v>
      </c>
      <c r="J75">
        <f t="shared" ref="J75:BU75" si="121">IF(J66=0,0,J66-$A75)</f>
        <v>-52.88</v>
      </c>
      <c r="K75" t="e">
        <f t="shared" si="121"/>
        <v>#N/A</v>
      </c>
      <c r="L75">
        <f t="shared" si="121"/>
        <v>-52.88</v>
      </c>
      <c r="M75" t="e">
        <f t="shared" si="121"/>
        <v>#N/A</v>
      </c>
      <c r="N75">
        <f t="shared" si="121"/>
        <v>-57.379999999999995</v>
      </c>
      <c r="O75">
        <f t="shared" si="121"/>
        <v>-57.379999999999995</v>
      </c>
      <c r="P75">
        <f t="shared" si="121"/>
        <v>-54</v>
      </c>
      <c r="Q75">
        <f t="shared" si="121"/>
        <v>-57.379999999999995</v>
      </c>
      <c r="R75">
        <f t="shared" si="121"/>
        <v>-57.379999999999995</v>
      </c>
      <c r="S75">
        <f t="shared" si="121"/>
        <v>-57.379999999999995</v>
      </c>
      <c r="T75">
        <f t="shared" si="121"/>
        <v>-57.379999999999995</v>
      </c>
      <c r="U75">
        <f t="shared" si="121"/>
        <v>-57.379999999999995</v>
      </c>
      <c r="V75">
        <f t="shared" si="121"/>
        <v>-57.379999999999995</v>
      </c>
      <c r="W75">
        <f t="shared" si="121"/>
        <v>-56.25</v>
      </c>
      <c r="X75">
        <f t="shared" si="121"/>
        <v>-56.25</v>
      </c>
      <c r="Y75">
        <f t="shared" si="121"/>
        <v>-54</v>
      </c>
      <c r="Z75">
        <f t="shared" si="121"/>
        <v>-57.379999999999995</v>
      </c>
      <c r="AA75">
        <f t="shared" si="121"/>
        <v>-56.25</v>
      </c>
      <c r="AB75">
        <f t="shared" si="121"/>
        <v>-57.379999999999995</v>
      </c>
      <c r="AC75">
        <f t="shared" si="121"/>
        <v>-52.88</v>
      </c>
      <c r="AD75">
        <f t="shared" si="121"/>
        <v>-52.88</v>
      </c>
      <c r="AE75">
        <f t="shared" si="121"/>
        <v>-56.25</v>
      </c>
      <c r="AF75">
        <f t="shared" si="121"/>
        <v>-56.25</v>
      </c>
      <c r="AG75">
        <f t="shared" si="121"/>
        <v>-57.379999999999995</v>
      </c>
      <c r="AH75">
        <f t="shared" si="121"/>
        <v>-57.379999999999995</v>
      </c>
      <c r="AI75">
        <f t="shared" si="121"/>
        <v>-57.379999999999995</v>
      </c>
      <c r="AJ75">
        <f t="shared" si="121"/>
        <v>-57.379999999999995</v>
      </c>
      <c r="AK75">
        <f t="shared" si="121"/>
        <v>-57.379999999999995</v>
      </c>
      <c r="AL75">
        <f t="shared" si="121"/>
        <v>-57.379999999999995</v>
      </c>
      <c r="AM75">
        <f t="shared" si="121"/>
        <v>-56.25</v>
      </c>
      <c r="AN75" t="e">
        <f t="shared" si="121"/>
        <v>#N/A</v>
      </c>
      <c r="AO75">
        <f t="shared" si="121"/>
        <v>-57.379999999999995</v>
      </c>
      <c r="AP75">
        <f t="shared" si="121"/>
        <v>-58.5</v>
      </c>
      <c r="AQ75">
        <f t="shared" si="121"/>
        <v>-57.379999999999995</v>
      </c>
      <c r="AR75">
        <f t="shared" si="121"/>
        <v>-56.25</v>
      </c>
      <c r="AS75">
        <f t="shared" si="121"/>
        <v>-57.379999999999995</v>
      </c>
      <c r="AT75" t="e">
        <f t="shared" si="121"/>
        <v>#N/A</v>
      </c>
      <c r="AU75" t="e">
        <f t="shared" si="121"/>
        <v>#N/A</v>
      </c>
      <c r="AV75" t="e">
        <f t="shared" si="121"/>
        <v>#N/A</v>
      </c>
      <c r="AW75" t="e">
        <f t="shared" si="121"/>
        <v>#N/A</v>
      </c>
      <c r="AX75" t="e">
        <f t="shared" si="121"/>
        <v>#N/A</v>
      </c>
      <c r="AY75" t="e">
        <f t="shared" si="121"/>
        <v>#N/A</v>
      </c>
      <c r="AZ75" t="e">
        <f t="shared" si="121"/>
        <v>#N/A</v>
      </c>
      <c r="BA75" t="e">
        <f t="shared" si="121"/>
        <v>#N/A</v>
      </c>
      <c r="BB75" t="e">
        <f t="shared" si="121"/>
        <v>#N/A</v>
      </c>
      <c r="BC75" t="e">
        <f t="shared" si="121"/>
        <v>#N/A</v>
      </c>
      <c r="BD75" t="e">
        <f t="shared" si="121"/>
        <v>#N/A</v>
      </c>
      <c r="BE75" t="e">
        <f t="shared" si="121"/>
        <v>#N/A</v>
      </c>
      <c r="BF75" t="e">
        <f t="shared" si="121"/>
        <v>#N/A</v>
      </c>
      <c r="BG75" t="e">
        <f t="shared" si="121"/>
        <v>#N/A</v>
      </c>
      <c r="BH75" t="e">
        <f t="shared" si="121"/>
        <v>#N/A</v>
      </c>
      <c r="BI75" t="e">
        <f t="shared" si="121"/>
        <v>#N/A</v>
      </c>
      <c r="BJ75" t="e">
        <f t="shared" si="121"/>
        <v>#N/A</v>
      </c>
      <c r="BK75" t="e">
        <f t="shared" si="121"/>
        <v>#N/A</v>
      </c>
      <c r="BL75" t="e">
        <f t="shared" si="121"/>
        <v>#N/A</v>
      </c>
      <c r="BM75" t="e">
        <f t="shared" si="121"/>
        <v>#N/A</v>
      </c>
      <c r="BN75" t="e">
        <f t="shared" si="121"/>
        <v>#N/A</v>
      </c>
      <c r="BO75" t="e">
        <f t="shared" si="121"/>
        <v>#N/A</v>
      </c>
      <c r="BP75" t="e">
        <f t="shared" si="121"/>
        <v>#N/A</v>
      </c>
      <c r="BQ75" t="e">
        <f t="shared" si="121"/>
        <v>#N/A</v>
      </c>
      <c r="BR75" t="e">
        <f t="shared" si="121"/>
        <v>#N/A</v>
      </c>
      <c r="BS75" t="e">
        <f t="shared" si="121"/>
        <v>#N/A</v>
      </c>
      <c r="BT75" t="e">
        <f t="shared" si="121"/>
        <v>#N/A</v>
      </c>
      <c r="BU75" t="e">
        <f t="shared" si="121"/>
        <v>#N/A</v>
      </c>
      <c r="BV75" t="e">
        <f t="shared" ref="BV75:EG75" si="122">IF(BV66=0,0,BV66-$A75)</f>
        <v>#N/A</v>
      </c>
      <c r="BW75" t="e">
        <f t="shared" si="122"/>
        <v>#N/A</v>
      </c>
      <c r="BX75" t="e">
        <f t="shared" si="122"/>
        <v>#N/A</v>
      </c>
      <c r="BY75" t="e">
        <f t="shared" si="122"/>
        <v>#N/A</v>
      </c>
      <c r="BZ75" t="e">
        <f t="shared" si="122"/>
        <v>#N/A</v>
      </c>
      <c r="CA75" t="e">
        <f t="shared" si="122"/>
        <v>#N/A</v>
      </c>
      <c r="CB75" t="e">
        <f t="shared" si="122"/>
        <v>#N/A</v>
      </c>
      <c r="CC75" t="e">
        <f t="shared" si="122"/>
        <v>#N/A</v>
      </c>
      <c r="CD75" t="e">
        <f t="shared" si="122"/>
        <v>#N/A</v>
      </c>
      <c r="CE75" t="e">
        <f t="shared" si="122"/>
        <v>#N/A</v>
      </c>
      <c r="CF75" t="e">
        <f t="shared" si="122"/>
        <v>#N/A</v>
      </c>
      <c r="CG75" t="e">
        <f t="shared" si="122"/>
        <v>#N/A</v>
      </c>
      <c r="CH75" t="e">
        <f t="shared" si="122"/>
        <v>#N/A</v>
      </c>
      <c r="CI75" t="e">
        <f t="shared" si="122"/>
        <v>#N/A</v>
      </c>
      <c r="CJ75" t="e">
        <f t="shared" si="122"/>
        <v>#N/A</v>
      </c>
      <c r="CK75" t="e">
        <f t="shared" si="122"/>
        <v>#N/A</v>
      </c>
      <c r="CL75" t="e">
        <f t="shared" si="122"/>
        <v>#N/A</v>
      </c>
      <c r="CM75" t="e">
        <f t="shared" si="122"/>
        <v>#N/A</v>
      </c>
      <c r="CN75" t="e">
        <f t="shared" si="122"/>
        <v>#N/A</v>
      </c>
      <c r="CO75" t="e">
        <f t="shared" si="122"/>
        <v>#N/A</v>
      </c>
      <c r="CP75" t="e">
        <f t="shared" si="122"/>
        <v>#N/A</v>
      </c>
      <c r="CQ75" t="e">
        <f t="shared" si="122"/>
        <v>#N/A</v>
      </c>
      <c r="CR75" t="e">
        <f t="shared" si="122"/>
        <v>#N/A</v>
      </c>
      <c r="CS75" t="e">
        <f t="shared" si="122"/>
        <v>#N/A</v>
      </c>
      <c r="CT75" t="e">
        <f t="shared" si="122"/>
        <v>#N/A</v>
      </c>
      <c r="CU75" t="e">
        <f t="shared" si="122"/>
        <v>#N/A</v>
      </c>
      <c r="CV75" t="e">
        <f t="shared" si="122"/>
        <v>#N/A</v>
      </c>
      <c r="CW75" t="e">
        <f t="shared" si="122"/>
        <v>#N/A</v>
      </c>
      <c r="CX75" t="e">
        <f t="shared" si="122"/>
        <v>#N/A</v>
      </c>
      <c r="CY75" t="e">
        <f t="shared" si="122"/>
        <v>#N/A</v>
      </c>
      <c r="CZ75" t="e">
        <f t="shared" si="122"/>
        <v>#N/A</v>
      </c>
      <c r="DA75" t="e">
        <f t="shared" si="122"/>
        <v>#N/A</v>
      </c>
      <c r="DB75" t="e">
        <f t="shared" si="122"/>
        <v>#N/A</v>
      </c>
      <c r="DC75" t="e">
        <f t="shared" si="122"/>
        <v>#N/A</v>
      </c>
      <c r="DD75" t="e">
        <f t="shared" si="122"/>
        <v>#N/A</v>
      </c>
      <c r="DE75" t="e">
        <f t="shared" si="122"/>
        <v>#N/A</v>
      </c>
      <c r="DF75" t="e">
        <f t="shared" si="122"/>
        <v>#N/A</v>
      </c>
      <c r="DG75" t="e">
        <f t="shared" si="122"/>
        <v>#N/A</v>
      </c>
      <c r="DH75" t="e">
        <f t="shared" si="122"/>
        <v>#N/A</v>
      </c>
      <c r="DI75" t="e">
        <f t="shared" si="122"/>
        <v>#N/A</v>
      </c>
      <c r="DJ75" t="e">
        <f t="shared" si="122"/>
        <v>#N/A</v>
      </c>
      <c r="DK75" t="e">
        <f t="shared" si="122"/>
        <v>#N/A</v>
      </c>
      <c r="DL75" t="e">
        <f t="shared" si="122"/>
        <v>#N/A</v>
      </c>
      <c r="DM75" t="e">
        <f t="shared" si="122"/>
        <v>#N/A</v>
      </c>
      <c r="DN75" t="e">
        <f t="shared" si="122"/>
        <v>#N/A</v>
      </c>
      <c r="DO75" t="e">
        <f t="shared" si="122"/>
        <v>#N/A</v>
      </c>
      <c r="DP75" t="e">
        <f t="shared" si="122"/>
        <v>#N/A</v>
      </c>
      <c r="DQ75" t="e">
        <f t="shared" si="122"/>
        <v>#N/A</v>
      </c>
      <c r="DR75" t="e">
        <f t="shared" si="122"/>
        <v>#N/A</v>
      </c>
      <c r="DS75" t="e">
        <f t="shared" si="122"/>
        <v>#N/A</v>
      </c>
      <c r="DT75" t="e">
        <f t="shared" si="122"/>
        <v>#N/A</v>
      </c>
      <c r="DU75" t="e">
        <f t="shared" si="122"/>
        <v>#N/A</v>
      </c>
      <c r="DV75" t="e">
        <f t="shared" si="122"/>
        <v>#N/A</v>
      </c>
      <c r="DW75" t="e">
        <f t="shared" si="122"/>
        <v>#N/A</v>
      </c>
      <c r="DX75" t="e">
        <f t="shared" si="122"/>
        <v>#N/A</v>
      </c>
      <c r="DY75" t="e">
        <f t="shared" si="122"/>
        <v>#N/A</v>
      </c>
      <c r="DZ75" t="e">
        <f t="shared" si="122"/>
        <v>#N/A</v>
      </c>
      <c r="EA75" t="e">
        <f t="shared" si="122"/>
        <v>#N/A</v>
      </c>
      <c r="EB75" t="e">
        <f t="shared" si="122"/>
        <v>#N/A</v>
      </c>
      <c r="EC75" t="e">
        <f t="shared" si="122"/>
        <v>#N/A</v>
      </c>
      <c r="ED75" t="e">
        <f t="shared" si="122"/>
        <v>#N/A</v>
      </c>
      <c r="EE75" t="e">
        <f t="shared" si="122"/>
        <v>#N/A</v>
      </c>
      <c r="EF75" t="e">
        <f t="shared" si="122"/>
        <v>#N/A</v>
      </c>
      <c r="EG75" t="e">
        <f t="shared" si="122"/>
        <v>#N/A</v>
      </c>
      <c r="EH75" t="e">
        <f t="shared" ref="EH75:GA75" si="123">IF(EH66=0,0,EH66-$A75)</f>
        <v>#N/A</v>
      </c>
      <c r="EI75" t="e">
        <f t="shared" si="123"/>
        <v>#N/A</v>
      </c>
      <c r="EJ75" t="e">
        <f t="shared" si="123"/>
        <v>#N/A</v>
      </c>
      <c r="EK75" t="e">
        <f t="shared" si="123"/>
        <v>#N/A</v>
      </c>
      <c r="EL75" t="e">
        <f t="shared" si="123"/>
        <v>#N/A</v>
      </c>
      <c r="EM75" t="e">
        <f t="shared" si="123"/>
        <v>#N/A</v>
      </c>
      <c r="EN75" t="e">
        <f t="shared" si="123"/>
        <v>#N/A</v>
      </c>
      <c r="EO75" t="e">
        <f t="shared" si="123"/>
        <v>#N/A</v>
      </c>
      <c r="EP75" t="e">
        <f t="shared" si="123"/>
        <v>#N/A</v>
      </c>
      <c r="EQ75" t="e">
        <f t="shared" si="123"/>
        <v>#N/A</v>
      </c>
      <c r="ER75" t="e">
        <f t="shared" si="123"/>
        <v>#N/A</v>
      </c>
      <c r="ES75" t="e">
        <f t="shared" si="123"/>
        <v>#N/A</v>
      </c>
      <c r="ET75" t="e">
        <f t="shared" si="123"/>
        <v>#N/A</v>
      </c>
      <c r="EU75" t="e">
        <f t="shared" si="123"/>
        <v>#N/A</v>
      </c>
      <c r="EV75" t="e">
        <f t="shared" si="123"/>
        <v>#N/A</v>
      </c>
      <c r="EW75" t="e">
        <f t="shared" si="123"/>
        <v>#N/A</v>
      </c>
      <c r="EX75" t="e">
        <f t="shared" si="123"/>
        <v>#N/A</v>
      </c>
      <c r="EY75" t="e">
        <f t="shared" si="123"/>
        <v>#N/A</v>
      </c>
      <c r="EZ75" t="e">
        <f t="shared" si="123"/>
        <v>#N/A</v>
      </c>
      <c r="FA75" t="e">
        <f t="shared" si="123"/>
        <v>#N/A</v>
      </c>
      <c r="FB75" t="e">
        <f t="shared" si="123"/>
        <v>#N/A</v>
      </c>
      <c r="FC75" t="e">
        <f t="shared" si="123"/>
        <v>#N/A</v>
      </c>
      <c r="FD75" t="e">
        <f t="shared" si="123"/>
        <v>#N/A</v>
      </c>
      <c r="FE75" t="e">
        <f t="shared" si="123"/>
        <v>#N/A</v>
      </c>
      <c r="FF75" t="e">
        <f t="shared" si="123"/>
        <v>#N/A</v>
      </c>
      <c r="FG75" t="e">
        <f t="shared" si="123"/>
        <v>#N/A</v>
      </c>
      <c r="FH75" t="e">
        <f t="shared" si="123"/>
        <v>#N/A</v>
      </c>
      <c r="FI75" t="e">
        <f t="shared" si="123"/>
        <v>#N/A</v>
      </c>
      <c r="FJ75" t="e">
        <f t="shared" si="123"/>
        <v>#N/A</v>
      </c>
      <c r="FK75" t="e">
        <f t="shared" si="123"/>
        <v>#N/A</v>
      </c>
      <c r="FL75" t="e">
        <f t="shared" si="123"/>
        <v>#N/A</v>
      </c>
      <c r="FM75" t="e">
        <f t="shared" si="123"/>
        <v>#N/A</v>
      </c>
      <c r="FN75" t="e">
        <f t="shared" si="123"/>
        <v>#N/A</v>
      </c>
      <c r="FO75" t="e">
        <f t="shared" si="123"/>
        <v>#N/A</v>
      </c>
      <c r="FP75" t="e">
        <f t="shared" si="123"/>
        <v>#N/A</v>
      </c>
      <c r="FQ75" t="e">
        <f t="shared" si="123"/>
        <v>#N/A</v>
      </c>
      <c r="FR75" t="e">
        <f t="shared" si="123"/>
        <v>#N/A</v>
      </c>
      <c r="FS75" t="e">
        <f t="shared" si="123"/>
        <v>#N/A</v>
      </c>
      <c r="FT75" t="e">
        <f t="shared" si="123"/>
        <v>#N/A</v>
      </c>
      <c r="FU75" t="e">
        <f t="shared" si="123"/>
        <v>#N/A</v>
      </c>
      <c r="FV75" t="e">
        <f t="shared" si="123"/>
        <v>#N/A</v>
      </c>
      <c r="FW75" t="e">
        <f t="shared" si="123"/>
        <v>#N/A</v>
      </c>
      <c r="FX75" t="e">
        <f t="shared" si="123"/>
        <v>#N/A</v>
      </c>
      <c r="FY75" t="e">
        <f t="shared" si="123"/>
        <v>#N/A</v>
      </c>
      <c r="FZ75" t="e">
        <f t="shared" si="123"/>
        <v>#N/A</v>
      </c>
      <c r="GA75" t="e">
        <f t="shared" si="123"/>
        <v>#N/A</v>
      </c>
    </row>
    <row r="76" spans="1:183" x14ac:dyDescent="0.45">
      <c r="F76" s="4"/>
    </row>
    <row r="77" spans="1:183" x14ac:dyDescent="0.45">
      <c r="F77" s="4"/>
    </row>
    <row r="78" spans="1:183" x14ac:dyDescent="0.45">
      <c r="F78" s="4"/>
    </row>
    <row r="79" spans="1:183" x14ac:dyDescent="0.45">
      <c r="A79" s="2" t="s">
        <v>17</v>
      </c>
      <c r="F79" s="4"/>
    </row>
    <row r="80" spans="1:183" x14ac:dyDescent="0.45">
      <c r="F80" s="4"/>
    </row>
    <row r="81" spans="1:183" x14ac:dyDescent="0.45">
      <c r="F81" s="4"/>
      <c r="I81" s="1">
        <f>I70</f>
        <v>44331</v>
      </c>
      <c r="J81" s="1">
        <f t="shared" ref="J81:BU81" si="124">J70</f>
        <v>44332</v>
      </c>
      <c r="K81" s="1">
        <f t="shared" si="124"/>
        <v>44333</v>
      </c>
      <c r="L81" s="1">
        <f t="shared" si="124"/>
        <v>44334</v>
      </c>
      <c r="M81" s="1">
        <f t="shared" si="124"/>
        <v>44335</v>
      </c>
      <c r="N81" s="1">
        <f t="shared" si="124"/>
        <v>44336</v>
      </c>
      <c r="O81" s="1">
        <f t="shared" si="124"/>
        <v>44337</v>
      </c>
      <c r="P81" s="1">
        <f t="shared" si="124"/>
        <v>44338</v>
      </c>
      <c r="Q81" s="1">
        <f t="shared" si="124"/>
        <v>44339</v>
      </c>
      <c r="R81" s="1">
        <f t="shared" si="124"/>
        <v>44340</v>
      </c>
      <c r="S81" s="1">
        <f t="shared" si="124"/>
        <v>44341</v>
      </c>
      <c r="T81" s="1">
        <f t="shared" si="124"/>
        <v>44342</v>
      </c>
      <c r="U81" s="1">
        <f t="shared" si="124"/>
        <v>44343</v>
      </c>
      <c r="V81" s="1">
        <f t="shared" si="124"/>
        <v>44344</v>
      </c>
      <c r="W81" s="1">
        <f t="shared" si="124"/>
        <v>44345</v>
      </c>
      <c r="X81" s="1">
        <f t="shared" si="124"/>
        <v>44346</v>
      </c>
      <c r="Y81" s="1">
        <f t="shared" si="124"/>
        <v>44347</v>
      </c>
      <c r="Z81" s="1">
        <f t="shared" si="124"/>
        <v>44348</v>
      </c>
      <c r="AA81" s="1">
        <f t="shared" si="124"/>
        <v>44349</v>
      </c>
      <c r="AB81" s="1">
        <f t="shared" si="124"/>
        <v>44350</v>
      </c>
      <c r="AC81" s="1">
        <f t="shared" si="124"/>
        <v>44351</v>
      </c>
      <c r="AD81" s="1">
        <f t="shared" si="124"/>
        <v>44352</v>
      </c>
      <c r="AE81" s="1">
        <f t="shared" si="124"/>
        <v>44353</v>
      </c>
      <c r="AF81" s="1">
        <f t="shared" si="124"/>
        <v>44354</v>
      </c>
      <c r="AG81" s="1">
        <f t="shared" si="124"/>
        <v>44355</v>
      </c>
      <c r="AH81" s="1">
        <f t="shared" si="124"/>
        <v>44356</v>
      </c>
      <c r="AI81" s="1">
        <f t="shared" si="124"/>
        <v>44357</v>
      </c>
      <c r="AJ81" s="1">
        <f t="shared" si="124"/>
        <v>44358</v>
      </c>
      <c r="AK81" s="1">
        <f t="shared" si="124"/>
        <v>44359</v>
      </c>
      <c r="AL81" s="1">
        <f t="shared" si="124"/>
        <v>44360</v>
      </c>
      <c r="AM81" s="1">
        <f t="shared" si="124"/>
        <v>44361</v>
      </c>
      <c r="AN81" s="1">
        <f t="shared" si="124"/>
        <v>44362</v>
      </c>
      <c r="AO81" s="1">
        <f t="shared" si="124"/>
        <v>44363</v>
      </c>
      <c r="AP81" s="1">
        <f t="shared" si="124"/>
        <v>44364</v>
      </c>
      <c r="AQ81" s="1">
        <f t="shared" si="124"/>
        <v>44365</v>
      </c>
      <c r="AR81" s="1">
        <f t="shared" si="124"/>
        <v>44366</v>
      </c>
      <c r="AS81" s="1">
        <f t="shared" si="124"/>
        <v>44367</v>
      </c>
      <c r="AT81" s="1">
        <f t="shared" si="124"/>
        <v>44368</v>
      </c>
      <c r="AU81" s="1">
        <f t="shared" si="124"/>
        <v>44369</v>
      </c>
      <c r="AV81" s="1">
        <f t="shared" si="124"/>
        <v>44370</v>
      </c>
      <c r="AW81" s="1">
        <f t="shared" si="124"/>
        <v>44371</v>
      </c>
      <c r="AX81" s="1">
        <f t="shared" si="124"/>
        <v>44372</v>
      </c>
      <c r="AY81" s="1">
        <f t="shared" si="124"/>
        <v>44373</v>
      </c>
      <c r="AZ81" s="1">
        <f t="shared" si="124"/>
        <v>44374</v>
      </c>
      <c r="BA81" s="1">
        <f t="shared" si="124"/>
        <v>44375</v>
      </c>
      <c r="BB81" s="1">
        <f t="shared" si="124"/>
        <v>44376</v>
      </c>
      <c r="BC81" s="1">
        <f t="shared" si="124"/>
        <v>44377</v>
      </c>
      <c r="BD81" s="1">
        <f t="shared" si="124"/>
        <v>44378</v>
      </c>
      <c r="BE81" s="1">
        <f t="shared" si="124"/>
        <v>44379</v>
      </c>
      <c r="BF81" s="1">
        <f t="shared" si="124"/>
        <v>44380</v>
      </c>
      <c r="BG81" s="1">
        <f t="shared" si="124"/>
        <v>44381</v>
      </c>
      <c r="BH81" s="1">
        <f t="shared" si="124"/>
        <v>44382</v>
      </c>
      <c r="BI81" s="1">
        <f t="shared" si="124"/>
        <v>44383</v>
      </c>
      <c r="BJ81" s="1">
        <f t="shared" si="124"/>
        <v>44384</v>
      </c>
      <c r="BK81" s="1">
        <f t="shared" si="124"/>
        <v>44385</v>
      </c>
      <c r="BL81" s="1">
        <f t="shared" si="124"/>
        <v>44386</v>
      </c>
      <c r="BM81" s="1">
        <f t="shared" si="124"/>
        <v>44387</v>
      </c>
      <c r="BN81" s="1">
        <f t="shared" si="124"/>
        <v>44388</v>
      </c>
      <c r="BO81" s="1">
        <f t="shared" si="124"/>
        <v>44389</v>
      </c>
      <c r="BP81" s="1">
        <f t="shared" si="124"/>
        <v>44390</v>
      </c>
      <c r="BQ81" s="1">
        <f t="shared" si="124"/>
        <v>44391</v>
      </c>
      <c r="BR81" s="1">
        <f t="shared" si="124"/>
        <v>44392</v>
      </c>
      <c r="BS81" s="1">
        <f t="shared" si="124"/>
        <v>44393</v>
      </c>
      <c r="BT81" s="1">
        <f t="shared" si="124"/>
        <v>44394</v>
      </c>
      <c r="BU81" s="1">
        <f t="shared" si="124"/>
        <v>44395</v>
      </c>
      <c r="BV81" s="1">
        <f t="shared" ref="BV81:EG81" si="125">BV70</f>
        <v>44396</v>
      </c>
      <c r="BW81" s="1">
        <f t="shared" si="125"/>
        <v>44397</v>
      </c>
      <c r="BX81" s="1">
        <f t="shared" si="125"/>
        <v>44398</v>
      </c>
      <c r="BY81" s="1">
        <f t="shared" si="125"/>
        <v>44399</v>
      </c>
      <c r="BZ81" s="1">
        <f t="shared" si="125"/>
        <v>44400</v>
      </c>
      <c r="CA81" s="1">
        <f t="shared" si="125"/>
        <v>44401</v>
      </c>
      <c r="CB81" s="1">
        <f t="shared" si="125"/>
        <v>44402</v>
      </c>
      <c r="CC81" s="1">
        <f t="shared" si="125"/>
        <v>44403</v>
      </c>
      <c r="CD81" s="1">
        <f t="shared" si="125"/>
        <v>44404</v>
      </c>
      <c r="CE81" s="1">
        <f t="shared" si="125"/>
        <v>44405</v>
      </c>
      <c r="CF81" s="1">
        <f t="shared" si="125"/>
        <v>44406</v>
      </c>
      <c r="CG81" s="1">
        <f t="shared" si="125"/>
        <v>44407</v>
      </c>
      <c r="CH81" s="1">
        <f t="shared" si="125"/>
        <v>44408</v>
      </c>
      <c r="CI81" s="1">
        <f t="shared" si="125"/>
        <v>44409</v>
      </c>
      <c r="CJ81" s="1">
        <f t="shared" si="125"/>
        <v>44410</v>
      </c>
      <c r="CK81" s="1">
        <f t="shared" si="125"/>
        <v>44411</v>
      </c>
      <c r="CL81" s="1">
        <f t="shared" si="125"/>
        <v>44412</v>
      </c>
      <c r="CM81" s="1">
        <f t="shared" si="125"/>
        <v>44413</v>
      </c>
      <c r="CN81" s="1">
        <f t="shared" si="125"/>
        <v>44414</v>
      </c>
      <c r="CO81" s="1">
        <f t="shared" si="125"/>
        <v>44415</v>
      </c>
      <c r="CP81" s="1">
        <f t="shared" si="125"/>
        <v>44416</v>
      </c>
      <c r="CQ81" s="1">
        <f t="shared" si="125"/>
        <v>44417</v>
      </c>
      <c r="CR81" s="1">
        <f t="shared" si="125"/>
        <v>44418</v>
      </c>
      <c r="CS81" s="1">
        <f t="shared" si="125"/>
        <v>44419</v>
      </c>
      <c r="CT81" s="1">
        <f t="shared" si="125"/>
        <v>44420</v>
      </c>
      <c r="CU81" s="1">
        <f t="shared" si="125"/>
        <v>44421</v>
      </c>
      <c r="CV81" s="1">
        <f t="shared" si="125"/>
        <v>44422</v>
      </c>
      <c r="CW81" s="1">
        <f t="shared" si="125"/>
        <v>44423</v>
      </c>
      <c r="CX81" s="1">
        <f t="shared" si="125"/>
        <v>44424</v>
      </c>
      <c r="CY81" s="1">
        <f t="shared" si="125"/>
        <v>44425</v>
      </c>
      <c r="CZ81" s="1">
        <f t="shared" si="125"/>
        <v>44426</v>
      </c>
      <c r="DA81" s="1">
        <f t="shared" si="125"/>
        <v>44427</v>
      </c>
      <c r="DB81" s="1">
        <f t="shared" si="125"/>
        <v>44428</v>
      </c>
      <c r="DC81" s="1">
        <f t="shared" si="125"/>
        <v>44429</v>
      </c>
      <c r="DD81" s="1">
        <f t="shared" si="125"/>
        <v>44430</v>
      </c>
      <c r="DE81" s="1">
        <f t="shared" si="125"/>
        <v>44431</v>
      </c>
      <c r="DF81" s="1">
        <f t="shared" si="125"/>
        <v>44432</v>
      </c>
      <c r="DG81" s="1">
        <f t="shared" si="125"/>
        <v>44433</v>
      </c>
      <c r="DH81" s="1">
        <f t="shared" si="125"/>
        <v>44434</v>
      </c>
      <c r="DI81" s="1">
        <f t="shared" si="125"/>
        <v>44435</v>
      </c>
      <c r="DJ81" s="1">
        <f t="shared" si="125"/>
        <v>44436</v>
      </c>
      <c r="DK81" s="1">
        <f t="shared" si="125"/>
        <v>44437</v>
      </c>
      <c r="DL81" s="1">
        <f t="shared" si="125"/>
        <v>44438</v>
      </c>
      <c r="DM81" s="1">
        <f t="shared" si="125"/>
        <v>44439</v>
      </c>
      <c r="DN81" s="1">
        <f t="shared" si="125"/>
        <v>44440</v>
      </c>
      <c r="DO81" s="1">
        <f t="shared" si="125"/>
        <v>44441</v>
      </c>
      <c r="DP81" s="1">
        <f t="shared" si="125"/>
        <v>44442</v>
      </c>
      <c r="DQ81" s="1">
        <f t="shared" si="125"/>
        <v>44443</v>
      </c>
      <c r="DR81" s="1">
        <f t="shared" si="125"/>
        <v>44444</v>
      </c>
      <c r="DS81" s="1">
        <f t="shared" si="125"/>
        <v>44445</v>
      </c>
      <c r="DT81" s="1">
        <f t="shared" si="125"/>
        <v>44446</v>
      </c>
      <c r="DU81" s="1">
        <f t="shared" si="125"/>
        <v>44447</v>
      </c>
      <c r="DV81" s="1">
        <f t="shared" si="125"/>
        <v>44448</v>
      </c>
      <c r="DW81" s="1">
        <f t="shared" si="125"/>
        <v>44449</v>
      </c>
      <c r="DX81" s="1">
        <f t="shared" si="125"/>
        <v>44450</v>
      </c>
      <c r="DY81" s="1">
        <f t="shared" si="125"/>
        <v>44451</v>
      </c>
      <c r="DZ81" s="1">
        <f t="shared" si="125"/>
        <v>44452</v>
      </c>
      <c r="EA81" s="1">
        <f t="shared" si="125"/>
        <v>44453</v>
      </c>
      <c r="EB81" s="1">
        <f t="shared" si="125"/>
        <v>44454</v>
      </c>
      <c r="EC81" s="1">
        <f t="shared" si="125"/>
        <v>44455</v>
      </c>
      <c r="ED81" s="1">
        <f t="shared" si="125"/>
        <v>44456</v>
      </c>
      <c r="EE81" s="1">
        <f t="shared" si="125"/>
        <v>44457</v>
      </c>
      <c r="EF81" s="1">
        <f t="shared" si="125"/>
        <v>44458</v>
      </c>
      <c r="EG81" s="1">
        <f t="shared" si="125"/>
        <v>44459</v>
      </c>
      <c r="EH81" s="1">
        <f t="shared" ref="EH81:GA81" si="126">EH70</f>
        <v>44460</v>
      </c>
      <c r="EI81" s="1">
        <f t="shared" si="126"/>
        <v>44461</v>
      </c>
      <c r="EJ81" s="1">
        <f t="shared" si="126"/>
        <v>44462</v>
      </c>
      <c r="EK81" s="1">
        <f t="shared" si="126"/>
        <v>44463</v>
      </c>
      <c r="EL81" s="1">
        <f t="shared" si="126"/>
        <v>44464</v>
      </c>
      <c r="EM81" s="1">
        <f t="shared" si="126"/>
        <v>44465</v>
      </c>
      <c r="EN81" s="1">
        <f t="shared" si="126"/>
        <v>44466</v>
      </c>
      <c r="EO81" s="1">
        <f t="shared" si="126"/>
        <v>44467</v>
      </c>
      <c r="EP81" s="1">
        <f t="shared" si="126"/>
        <v>44468</v>
      </c>
      <c r="EQ81" s="1">
        <f t="shared" si="126"/>
        <v>44469</v>
      </c>
      <c r="ER81" s="1">
        <f t="shared" si="126"/>
        <v>44470</v>
      </c>
      <c r="ES81" s="1">
        <f t="shared" si="126"/>
        <v>44471</v>
      </c>
      <c r="ET81" s="1">
        <f t="shared" si="126"/>
        <v>44472</v>
      </c>
      <c r="EU81" s="1">
        <f t="shared" si="126"/>
        <v>44473</v>
      </c>
      <c r="EV81" s="1">
        <f t="shared" si="126"/>
        <v>44474</v>
      </c>
      <c r="EW81" s="1">
        <f t="shared" si="126"/>
        <v>44475</v>
      </c>
      <c r="EX81" s="1">
        <f t="shared" si="126"/>
        <v>44476</v>
      </c>
      <c r="EY81" s="1">
        <f t="shared" si="126"/>
        <v>44477</v>
      </c>
      <c r="EZ81" s="1">
        <f t="shared" si="126"/>
        <v>44478</v>
      </c>
      <c r="FA81" s="1">
        <f t="shared" si="126"/>
        <v>44479</v>
      </c>
      <c r="FB81" s="1">
        <f t="shared" si="126"/>
        <v>44480</v>
      </c>
      <c r="FC81" s="1">
        <f t="shared" si="126"/>
        <v>44481</v>
      </c>
      <c r="FD81" s="1">
        <f t="shared" si="126"/>
        <v>44482</v>
      </c>
      <c r="FE81" s="1">
        <f t="shared" si="126"/>
        <v>44483</v>
      </c>
      <c r="FF81" s="1">
        <f t="shared" si="126"/>
        <v>44484</v>
      </c>
      <c r="FG81" s="1">
        <f t="shared" si="126"/>
        <v>44485</v>
      </c>
      <c r="FH81" s="1">
        <f t="shared" si="126"/>
        <v>44486</v>
      </c>
      <c r="FI81" s="1">
        <f t="shared" si="126"/>
        <v>44487</v>
      </c>
      <c r="FJ81" s="1">
        <f t="shared" si="126"/>
        <v>44488</v>
      </c>
      <c r="FK81" s="1">
        <f t="shared" si="126"/>
        <v>44489</v>
      </c>
      <c r="FL81" s="1">
        <f t="shared" si="126"/>
        <v>44490</v>
      </c>
      <c r="FM81" s="1">
        <f t="shared" si="126"/>
        <v>44491</v>
      </c>
      <c r="FN81" s="1">
        <f t="shared" si="126"/>
        <v>44492</v>
      </c>
      <c r="FO81" s="1">
        <f t="shared" si="126"/>
        <v>44493</v>
      </c>
      <c r="FP81" s="1">
        <f t="shared" si="126"/>
        <v>44494</v>
      </c>
      <c r="FQ81" s="1">
        <f t="shared" si="126"/>
        <v>44495</v>
      </c>
      <c r="FR81" s="1">
        <f t="shared" si="126"/>
        <v>44496</v>
      </c>
      <c r="FS81" s="1">
        <f t="shared" si="126"/>
        <v>44497</v>
      </c>
      <c r="FT81" s="1">
        <f t="shared" si="126"/>
        <v>44498</v>
      </c>
      <c r="FU81" s="1">
        <f t="shared" si="126"/>
        <v>44499</v>
      </c>
      <c r="FV81" s="1">
        <f t="shared" si="126"/>
        <v>44500</v>
      </c>
      <c r="FW81" s="1">
        <f t="shared" si="126"/>
        <v>44501</v>
      </c>
      <c r="FX81" s="1">
        <f t="shared" si="126"/>
        <v>44502</v>
      </c>
      <c r="FY81" s="1">
        <f t="shared" si="126"/>
        <v>44503</v>
      </c>
      <c r="FZ81" s="1">
        <f t="shared" si="126"/>
        <v>44504</v>
      </c>
      <c r="GA81" s="1">
        <f t="shared" si="126"/>
        <v>44505</v>
      </c>
    </row>
    <row r="82" spans="1:183" x14ac:dyDescent="0.45">
      <c r="B82" t="s">
        <v>18</v>
      </c>
      <c r="C82" cm="1">
        <f t="array" ref="C82">LOOKUP(2,1/(I82:GA82&lt;&gt;""),I82:GA82)</f>
        <v>551.65</v>
      </c>
      <c r="D82">
        <f t="shared" ref="D82:D83" si="127">D$12</f>
        <v>45</v>
      </c>
      <c r="F82" s="3">
        <f t="shared" ref="F82" si="128">(C82-I82)/I82</f>
        <v>0.45285751909402155</v>
      </c>
      <c r="G82" s="3" cm="1">
        <f t="array" ref="G82">(C82-IF(ISNA(INDEX(I82:GA82,D82-22)),INDEX(I82:GA82,D82-23),INDEX(I82:GA82,D82-22)))/IF(ISNA(INDEX(I82:GA82,D82-22)),INDEX(I82:GA82,D82-23),INDEX(I82:GA82,D82-22))</f>
        <v>5.1663330473739444E-2</v>
      </c>
      <c r="I82">
        <f>SUM(I45:I49)</f>
        <v>379.7</v>
      </c>
      <c r="J82">
        <f t="shared" ref="J82:BU82" si="129">SUM(J45:J49)</f>
        <v>379.7</v>
      </c>
      <c r="K82" t="e">
        <f t="shared" si="129"/>
        <v>#N/A</v>
      </c>
      <c r="L82">
        <f t="shared" si="129"/>
        <v>379.7</v>
      </c>
      <c r="M82" t="e">
        <f t="shared" si="129"/>
        <v>#N/A</v>
      </c>
      <c r="N82">
        <f t="shared" si="129"/>
        <v>393.7</v>
      </c>
      <c r="O82">
        <f t="shared" si="129"/>
        <v>392.2</v>
      </c>
      <c r="P82">
        <f t="shared" si="129"/>
        <v>398.2</v>
      </c>
      <c r="Q82">
        <f t="shared" si="129"/>
        <v>372.2</v>
      </c>
      <c r="R82">
        <f t="shared" si="129"/>
        <v>392.2</v>
      </c>
      <c r="S82">
        <f t="shared" si="129"/>
        <v>393.7</v>
      </c>
      <c r="T82">
        <f t="shared" si="129"/>
        <v>392.2</v>
      </c>
      <c r="U82">
        <f t="shared" si="129"/>
        <v>393.7</v>
      </c>
      <c r="V82">
        <f t="shared" si="129"/>
        <v>382.2</v>
      </c>
      <c r="W82">
        <f t="shared" si="129"/>
        <v>385.2</v>
      </c>
      <c r="X82">
        <f t="shared" si="129"/>
        <v>375.2</v>
      </c>
      <c r="Y82">
        <f t="shared" si="129"/>
        <v>398.2</v>
      </c>
      <c r="Z82">
        <f t="shared" si="129"/>
        <v>392.2</v>
      </c>
      <c r="AA82">
        <f t="shared" si="129"/>
        <v>395.2</v>
      </c>
      <c r="AB82">
        <f t="shared" si="129"/>
        <v>392.2</v>
      </c>
      <c r="AC82">
        <f t="shared" si="129"/>
        <v>546.9</v>
      </c>
      <c r="AD82">
        <f t="shared" si="129"/>
        <v>627.65</v>
      </c>
      <c r="AE82">
        <f t="shared" si="129"/>
        <v>524.54999999999995</v>
      </c>
      <c r="AF82">
        <f t="shared" si="129"/>
        <v>576.70000000000005</v>
      </c>
      <c r="AG82">
        <f t="shared" si="129"/>
        <v>573.70000000000005</v>
      </c>
      <c r="AH82">
        <f t="shared" si="129"/>
        <v>569.5</v>
      </c>
      <c r="AI82">
        <f t="shared" si="129"/>
        <v>584.45000000000005</v>
      </c>
      <c r="AJ82">
        <f t="shared" si="129"/>
        <v>606.6</v>
      </c>
      <c r="AK82">
        <f t="shared" si="129"/>
        <v>635.20000000000005</v>
      </c>
      <c r="AL82">
        <f t="shared" si="129"/>
        <v>616.70000000000005</v>
      </c>
      <c r="AM82">
        <f t="shared" si="129"/>
        <v>576.04999999999995</v>
      </c>
      <c r="AN82" t="e">
        <f t="shared" si="129"/>
        <v>#N/A</v>
      </c>
      <c r="AO82">
        <f t="shared" si="129"/>
        <v>545.95000000000005</v>
      </c>
      <c r="AP82">
        <f t="shared" si="129"/>
        <v>532.95000000000005</v>
      </c>
      <c r="AQ82">
        <f t="shared" si="129"/>
        <v>530.15</v>
      </c>
      <c r="AR82">
        <f t="shared" si="129"/>
        <v>557.45000000000005</v>
      </c>
      <c r="AS82">
        <f t="shared" si="129"/>
        <v>551.65</v>
      </c>
      <c r="AT82" t="e">
        <f t="shared" si="129"/>
        <v>#N/A</v>
      </c>
      <c r="AU82" t="e">
        <f t="shared" si="129"/>
        <v>#N/A</v>
      </c>
      <c r="AV82" t="e">
        <f t="shared" si="129"/>
        <v>#N/A</v>
      </c>
      <c r="AW82" t="e">
        <f t="shared" si="129"/>
        <v>#N/A</v>
      </c>
      <c r="AX82" t="e">
        <f t="shared" si="129"/>
        <v>#N/A</v>
      </c>
      <c r="AY82" t="e">
        <f t="shared" si="129"/>
        <v>#N/A</v>
      </c>
      <c r="AZ82" t="e">
        <f t="shared" si="129"/>
        <v>#N/A</v>
      </c>
      <c r="BA82" t="e">
        <f t="shared" si="129"/>
        <v>#N/A</v>
      </c>
      <c r="BB82" t="e">
        <f t="shared" si="129"/>
        <v>#N/A</v>
      </c>
      <c r="BC82" t="e">
        <f t="shared" si="129"/>
        <v>#N/A</v>
      </c>
      <c r="BD82" t="e">
        <f t="shared" si="129"/>
        <v>#N/A</v>
      </c>
      <c r="BE82" t="e">
        <f t="shared" si="129"/>
        <v>#N/A</v>
      </c>
      <c r="BF82" t="e">
        <f t="shared" si="129"/>
        <v>#N/A</v>
      </c>
      <c r="BG82" t="e">
        <f t="shared" si="129"/>
        <v>#N/A</v>
      </c>
      <c r="BH82" t="e">
        <f t="shared" si="129"/>
        <v>#N/A</v>
      </c>
      <c r="BI82" t="e">
        <f t="shared" si="129"/>
        <v>#N/A</v>
      </c>
      <c r="BJ82" t="e">
        <f t="shared" si="129"/>
        <v>#N/A</v>
      </c>
      <c r="BK82" t="e">
        <f t="shared" si="129"/>
        <v>#N/A</v>
      </c>
      <c r="BL82" t="e">
        <f t="shared" si="129"/>
        <v>#N/A</v>
      </c>
      <c r="BM82" t="e">
        <f t="shared" si="129"/>
        <v>#N/A</v>
      </c>
      <c r="BN82" t="e">
        <f t="shared" si="129"/>
        <v>#N/A</v>
      </c>
      <c r="BO82" t="e">
        <f t="shared" si="129"/>
        <v>#N/A</v>
      </c>
      <c r="BP82" t="e">
        <f t="shared" si="129"/>
        <v>#N/A</v>
      </c>
      <c r="BQ82" t="e">
        <f t="shared" si="129"/>
        <v>#N/A</v>
      </c>
      <c r="BR82" t="e">
        <f t="shared" si="129"/>
        <v>#N/A</v>
      </c>
      <c r="BS82" t="e">
        <f t="shared" si="129"/>
        <v>#N/A</v>
      </c>
      <c r="BT82" t="e">
        <f t="shared" si="129"/>
        <v>#N/A</v>
      </c>
      <c r="BU82" t="e">
        <f t="shared" si="129"/>
        <v>#N/A</v>
      </c>
      <c r="BV82" t="e">
        <f t="shared" ref="BV82:EG82" si="130">SUM(BV45:BV49)</f>
        <v>#N/A</v>
      </c>
      <c r="BW82" t="e">
        <f t="shared" si="130"/>
        <v>#N/A</v>
      </c>
      <c r="BX82" t="e">
        <f t="shared" si="130"/>
        <v>#N/A</v>
      </c>
      <c r="BY82" t="e">
        <f t="shared" si="130"/>
        <v>#N/A</v>
      </c>
      <c r="BZ82" t="e">
        <f t="shared" si="130"/>
        <v>#N/A</v>
      </c>
      <c r="CA82" t="e">
        <f t="shared" si="130"/>
        <v>#N/A</v>
      </c>
      <c r="CB82" t="e">
        <f t="shared" si="130"/>
        <v>#N/A</v>
      </c>
      <c r="CC82" t="e">
        <f t="shared" si="130"/>
        <v>#N/A</v>
      </c>
      <c r="CD82" t="e">
        <f t="shared" si="130"/>
        <v>#N/A</v>
      </c>
      <c r="CE82" t="e">
        <f t="shared" si="130"/>
        <v>#N/A</v>
      </c>
      <c r="CF82" t="e">
        <f t="shared" si="130"/>
        <v>#N/A</v>
      </c>
      <c r="CG82" t="e">
        <f t="shared" si="130"/>
        <v>#N/A</v>
      </c>
      <c r="CH82" t="e">
        <f t="shared" si="130"/>
        <v>#N/A</v>
      </c>
      <c r="CI82" t="e">
        <f t="shared" si="130"/>
        <v>#N/A</v>
      </c>
      <c r="CJ82" t="e">
        <f t="shared" si="130"/>
        <v>#N/A</v>
      </c>
      <c r="CK82" t="e">
        <f t="shared" si="130"/>
        <v>#N/A</v>
      </c>
      <c r="CL82" t="e">
        <f t="shared" si="130"/>
        <v>#N/A</v>
      </c>
      <c r="CM82" t="e">
        <f t="shared" si="130"/>
        <v>#N/A</v>
      </c>
      <c r="CN82" t="e">
        <f t="shared" si="130"/>
        <v>#N/A</v>
      </c>
      <c r="CO82" t="e">
        <f t="shared" si="130"/>
        <v>#N/A</v>
      </c>
      <c r="CP82" t="e">
        <f t="shared" si="130"/>
        <v>#N/A</v>
      </c>
      <c r="CQ82" t="e">
        <f t="shared" si="130"/>
        <v>#N/A</v>
      </c>
      <c r="CR82" t="e">
        <f t="shared" si="130"/>
        <v>#N/A</v>
      </c>
      <c r="CS82" t="e">
        <f t="shared" si="130"/>
        <v>#N/A</v>
      </c>
      <c r="CT82" t="e">
        <f t="shared" si="130"/>
        <v>#N/A</v>
      </c>
      <c r="CU82" t="e">
        <f t="shared" si="130"/>
        <v>#N/A</v>
      </c>
      <c r="CV82" t="e">
        <f t="shared" si="130"/>
        <v>#N/A</v>
      </c>
      <c r="CW82" t="e">
        <f t="shared" si="130"/>
        <v>#N/A</v>
      </c>
      <c r="CX82" t="e">
        <f t="shared" si="130"/>
        <v>#N/A</v>
      </c>
      <c r="CY82" t="e">
        <f t="shared" si="130"/>
        <v>#N/A</v>
      </c>
      <c r="CZ82" t="e">
        <f t="shared" si="130"/>
        <v>#N/A</v>
      </c>
      <c r="DA82" t="e">
        <f t="shared" si="130"/>
        <v>#N/A</v>
      </c>
      <c r="DB82" t="e">
        <f t="shared" si="130"/>
        <v>#N/A</v>
      </c>
      <c r="DC82" t="e">
        <f t="shared" si="130"/>
        <v>#N/A</v>
      </c>
      <c r="DD82" t="e">
        <f t="shared" si="130"/>
        <v>#N/A</v>
      </c>
      <c r="DE82" t="e">
        <f t="shared" si="130"/>
        <v>#N/A</v>
      </c>
      <c r="DF82" t="e">
        <f t="shared" si="130"/>
        <v>#N/A</v>
      </c>
      <c r="DG82" t="e">
        <f t="shared" si="130"/>
        <v>#N/A</v>
      </c>
      <c r="DH82" t="e">
        <f t="shared" si="130"/>
        <v>#N/A</v>
      </c>
      <c r="DI82" t="e">
        <f t="shared" si="130"/>
        <v>#N/A</v>
      </c>
      <c r="DJ82" t="e">
        <f t="shared" si="130"/>
        <v>#N/A</v>
      </c>
      <c r="DK82" t="e">
        <f t="shared" si="130"/>
        <v>#N/A</v>
      </c>
      <c r="DL82" t="e">
        <f t="shared" si="130"/>
        <v>#N/A</v>
      </c>
      <c r="DM82" t="e">
        <f t="shared" si="130"/>
        <v>#N/A</v>
      </c>
      <c r="DN82" t="e">
        <f t="shared" si="130"/>
        <v>#N/A</v>
      </c>
      <c r="DO82" t="e">
        <f t="shared" si="130"/>
        <v>#N/A</v>
      </c>
      <c r="DP82" t="e">
        <f t="shared" si="130"/>
        <v>#N/A</v>
      </c>
      <c r="DQ82" t="e">
        <f t="shared" si="130"/>
        <v>#N/A</v>
      </c>
      <c r="DR82" t="e">
        <f t="shared" si="130"/>
        <v>#N/A</v>
      </c>
      <c r="DS82" t="e">
        <f t="shared" si="130"/>
        <v>#N/A</v>
      </c>
      <c r="DT82" t="e">
        <f t="shared" si="130"/>
        <v>#N/A</v>
      </c>
      <c r="DU82" t="e">
        <f t="shared" si="130"/>
        <v>#N/A</v>
      </c>
      <c r="DV82" t="e">
        <f t="shared" si="130"/>
        <v>#N/A</v>
      </c>
      <c r="DW82" t="e">
        <f t="shared" si="130"/>
        <v>#N/A</v>
      </c>
      <c r="DX82" t="e">
        <f t="shared" si="130"/>
        <v>#N/A</v>
      </c>
      <c r="DY82" t="e">
        <f t="shared" si="130"/>
        <v>#N/A</v>
      </c>
      <c r="DZ82" t="e">
        <f t="shared" si="130"/>
        <v>#N/A</v>
      </c>
      <c r="EA82" t="e">
        <f t="shared" si="130"/>
        <v>#N/A</v>
      </c>
      <c r="EB82" t="e">
        <f t="shared" si="130"/>
        <v>#N/A</v>
      </c>
      <c r="EC82" t="e">
        <f t="shared" si="130"/>
        <v>#N/A</v>
      </c>
      <c r="ED82" t="e">
        <f t="shared" si="130"/>
        <v>#N/A</v>
      </c>
      <c r="EE82" t="e">
        <f t="shared" si="130"/>
        <v>#N/A</v>
      </c>
      <c r="EF82" t="e">
        <f t="shared" si="130"/>
        <v>#N/A</v>
      </c>
      <c r="EG82" t="e">
        <f t="shared" si="130"/>
        <v>#N/A</v>
      </c>
      <c r="EH82" t="e">
        <f t="shared" ref="EH82:GA82" si="131">SUM(EH45:EH49)</f>
        <v>#N/A</v>
      </c>
      <c r="EI82" t="e">
        <f t="shared" si="131"/>
        <v>#N/A</v>
      </c>
      <c r="EJ82" t="e">
        <f t="shared" si="131"/>
        <v>#N/A</v>
      </c>
      <c r="EK82" t="e">
        <f t="shared" si="131"/>
        <v>#N/A</v>
      </c>
      <c r="EL82" t="e">
        <f t="shared" si="131"/>
        <v>#N/A</v>
      </c>
      <c r="EM82" t="e">
        <f t="shared" si="131"/>
        <v>#N/A</v>
      </c>
      <c r="EN82" t="e">
        <f t="shared" si="131"/>
        <v>#N/A</v>
      </c>
      <c r="EO82" t="e">
        <f t="shared" si="131"/>
        <v>#N/A</v>
      </c>
      <c r="EP82" t="e">
        <f t="shared" si="131"/>
        <v>#N/A</v>
      </c>
      <c r="EQ82" t="e">
        <f t="shared" si="131"/>
        <v>#N/A</v>
      </c>
      <c r="ER82" t="e">
        <f t="shared" si="131"/>
        <v>#N/A</v>
      </c>
      <c r="ES82" t="e">
        <f t="shared" si="131"/>
        <v>#N/A</v>
      </c>
      <c r="ET82" t="e">
        <f t="shared" si="131"/>
        <v>#N/A</v>
      </c>
      <c r="EU82" t="e">
        <f t="shared" si="131"/>
        <v>#N/A</v>
      </c>
      <c r="EV82" t="e">
        <f t="shared" si="131"/>
        <v>#N/A</v>
      </c>
      <c r="EW82" t="e">
        <f t="shared" si="131"/>
        <v>#N/A</v>
      </c>
      <c r="EX82" t="e">
        <f t="shared" si="131"/>
        <v>#N/A</v>
      </c>
      <c r="EY82" t="e">
        <f t="shared" si="131"/>
        <v>#N/A</v>
      </c>
      <c r="EZ82" t="e">
        <f t="shared" si="131"/>
        <v>#N/A</v>
      </c>
      <c r="FA82" t="e">
        <f t="shared" si="131"/>
        <v>#N/A</v>
      </c>
      <c r="FB82" t="e">
        <f t="shared" si="131"/>
        <v>#N/A</v>
      </c>
      <c r="FC82" t="e">
        <f t="shared" si="131"/>
        <v>#N/A</v>
      </c>
      <c r="FD82" t="e">
        <f t="shared" si="131"/>
        <v>#N/A</v>
      </c>
      <c r="FE82" t="e">
        <f t="shared" si="131"/>
        <v>#N/A</v>
      </c>
      <c r="FF82" t="e">
        <f t="shared" si="131"/>
        <v>#N/A</v>
      </c>
      <c r="FG82" t="e">
        <f t="shared" si="131"/>
        <v>#N/A</v>
      </c>
      <c r="FH82" t="e">
        <f t="shared" si="131"/>
        <v>#N/A</v>
      </c>
      <c r="FI82" t="e">
        <f t="shared" si="131"/>
        <v>#N/A</v>
      </c>
      <c r="FJ82" t="e">
        <f t="shared" si="131"/>
        <v>#N/A</v>
      </c>
      <c r="FK82" t="e">
        <f t="shared" si="131"/>
        <v>#N/A</v>
      </c>
      <c r="FL82" t="e">
        <f t="shared" si="131"/>
        <v>#N/A</v>
      </c>
      <c r="FM82" t="e">
        <f t="shared" si="131"/>
        <v>#N/A</v>
      </c>
      <c r="FN82" t="e">
        <f t="shared" si="131"/>
        <v>#N/A</v>
      </c>
      <c r="FO82" t="e">
        <f t="shared" si="131"/>
        <v>#N/A</v>
      </c>
      <c r="FP82" t="e">
        <f t="shared" si="131"/>
        <v>#N/A</v>
      </c>
      <c r="FQ82" t="e">
        <f t="shared" si="131"/>
        <v>#N/A</v>
      </c>
      <c r="FR82" t="e">
        <f t="shared" si="131"/>
        <v>#N/A</v>
      </c>
      <c r="FS82" t="e">
        <f t="shared" si="131"/>
        <v>#N/A</v>
      </c>
      <c r="FT82" t="e">
        <f t="shared" si="131"/>
        <v>#N/A</v>
      </c>
      <c r="FU82" t="e">
        <f t="shared" si="131"/>
        <v>#N/A</v>
      </c>
      <c r="FV82" t="e">
        <f t="shared" si="131"/>
        <v>#N/A</v>
      </c>
      <c r="FW82" t="e">
        <f t="shared" si="131"/>
        <v>#N/A</v>
      </c>
      <c r="FX82" t="e">
        <f t="shared" si="131"/>
        <v>#N/A</v>
      </c>
      <c r="FY82" t="e">
        <f t="shared" si="131"/>
        <v>#N/A</v>
      </c>
      <c r="FZ82" t="e">
        <f t="shared" si="131"/>
        <v>#N/A</v>
      </c>
      <c r="GA82" t="e">
        <f t="shared" si="131"/>
        <v>#N/A</v>
      </c>
    </row>
    <row r="83" spans="1:183" x14ac:dyDescent="0.45">
      <c r="B83" t="s">
        <v>19</v>
      </c>
      <c r="C83" cm="1">
        <f t="array" ref="C83">LOOKUP(2,1/(I83:GA83&lt;&gt;""),I83:GA83)</f>
        <v>308.92</v>
      </c>
      <c r="D83">
        <f t="shared" si="127"/>
        <v>45</v>
      </c>
      <c r="F83" s="3">
        <f t="shared" ref="F83" si="132">(C83-I83)/I83</f>
        <v>0.54622353471144713</v>
      </c>
      <c r="G83" s="3" cm="1">
        <f t="array" ref="G83">(C83-IF(ISNA(INDEX(I83:GA83,D83-22)),INDEX(I83:GA83,D83-23),INDEX(I83:GA83,D83-22)))/IF(ISNA(INDEX(I83:GA83,D83-22)),INDEX(I83:GA83,D83-23),INDEX(I83:GA83,D83-22))</f>
        <v>5.859776574600789E-2</v>
      </c>
      <c r="I83">
        <f>SUM(I62:I66)</f>
        <v>199.79</v>
      </c>
      <c r="J83">
        <f t="shared" ref="J83:BU83" si="133">SUM(J62:J66)</f>
        <v>199.79</v>
      </c>
      <c r="K83" t="e">
        <f t="shared" si="133"/>
        <v>#N/A</v>
      </c>
      <c r="L83">
        <f t="shared" si="133"/>
        <v>199.79</v>
      </c>
      <c r="M83" t="e">
        <f t="shared" si="133"/>
        <v>#N/A</v>
      </c>
      <c r="N83">
        <f t="shared" si="133"/>
        <v>210.29</v>
      </c>
      <c r="O83">
        <f t="shared" si="133"/>
        <v>210.29</v>
      </c>
      <c r="P83">
        <f t="shared" si="133"/>
        <v>213.67</v>
      </c>
      <c r="Q83">
        <f t="shared" si="133"/>
        <v>195.29</v>
      </c>
      <c r="R83">
        <f t="shared" si="133"/>
        <v>210.29</v>
      </c>
      <c r="S83">
        <f t="shared" si="133"/>
        <v>210.29</v>
      </c>
      <c r="T83">
        <f t="shared" si="133"/>
        <v>210.29</v>
      </c>
      <c r="U83">
        <f t="shared" si="133"/>
        <v>210.29</v>
      </c>
      <c r="V83">
        <f t="shared" si="133"/>
        <v>202.79</v>
      </c>
      <c r="W83">
        <f t="shared" si="133"/>
        <v>203.92</v>
      </c>
      <c r="X83">
        <f t="shared" si="133"/>
        <v>196.42</v>
      </c>
      <c r="Y83">
        <f t="shared" si="133"/>
        <v>213.67</v>
      </c>
      <c r="Z83">
        <f t="shared" si="133"/>
        <v>210.29</v>
      </c>
      <c r="AA83">
        <f t="shared" si="133"/>
        <v>211.42</v>
      </c>
      <c r="AB83">
        <f t="shared" si="133"/>
        <v>210.29</v>
      </c>
      <c r="AC83">
        <f t="shared" si="133"/>
        <v>308.58</v>
      </c>
      <c r="AD83">
        <f t="shared" si="133"/>
        <v>365.92</v>
      </c>
      <c r="AE83">
        <f t="shared" si="133"/>
        <v>291.82</v>
      </c>
      <c r="AF83">
        <f t="shared" si="133"/>
        <v>330.93</v>
      </c>
      <c r="AG83">
        <f t="shared" si="133"/>
        <v>329.8</v>
      </c>
      <c r="AH83">
        <f t="shared" si="133"/>
        <v>325.53000000000003</v>
      </c>
      <c r="AI83">
        <f t="shared" si="133"/>
        <v>334.64</v>
      </c>
      <c r="AJ83">
        <f t="shared" si="133"/>
        <v>351.25</v>
      </c>
      <c r="AK83">
        <f t="shared" si="133"/>
        <v>372.7</v>
      </c>
      <c r="AL83">
        <f t="shared" si="133"/>
        <v>357.7</v>
      </c>
      <c r="AM83">
        <f t="shared" si="133"/>
        <v>327.22000000000003</v>
      </c>
      <c r="AN83" t="e">
        <f t="shared" si="133"/>
        <v>#N/A</v>
      </c>
      <c r="AO83">
        <f t="shared" si="133"/>
        <v>304.64</v>
      </c>
      <c r="AP83">
        <f t="shared" si="133"/>
        <v>296.02</v>
      </c>
      <c r="AQ83">
        <f t="shared" si="133"/>
        <v>293.92</v>
      </c>
      <c r="AR83">
        <f t="shared" si="133"/>
        <v>313.27</v>
      </c>
      <c r="AS83">
        <f t="shared" si="133"/>
        <v>308.92</v>
      </c>
      <c r="AT83" t="e">
        <f t="shared" si="133"/>
        <v>#N/A</v>
      </c>
      <c r="AU83" t="e">
        <f t="shared" si="133"/>
        <v>#N/A</v>
      </c>
      <c r="AV83" t="e">
        <f t="shared" si="133"/>
        <v>#N/A</v>
      </c>
      <c r="AW83" t="e">
        <f t="shared" si="133"/>
        <v>#N/A</v>
      </c>
      <c r="AX83" t="e">
        <f t="shared" si="133"/>
        <v>#N/A</v>
      </c>
      <c r="AY83" t="e">
        <f t="shared" si="133"/>
        <v>#N/A</v>
      </c>
      <c r="AZ83" t="e">
        <f t="shared" si="133"/>
        <v>#N/A</v>
      </c>
      <c r="BA83" t="e">
        <f t="shared" si="133"/>
        <v>#N/A</v>
      </c>
      <c r="BB83" t="e">
        <f t="shared" si="133"/>
        <v>#N/A</v>
      </c>
      <c r="BC83" t="e">
        <f t="shared" si="133"/>
        <v>#N/A</v>
      </c>
      <c r="BD83" t="e">
        <f t="shared" si="133"/>
        <v>#N/A</v>
      </c>
      <c r="BE83" t="e">
        <f t="shared" si="133"/>
        <v>#N/A</v>
      </c>
      <c r="BF83" t="e">
        <f t="shared" si="133"/>
        <v>#N/A</v>
      </c>
      <c r="BG83" t="e">
        <f t="shared" si="133"/>
        <v>#N/A</v>
      </c>
      <c r="BH83" t="e">
        <f t="shared" si="133"/>
        <v>#N/A</v>
      </c>
      <c r="BI83" t="e">
        <f t="shared" si="133"/>
        <v>#N/A</v>
      </c>
      <c r="BJ83" t="e">
        <f t="shared" si="133"/>
        <v>#N/A</v>
      </c>
      <c r="BK83" t="e">
        <f t="shared" si="133"/>
        <v>#N/A</v>
      </c>
      <c r="BL83" t="e">
        <f t="shared" si="133"/>
        <v>#N/A</v>
      </c>
      <c r="BM83" t="e">
        <f t="shared" si="133"/>
        <v>#N/A</v>
      </c>
      <c r="BN83" t="e">
        <f t="shared" si="133"/>
        <v>#N/A</v>
      </c>
      <c r="BO83" t="e">
        <f t="shared" si="133"/>
        <v>#N/A</v>
      </c>
      <c r="BP83" t="e">
        <f t="shared" si="133"/>
        <v>#N/A</v>
      </c>
      <c r="BQ83" t="e">
        <f t="shared" si="133"/>
        <v>#N/A</v>
      </c>
      <c r="BR83" t="e">
        <f t="shared" si="133"/>
        <v>#N/A</v>
      </c>
      <c r="BS83" t="e">
        <f t="shared" si="133"/>
        <v>#N/A</v>
      </c>
      <c r="BT83" t="e">
        <f t="shared" si="133"/>
        <v>#N/A</v>
      </c>
      <c r="BU83" t="e">
        <f t="shared" si="133"/>
        <v>#N/A</v>
      </c>
      <c r="BV83" t="e">
        <f t="shared" ref="BV83:EG83" si="134">SUM(BV62:BV66)</f>
        <v>#N/A</v>
      </c>
      <c r="BW83" t="e">
        <f t="shared" si="134"/>
        <v>#N/A</v>
      </c>
      <c r="BX83" t="e">
        <f t="shared" si="134"/>
        <v>#N/A</v>
      </c>
      <c r="BY83" t="e">
        <f t="shared" si="134"/>
        <v>#N/A</v>
      </c>
      <c r="BZ83" t="e">
        <f t="shared" si="134"/>
        <v>#N/A</v>
      </c>
      <c r="CA83" t="e">
        <f t="shared" si="134"/>
        <v>#N/A</v>
      </c>
      <c r="CB83" t="e">
        <f t="shared" si="134"/>
        <v>#N/A</v>
      </c>
      <c r="CC83" t="e">
        <f t="shared" si="134"/>
        <v>#N/A</v>
      </c>
      <c r="CD83" t="e">
        <f t="shared" si="134"/>
        <v>#N/A</v>
      </c>
      <c r="CE83" t="e">
        <f t="shared" si="134"/>
        <v>#N/A</v>
      </c>
      <c r="CF83" t="e">
        <f t="shared" si="134"/>
        <v>#N/A</v>
      </c>
      <c r="CG83" t="e">
        <f t="shared" si="134"/>
        <v>#N/A</v>
      </c>
      <c r="CH83" t="e">
        <f t="shared" si="134"/>
        <v>#N/A</v>
      </c>
      <c r="CI83" t="e">
        <f t="shared" si="134"/>
        <v>#N/A</v>
      </c>
      <c r="CJ83" t="e">
        <f t="shared" si="134"/>
        <v>#N/A</v>
      </c>
      <c r="CK83" t="e">
        <f t="shared" si="134"/>
        <v>#N/A</v>
      </c>
      <c r="CL83" t="e">
        <f t="shared" si="134"/>
        <v>#N/A</v>
      </c>
      <c r="CM83" t="e">
        <f t="shared" si="134"/>
        <v>#N/A</v>
      </c>
      <c r="CN83" t="e">
        <f t="shared" si="134"/>
        <v>#N/A</v>
      </c>
      <c r="CO83" t="e">
        <f t="shared" si="134"/>
        <v>#N/A</v>
      </c>
      <c r="CP83" t="e">
        <f t="shared" si="134"/>
        <v>#N/A</v>
      </c>
      <c r="CQ83" t="e">
        <f t="shared" si="134"/>
        <v>#N/A</v>
      </c>
      <c r="CR83" t="e">
        <f t="shared" si="134"/>
        <v>#N/A</v>
      </c>
      <c r="CS83" t="e">
        <f t="shared" si="134"/>
        <v>#N/A</v>
      </c>
      <c r="CT83" t="e">
        <f t="shared" si="134"/>
        <v>#N/A</v>
      </c>
      <c r="CU83" t="e">
        <f t="shared" si="134"/>
        <v>#N/A</v>
      </c>
      <c r="CV83" t="e">
        <f t="shared" si="134"/>
        <v>#N/A</v>
      </c>
      <c r="CW83" t="e">
        <f t="shared" si="134"/>
        <v>#N/A</v>
      </c>
      <c r="CX83" t="e">
        <f t="shared" si="134"/>
        <v>#N/A</v>
      </c>
      <c r="CY83" t="e">
        <f t="shared" si="134"/>
        <v>#N/A</v>
      </c>
      <c r="CZ83" t="e">
        <f t="shared" si="134"/>
        <v>#N/A</v>
      </c>
      <c r="DA83" t="e">
        <f t="shared" si="134"/>
        <v>#N/A</v>
      </c>
      <c r="DB83" t="e">
        <f t="shared" si="134"/>
        <v>#N/A</v>
      </c>
      <c r="DC83" t="e">
        <f t="shared" si="134"/>
        <v>#N/A</v>
      </c>
      <c r="DD83" t="e">
        <f t="shared" si="134"/>
        <v>#N/A</v>
      </c>
      <c r="DE83" t="e">
        <f t="shared" si="134"/>
        <v>#N/A</v>
      </c>
      <c r="DF83" t="e">
        <f t="shared" si="134"/>
        <v>#N/A</v>
      </c>
      <c r="DG83" t="e">
        <f t="shared" si="134"/>
        <v>#N/A</v>
      </c>
      <c r="DH83" t="e">
        <f t="shared" si="134"/>
        <v>#N/A</v>
      </c>
      <c r="DI83" t="e">
        <f t="shared" si="134"/>
        <v>#N/A</v>
      </c>
      <c r="DJ83" t="e">
        <f t="shared" si="134"/>
        <v>#N/A</v>
      </c>
      <c r="DK83" t="e">
        <f t="shared" si="134"/>
        <v>#N/A</v>
      </c>
      <c r="DL83" t="e">
        <f t="shared" si="134"/>
        <v>#N/A</v>
      </c>
      <c r="DM83" t="e">
        <f t="shared" si="134"/>
        <v>#N/A</v>
      </c>
      <c r="DN83" t="e">
        <f t="shared" si="134"/>
        <v>#N/A</v>
      </c>
      <c r="DO83" t="e">
        <f t="shared" si="134"/>
        <v>#N/A</v>
      </c>
      <c r="DP83" t="e">
        <f t="shared" si="134"/>
        <v>#N/A</v>
      </c>
      <c r="DQ83" t="e">
        <f t="shared" si="134"/>
        <v>#N/A</v>
      </c>
      <c r="DR83" t="e">
        <f t="shared" si="134"/>
        <v>#N/A</v>
      </c>
      <c r="DS83" t="e">
        <f t="shared" si="134"/>
        <v>#N/A</v>
      </c>
      <c r="DT83" t="e">
        <f t="shared" si="134"/>
        <v>#N/A</v>
      </c>
      <c r="DU83" t="e">
        <f t="shared" si="134"/>
        <v>#N/A</v>
      </c>
      <c r="DV83" t="e">
        <f t="shared" si="134"/>
        <v>#N/A</v>
      </c>
      <c r="DW83" t="e">
        <f t="shared" si="134"/>
        <v>#N/A</v>
      </c>
      <c r="DX83" t="e">
        <f t="shared" si="134"/>
        <v>#N/A</v>
      </c>
      <c r="DY83" t="e">
        <f t="shared" si="134"/>
        <v>#N/A</v>
      </c>
      <c r="DZ83" t="e">
        <f t="shared" si="134"/>
        <v>#N/A</v>
      </c>
      <c r="EA83" t="e">
        <f t="shared" si="134"/>
        <v>#N/A</v>
      </c>
      <c r="EB83" t="e">
        <f t="shared" si="134"/>
        <v>#N/A</v>
      </c>
      <c r="EC83" t="e">
        <f t="shared" si="134"/>
        <v>#N/A</v>
      </c>
      <c r="ED83" t="e">
        <f t="shared" si="134"/>
        <v>#N/A</v>
      </c>
      <c r="EE83" t="e">
        <f t="shared" si="134"/>
        <v>#N/A</v>
      </c>
      <c r="EF83" t="e">
        <f t="shared" si="134"/>
        <v>#N/A</v>
      </c>
      <c r="EG83" t="e">
        <f t="shared" si="134"/>
        <v>#N/A</v>
      </c>
      <c r="EH83" t="e">
        <f t="shared" ref="EH83:GA83" si="135">SUM(EH62:EH66)</f>
        <v>#N/A</v>
      </c>
      <c r="EI83" t="e">
        <f t="shared" si="135"/>
        <v>#N/A</v>
      </c>
      <c r="EJ83" t="e">
        <f t="shared" si="135"/>
        <v>#N/A</v>
      </c>
      <c r="EK83" t="e">
        <f t="shared" si="135"/>
        <v>#N/A</v>
      </c>
      <c r="EL83" t="e">
        <f t="shared" si="135"/>
        <v>#N/A</v>
      </c>
      <c r="EM83" t="e">
        <f t="shared" si="135"/>
        <v>#N/A</v>
      </c>
      <c r="EN83" t="e">
        <f t="shared" si="135"/>
        <v>#N/A</v>
      </c>
      <c r="EO83" t="e">
        <f t="shared" si="135"/>
        <v>#N/A</v>
      </c>
      <c r="EP83" t="e">
        <f t="shared" si="135"/>
        <v>#N/A</v>
      </c>
      <c r="EQ83" t="e">
        <f t="shared" si="135"/>
        <v>#N/A</v>
      </c>
      <c r="ER83" t="e">
        <f t="shared" si="135"/>
        <v>#N/A</v>
      </c>
      <c r="ES83" t="e">
        <f t="shared" si="135"/>
        <v>#N/A</v>
      </c>
      <c r="ET83" t="e">
        <f t="shared" si="135"/>
        <v>#N/A</v>
      </c>
      <c r="EU83" t="e">
        <f t="shared" si="135"/>
        <v>#N/A</v>
      </c>
      <c r="EV83" t="e">
        <f t="shared" si="135"/>
        <v>#N/A</v>
      </c>
      <c r="EW83" t="e">
        <f t="shared" si="135"/>
        <v>#N/A</v>
      </c>
      <c r="EX83" t="e">
        <f t="shared" si="135"/>
        <v>#N/A</v>
      </c>
      <c r="EY83" t="e">
        <f t="shared" si="135"/>
        <v>#N/A</v>
      </c>
      <c r="EZ83" t="e">
        <f t="shared" si="135"/>
        <v>#N/A</v>
      </c>
      <c r="FA83" t="e">
        <f t="shared" si="135"/>
        <v>#N/A</v>
      </c>
      <c r="FB83" t="e">
        <f t="shared" si="135"/>
        <v>#N/A</v>
      </c>
      <c r="FC83" t="e">
        <f t="shared" si="135"/>
        <v>#N/A</v>
      </c>
      <c r="FD83" t="e">
        <f t="shared" si="135"/>
        <v>#N/A</v>
      </c>
      <c r="FE83" t="e">
        <f t="shared" si="135"/>
        <v>#N/A</v>
      </c>
      <c r="FF83" t="e">
        <f t="shared" si="135"/>
        <v>#N/A</v>
      </c>
      <c r="FG83" t="e">
        <f t="shared" si="135"/>
        <v>#N/A</v>
      </c>
      <c r="FH83" t="e">
        <f t="shared" si="135"/>
        <v>#N/A</v>
      </c>
      <c r="FI83" t="e">
        <f t="shared" si="135"/>
        <v>#N/A</v>
      </c>
      <c r="FJ83" t="e">
        <f t="shared" si="135"/>
        <v>#N/A</v>
      </c>
      <c r="FK83" t="e">
        <f t="shared" si="135"/>
        <v>#N/A</v>
      </c>
      <c r="FL83" t="e">
        <f t="shared" si="135"/>
        <v>#N/A</v>
      </c>
      <c r="FM83" t="e">
        <f t="shared" si="135"/>
        <v>#N/A</v>
      </c>
      <c r="FN83" t="e">
        <f t="shared" si="135"/>
        <v>#N/A</v>
      </c>
      <c r="FO83" t="e">
        <f t="shared" si="135"/>
        <v>#N/A</v>
      </c>
      <c r="FP83" t="e">
        <f t="shared" si="135"/>
        <v>#N/A</v>
      </c>
      <c r="FQ83" t="e">
        <f t="shared" si="135"/>
        <v>#N/A</v>
      </c>
      <c r="FR83" t="e">
        <f t="shared" si="135"/>
        <v>#N/A</v>
      </c>
      <c r="FS83" t="e">
        <f t="shared" si="135"/>
        <v>#N/A</v>
      </c>
      <c r="FT83" t="e">
        <f t="shared" si="135"/>
        <v>#N/A</v>
      </c>
      <c r="FU83" t="e">
        <f t="shared" si="135"/>
        <v>#N/A</v>
      </c>
      <c r="FV83" t="e">
        <f t="shared" si="135"/>
        <v>#N/A</v>
      </c>
      <c r="FW83" t="e">
        <f t="shared" si="135"/>
        <v>#N/A</v>
      </c>
      <c r="FX83" t="e">
        <f t="shared" si="135"/>
        <v>#N/A</v>
      </c>
      <c r="FY83" t="e">
        <f t="shared" si="135"/>
        <v>#N/A</v>
      </c>
      <c r="FZ83" t="e">
        <f t="shared" si="135"/>
        <v>#N/A</v>
      </c>
      <c r="GA83" t="e">
        <f t="shared" si="135"/>
        <v>#N/A</v>
      </c>
    </row>
    <row r="84" spans="1:183" x14ac:dyDescent="0.45">
      <c r="F84" s="4"/>
    </row>
    <row r="85" spans="1:183" x14ac:dyDescent="0.45">
      <c r="F85" s="4"/>
      <c r="I85" s="1">
        <f>I81</f>
        <v>44331</v>
      </c>
      <c r="J85" s="1">
        <f t="shared" ref="J85:BU85" si="136">J81</f>
        <v>44332</v>
      </c>
      <c r="K85" s="1">
        <f t="shared" si="136"/>
        <v>44333</v>
      </c>
      <c r="L85" s="1">
        <f t="shared" si="136"/>
        <v>44334</v>
      </c>
      <c r="M85" s="1">
        <f t="shared" si="136"/>
        <v>44335</v>
      </c>
      <c r="N85" s="1">
        <f t="shared" si="136"/>
        <v>44336</v>
      </c>
      <c r="O85" s="1">
        <f t="shared" si="136"/>
        <v>44337</v>
      </c>
      <c r="P85" s="1">
        <f t="shared" si="136"/>
        <v>44338</v>
      </c>
      <c r="Q85" s="1">
        <f t="shared" si="136"/>
        <v>44339</v>
      </c>
      <c r="R85" s="1">
        <f t="shared" si="136"/>
        <v>44340</v>
      </c>
      <c r="S85" s="1">
        <f t="shared" si="136"/>
        <v>44341</v>
      </c>
      <c r="T85" s="1">
        <f t="shared" si="136"/>
        <v>44342</v>
      </c>
      <c r="U85" s="1">
        <f t="shared" si="136"/>
        <v>44343</v>
      </c>
      <c r="V85" s="1">
        <f t="shared" si="136"/>
        <v>44344</v>
      </c>
      <c r="W85" s="1">
        <f t="shared" si="136"/>
        <v>44345</v>
      </c>
      <c r="X85" s="1">
        <f t="shared" si="136"/>
        <v>44346</v>
      </c>
      <c r="Y85" s="1">
        <f t="shared" si="136"/>
        <v>44347</v>
      </c>
      <c r="Z85" s="1">
        <f t="shared" si="136"/>
        <v>44348</v>
      </c>
      <c r="AA85" s="1">
        <f t="shared" si="136"/>
        <v>44349</v>
      </c>
      <c r="AB85" s="1">
        <f t="shared" si="136"/>
        <v>44350</v>
      </c>
      <c r="AC85" s="1">
        <f t="shared" si="136"/>
        <v>44351</v>
      </c>
      <c r="AD85" s="1">
        <f t="shared" si="136"/>
        <v>44352</v>
      </c>
      <c r="AE85" s="1">
        <f t="shared" si="136"/>
        <v>44353</v>
      </c>
      <c r="AF85" s="1">
        <f t="shared" si="136"/>
        <v>44354</v>
      </c>
      <c r="AG85" s="1">
        <f t="shared" si="136"/>
        <v>44355</v>
      </c>
      <c r="AH85" s="1">
        <f t="shared" si="136"/>
        <v>44356</v>
      </c>
      <c r="AI85" s="1">
        <f t="shared" si="136"/>
        <v>44357</v>
      </c>
      <c r="AJ85" s="1">
        <f t="shared" si="136"/>
        <v>44358</v>
      </c>
      <c r="AK85" s="1">
        <f t="shared" si="136"/>
        <v>44359</v>
      </c>
      <c r="AL85" s="1">
        <f t="shared" si="136"/>
        <v>44360</v>
      </c>
      <c r="AM85" s="1">
        <f t="shared" si="136"/>
        <v>44361</v>
      </c>
      <c r="AN85" s="1">
        <f t="shared" si="136"/>
        <v>44362</v>
      </c>
      <c r="AO85" s="1">
        <f t="shared" si="136"/>
        <v>44363</v>
      </c>
      <c r="AP85" s="1">
        <f t="shared" si="136"/>
        <v>44364</v>
      </c>
      <c r="AQ85" s="1">
        <f t="shared" si="136"/>
        <v>44365</v>
      </c>
      <c r="AR85" s="1">
        <f t="shared" si="136"/>
        <v>44366</v>
      </c>
      <c r="AS85" s="1">
        <f t="shared" si="136"/>
        <v>44367</v>
      </c>
      <c r="AT85" s="1">
        <f t="shared" si="136"/>
        <v>44368</v>
      </c>
      <c r="AU85" s="1">
        <f t="shared" si="136"/>
        <v>44369</v>
      </c>
      <c r="AV85" s="1">
        <f t="shared" si="136"/>
        <v>44370</v>
      </c>
      <c r="AW85" s="1">
        <f t="shared" si="136"/>
        <v>44371</v>
      </c>
      <c r="AX85" s="1">
        <f t="shared" si="136"/>
        <v>44372</v>
      </c>
      <c r="AY85" s="1">
        <f t="shared" si="136"/>
        <v>44373</v>
      </c>
      <c r="AZ85" s="1">
        <f t="shared" si="136"/>
        <v>44374</v>
      </c>
      <c r="BA85" s="1">
        <f t="shared" si="136"/>
        <v>44375</v>
      </c>
      <c r="BB85" s="1">
        <f t="shared" si="136"/>
        <v>44376</v>
      </c>
      <c r="BC85" s="1">
        <f t="shared" si="136"/>
        <v>44377</v>
      </c>
      <c r="BD85" s="1">
        <f t="shared" si="136"/>
        <v>44378</v>
      </c>
      <c r="BE85" s="1">
        <f t="shared" si="136"/>
        <v>44379</v>
      </c>
      <c r="BF85" s="1">
        <f t="shared" si="136"/>
        <v>44380</v>
      </c>
      <c r="BG85" s="1">
        <f t="shared" si="136"/>
        <v>44381</v>
      </c>
      <c r="BH85" s="1">
        <f t="shared" si="136"/>
        <v>44382</v>
      </c>
      <c r="BI85" s="1">
        <f t="shared" si="136"/>
        <v>44383</v>
      </c>
      <c r="BJ85" s="1">
        <f t="shared" si="136"/>
        <v>44384</v>
      </c>
      <c r="BK85" s="1">
        <f t="shared" si="136"/>
        <v>44385</v>
      </c>
      <c r="BL85" s="1">
        <f t="shared" si="136"/>
        <v>44386</v>
      </c>
      <c r="BM85" s="1">
        <f t="shared" si="136"/>
        <v>44387</v>
      </c>
      <c r="BN85" s="1">
        <f t="shared" si="136"/>
        <v>44388</v>
      </c>
      <c r="BO85" s="1">
        <f t="shared" si="136"/>
        <v>44389</v>
      </c>
      <c r="BP85" s="1">
        <f t="shared" si="136"/>
        <v>44390</v>
      </c>
      <c r="BQ85" s="1">
        <f t="shared" si="136"/>
        <v>44391</v>
      </c>
      <c r="BR85" s="1">
        <f t="shared" si="136"/>
        <v>44392</v>
      </c>
      <c r="BS85" s="1">
        <f t="shared" si="136"/>
        <v>44393</v>
      </c>
      <c r="BT85" s="1">
        <f t="shared" si="136"/>
        <v>44394</v>
      </c>
      <c r="BU85" s="1">
        <f t="shared" si="136"/>
        <v>44395</v>
      </c>
      <c r="BV85" s="1">
        <f t="shared" ref="BV85:EG85" si="137">BV81</f>
        <v>44396</v>
      </c>
      <c r="BW85" s="1">
        <f t="shared" si="137"/>
        <v>44397</v>
      </c>
      <c r="BX85" s="1">
        <f t="shared" si="137"/>
        <v>44398</v>
      </c>
      <c r="BY85" s="1">
        <f t="shared" si="137"/>
        <v>44399</v>
      </c>
      <c r="BZ85" s="1">
        <f t="shared" si="137"/>
        <v>44400</v>
      </c>
      <c r="CA85" s="1">
        <f t="shared" si="137"/>
        <v>44401</v>
      </c>
      <c r="CB85" s="1">
        <f t="shared" si="137"/>
        <v>44402</v>
      </c>
      <c r="CC85" s="1">
        <f t="shared" si="137"/>
        <v>44403</v>
      </c>
      <c r="CD85" s="1">
        <f t="shared" si="137"/>
        <v>44404</v>
      </c>
      <c r="CE85" s="1">
        <f t="shared" si="137"/>
        <v>44405</v>
      </c>
      <c r="CF85" s="1">
        <f t="shared" si="137"/>
        <v>44406</v>
      </c>
      <c r="CG85" s="1">
        <f t="shared" si="137"/>
        <v>44407</v>
      </c>
      <c r="CH85" s="1">
        <f t="shared" si="137"/>
        <v>44408</v>
      </c>
      <c r="CI85" s="1">
        <f t="shared" si="137"/>
        <v>44409</v>
      </c>
      <c r="CJ85" s="1">
        <f t="shared" si="137"/>
        <v>44410</v>
      </c>
      <c r="CK85" s="1">
        <f t="shared" si="137"/>
        <v>44411</v>
      </c>
      <c r="CL85" s="1">
        <f t="shared" si="137"/>
        <v>44412</v>
      </c>
      <c r="CM85" s="1">
        <f t="shared" si="137"/>
        <v>44413</v>
      </c>
      <c r="CN85" s="1">
        <f t="shared" si="137"/>
        <v>44414</v>
      </c>
      <c r="CO85" s="1">
        <f t="shared" si="137"/>
        <v>44415</v>
      </c>
      <c r="CP85" s="1">
        <f t="shared" si="137"/>
        <v>44416</v>
      </c>
      <c r="CQ85" s="1">
        <f t="shared" si="137"/>
        <v>44417</v>
      </c>
      <c r="CR85" s="1">
        <f t="shared" si="137"/>
        <v>44418</v>
      </c>
      <c r="CS85" s="1">
        <f t="shared" si="137"/>
        <v>44419</v>
      </c>
      <c r="CT85" s="1">
        <f t="shared" si="137"/>
        <v>44420</v>
      </c>
      <c r="CU85" s="1">
        <f t="shared" si="137"/>
        <v>44421</v>
      </c>
      <c r="CV85" s="1">
        <f t="shared" si="137"/>
        <v>44422</v>
      </c>
      <c r="CW85" s="1">
        <f t="shared" si="137"/>
        <v>44423</v>
      </c>
      <c r="CX85" s="1">
        <f t="shared" si="137"/>
        <v>44424</v>
      </c>
      <c r="CY85" s="1">
        <f t="shared" si="137"/>
        <v>44425</v>
      </c>
      <c r="CZ85" s="1">
        <f t="shared" si="137"/>
        <v>44426</v>
      </c>
      <c r="DA85" s="1">
        <f t="shared" si="137"/>
        <v>44427</v>
      </c>
      <c r="DB85" s="1">
        <f t="shared" si="137"/>
        <v>44428</v>
      </c>
      <c r="DC85" s="1">
        <f t="shared" si="137"/>
        <v>44429</v>
      </c>
      <c r="DD85" s="1">
        <f t="shared" si="137"/>
        <v>44430</v>
      </c>
      <c r="DE85" s="1">
        <f t="shared" si="137"/>
        <v>44431</v>
      </c>
      <c r="DF85" s="1">
        <f t="shared" si="137"/>
        <v>44432</v>
      </c>
      <c r="DG85" s="1">
        <f t="shared" si="137"/>
        <v>44433</v>
      </c>
      <c r="DH85" s="1">
        <f t="shared" si="137"/>
        <v>44434</v>
      </c>
      <c r="DI85" s="1">
        <f t="shared" si="137"/>
        <v>44435</v>
      </c>
      <c r="DJ85" s="1">
        <f t="shared" si="137"/>
        <v>44436</v>
      </c>
      <c r="DK85" s="1">
        <f t="shared" si="137"/>
        <v>44437</v>
      </c>
      <c r="DL85" s="1">
        <f t="shared" si="137"/>
        <v>44438</v>
      </c>
      <c r="DM85" s="1">
        <f t="shared" si="137"/>
        <v>44439</v>
      </c>
      <c r="DN85" s="1">
        <f t="shared" si="137"/>
        <v>44440</v>
      </c>
      <c r="DO85" s="1">
        <f t="shared" si="137"/>
        <v>44441</v>
      </c>
      <c r="DP85" s="1">
        <f t="shared" si="137"/>
        <v>44442</v>
      </c>
      <c r="DQ85" s="1">
        <f t="shared" si="137"/>
        <v>44443</v>
      </c>
      <c r="DR85" s="1">
        <f t="shared" si="137"/>
        <v>44444</v>
      </c>
      <c r="DS85" s="1">
        <f t="shared" si="137"/>
        <v>44445</v>
      </c>
      <c r="DT85" s="1">
        <f t="shared" si="137"/>
        <v>44446</v>
      </c>
      <c r="DU85" s="1">
        <f t="shared" si="137"/>
        <v>44447</v>
      </c>
      <c r="DV85" s="1">
        <f t="shared" si="137"/>
        <v>44448</v>
      </c>
      <c r="DW85" s="1">
        <f t="shared" si="137"/>
        <v>44449</v>
      </c>
      <c r="DX85" s="1">
        <f t="shared" si="137"/>
        <v>44450</v>
      </c>
      <c r="DY85" s="1">
        <f t="shared" si="137"/>
        <v>44451</v>
      </c>
      <c r="DZ85" s="1">
        <f t="shared" si="137"/>
        <v>44452</v>
      </c>
      <c r="EA85" s="1">
        <f t="shared" si="137"/>
        <v>44453</v>
      </c>
      <c r="EB85" s="1">
        <f t="shared" si="137"/>
        <v>44454</v>
      </c>
      <c r="EC85" s="1">
        <f t="shared" si="137"/>
        <v>44455</v>
      </c>
      <c r="ED85" s="1">
        <f t="shared" si="137"/>
        <v>44456</v>
      </c>
      <c r="EE85" s="1">
        <f t="shared" si="137"/>
        <v>44457</v>
      </c>
      <c r="EF85" s="1">
        <f t="shared" si="137"/>
        <v>44458</v>
      </c>
      <c r="EG85" s="1">
        <f t="shared" si="137"/>
        <v>44459</v>
      </c>
      <c r="EH85" s="1">
        <f t="shared" ref="EH85:GA85" si="138">EH81</f>
        <v>44460</v>
      </c>
      <c r="EI85" s="1">
        <f t="shared" si="138"/>
        <v>44461</v>
      </c>
      <c r="EJ85" s="1">
        <f t="shared" si="138"/>
        <v>44462</v>
      </c>
      <c r="EK85" s="1">
        <f t="shared" si="138"/>
        <v>44463</v>
      </c>
      <c r="EL85" s="1">
        <f t="shared" si="138"/>
        <v>44464</v>
      </c>
      <c r="EM85" s="1">
        <f t="shared" si="138"/>
        <v>44465</v>
      </c>
      <c r="EN85" s="1">
        <f t="shared" si="138"/>
        <v>44466</v>
      </c>
      <c r="EO85" s="1">
        <f t="shared" si="138"/>
        <v>44467</v>
      </c>
      <c r="EP85" s="1">
        <f t="shared" si="138"/>
        <v>44468</v>
      </c>
      <c r="EQ85" s="1">
        <f t="shared" si="138"/>
        <v>44469</v>
      </c>
      <c r="ER85" s="1">
        <f t="shared" si="138"/>
        <v>44470</v>
      </c>
      <c r="ES85" s="1">
        <f t="shared" si="138"/>
        <v>44471</v>
      </c>
      <c r="ET85" s="1">
        <f t="shared" si="138"/>
        <v>44472</v>
      </c>
      <c r="EU85" s="1">
        <f t="shared" si="138"/>
        <v>44473</v>
      </c>
      <c r="EV85" s="1">
        <f t="shared" si="138"/>
        <v>44474</v>
      </c>
      <c r="EW85" s="1">
        <f t="shared" si="138"/>
        <v>44475</v>
      </c>
      <c r="EX85" s="1">
        <f t="shared" si="138"/>
        <v>44476</v>
      </c>
      <c r="EY85" s="1">
        <f t="shared" si="138"/>
        <v>44477</v>
      </c>
      <c r="EZ85" s="1">
        <f t="shared" si="138"/>
        <v>44478</v>
      </c>
      <c r="FA85" s="1">
        <f t="shared" si="138"/>
        <v>44479</v>
      </c>
      <c r="FB85" s="1">
        <f t="shared" si="138"/>
        <v>44480</v>
      </c>
      <c r="FC85" s="1">
        <f t="shared" si="138"/>
        <v>44481</v>
      </c>
      <c r="FD85" s="1">
        <f t="shared" si="138"/>
        <v>44482</v>
      </c>
      <c r="FE85" s="1">
        <f t="shared" si="138"/>
        <v>44483</v>
      </c>
      <c r="FF85" s="1">
        <f t="shared" si="138"/>
        <v>44484</v>
      </c>
      <c r="FG85" s="1">
        <f t="shared" si="138"/>
        <v>44485</v>
      </c>
      <c r="FH85" s="1">
        <f t="shared" si="138"/>
        <v>44486</v>
      </c>
      <c r="FI85" s="1">
        <f t="shared" si="138"/>
        <v>44487</v>
      </c>
      <c r="FJ85" s="1">
        <f t="shared" si="138"/>
        <v>44488</v>
      </c>
      <c r="FK85" s="1">
        <f t="shared" si="138"/>
        <v>44489</v>
      </c>
      <c r="FL85" s="1">
        <f t="shared" si="138"/>
        <v>44490</v>
      </c>
      <c r="FM85" s="1">
        <f t="shared" si="138"/>
        <v>44491</v>
      </c>
      <c r="FN85" s="1">
        <f t="shared" si="138"/>
        <v>44492</v>
      </c>
      <c r="FO85" s="1">
        <f t="shared" si="138"/>
        <v>44493</v>
      </c>
      <c r="FP85" s="1">
        <f t="shared" si="138"/>
        <v>44494</v>
      </c>
      <c r="FQ85" s="1">
        <f t="shared" si="138"/>
        <v>44495</v>
      </c>
      <c r="FR85" s="1">
        <f t="shared" si="138"/>
        <v>44496</v>
      </c>
      <c r="FS85" s="1">
        <f t="shared" si="138"/>
        <v>44497</v>
      </c>
      <c r="FT85" s="1">
        <f t="shared" si="138"/>
        <v>44498</v>
      </c>
      <c r="FU85" s="1">
        <f t="shared" si="138"/>
        <v>44499</v>
      </c>
      <c r="FV85" s="1">
        <f t="shared" si="138"/>
        <v>44500</v>
      </c>
      <c r="FW85" s="1">
        <f t="shared" si="138"/>
        <v>44501</v>
      </c>
      <c r="FX85" s="1">
        <f t="shared" si="138"/>
        <v>44502</v>
      </c>
      <c r="FY85" s="1">
        <f t="shared" si="138"/>
        <v>44503</v>
      </c>
      <c r="FZ85" s="1">
        <f t="shared" si="138"/>
        <v>44504</v>
      </c>
      <c r="GA85" s="1">
        <f t="shared" si="138"/>
        <v>44505</v>
      </c>
    </row>
    <row r="86" spans="1:183" x14ac:dyDescent="0.45">
      <c r="A86">
        <f>SUM(A71:A75)</f>
        <v>501.3</v>
      </c>
      <c r="B86" t="s">
        <v>20</v>
      </c>
      <c r="C86" cm="1">
        <f t="array" ref="C86">LOOKUP(2,1/(I86:GA86&lt;&gt;""),I86:GA86)</f>
        <v>-192.38</v>
      </c>
      <c r="D86">
        <f t="shared" ref="D86" si="139">D$12</f>
        <v>45</v>
      </c>
      <c r="F86" s="3">
        <f>(C83-A86)/A86</f>
        <v>-0.38376221823259521</v>
      </c>
      <c r="G86" s="3" cm="1">
        <f t="array" ref="G86">(F86-(INDEX(I83:GA83,D83-22)-A86)/A86)</f>
        <v>3.4111310592459698E-2</v>
      </c>
      <c r="I86">
        <f>SUM(I71:I75)</f>
        <v>-301.51</v>
      </c>
      <c r="J86">
        <f t="shared" ref="J86:BU86" si="140">SUM(J71:J75)</f>
        <v>-301.51</v>
      </c>
      <c r="K86" t="e">
        <f t="shared" si="140"/>
        <v>#N/A</v>
      </c>
      <c r="L86">
        <f t="shared" si="140"/>
        <v>-301.51</v>
      </c>
      <c r="M86" t="e">
        <f t="shared" si="140"/>
        <v>#N/A</v>
      </c>
      <c r="N86">
        <f t="shared" si="140"/>
        <v>-291.01</v>
      </c>
      <c r="O86">
        <f t="shared" si="140"/>
        <v>-291.01</v>
      </c>
      <c r="P86">
        <f t="shared" si="140"/>
        <v>-287.63</v>
      </c>
      <c r="Q86">
        <f t="shared" si="140"/>
        <v>-306.01</v>
      </c>
      <c r="R86">
        <f t="shared" si="140"/>
        <v>-291.01</v>
      </c>
      <c r="S86">
        <f t="shared" si="140"/>
        <v>-291.01</v>
      </c>
      <c r="T86">
        <f t="shared" si="140"/>
        <v>-291.01</v>
      </c>
      <c r="U86">
        <f t="shared" si="140"/>
        <v>-291.01</v>
      </c>
      <c r="V86">
        <f t="shared" si="140"/>
        <v>-298.51</v>
      </c>
      <c r="W86">
        <f t="shared" si="140"/>
        <v>-297.38</v>
      </c>
      <c r="X86">
        <f t="shared" si="140"/>
        <v>-304.88</v>
      </c>
      <c r="Y86">
        <f t="shared" si="140"/>
        <v>-287.63</v>
      </c>
      <c r="Z86">
        <f t="shared" si="140"/>
        <v>-291.01</v>
      </c>
      <c r="AA86">
        <f t="shared" si="140"/>
        <v>-289.88</v>
      </c>
      <c r="AB86">
        <f t="shared" si="140"/>
        <v>-291.01</v>
      </c>
      <c r="AC86">
        <f t="shared" si="140"/>
        <v>-192.72</v>
      </c>
      <c r="AD86">
        <f t="shared" si="140"/>
        <v>-135.38</v>
      </c>
      <c r="AE86">
        <f t="shared" si="140"/>
        <v>-209.48</v>
      </c>
      <c r="AF86">
        <f t="shared" si="140"/>
        <v>-170.37</v>
      </c>
      <c r="AG86">
        <f t="shared" si="140"/>
        <v>-171.5</v>
      </c>
      <c r="AH86">
        <f t="shared" si="140"/>
        <v>-175.76999999999998</v>
      </c>
      <c r="AI86">
        <f t="shared" si="140"/>
        <v>-166.66</v>
      </c>
      <c r="AJ86">
        <f t="shared" si="140"/>
        <v>-150.05000000000001</v>
      </c>
      <c r="AK86">
        <f t="shared" si="140"/>
        <v>-128.6</v>
      </c>
      <c r="AL86">
        <f t="shared" si="140"/>
        <v>-143.6</v>
      </c>
      <c r="AM86">
        <f t="shared" si="140"/>
        <v>-174.07999999999998</v>
      </c>
      <c r="AN86" t="e">
        <f t="shared" si="140"/>
        <v>#N/A</v>
      </c>
      <c r="AO86">
        <f t="shared" si="140"/>
        <v>-196.66</v>
      </c>
      <c r="AP86">
        <f t="shared" si="140"/>
        <v>-205.28</v>
      </c>
      <c r="AQ86">
        <f t="shared" si="140"/>
        <v>-207.38</v>
      </c>
      <c r="AR86">
        <f t="shared" si="140"/>
        <v>-188.03</v>
      </c>
      <c r="AS86">
        <f t="shared" si="140"/>
        <v>-192.38</v>
      </c>
      <c r="AT86" t="e">
        <f t="shared" si="140"/>
        <v>#N/A</v>
      </c>
      <c r="AU86" t="e">
        <f t="shared" si="140"/>
        <v>#N/A</v>
      </c>
      <c r="AV86" t="e">
        <f t="shared" si="140"/>
        <v>#N/A</v>
      </c>
      <c r="AW86" t="e">
        <f t="shared" si="140"/>
        <v>#N/A</v>
      </c>
      <c r="AX86" t="e">
        <f t="shared" si="140"/>
        <v>#N/A</v>
      </c>
      <c r="AY86" t="e">
        <f t="shared" si="140"/>
        <v>#N/A</v>
      </c>
      <c r="AZ86" t="e">
        <f t="shared" si="140"/>
        <v>#N/A</v>
      </c>
      <c r="BA86" t="e">
        <f t="shared" si="140"/>
        <v>#N/A</v>
      </c>
      <c r="BB86" t="e">
        <f t="shared" si="140"/>
        <v>#N/A</v>
      </c>
      <c r="BC86" t="e">
        <f t="shared" si="140"/>
        <v>#N/A</v>
      </c>
      <c r="BD86" t="e">
        <f t="shared" si="140"/>
        <v>#N/A</v>
      </c>
      <c r="BE86" t="e">
        <f t="shared" si="140"/>
        <v>#N/A</v>
      </c>
      <c r="BF86" t="e">
        <f t="shared" si="140"/>
        <v>#N/A</v>
      </c>
      <c r="BG86" t="e">
        <f t="shared" si="140"/>
        <v>#N/A</v>
      </c>
      <c r="BH86" t="e">
        <f t="shared" si="140"/>
        <v>#N/A</v>
      </c>
      <c r="BI86" t="e">
        <f t="shared" si="140"/>
        <v>#N/A</v>
      </c>
      <c r="BJ86" t="e">
        <f t="shared" si="140"/>
        <v>#N/A</v>
      </c>
      <c r="BK86" t="e">
        <f t="shared" si="140"/>
        <v>#N/A</v>
      </c>
      <c r="BL86" t="e">
        <f t="shared" si="140"/>
        <v>#N/A</v>
      </c>
      <c r="BM86" t="e">
        <f t="shared" si="140"/>
        <v>#N/A</v>
      </c>
      <c r="BN86" t="e">
        <f t="shared" si="140"/>
        <v>#N/A</v>
      </c>
      <c r="BO86" t="e">
        <f t="shared" si="140"/>
        <v>#N/A</v>
      </c>
      <c r="BP86" t="e">
        <f t="shared" si="140"/>
        <v>#N/A</v>
      </c>
      <c r="BQ86" t="e">
        <f t="shared" si="140"/>
        <v>#N/A</v>
      </c>
      <c r="BR86" t="e">
        <f t="shared" si="140"/>
        <v>#N/A</v>
      </c>
      <c r="BS86" t="e">
        <f t="shared" si="140"/>
        <v>#N/A</v>
      </c>
      <c r="BT86" t="e">
        <f t="shared" si="140"/>
        <v>#N/A</v>
      </c>
      <c r="BU86" t="e">
        <f t="shared" si="140"/>
        <v>#N/A</v>
      </c>
      <c r="BV86" t="e">
        <f t="shared" ref="BV86:EG86" si="141">SUM(BV71:BV75)</f>
        <v>#N/A</v>
      </c>
      <c r="BW86" t="e">
        <f t="shared" si="141"/>
        <v>#N/A</v>
      </c>
      <c r="BX86" t="e">
        <f t="shared" si="141"/>
        <v>#N/A</v>
      </c>
      <c r="BY86" t="e">
        <f t="shared" si="141"/>
        <v>#N/A</v>
      </c>
      <c r="BZ86" t="e">
        <f t="shared" si="141"/>
        <v>#N/A</v>
      </c>
      <c r="CA86" t="e">
        <f t="shared" si="141"/>
        <v>#N/A</v>
      </c>
      <c r="CB86" t="e">
        <f t="shared" si="141"/>
        <v>#N/A</v>
      </c>
      <c r="CC86" t="e">
        <f t="shared" si="141"/>
        <v>#N/A</v>
      </c>
      <c r="CD86" t="e">
        <f t="shared" si="141"/>
        <v>#N/A</v>
      </c>
      <c r="CE86" t="e">
        <f t="shared" si="141"/>
        <v>#N/A</v>
      </c>
      <c r="CF86" t="e">
        <f t="shared" si="141"/>
        <v>#N/A</v>
      </c>
      <c r="CG86" t="e">
        <f t="shared" si="141"/>
        <v>#N/A</v>
      </c>
      <c r="CH86" t="e">
        <f t="shared" si="141"/>
        <v>#N/A</v>
      </c>
      <c r="CI86" t="e">
        <f t="shared" si="141"/>
        <v>#N/A</v>
      </c>
      <c r="CJ86" t="e">
        <f t="shared" si="141"/>
        <v>#N/A</v>
      </c>
      <c r="CK86" t="e">
        <f t="shared" si="141"/>
        <v>#N/A</v>
      </c>
      <c r="CL86" t="e">
        <f t="shared" si="141"/>
        <v>#N/A</v>
      </c>
      <c r="CM86" t="e">
        <f t="shared" si="141"/>
        <v>#N/A</v>
      </c>
      <c r="CN86" t="e">
        <f t="shared" si="141"/>
        <v>#N/A</v>
      </c>
      <c r="CO86" t="e">
        <f t="shared" si="141"/>
        <v>#N/A</v>
      </c>
      <c r="CP86" t="e">
        <f t="shared" si="141"/>
        <v>#N/A</v>
      </c>
      <c r="CQ86" t="e">
        <f t="shared" si="141"/>
        <v>#N/A</v>
      </c>
      <c r="CR86" t="e">
        <f t="shared" si="141"/>
        <v>#N/A</v>
      </c>
      <c r="CS86" t="e">
        <f t="shared" si="141"/>
        <v>#N/A</v>
      </c>
      <c r="CT86" t="e">
        <f t="shared" si="141"/>
        <v>#N/A</v>
      </c>
      <c r="CU86" t="e">
        <f t="shared" si="141"/>
        <v>#N/A</v>
      </c>
      <c r="CV86" t="e">
        <f t="shared" si="141"/>
        <v>#N/A</v>
      </c>
      <c r="CW86" t="e">
        <f t="shared" si="141"/>
        <v>#N/A</v>
      </c>
      <c r="CX86" t="e">
        <f t="shared" si="141"/>
        <v>#N/A</v>
      </c>
      <c r="CY86" t="e">
        <f t="shared" si="141"/>
        <v>#N/A</v>
      </c>
      <c r="CZ86" t="e">
        <f t="shared" si="141"/>
        <v>#N/A</v>
      </c>
      <c r="DA86" t="e">
        <f t="shared" si="141"/>
        <v>#N/A</v>
      </c>
      <c r="DB86" t="e">
        <f t="shared" si="141"/>
        <v>#N/A</v>
      </c>
      <c r="DC86" t="e">
        <f t="shared" si="141"/>
        <v>#N/A</v>
      </c>
      <c r="DD86" t="e">
        <f t="shared" si="141"/>
        <v>#N/A</v>
      </c>
      <c r="DE86" t="e">
        <f t="shared" si="141"/>
        <v>#N/A</v>
      </c>
      <c r="DF86" t="e">
        <f t="shared" si="141"/>
        <v>#N/A</v>
      </c>
      <c r="DG86" t="e">
        <f t="shared" si="141"/>
        <v>#N/A</v>
      </c>
      <c r="DH86" t="e">
        <f t="shared" si="141"/>
        <v>#N/A</v>
      </c>
      <c r="DI86" t="e">
        <f t="shared" si="141"/>
        <v>#N/A</v>
      </c>
      <c r="DJ86" t="e">
        <f t="shared" si="141"/>
        <v>#N/A</v>
      </c>
      <c r="DK86" t="e">
        <f t="shared" si="141"/>
        <v>#N/A</v>
      </c>
      <c r="DL86" t="e">
        <f t="shared" si="141"/>
        <v>#N/A</v>
      </c>
      <c r="DM86" t="e">
        <f t="shared" si="141"/>
        <v>#N/A</v>
      </c>
      <c r="DN86" t="e">
        <f t="shared" si="141"/>
        <v>#N/A</v>
      </c>
      <c r="DO86" t="e">
        <f t="shared" si="141"/>
        <v>#N/A</v>
      </c>
      <c r="DP86" t="e">
        <f t="shared" si="141"/>
        <v>#N/A</v>
      </c>
      <c r="DQ86" t="e">
        <f t="shared" si="141"/>
        <v>#N/A</v>
      </c>
      <c r="DR86" t="e">
        <f t="shared" si="141"/>
        <v>#N/A</v>
      </c>
      <c r="DS86" t="e">
        <f t="shared" si="141"/>
        <v>#N/A</v>
      </c>
      <c r="DT86" t="e">
        <f t="shared" si="141"/>
        <v>#N/A</v>
      </c>
      <c r="DU86" t="e">
        <f t="shared" si="141"/>
        <v>#N/A</v>
      </c>
      <c r="DV86" t="e">
        <f t="shared" si="141"/>
        <v>#N/A</v>
      </c>
      <c r="DW86" t="e">
        <f t="shared" si="141"/>
        <v>#N/A</v>
      </c>
      <c r="DX86" t="e">
        <f t="shared" si="141"/>
        <v>#N/A</v>
      </c>
      <c r="DY86" t="e">
        <f t="shared" si="141"/>
        <v>#N/A</v>
      </c>
      <c r="DZ86" t="e">
        <f t="shared" si="141"/>
        <v>#N/A</v>
      </c>
      <c r="EA86" t="e">
        <f t="shared" si="141"/>
        <v>#N/A</v>
      </c>
      <c r="EB86" t="e">
        <f t="shared" si="141"/>
        <v>#N/A</v>
      </c>
      <c r="EC86" t="e">
        <f t="shared" si="141"/>
        <v>#N/A</v>
      </c>
      <c r="ED86" t="e">
        <f t="shared" si="141"/>
        <v>#N/A</v>
      </c>
      <c r="EE86" t="e">
        <f t="shared" si="141"/>
        <v>#N/A</v>
      </c>
      <c r="EF86" t="e">
        <f t="shared" si="141"/>
        <v>#N/A</v>
      </c>
      <c r="EG86" t="e">
        <f t="shared" si="141"/>
        <v>#N/A</v>
      </c>
      <c r="EH86" t="e">
        <f t="shared" ref="EH86:GA86" si="142">SUM(EH71:EH75)</f>
        <v>#N/A</v>
      </c>
      <c r="EI86" t="e">
        <f t="shared" si="142"/>
        <v>#N/A</v>
      </c>
      <c r="EJ86" t="e">
        <f t="shared" si="142"/>
        <v>#N/A</v>
      </c>
      <c r="EK86" t="e">
        <f t="shared" si="142"/>
        <v>#N/A</v>
      </c>
      <c r="EL86" t="e">
        <f t="shared" si="142"/>
        <v>#N/A</v>
      </c>
      <c r="EM86" t="e">
        <f t="shared" si="142"/>
        <v>#N/A</v>
      </c>
      <c r="EN86" t="e">
        <f t="shared" si="142"/>
        <v>#N/A</v>
      </c>
      <c r="EO86" t="e">
        <f t="shared" si="142"/>
        <v>#N/A</v>
      </c>
      <c r="EP86" t="e">
        <f t="shared" si="142"/>
        <v>#N/A</v>
      </c>
      <c r="EQ86" t="e">
        <f t="shared" si="142"/>
        <v>#N/A</v>
      </c>
      <c r="ER86" t="e">
        <f t="shared" si="142"/>
        <v>#N/A</v>
      </c>
      <c r="ES86" t="e">
        <f t="shared" si="142"/>
        <v>#N/A</v>
      </c>
      <c r="ET86" t="e">
        <f t="shared" si="142"/>
        <v>#N/A</v>
      </c>
      <c r="EU86" t="e">
        <f t="shared" si="142"/>
        <v>#N/A</v>
      </c>
      <c r="EV86" t="e">
        <f t="shared" si="142"/>
        <v>#N/A</v>
      </c>
      <c r="EW86" t="e">
        <f t="shared" si="142"/>
        <v>#N/A</v>
      </c>
      <c r="EX86" t="e">
        <f t="shared" si="142"/>
        <v>#N/A</v>
      </c>
      <c r="EY86" t="e">
        <f t="shared" si="142"/>
        <v>#N/A</v>
      </c>
      <c r="EZ86" t="e">
        <f t="shared" si="142"/>
        <v>#N/A</v>
      </c>
      <c r="FA86" t="e">
        <f t="shared" si="142"/>
        <v>#N/A</v>
      </c>
      <c r="FB86" t="e">
        <f t="shared" si="142"/>
        <v>#N/A</v>
      </c>
      <c r="FC86" t="e">
        <f t="shared" si="142"/>
        <v>#N/A</v>
      </c>
      <c r="FD86" t="e">
        <f t="shared" si="142"/>
        <v>#N/A</v>
      </c>
      <c r="FE86" t="e">
        <f t="shared" si="142"/>
        <v>#N/A</v>
      </c>
      <c r="FF86" t="e">
        <f t="shared" si="142"/>
        <v>#N/A</v>
      </c>
      <c r="FG86" t="e">
        <f t="shared" si="142"/>
        <v>#N/A</v>
      </c>
      <c r="FH86" t="e">
        <f t="shared" si="142"/>
        <v>#N/A</v>
      </c>
      <c r="FI86" t="e">
        <f t="shared" si="142"/>
        <v>#N/A</v>
      </c>
      <c r="FJ86" t="e">
        <f t="shared" si="142"/>
        <v>#N/A</v>
      </c>
      <c r="FK86" t="e">
        <f t="shared" si="142"/>
        <v>#N/A</v>
      </c>
      <c r="FL86" t="e">
        <f t="shared" si="142"/>
        <v>#N/A</v>
      </c>
      <c r="FM86" t="e">
        <f t="shared" si="142"/>
        <v>#N/A</v>
      </c>
      <c r="FN86" t="e">
        <f t="shared" si="142"/>
        <v>#N/A</v>
      </c>
      <c r="FO86" t="e">
        <f t="shared" si="142"/>
        <v>#N/A</v>
      </c>
      <c r="FP86" t="e">
        <f t="shared" si="142"/>
        <v>#N/A</v>
      </c>
      <c r="FQ86" t="e">
        <f t="shared" si="142"/>
        <v>#N/A</v>
      </c>
      <c r="FR86" t="e">
        <f t="shared" si="142"/>
        <v>#N/A</v>
      </c>
      <c r="FS86" t="e">
        <f t="shared" si="142"/>
        <v>#N/A</v>
      </c>
      <c r="FT86" t="e">
        <f t="shared" si="142"/>
        <v>#N/A</v>
      </c>
      <c r="FU86" t="e">
        <f t="shared" si="142"/>
        <v>#N/A</v>
      </c>
      <c r="FV86" t="e">
        <f t="shared" si="142"/>
        <v>#N/A</v>
      </c>
      <c r="FW86" t="e">
        <f t="shared" si="142"/>
        <v>#N/A</v>
      </c>
      <c r="FX86" t="e">
        <f t="shared" si="142"/>
        <v>#N/A</v>
      </c>
      <c r="FY86" t="e">
        <f t="shared" si="142"/>
        <v>#N/A</v>
      </c>
      <c r="FZ86" t="e">
        <f t="shared" si="142"/>
        <v>#N/A</v>
      </c>
      <c r="GA86" t="e">
        <f t="shared" si="142"/>
        <v>#N/A</v>
      </c>
    </row>
    <row r="87" spans="1:183" x14ac:dyDescent="0.45">
      <c r="F87" s="4"/>
    </row>
    <row r="88" spans="1:183" x14ac:dyDescent="0.45">
      <c r="F88" s="4"/>
    </row>
    <row r="89" spans="1:183" x14ac:dyDescent="0.45">
      <c r="F89" s="4"/>
    </row>
    <row r="90" spans="1:183" x14ac:dyDescent="0.45">
      <c r="F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</row>
    <row r="91" spans="1:183" x14ac:dyDescent="0.45">
      <c r="F91" s="3"/>
      <c r="G91" s="3"/>
    </row>
    <row r="92" spans="1:183" x14ac:dyDescent="0.45">
      <c r="F92" s="3"/>
      <c r="G92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8F06-2631-44BF-B2B6-01B27C5E4602}">
  <dimension ref="A1:GA85"/>
  <sheetViews>
    <sheetView zoomScale="80" zoomScaleNormal="80" workbookViewId="0">
      <pane xSplit="7" topLeftCell="AQ1" activePane="topRight" state="frozen"/>
      <selection activeCell="A43" sqref="A43"/>
      <selection pane="topRight" activeCell="AT10" sqref="AT10"/>
    </sheetView>
  </sheetViews>
  <sheetFormatPr defaultRowHeight="14.25" x14ac:dyDescent="0.45"/>
  <cols>
    <col min="1" max="1" width="12" customWidth="1"/>
    <col min="2" max="2" width="32.3984375" customWidth="1"/>
    <col min="3" max="537" width="12" customWidth="1"/>
  </cols>
  <sheetData>
    <row r="1" spans="1:183" x14ac:dyDescent="0.45">
      <c r="A1" s="2" t="s">
        <v>10</v>
      </c>
    </row>
    <row r="2" spans="1:183" x14ac:dyDescent="0.45">
      <c r="C2" t="s">
        <v>40</v>
      </c>
      <c r="D2" t="s">
        <v>45</v>
      </c>
      <c r="F2" t="s">
        <v>44</v>
      </c>
      <c r="G2" t="s">
        <v>46</v>
      </c>
      <c r="I2" s="1">
        <f>Cases!I2</f>
        <v>44331</v>
      </c>
      <c r="J2" s="1">
        <f>Cases!J2</f>
        <v>44332</v>
      </c>
      <c r="K2" s="1">
        <f>Cases!K2</f>
        <v>44333</v>
      </c>
      <c r="L2" s="1">
        <f>Cases!L2</f>
        <v>44334</v>
      </c>
      <c r="M2" s="1">
        <f>Cases!M2</f>
        <v>44335</v>
      </c>
      <c r="N2" s="1">
        <f>Cases!N2</f>
        <v>44336</v>
      </c>
      <c r="O2" s="1">
        <f>Cases!O2</f>
        <v>44337</v>
      </c>
      <c r="P2" s="1">
        <f>Cases!P2</f>
        <v>44338</v>
      </c>
      <c r="Q2" s="1">
        <f>Cases!Q2</f>
        <v>44339</v>
      </c>
      <c r="R2" s="1">
        <f>Cases!R2</f>
        <v>44340</v>
      </c>
      <c r="S2" s="1">
        <f>Cases!S2</f>
        <v>44341</v>
      </c>
      <c r="T2" s="1">
        <f>Cases!T2</f>
        <v>44342</v>
      </c>
      <c r="U2" s="1">
        <f>Cases!U2</f>
        <v>44343</v>
      </c>
      <c r="V2" s="1">
        <f>Cases!V2</f>
        <v>44344</v>
      </c>
      <c r="W2" s="1">
        <f>Cases!W2</f>
        <v>44345</v>
      </c>
      <c r="X2" s="1">
        <f>Cases!X2</f>
        <v>44346</v>
      </c>
      <c r="Y2" s="1">
        <f>Cases!Y2</f>
        <v>44347</v>
      </c>
      <c r="Z2" s="1">
        <f>Cases!Z2</f>
        <v>44348</v>
      </c>
      <c r="AA2" s="1">
        <f>Cases!AA2</f>
        <v>44349</v>
      </c>
      <c r="AB2" s="1">
        <f>Cases!AB2</f>
        <v>44350</v>
      </c>
      <c r="AC2" s="1">
        <f>Cases!AC2</f>
        <v>44351</v>
      </c>
      <c r="AD2" s="1">
        <f>Cases!AD2</f>
        <v>44352</v>
      </c>
      <c r="AE2" s="1">
        <f>Cases!AE2</f>
        <v>44353</v>
      </c>
      <c r="AF2" s="1">
        <f>Cases!AF2</f>
        <v>44354</v>
      </c>
      <c r="AG2" s="1">
        <f>Cases!AG2</f>
        <v>44355</v>
      </c>
      <c r="AH2" s="1">
        <f>Cases!AH2</f>
        <v>44356</v>
      </c>
      <c r="AI2" s="1">
        <f>Cases!AI2</f>
        <v>44357</v>
      </c>
      <c r="AJ2" s="1">
        <f>Cases!AJ2</f>
        <v>44358</v>
      </c>
      <c r="AK2" s="1">
        <f>Cases!AK2</f>
        <v>44359</v>
      </c>
      <c r="AL2" s="1">
        <f>Cases!AL2</f>
        <v>44360</v>
      </c>
      <c r="AM2" s="1">
        <f>Cases!AM2</f>
        <v>44361</v>
      </c>
      <c r="AN2" s="1">
        <f>Cases!AN2</f>
        <v>44362</v>
      </c>
      <c r="AO2" s="1">
        <f>Cases!AO2</f>
        <v>44363</v>
      </c>
      <c r="AP2" s="1">
        <f>Cases!AP2</f>
        <v>44364</v>
      </c>
      <c r="AQ2" s="1">
        <f>Cases!AQ2</f>
        <v>44365</v>
      </c>
      <c r="AR2" s="1">
        <f>Cases!AR2</f>
        <v>44366</v>
      </c>
      <c r="AS2" s="1">
        <f>Cases!AS2</f>
        <v>44367</v>
      </c>
      <c r="AT2" s="1">
        <f>Cases!AT2</f>
        <v>44368</v>
      </c>
      <c r="AU2" s="1">
        <f>Cases!AU2</f>
        <v>44369</v>
      </c>
      <c r="AV2" s="1">
        <f>Cases!AV2</f>
        <v>44370</v>
      </c>
      <c r="AW2" s="1">
        <f>Cases!AW2</f>
        <v>44371</v>
      </c>
      <c r="AX2" s="1">
        <f>Cases!AX2</f>
        <v>44372</v>
      </c>
      <c r="AY2" s="1">
        <f>Cases!AY2</f>
        <v>44373</v>
      </c>
      <c r="AZ2" s="1">
        <f>Cases!AZ2</f>
        <v>44374</v>
      </c>
      <c r="BA2" s="1">
        <f>Cases!BA2</f>
        <v>44375</v>
      </c>
      <c r="BB2" s="1">
        <f>Cases!BB2</f>
        <v>44376</v>
      </c>
      <c r="BC2" s="1">
        <f>Cases!BC2</f>
        <v>44377</v>
      </c>
      <c r="BD2" s="1">
        <f>Cases!BD2</f>
        <v>44378</v>
      </c>
      <c r="BE2" s="1">
        <f>Cases!BE2</f>
        <v>44379</v>
      </c>
      <c r="BF2" s="1">
        <f>Cases!BF2</f>
        <v>44380</v>
      </c>
      <c r="BG2" s="1">
        <f>Cases!BG2</f>
        <v>44381</v>
      </c>
      <c r="BH2" s="1">
        <f>Cases!BH2</f>
        <v>44382</v>
      </c>
      <c r="BI2" s="1">
        <f>Cases!BI2</f>
        <v>44383</v>
      </c>
      <c r="BJ2" s="1">
        <f>Cases!BJ2</f>
        <v>44384</v>
      </c>
      <c r="BK2" s="1">
        <f>Cases!BK2</f>
        <v>44385</v>
      </c>
      <c r="BL2" s="1">
        <f>Cases!BL2</f>
        <v>44386</v>
      </c>
      <c r="BM2" s="1">
        <f>Cases!BM2</f>
        <v>44387</v>
      </c>
      <c r="BN2" s="1">
        <f>Cases!BN2</f>
        <v>44388</v>
      </c>
      <c r="BO2" s="1">
        <f>Cases!BO2</f>
        <v>44389</v>
      </c>
      <c r="BP2" s="1">
        <f>Cases!BP2</f>
        <v>44390</v>
      </c>
      <c r="BQ2" s="1">
        <f>Cases!BQ2</f>
        <v>44391</v>
      </c>
      <c r="BR2" s="1">
        <f>Cases!BR2</f>
        <v>44392</v>
      </c>
      <c r="BS2" s="1">
        <f>Cases!BS2</f>
        <v>44393</v>
      </c>
      <c r="BT2" s="1">
        <f>Cases!BT2</f>
        <v>44394</v>
      </c>
      <c r="BU2" s="1">
        <f>Cases!BU2</f>
        <v>44395</v>
      </c>
      <c r="BV2" s="1">
        <f>Cases!BV2</f>
        <v>44396</v>
      </c>
      <c r="BW2" s="1">
        <f>Cases!BW2</f>
        <v>44397</v>
      </c>
      <c r="BX2" s="1">
        <f>Cases!BX2</f>
        <v>44398</v>
      </c>
      <c r="BY2" s="1">
        <f>Cases!BY2</f>
        <v>44399</v>
      </c>
      <c r="BZ2" s="1">
        <f>Cases!BZ2</f>
        <v>44400</v>
      </c>
      <c r="CA2" s="1">
        <f>Cases!CA2</f>
        <v>44401</v>
      </c>
      <c r="CB2" s="1">
        <f>Cases!CB2</f>
        <v>44402</v>
      </c>
      <c r="CC2" s="1">
        <f>Cases!CC2</f>
        <v>44403</v>
      </c>
      <c r="CD2" s="1">
        <f>Cases!CD2</f>
        <v>44404</v>
      </c>
      <c r="CE2" s="1">
        <f>Cases!CE2</f>
        <v>44405</v>
      </c>
      <c r="CF2" s="1">
        <f>Cases!CF2</f>
        <v>44406</v>
      </c>
      <c r="CG2" s="1">
        <f>Cases!CG2</f>
        <v>44407</v>
      </c>
      <c r="CH2" s="1">
        <f>Cases!CH2</f>
        <v>44408</v>
      </c>
      <c r="CI2" s="1">
        <f>Cases!CI2</f>
        <v>44409</v>
      </c>
      <c r="CJ2" s="1">
        <f>Cases!CJ2</f>
        <v>44410</v>
      </c>
      <c r="CK2" s="1">
        <f>Cases!CK2</f>
        <v>44411</v>
      </c>
      <c r="CL2" s="1">
        <f>Cases!CL2</f>
        <v>44412</v>
      </c>
      <c r="CM2" s="1">
        <f>Cases!CM2</f>
        <v>44413</v>
      </c>
      <c r="CN2" s="1">
        <f>Cases!CN2</f>
        <v>44414</v>
      </c>
      <c r="CO2" s="1">
        <f>Cases!CO2</f>
        <v>44415</v>
      </c>
      <c r="CP2" s="1">
        <f>Cases!CP2</f>
        <v>44416</v>
      </c>
      <c r="CQ2" s="1">
        <f>Cases!CQ2</f>
        <v>44417</v>
      </c>
      <c r="CR2" s="1">
        <f>Cases!CR2</f>
        <v>44418</v>
      </c>
      <c r="CS2" s="1">
        <f>Cases!CS2</f>
        <v>44419</v>
      </c>
      <c r="CT2" s="1">
        <f>Cases!CT2</f>
        <v>44420</v>
      </c>
      <c r="CU2" s="1">
        <f>Cases!CU2</f>
        <v>44421</v>
      </c>
      <c r="CV2" s="1">
        <f>Cases!CV2</f>
        <v>44422</v>
      </c>
      <c r="CW2" s="1">
        <f>Cases!CW2</f>
        <v>44423</v>
      </c>
      <c r="CX2" s="1">
        <f>Cases!CX2</f>
        <v>44424</v>
      </c>
      <c r="CY2" s="1">
        <f>Cases!CY2</f>
        <v>44425</v>
      </c>
      <c r="CZ2" s="1">
        <f>Cases!CZ2</f>
        <v>44426</v>
      </c>
      <c r="DA2" s="1">
        <f>Cases!DA2</f>
        <v>44427</v>
      </c>
      <c r="DB2" s="1">
        <f>Cases!DB2</f>
        <v>44428</v>
      </c>
      <c r="DC2" s="1">
        <f>Cases!DC2</f>
        <v>44429</v>
      </c>
      <c r="DD2" s="1">
        <f>Cases!DD2</f>
        <v>44430</v>
      </c>
      <c r="DE2" s="1">
        <f>Cases!DE2</f>
        <v>44431</v>
      </c>
      <c r="DF2" s="1">
        <f>Cases!DF2</f>
        <v>44432</v>
      </c>
      <c r="DG2" s="1">
        <f>Cases!DG2</f>
        <v>44433</v>
      </c>
      <c r="DH2" s="1">
        <f>Cases!DH2</f>
        <v>44434</v>
      </c>
      <c r="DI2" s="1">
        <f>Cases!DI2</f>
        <v>44435</v>
      </c>
      <c r="DJ2" s="1">
        <f>Cases!DJ2</f>
        <v>44436</v>
      </c>
      <c r="DK2" s="1">
        <f>Cases!DK2</f>
        <v>44437</v>
      </c>
      <c r="DL2" s="1">
        <f>Cases!DL2</f>
        <v>44438</v>
      </c>
      <c r="DM2" s="1">
        <f>Cases!DM2</f>
        <v>44439</v>
      </c>
      <c r="DN2" s="1">
        <f>Cases!DN2</f>
        <v>44440</v>
      </c>
      <c r="DO2" s="1">
        <f>Cases!DO2</f>
        <v>44441</v>
      </c>
      <c r="DP2" s="1">
        <f>Cases!DP2</f>
        <v>44442</v>
      </c>
      <c r="DQ2" s="1">
        <f>Cases!DQ2</f>
        <v>44443</v>
      </c>
      <c r="DR2" s="1">
        <f>Cases!DR2</f>
        <v>44444</v>
      </c>
      <c r="DS2" s="1">
        <f>Cases!DS2</f>
        <v>44445</v>
      </c>
      <c r="DT2" s="1">
        <f>Cases!DT2</f>
        <v>44446</v>
      </c>
      <c r="DU2" s="1">
        <f>Cases!DU2</f>
        <v>44447</v>
      </c>
      <c r="DV2" s="1">
        <f>Cases!DV2</f>
        <v>44448</v>
      </c>
      <c r="DW2" s="1">
        <f>Cases!DW2</f>
        <v>44449</v>
      </c>
      <c r="DX2" s="1">
        <f>Cases!DX2</f>
        <v>44450</v>
      </c>
      <c r="DY2" s="1">
        <f>Cases!DY2</f>
        <v>44451</v>
      </c>
      <c r="DZ2" s="1">
        <f>Cases!DZ2</f>
        <v>44452</v>
      </c>
      <c r="EA2" s="1">
        <f>Cases!EA2</f>
        <v>44453</v>
      </c>
      <c r="EB2" s="1">
        <f>Cases!EB2</f>
        <v>44454</v>
      </c>
      <c r="EC2" s="1">
        <f>Cases!EC2</f>
        <v>44455</v>
      </c>
      <c r="ED2" s="1">
        <f>Cases!ED2</f>
        <v>44456</v>
      </c>
      <c r="EE2" s="1">
        <f>Cases!EE2</f>
        <v>44457</v>
      </c>
      <c r="EF2" s="1">
        <f>Cases!EF2</f>
        <v>44458</v>
      </c>
      <c r="EG2" s="1">
        <f>Cases!EG2</f>
        <v>44459</v>
      </c>
      <c r="EH2" s="1">
        <f>Cases!EH2</f>
        <v>44460</v>
      </c>
      <c r="EI2" s="1">
        <f>Cases!EI2</f>
        <v>44461</v>
      </c>
      <c r="EJ2" s="1">
        <f>Cases!EJ2</f>
        <v>44462</v>
      </c>
      <c r="EK2" s="1">
        <f>Cases!EK2</f>
        <v>44463</v>
      </c>
      <c r="EL2" s="1">
        <f>Cases!EL2</f>
        <v>44464</v>
      </c>
      <c r="EM2" s="1">
        <f>Cases!EM2</f>
        <v>44465</v>
      </c>
      <c r="EN2" s="1">
        <f>Cases!EN2</f>
        <v>44466</v>
      </c>
      <c r="EO2" s="1">
        <f>Cases!EO2</f>
        <v>44467</v>
      </c>
      <c r="EP2" s="1">
        <f>Cases!EP2</f>
        <v>44468</v>
      </c>
      <c r="EQ2" s="1">
        <f>Cases!EQ2</f>
        <v>44469</v>
      </c>
      <c r="ER2" s="1">
        <f>Cases!ER2</f>
        <v>44470</v>
      </c>
      <c r="ES2" s="1">
        <f>Cases!ES2</f>
        <v>44471</v>
      </c>
      <c r="ET2" s="1">
        <f>Cases!ET2</f>
        <v>44472</v>
      </c>
      <c r="EU2" s="1">
        <f>Cases!EU2</f>
        <v>44473</v>
      </c>
      <c r="EV2" s="1">
        <f>Cases!EV2</f>
        <v>44474</v>
      </c>
      <c r="EW2" s="1">
        <f>Cases!EW2</f>
        <v>44475</v>
      </c>
      <c r="EX2" s="1">
        <f>Cases!EX2</f>
        <v>44476</v>
      </c>
      <c r="EY2" s="1">
        <f>Cases!EY2</f>
        <v>44477</v>
      </c>
      <c r="EZ2" s="1">
        <f>Cases!EZ2</f>
        <v>44478</v>
      </c>
      <c r="FA2" s="1">
        <f>Cases!FA2</f>
        <v>44479</v>
      </c>
      <c r="FB2" s="1">
        <f>Cases!FB2</f>
        <v>44480</v>
      </c>
      <c r="FC2" s="1">
        <f>Cases!FC2</f>
        <v>44481</v>
      </c>
      <c r="FD2" s="1">
        <f>Cases!FD2</f>
        <v>44482</v>
      </c>
      <c r="FE2" s="1">
        <f>Cases!FE2</f>
        <v>44483</v>
      </c>
      <c r="FF2" s="1">
        <f>Cases!FF2</f>
        <v>44484</v>
      </c>
      <c r="FG2" s="1">
        <f>Cases!FG2</f>
        <v>44485</v>
      </c>
      <c r="FH2" s="1">
        <f>Cases!FH2</f>
        <v>44486</v>
      </c>
      <c r="FI2" s="1">
        <f>Cases!FI2</f>
        <v>44487</v>
      </c>
      <c r="FJ2" s="1">
        <f>Cases!FJ2</f>
        <v>44488</v>
      </c>
      <c r="FK2" s="1">
        <f>Cases!FK2</f>
        <v>44489</v>
      </c>
      <c r="FL2" s="1">
        <f>Cases!FL2</f>
        <v>44490</v>
      </c>
      <c r="FM2" s="1">
        <f>Cases!FM2</f>
        <v>44491</v>
      </c>
      <c r="FN2" s="1">
        <f>Cases!FN2</f>
        <v>44492</v>
      </c>
      <c r="FO2" s="1">
        <f>Cases!FO2</f>
        <v>44493</v>
      </c>
      <c r="FP2" s="1">
        <f>Cases!FP2</f>
        <v>44494</v>
      </c>
      <c r="FQ2" s="1">
        <f>Cases!FQ2</f>
        <v>44495</v>
      </c>
      <c r="FR2" s="1">
        <f>Cases!FR2</f>
        <v>44496</v>
      </c>
      <c r="FS2" s="1">
        <f>Cases!FS2</f>
        <v>44497</v>
      </c>
      <c r="FT2" s="1">
        <f>Cases!FT2</f>
        <v>44498</v>
      </c>
      <c r="FU2" s="1">
        <f>Cases!FU2</f>
        <v>44499</v>
      </c>
      <c r="FV2" s="1">
        <f>Cases!FV2</f>
        <v>44500</v>
      </c>
      <c r="FW2" s="1">
        <f>Cases!FW2</f>
        <v>44501</v>
      </c>
      <c r="FX2" s="1">
        <f>Cases!FX2</f>
        <v>44502</v>
      </c>
      <c r="FY2" s="1">
        <f>Cases!FY2</f>
        <v>44503</v>
      </c>
      <c r="FZ2" s="1">
        <f>Cases!FZ2</f>
        <v>44504</v>
      </c>
      <c r="GA2" s="1">
        <f>Cases!GA2</f>
        <v>44505</v>
      </c>
    </row>
    <row r="3" spans="1:183" x14ac:dyDescent="0.45">
      <c r="B3" t="s">
        <v>21</v>
      </c>
      <c r="C3" cm="1">
        <f t="array" ref="C3">LOOKUP(2,1/(I3:GA3&lt;&gt;""),I3:GA3)</f>
        <v>8.8000000000000007</v>
      </c>
      <c r="D3" cm="1">
        <f t="array" ref="D3">SUMPRODUCT(MAX((I3:GA3&lt;&gt;"")*COLUMN(I3:GA3)))</f>
        <v>45</v>
      </c>
      <c r="F3" s="4">
        <f>(C3-I3)/I3</f>
        <v>1.2680412371134022</v>
      </c>
      <c r="G3" s="3" cm="1">
        <f t="array" ref="G3">(C3-IF(ISNA(INDEX(I3:GA3,D3-22)),INDEX(I3:GA3,D3-23),INDEX(I3:GA3,D3-22)))/IF(ISNA(INDEX(I3:GA3,D3-22)),INDEX(I3:GA3,D3-23),INDEX(I3:GA3,D3-22))</f>
        <v>-7.9497907949790766E-2</v>
      </c>
      <c r="I3">
        <v>3.88</v>
      </c>
      <c r="J3">
        <v>3.68</v>
      </c>
      <c r="L3">
        <v>3.95</v>
      </c>
      <c r="N3">
        <v>4.45</v>
      </c>
      <c r="O3">
        <v>4.41</v>
      </c>
      <c r="P3">
        <v>5.99</v>
      </c>
      <c r="Q3">
        <v>5.89</v>
      </c>
      <c r="R3">
        <v>6.51</v>
      </c>
      <c r="S3">
        <v>6.53</v>
      </c>
      <c r="T3">
        <v>7.68</v>
      </c>
      <c r="U3">
        <v>8.69</v>
      </c>
      <c r="V3">
        <v>8.59</v>
      </c>
      <c r="W3">
        <v>7.72</v>
      </c>
      <c r="X3">
        <v>7.24</v>
      </c>
      <c r="Y3">
        <v>6.86</v>
      </c>
      <c r="Z3">
        <v>7.73</v>
      </c>
      <c r="AA3">
        <v>8.58</v>
      </c>
      <c r="AB3">
        <v>9.0500000000000007</v>
      </c>
      <c r="AC3">
        <v>9.33</v>
      </c>
      <c r="AD3">
        <v>10.95</v>
      </c>
      <c r="AE3">
        <v>9.56</v>
      </c>
      <c r="AF3">
        <v>9.48</v>
      </c>
      <c r="AG3">
        <v>9.57</v>
      </c>
      <c r="AH3">
        <v>9.52</v>
      </c>
      <c r="AI3">
        <v>9.51</v>
      </c>
      <c r="AJ3">
        <v>9.25</v>
      </c>
      <c r="AK3">
        <v>9.6999999999999993</v>
      </c>
      <c r="AL3">
        <v>9.9600000000000009</v>
      </c>
      <c r="AM3">
        <v>9.6999999999999993</v>
      </c>
      <c r="AO3">
        <v>9.74</v>
      </c>
      <c r="AP3">
        <v>9.59</v>
      </c>
      <c r="AQ3">
        <v>9.14</v>
      </c>
      <c r="AR3">
        <v>9.23</v>
      </c>
      <c r="AS3">
        <v>8.8000000000000007</v>
      </c>
    </row>
    <row r="4" spans="1:183" x14ac:dyDescent="0.45">
      <c r="B4" t="s">
        <v>22</v>
      </c>
      <c r="C4" cm="1">
        <f t="array" ref="C4">LOOKUP(2,1/(I4:GA4&lt;&gt;""),I4:GA4)</f>
        <v>8.92</v>
      </c>
      <c r="D4" cm="1">
        <f t="array" ref="D4">SUMPRODUCT(MAX((I4:GA4&lt;&gt;"")*COLUMN(I4:GA4)))</f>
        <v>45</v>
      </c>
      <c r="F4" s="4">
        <f t="shared" ref="F4:F9" si="0">(C4-I4)/I4</f>
        <v>1.5632183908045976</v>
      </c>
      <c r="G4" s="3" cm="1">
        <f t="array" ref="G4">(C4-IF(ISNA(INDEX(I4:GA4,D4-22)),INDEX(I4:GA4,D4-23),INDEX(I4:GA4,D4-22)))/IF(ISNA(INDEX(I4:GA4,D4-22)),INDEX(I4:GA4,D4-23),INDEX(I4:GA4,D4-22))</f>
        <v>-9.25737538148525E-2</v>
      </c>
      <c r="I4">
        <v>3.48</v>
      </c>
      <c r="J4">
        <v>3.52</v>
      </c>
      <c r="L4">
        <v>3.93</v>
      </c>
      <c r="N4">
        <v>4.28</v>
      </c>
      <c r="O4">
        <v>4.5</v>
      </c>
      <c r="P4">
        <v>5.8</v>
      </c>
      <c r="Q4">
        <v>5.7</v>
      </c>
      <c r="R4">
        <v>6.3</v>
      </c>
      <c r="S4">
        <v>6.26</v>
      </c>
      <c r="T4">
        <v>7.32</v>
      </c>
      <c r="U4">
        <v>7.99</v>
      </c>
      <c r="V4">
        <v>8.44</v>
      </c>
      <c r="W4">
        <v>8.14</v>
      </c>
      <c r="X4">
        <v>7.19</v>
      </c>
      <c r="Y4">
        <v>6.37</v>
      </c>
      <c r="Z4">
        <v>6.86</v>
      </c>
      <c r="AA4">
        <v>8.0500000000000007</v>
      </c>
      <c r="AB4">
        <v>8.85</v>
      </c>
      <c r="AC4">
        <v>9.02</v>
      </c>
      <c r="AD4">
        <v>9.75</v>
      </c>
      <c r="AE4">
        <v>9.83</v>
      </c>
      <c r="AF4">
        <v>8.81</v>
      </c>
      <c r="AG4">
        <v>9.0299999999999994</v>
      </c>
      <c r="AH4">
        <v>9.2799999999999994</v>
      </c>
      <c r="AI4">
        <v>9.1300000000000008</v>
      </c>
      <c r="AJ4">
        <v>9.23</v>
      </c>
      <c r="AK4">
        <v>9.01</v>
      </c>
      <c r="AL4">
        <v>9.89</v>
      </c>
      <c r="AM4">
        <v>9.69</v>
      </c>
      <c r="AO4">
        <v>9.32</v>
      </c>
      <c r="AP4">
        <v>8.89</v>
      </c>
      <c r="AQ4">
        <v>8.89</v>
      </c>
      <c r="AR4">
        <v>9.31</v>
      </c>
      <c r="AS4">
        <v>8.92</v>
      </c>
    </row>
    <row r="5" spans="1:183" x14ac:dyDescent="0.45">
      <c r="B5" t="s">
        <v>23</v>
      </c>
      <c r="C5" cm="1">
        <f t="array" ref="C5">LOOKUP(2,1/(I5:GA5&lt;&gt;""),I5:GA5)</f>
        <v>9.84</v>
      </c>
      <c r="D5" cm="1">
        <f t="array" ref="D5">SUMPRODUCT(MAX((I5:GA5&lt;&gt;"")*COLUMN(I5:GA5)))</f>
        <v>45</v>
      </c>
      <c r="F5" s="4">
        <f t="shared" si="0"/>
        <v>1.8114285714285714</v>
      </c>
      <c r="G5" s="3" cm="1">
        <f t="array" ref="G5">(C5-IF(ISNA(INDEX(I5:GA5,D5-22)),INDEX(I5:GA5,D5-23),INDEX(I5:GA5,D5-22)))/IF(ISNA(INDEX(I5:GA5,D5-22)),INDEX(I5:GA5,D5-23),INDEX(I5:GA5,D5-22))</f>
        <v>-0.11827956989247314</v>
      </c>
      <c r="I5">
        <v>3.5</v>
      </c>
      <c r="J5">
        <v>3.7</v>
      </c>
      <c r="L5">
        <v>3.9</v>
      </c>
      <c r="N5">
        <v>4.2</v>
      </c>
      <c r="O5">
        <v>4.5</v>
      </c>
      <c r="P5">
        <v>6.6</v>
      </c>
      <c r="Q5">
        <v>6.41</v>
      </c>
      <c r="R5">
        <v>6.41</v>
      </c>
      <c r="S5">
        <v>6.56</v>
      </c>
      <c r="T5">
        <v>8.83</v>
      </c>
      <c r="U5">
        <v>9.61</v>
      </c>
      <c r="V5">
        <v>9.02</v>
      </c>
      <c r="W5">
        <v>8.69</v>
      </c>
      <c r="X5">
        <v>8.19</v>
      </c>
      <c r="Y5">
        <v>7.37</v>
      </c>
      <c r="Z5">
        <v>7.63</v>
      </c>
      <c r="AA5">
        <v>8.23</v>
      </c>
      <c r="AB5">
        <v>9.16</v>
      </c>
      <c r="AC5">
        <v>9.89</v>
      </c>
      <c r="AD5">
        <v>11.16</v>
      </c>
      <c r="AE5">
        <v>11.16</v>
      </c>
      <c r="AF5">
        <v>10.029999999999999</v>
      </c>
      <c r="AG5">
        <v>9.81</v>
      </c>
      <c r="AH5">
        <v>9.52</v>
      </c>
      <c r="AI5">
        <v>9.67</v>
      </c>
      <c r="AJ5">
        <v>9.61</v>
      </c>
      <c r="AK5">
        <v>11.52</v>
      </c>
      <c r="AL5">
        <v>10.94</v>
      </c>
      <c r="AM5">
        <v>10.44</v>
      </c>
      <c r="AO5">
        <v>10.72</v>
      </c>
      <c r="AP5">
        <v>10.029999999999999</v>
      </c>
      <c r="AQ5">
        <v>10.050000000000001</v>
      </c>
      <c r="AR5">
        <v>9.85</v>
      </c>
      <c r="AS5">
        <v>9.84</v>
      </c>
    </row>
    <row r="6" spans="1:183" x14ac:dyDescent="0.45">
      <c r="B6" t="s">
        <v>24</v>
      </c>
      <c r="C6" cm="1">
        <f t="array" ref="C6">LOOKUP(2,1/(I6:GA6&lt;&gt;""),I6:GA6)</f>
        <v>9.85</v>
      </c>
      <c r="D6" cm="1">
        <f t="array" ref="D6">SUMPRODUCT(MAX((I6:GA6&lt;&gt;"")*COLUMN(I6:GA6)))</f>
        <v>45</v>
      </c>
      <c r="F6" s="4">
        <f t="shared" si="0"/>
        <v>1.8223495702005728</v>
      </c>
      <c r="G6" s="3" cm="1">
        <f t="array" ref="G6">(C6-IF(ISNA(INDEX(I6:GA6,D6-22)),INDEX(I6:GA6,D6-23),INDEX(I6:GA6,D6-22)))/IF(ISNA(INDEX(I6:GA6,D6-22)),INDEX(I6:GA6,D6-23),INDEX(I6:GA6,D6-22))</f>
        <v>-6.0544904137235615E-3</v>
      </c>
      <c r="I6">
        <v>3.49</v>
      </c>
      <c r="J6">
        <v>3.76</v>
      </c>
      <c r="L6">
        <v>4.03</v>
      </c>
      <c r="N6">
        <v>4.41</v>
      </c>
      <c r="O6">
        <v>4.76</v>
      </c>
      <c r="P6">
        <v>6.12</v>
      </c>
      <c r="Q6">
        <v>6.58</v>
      </c>
      <c r="R6">
        <v>6.58</v>
      </c>
      <c r="S6">
        <v>6.57</v>
      </c>
      <c r="T6">
        <v>7.69</v>
      </c>
      <c r="U6">
        <v>8.5299999999999994</v>
      </c>
      <c r="V6">
        <v>8.4600000000000009</v>
      </c>
      <c r="W6">
        <v>8.48</v>
      </c>
      <c r="X6">
        <v>7.97</v>
      </c>
      <c r="Y6">
        <v>7.9</v>
      </c>
      <c r="Z6">
        <v>7.89</v>
      </c>
      <c r="AA6">
        <v>8.59</v>
      </c>
      <c r="AB6">
        <v>9.3699999999999992</v>
      </c>
      <c r="AC6">
        <v>11.08</v>
      </c>
      <c r="AD6">
        <v>10.94</v>
      </c>
      <c r="AE6">
        <v>9.91</v>
      </c>
      <c r="AF6">
        <v>9.39</v>
      </c>
      <c r="AG6">
        <v>9.7100000000000009</v>
      </c>
      <c r="AH6">
        <v>9.3800000000000008</v>
      </c>
      <c r="AI6">
        <v>9.84</v>
      </c>
      <c r="AJ6">
        <v>9.82</v>
      </c>
      <c r="AK6">
        <v>12.53</v>
      </c>
      <c r="AL6">
        <v>10.210000000000001</v>
      </c>
      <c r="AM6">
        <v>10.02</v>
      </c>
      <c r="AO6">
        <v>10.9</v>
      </c>
      <c r="AP6">
        <v>10.28</v>
      </c>
      <c r="AQ6">
        <v>10.07</v>
      </c>
      <c r="AR6">
        <v>10.02</v>
      </c>
      <c r="AS6">
        <v>9.85</v>
      </c>
    </row>
    <row r="7" spans="1:183" x14ac:dyDescent="0.45">
      <c r="B7" t="s">
        <v>25</v>
      </c>
      <c r="C7" cm="1">
        <f t="array" ref="C7">LOOKUP(2,1/(I7:GA7&lt;&gt;""),I7:GA7)</f>
        <v>9.11</v>
      </c>
      <c r="D7" cm="1">
        <f t="array" ref="D7">SUMPRODUCT(MAX((I7:GA7&lt;&gt;"")*COLUMN(I7:GA7)))</f>
        <v>45</v>
      </c>
      <c r="F7" s="4">
        <f t="shared" si="0"/>
        <v>1.5518207282913163</v>
      </c>
      <c r="G7" s="3" cm="1">
        <f t="array" ref="G7">(C7-IF(ISNA(INDEX(I7:GA7,D7-22)),INDEX(I7:GA7,D7-23),INDEX(I7:GA7,D7-22)))/IF(ISNA(INDEX(I7:GA7,D7-22)),INDEX(I7:GA7,D7-23),INDEX(I7:GA7,D7-22))</f>
        <v>-5.9855521155830767E-2</v>
      </c>
      <c r="I7">
        <v>3.57</v>
      </c>
      <c r="J7">
        <v>3.56</v>
      </c>
      <c r="L7">
        <v>3.84</v>
      </c>
      <c r="N7">
        <v>4.29</v>
      </c>
      <c r="O7">
        <v>4.4000000000000004</v>
      </c>
      <c r="P7">
        <v>5.67</v>
      </c>
      <c r="Q7">
        <v>5.87</v>
      </c>
      <c r="R7">
        <v>6.3</v>
      </c>
      <c r="S7">
        <v>6.23</v>
      </c>
      <c r="T7">
        <v>7.42</v>
      </c>
      <c r="U7">
        <v>7.86</v>
      </c>
      <c r="V7">
        <v>8.2100000000000009</v>
      </c>
      <c r="W7">
        <v>8.0500000000000007</v>
      </c>
      <c r="X7">
        <v>7.96</v>
      </c>
      <c r="Y7">
        <v>7.24</v>
      </c>
      <c r="Z7">
        <v>6.93</v>
      </c>
      <c r="AA7">
        <v>7.97</v>
      </c>
      <c r="AB7">
        <v>8.89</v>
      </c>
      <c r="AC7">
        <v>9.69</v>
      </c>
      <c r="AD7">
        <v>11.46</v>
      </c>
      <c r="AE7">
        <v>9.69</v>
      </c>
      <c r="AF7">
        <v>9.33</v>
      </c>
      <c r="AG7">
        <v>9.2799999999999994</v>
      </c>
      <c r="AH7">
        <v>9.34</v>
      </c>
      <c r="AI7">
        <v>9.26</v>
      </c>
      <c r="AJ7">
        <v>9.15</v>
      </c>
      <c r="AK7">
        <v>9.89</v>
      </c>
      <c r="AL7">
        <v>10.51</v>
      </c>
      <c r="AM7">
        <v>9.6199999999999992</v>
      </c>
      <c r="AO7">
        <v>9.27</v>
      </c>
      <c r="AP7">
        <v>9.77</v>
      </c>
      <c r="AQ7">
        <v>9.39</v>
      </c>
      <c r="AR7">
        <v>9.01</v>
      </c>
      <c r="AS7">
        <v>9.11</v>
      </c>
    </row>
    <row r="8" spans="1:183" x14ac:dyDescent="0.45">
      <c r="B8" t="s">
        <v>26</v>
      </c>
      <c r="C8" cm="1">
        <f t="array" ref="C8">LOOKUP(2,1/(I8:GA8&lt;&gt;""),I8:GA8)</f>
        <v>10.02</v>
      </c>
      <c r="D8" cm="1">
        <f t="array" ref="D8">SUMPRODUCT(MAX((I8:GA8&lt;&gt;"")*COLUMN(I8:GA8)))</f>
        <v>45</v>
      </c>
      <c r="F8" s="4">
        <f t="shared" si="0"/>
        <v>1.4202898550724639</v>
      </c>
      <c r="G8" s="3" cm="1">
        <f t="array" ref="G8">(C8-IF(ISNA(INDEX(I8:GA8,D8-22)),INDEX(I8:GA8,D8-23),INDEX(I8:GA8,D8-22)))/IF(ISNA(INDEX(I8:GA8,D8-22)),INDEX(I8:GA8,D8-23),INDEX(I8:GA8,D8-22))</f>
        <v>-3.653846153846161E-2</v>
      </c>
      <c r="I8">
        <v>4.1399999999999997</v>
      </c>
      <c r="J8">
        <v>3.9</v>
      </c>
      <c r="L8">
        <v>3.9</v>
      </c>
      <c r="N8">
        <v>4.72</v>
      </c>
      <c r="O8">
        <v>5.0999999999999996</v>
      </c>
      <c r="P8">
        <v>5.9</v>
      </c>
      <c r="Q8">
        <v>6.56</v>
      </c>
      <c r="R8">
        <v>7.13</v>
      </c>
      <c r="S8">
        <v>7.19</v>
      </c>
      <c r="T8">
        <v>7.96</v>
      </c>
      <c r="U8">
        <v>8.5399999999999991</v>
      </c>
      <c r="V8">
        <v>8.32</v>
      </c>
      <c r="W8">
        <v>8.1999999999999993</v>
      </c>
      <c r="X8">
        <v>7.6</v>
      </c>
      <c r="Y8">
        <v>7.55</v>
      </c>
      <c r="Z8">
        <v>7.85</v>
      </c>
      <c r="AA8">
        <v>8.7799999999999994</v>
      </c>
      <c r="AB8">
        <v>9.06</v>
      </c>
      <c r="AC8">
        <v>10.08</v>
      </c>
      <c r="AD8">
        <v>10.84</v>
      </c>
      <c r="AE8">
        <v>10.4</v>
      </c>
      <c r="AF8">
        <v>9.6199999999999992</v>
      </c>
      <c r="AG8">
        <v>10.18</v>
      </c>
      <c r="AH8">
        <v>10.039999999999999</v>
      </c>
      <c r="AI8">
        <v>10.039999999999999</v>
      </c>
      <c r="AJ8">
        <v>9.82</v>
      </c>
      <c r="AK8">
        <v>12.51</v>
      </c>
      <c r="AL8">
        <v>12.26</v>
      </c>
      <c r="AM8">
        <v>11.67</v>
      </c>
      <c r="AO8">
        <v>11.12</v>
      </c>
      <c r="AP8">
        <v>10.37</v>
      </c>
      <c r="AQ8">
        <v>10.49</v>
      </c>
      <c r="AR8">
        <v>10.58</v>
      </c>
      <c r="AS8">
        <v>10.02</v>
      </c>
    </row>
    <row r="9" spans="1:183" x14ac:dyDescent="0.45">
      <c r="B9" t="s">
        <v>27</v>
      </c>
      <c r="C9" cm="1">
        <f t="array" ref="C9">LOOKUP(2,1/(I9:GA9&lt;&gt;""),I9:GA9)</f>
        <v>9.2200000000000006</v>
      </c>
      <c r="D9" cm="1">
        <f t="array" ref="D9">SUMPRODUCT(MAX((I9:GA9&lt;&gt;"")*COLUMN(I9:GA9)))</f>
        <v>45</v>
      </c>
      <c r="F9" s="4">
        <f t="shared" si="0"/>
        <v>1.5971830985915496</v>
      </c>
      <c r="G9" s="3" cm="1">
        <f t="array" ref="G9">(C9-IF(ISNA(INDEX(I9:GA9,D9-22)),INDEX(I9:GA9,D9-23),INDEX(I9:GA9,D9-22)))/IF(ISNA(INDEX(I9:GA9,D9-22)),INDEX(I9:GA9,D9-23),INDEX(I9:GA9,D9-22))</f>
        <v>-3.3542976939203203E-2</v>
      </c>
      <c r="I9">
        <v>3.55</v>
      </c>
      <c r="J9">
        <v>3.44</v>
      </c>
      <c r="L9">
        <v>3.96</v>
      </c>
      <c r="N9">
        <v>4.43</v>
      </c>
      <c r="O9">
        <v>4.51</v>
      </c>
      <c r="P9">
        <v>6.71</v>
      </c>
      <c r="Q9">
        <v>7.22</v>
      </c>
      <c r="R9">
        <v>6.07</v>
      </c>
      <c r="S9">
        <v>6.58</v>
      </c>
      <c r="T9">
        <v>7.49</v>
      </c>
      <c r="U9">
        <v>8.1300000000000008</v>
      </c>
      <c r="V9">
        <v>8.51</v>
      </c>
      <c r="W9">
        <v>7.87</v>
      </c>
      <c r="X9">
        <v>7.56</v>
      </c>
      <c r="Y9">
        <v>6.94</v>
      </c>
      <c r="Z9">
        <v>7.04</v>
      </c>
      <c r="AA9">
        <v>7.9</v>
      </c>
      <c r="AB9">
        <v>9.69</v>
      </c>
      <c r="AC9">
        <v>9.7200000000000006</v>
      </c>
      <c r="AD9">
        <v>11.1</v>
      </c>
      <c r="AE9">
        <v>9.5399999999999991</v>
      </c>
      <c r="AF9">
        <v>9.2799999999999994</v>
      </c>
      <c r="AG9">
        <v>9.11</v>
      </c>
      <c r="AH9">
        <v>9.44</v>
      </c>
      <c r="AI9">
        <v>9.5500000000000007</v>
      </c>
      <c r="AJ9">
        <v>9.57</v>
      </c>
      <c r="AK9">
        <v>9.67</v>
      </c>
      <c r="AL9">
        <v>10.42</v>
      </c>
      <c r="AM9">
        <v>9.52</v>
      </c>
      <c r="AO9">
        <v>9.56</v>
      </c>
      <c r="AP9">
        <v>9.1300000000000008</v>
      </c>
      <c r="AQ9">
        <v>9.27</v>
      </c>
      <c r="AR9">
        <v>9.51</v>
      </c>
      <c r="AS9">
        <v>9.2200000000000006</v>
      </c>
    </row>
    <row r="13" spans="1:183" x14ac:dyDescent="0.45">
      <c r="A13" s="2" t="s">
        <v>28</v>
      </c>
    </row>
    <row r="14" spans="1:183" x14ac:dyDescent="0.45">
      <c r="I14" s="1">
        <f>I2</f>
        <v>44331</v>
      </c>
      <c r="J14" s="1">
        <f t="shared" ref="J14:BU14" si="1">J2</f>
        <v>44332</v>
      </c>
      <c r="K14" s="1">
        <f t="shared" si="1"/>
        <v>44333</v>
      </c>
      <c r="L14" s="1">
        <f t="shared" si="1"/>
        <v>44334</v>
      </c>
      <c r="M14" s="1">
        <f t="shared" si="1"/>
        <v>44335</v>
      </c>
      <c r="N14" s="1">
        <f t="shared" si="1"/>
        <v>44336</v>
      </c>
      <c r="O14" s="1">
        <f t="shared" si="1"/>
        <v>44337</v>
      </c>
      <c r="P14" s="1">
        <f t="shared" si="1"/>
        <v>44338</v>
      </c>
      <c r="Q14" s="1">
        <f t="shared" si="1"/>
        <v>44339</v>
      </c>
      <c r="R14" s="1">
        <f t="shared" si="1"/>
        <v>44340</v>
      </c>
      <c r="S14" s="1">
        <f t="shared" si="1"/>
        <v>44341</v>
      </c>
      <c r="T14" s="1">
        <f t="shared" si="1"/>
        <v>44342</v>
      </c>
      <c r="U14" s="1">
        <f t="shared" si="1"/>
        <v>44343</v>
      </c>
      <c r="V14" s="1">
        <f t="shared" si="1"/>
        <v>44344</v>
      </c>
      <c r="W14" s="1">
        <f t="shared" si="1"/>
        <v>44345</v>
      </c>
      <c r="X14" s="1">
        <f t="shared" si="1"/>
        <v>44346</v>
      </c>
      <c r="Y14" s="1">
        <f t="shared" si="1"/>
        <v>44347</v>
      </c>
      <c r="Z14" s="1">
        <f t="shared" si="1"/>
        <v>44348</v>
      </c>
      <c r="AA14" s="1">
        <f t="shared" si="1"/>
        <v>44349</v>
      </c>
      <c r="AB14" s="1">
        <f t="shared" si="1"/>
        <v>44350</v>
      </c>
      <c r="AC14" s="1">
        <f t="shared" si="1"/>
        <v>44351</v>
      </c>
      <c r="AD14" s="1">
        <f t="shared" si="1"/>
        <v>44352</v>
      </c>
      <c r="AE14" s="1">
        <f t="shared" si="1"/>
        <v>44353</v>
      </c>
      <c r="AF14" s="1">
        <f t="shared" si="1"/>
        <v>44354</v>
      </c>
      <c r="AG14" s="1">
        <f t="shared" si="1"/>
        <v>44355</v>
      </c>
      <c r="AH14" s="1">
        <f t="shared" si="1"/>
        <v>44356</v>
      </c>
      <c r="AI14" s="1">
        <f t="shared" si="1"/>
        <v>44357</v>
      </c>
      <c r="AJ14" s="1">
        <f t="shared" si="1"/>
        <v>44358</v>
      </c>
      <c r="AK14" s="1">
        <f t="shared" si="1"/>
        <v>44359</v>
      </c>
      <c r="AL14" s="1">
        <f t="shared" si="1"/>
        <v>44360</v>
      </c>
      <c r="AM14" s="1">
        <f t="shared" si="1"/>
        <v>44361</v>
      </c>
      <c r="AN14" s="1">
        <f t="shared" si="1"/>
        <v>44362</v>
      </c>
      <c r="AO14" s="1">
        <f t="shared" si="1"/>
        <v>44363</v>
      </c>
      <c r="AP14" s="1">
        <f t="shared" si="1"/>
        <v>44364</v>
      </c>
      <c r="AQ14" s="1">
        <f t="shared" si="1"/>
        <v>44365</v>
      </c>
      <c r="AR14" s="1">
        <f t="shared" si="1"/>
        <v>44366</v>
      </c>
      <c r="AS14" s="1">
        <f t="shared" si="1"/>
        <v>44367</v>
      </c>
      <c r="AT14" s="1">
        <f t="shared" si="1"/>
        <v>44368</v>
      </c>
      <c r="AU14" s="1">
        <f t="shared" si="1"/>
        <v>44369</v>
      </c>
      <c r="AV14" s="1">
        <f t="shared" si="1"/>
        <v>44370</v>
      </c>
      <c r="AW14" s="1">
        <f t="shared" si="1"/>
        <v>44371</v>
      </c>
      <c r="AX14" s="1">
        <f t="shared" si="1"/>
        <v>44372</v>
      </c>
      <c r="AY14" s="1">
        <f t="shared" si="1"/>
        <v>44373</v>
      </c>
      <c r="AZ14" s="1">
        <f t="shared" si="1"/>
        <v>44374</v>
      </c>
      <c r="BA14" s="1">
        <f t="shared" si="1"/>
        <v>44375</v>
      </c>
      <c r="BB14" s="1">
        <f t="shared" si="1"/>
        <v>44376</v>
      </c>
      <c r="BC14" s="1">
        <f t="shared" si="1"/>
        <v>44377</v>
      </c>
      <c r="BD14" s="1">
        <f t="shared" si="1"/>
        <v>44378</v>
      </c>
      <c r="BE14" s="1">
        <f t="shared" si="1"/>
        <v>44379</v>
      </c>
      <c r="BF14" s="1">
        <f t="shared" si="1"/>
        <v>44380</v>
      </c>
      <c r="BG14" s="1">
        <f t="shared" si="1"/>
        <v>44381</v>
      </c>
      <c r="BH14" s="1">
        <f t="shared" si="1"/>
        <v>44382</v>
      </c>
      <c r="BI14" s="1">
        <f t="shared" si="1"/>
        <v>44383</v>
      </c>
      <c r="BJ14" s="1">
        <f t="shared" si="1"/>
        <v>44384</v>
      </c>
      <c r="BK14" s="1">
        <f t="shared" si="1"/>
        <v>44385</v>
      </c>
      <c r="BL14" s="1">
        <f t="shared" si="1"/>
        <v>44386</v>
      </c>
      <c r="BM14" s="1">
        <f t="shared" si="1"/>
        <v>44387</v>
      </c>
      <c r="BN14" s="1">
        <f t="shared" si="1"/>
        <v>44388</v>
      </c>
      <c r="BO14" s="1">
        <f t="shared" si="1"/>
        <v>44389</v>
      </c>
      <c r="BP14" s="1">
        <f t="shared" si="1"/>
        <v>44390</v>
      </c>
      <c r="BQ14" s="1">
        <f t="shared" si="1"/>
        <v>44391</v>
      </c>
      <c r="BR14" s="1">
        <f t="shared" si="1"/>
        <v>44392</v>
      </c>
      <c r="BS14" s="1">
        <f t="shared" si="1"/>
        <v>44393</v>
      </c>
      <c r="BT14" s="1">
        <f t="shared" si="1"/>
        <v>44394</v>
      </c>
      <c r="BU14" s="1">
        <f t="shared" si="1"/>
        <v>44395</v>
      </c>
      <c r="BV14" s="1">
        <f t="shared" ref="BV14:EG14" si="2">BV2</f>
        <v>44396</v>
      </c>
      <c r="BW14" s="1">
        <f t="shared" si="2"/>
        <v>44397</v>
      </c>
      <c r="BX14" s="1">
        <f t="shared" si="2"/>
        <v>44398</v>
      </c>
      <c r="BY14" s="1">
        <f t="shared" si="2"/>
        <v>44399</v>
      </c>
      <c r="BZ14" s="1">
        <f t="shared" si="2"/>
        <v>44400</v>
      </c>
      <c r="CA14" s="1">
        <f t="shared" si="2"/>
        <v>44401</v>
      </c>
      <c r="CB14" s="1">
        <f t="shared" si="2"/>
        <v>44402</v>
      </c>
      <c r="CC14" s="1">
        <f t="shared" si="2"/>
        <v>44403</v>
      </c>
      <c r="CD14" s="1">
        <f t="shared" si="2"/>
        <v>44404</v>
      </c>
      <c r="CE14" s="1">
        <f t="shared" si="2"/>
        <v>44405</v>
      </c>
      <c r="CF14" s="1">
        <f t="shared" si="2"/>
        <v>44406</v>
      </c>
      <c r="CG14" s="1">
        <f t="shared" si="2"/>
        <v>44407</v>
      </c>
      <c r="CH14" s="1">
        <f t="shared" si="2"/>
        <v>44408</v>
      </c>
      <c r="CI14" s="1">
        <f t="shared" si="2"/>
        <v>44409</v>
      </c>
      <c r="CJ14" s="1">
        <f t="shared" si="2"/>
        <v>44410</v>
      </c>
      <c r="CK14" s="1">
        <f t="shared" si="2"/>
        <v>44411</v>
      </c>
      <c r="CL14" s="1">
        <f t="shared" si="2"/>
        <v>44412</v>
      </c>
      <c r="CM14" s="1">
        <f t="shared" si="2"/>
        <v>44413</v>
      </c>
      <c r="CN14" s="1">
        <f t="shared" si="2"/>
        <v>44414</v>
      </c>
      <c r="CO14" s="1">
        <f t="shared" si="2"/>
        <v>44415</v>
      </c>
      <c r="CP14" s="1">
        <f t="shared" si="2"/>
        <v>44416</v>
      </c>
      <c r="CQ14" s="1">
        <f t="shared" si="2"/>
        <v>44417</v>
      </c>
      <c r="CR14" s="1">
        <f t="shared" si="2"/>
        <v>44418</v>
      </c>
      <c r="CS14" s="1">
        <f t="shared" si="2"/>
        <v>44419</v>
      </c>
      <c r="CT14" s="1">
        <f t="shared" si="2"/>
        <v>44420</v>
      </c>
      <c r="CU14" s="1">
        <f t="shared" si="2"/>
        <v>44421</v>
      </c>
      <c r="CV14" s="1">
        <f t="shared" si="2"/>
        <v>44422</v>
      </c>
      <c r="CW14" s="1">
        <f t="shared" si="2"/>
        <v>44423</v>
      </c>
      <c r="CX14" s="1">
        <f t="shared" si="2"/>
        <v>44424</v>
      </c>
      <c r="CY14" s="1">
        <f t="shared" si="2"/>
        <v>44425</v>
      </c>
      <c r="CZ14" s="1">
        <f t="shared" si="2"/>
        <v>44426</v>
      </c>
      <c r="DA14" s="1">
        <f t="shared" si="2"/>
        <v>44427</v>
      </c>
      <c r="DB14" s="1">
        <f t="shared" si="2"/>
        <v>44428</v>
      </c>
      <c r="DC14" s="1">
        <f t="shared" si="2"/>
        <v>44429</v>
      </c>
      <c r="DD14" s="1">
        <f t="shared" si="2"/>
        <v>44430</v>
      </c>
      <c r="DE14" s="1">
        <f t="shared" si="2"/>
        <v>44431</v>
      </c>
      <c r="DF14" s="1">
        <f t="shared" si="2"/>
        <v>44432</v>
      </c>
      <c r="DG14" s="1">
        <f t="shared" si="2"/>
        <v>44433</v>
      </c>
      <c r="DH14" s="1">
        <f t="shared" si="2"/>
        <v>44434</v>
      </c>
      <c r="DI14" s="1">
        <f t="shared" si="2"/>
        <v>44435</v>
      </c>
      <c r="DJ14" s="1">
        <f t="shared" si="2"/>
        <v>44436</v>
      </c>
      <c r="DK14" s="1">
        <f t="shared" si="2"/>
        <v>44437</v>
      </c>
      <c r="DL14" s="1">
        <f t="shared" si="2"/>
        <v>44438</v>
      </c>
      <c r="DM14" s="1">
        <f t="shared" si="2"/>
        <v>44439</v>
      </c>
      <c r="DN14" s="1">
        <f t="shared" si="2"/>
        <v>44440</v>
      </c>
      <c r="DO14" s="1">
        <f t="shared" si="2"/>
        <v>44441</v>
      </c>
      <c r="DP14" s="1">
        <f t="shared" si="2"/>
        <v>44442</v>
      </c>
      <c r="DQ14" s="1">
        <f t="shared" si="2"/>
        <v>44443</v>
      </c>
      <c r="DR14" s="1">
        <f t="shared" si="2"/>
        <v>44444</v>
      </c>
      <c r="DS14" s="1">
        <f t="shared" si="2"/>
        <v>44445</v>
      </c>
      <c r="DT14" s="1">
        <f t="shared" si="2"/>
        <v>44446</v>
      </c>
      <c r="DU14" s="1">
        <f t="shared" si="2"/>
        <v>44447</v>
      </c>
      <c r="DV14" s="1">
        <f t="shared" si="2"/>
        <v>44448</v>
      </c>
      <c r="DW14" s="1">
        <f t="shared" si="2"/>
        <v>44449</v>
      </c>
      <c r="DX14" s="1">
        <f t="shared" si="2"/>
        <v>44450</v>
      </c>
      <c r="DY14" s="1">
        <f t="shared" si="2"/>
        <v>44451</v>
      </c>
      <c r="DZ14" s="1">
        <f t="shared" si="2"/>
        <v>44452</v>
      </c>
      <c r="EA14" s="1">
        <f t="shared" si="2"/>
        <v>44453</v>
      </c>
      <c r="EB14" s="1">
        <f t="shared" si="2"/>
        <v>44454</v>
      </c>
      <c r="EC14" s="1">
        <f t="shared" si="2"/>
        <v>44455</v>
      </c>
      <c r="ED14" s="1">
        <f t="shared" si="2"/>
        <v>44456</v>
      </c>
      <c r="EE14" s="1">
        <f t="shared" si="2"/>
        <v>44457</v>
      </c>
      <c r="EF14" s="1">
        <f t="shared" si="2"/>
        <v>44458</v>
      </c>
      <c r="EG14" s="1">
        <f t="shared" si="2"/>
        <v>44459</v>
      </c>
      <c r="EH14" s="1">
        <f t="shared" ref="EH14:GA14" si="3">EH2</f>
        <v>44460</v>
      </c>
      <c r="EI14" s="1">
        <f t="shared" si="3"/>
        <v>44461</v>
      </c>
      <c r="EJ14" s="1">
        <f t="shared" si="3"/>
        <v>44462</v>
      </c>
      <c r="EK14" s="1">
        <f t="shared" si="3"/>
        <v>44463</v>
      </c>
      <c r="EL14" s="1">
        <f t="shared" si="3"/>
        <v>44464</v>
      </c>
      <c r="EM14" s="1">
        <f t="shared" si="3"/>
        <v>44465</v>
      </c>
      <c r="EN14" s="1">
        <f t="shared" si="3"/>
        <v>44466</v>
      </c>
      <c r="EO14" s="1">
        <f t="shared" si="3"/>
        <v>44467</v>
      </c>
      <c r="EP14" s="1">
        <f t="shared" si="3"/>
        <v>44468</v>
      </c>
      <c r="EQ14" s="1">
        <f t="shared" si="3"/>
        <v>44469</v>
      </c>
      <c r="ER14" s="1">
        <f t="shared" si="3"/>
        <v>44470</v>
      </c>
      <c r="ES14" s="1">
        <f t="shared" si="3"/>
        <v>44471</v>
      </c>
      <c r="ET14" s="1">
        <f t="shared" si="3"/>
        <v>44472</v>
      </c>
      <c r="EU14" s="1">
        <f t="shared" si="3"/>
        <v>44473</v>
      </c>
      <c r="EV14" s="1">
        <f t="shared" si="3"/>
        <v>44474</v>
      </c>
      <c r="EW14" s="1">
        <f t="shared" si="3"/>
        <v>44475</v>
      </c>
      <c r="EX14" s="1">
        <f t="shared" si="3"/>
        <v>44476</v>
      </c>
      <c r="EY14" s="1">
        <f t="shared" si="3"/>
        <v>44477</v>
      </c>
      <c r="EZ14" s="1">
        <f t="shared" si="3"/>
        <v>44478</v>
      </c>
      <c r="FA14" s="1">
        <f t="shared" si="3"/>
        <v>44479</v>
      </c>
      <c r="FB14" s="1">
        <f t="shared" si="3"/>
        <v>44480</v>
      </c>
      <c r="FC14" s="1">
        <f t="shared" si="3"/>
        <v>44481</v>
      </c>
      <c r="FD14" s="1">
        <f t="shared" si="3"/>
        <v>44482</v>
      </c>
      <c r="FE14" s="1">
        <f t="shared" si="3"/>
        <v>44483</v>
      </c>
      <c r="FF14" s="1">
        <f t="shared" si="3"/>
        <v>44484</v>
      </c>
      <c r="FG14" s="1">
        <f t="shared" si="3"/>
        <v>44485</v>
      </c>
      <c r="FH14" s="1">
        <f t="shared" si="3"/>
        <v>44486</v>
      </c>
      <c r="FI14" s="1">
        <f t="shared" si="3"/>
        <v>44487</v>
      </c>
      <c r="FJ14" s="1">
        <f t="shared" si="3"/>
        <v>44488</v>
      </c>
      <c r="FK14" s="1">
        <f t="shared" si="3"/>
        <v>44489</v>
      </c>
      <c r="FL14" s="1">
        <f t="shared" si="3"/>
        <v>44490</v>
      </c>
      <c r="FM14" s="1">
        <f t="shared" si="3"/>
        <v>44491</v>
      </c>
      <c r="FN14" s="1">
        <f t="shared" si="3"/>
        <v>44492</v>
      </c>
      <c r="FO14" s="1">
        <f t="shared" si="3"/>
        <v>44493</v>
      </c>
      <c r="FP14" s="1">
        <f t="shared" si="3"/>
        <v>44494</v>
      </c>
      <c r="FQ14" s="1">
        <f t="shared" si="3"/>
        <v>44495</v>
      </c>
      <c r="FR14" s="1">
        <f t="shared" si="3"/>
        <v>44496</v>
      </c>
      <c r="FS14" s="1">
        <f t="shared" si="3"/>
        <v>44497</v>
      </c>
      <c r="FT14" s="1">
        <f t="shared" si="3"/>
        <v>44498</v>
      </c>
      <c r="FU14" s="1">
        <f t="shared" si="3"/>
        <v>44499</v>
      </c>
      <c r="FV14" s="1">
        <f t="shared" si="3"/>
        <v>44500</v>
      </c>
      <c r="FW14" s="1">
        <f t="shared" si="3"/>
        <v>44501</v>
      </c>
      <c r="FX14" s="1">
        <f t="shared" si="3"/>
        <v>44502</v>
      </c>
      <c r="FY14" s="1">
        <f t="shared" si="3"/>
        <v>44503</v>
      </c>
      <c r="FZ14" s="1">
        <f t="shared" si="3"/>
        <v>44504</v>
      </c>
      <c r="GA14" s="1">
        <f t="shared" si="3"/>
        <v>44505</v>
      </c>
    </row>
    <row r="15" spans="1:183" x14ac:dyDescent="0.45">
      <c r="B15" t="s">
        <v>21</v>
      </c>
      <c r="C15" cm="1">
        <f t="array" ref="C15">LOOKUP(2,1/(I15:GA15&lt;&gt;""),I15:GA15)</f>
        <v>7.48</v>
      </c>
      <c r="D15">
        <f>D$9</f>
        <v>45</v>
      </c>
      <c r="F15" s="4">
        <f t="shared" ref="F15" si="4">(C15-I15)/I15</f>
        <v>1.2735562310030402</v>
      </c>
      <c r="G15" s="3" cm="1">
        <f t="array" ref="G15">(C15-IF(ISNA(INDEX(I15:GA15,D15-22)),INDEX(I15:GA15,D15-23),INDEX(I15:GA15,D15-22)))/IF(ISNA(INDEX(I15:GA15,D15-22)),INDEX(I15:GA15,D15-23),INDEX(I15:GA15,D15-22))</f>
        <v>-7.881773399014784E-2</v>
      </c>
      <c r="I15">
        <f>IF(I3=0,NA(),I3-ROUNDUP(I3*0.1,2)-ROUNDUP(I3*0.05,2))</f>
        <v>3.2899999999999996</v>
      </c>
      <c r="J15">
        <f t="shared" ref="J15:BU15" si="5">IF(J3=0,NA(),J3-ROUNDUP(J3*0.1,2)-ROUNDUP(J3*0.05,2))</f>
        <v>3.12</v>
      </c>
      <c r="K15" t="e">
        <f t="shared" si="5"/>
        <v>#N/A</v>
      </c>
      <c r="L15">
        <f t="shared" si="5"/>
        <v>3.35</v>
      </c>
      <c r="M15" t="e">
        <f t="shared" si="5"/>
        <v>#N/A</v>
      </c>
      <c r="N15">
        <f t="shared" si="5"/>
        <v>3.77</v>
      </c>
      <c r="O15">
        <f t="shared" si="5"/>
        <v>3.73</v>
      </c>
      <c r="P15">
        <f t="shared" si="5"/>
        <v>5.0900000000000007</v>
      </c>
      <c r="Q15">
        <f t="shared" si="5"/>
        <v>5</v>
      </c>
      <c r="R15">
        <f t="shared" si="5"/>
        <v>5.52</v>
      </c>
      <c r="S15">
        <f t="shared" si="5"/>
        <v>5.54</v>
      </c>
      <c r="T15">
        <f t="shared" si="5"/>
        <v>6.5200000000000005</v>
      </c>
      <c r="U15">
        <f t="shared" si="5"/>
        <v>7.379999999999999</v>
      </c>
      <c r="V15">
        <f t="shared" si="5"/>
        <v>7.3</v>
      </c>
      <c r="W15">
        <f t="shared" si="5"/>
        <v>6.55</v>
      </c>
      <c r="X15">
        <f t="shared" si="5"/>
        <v>6.14</v>
      </c>
      <c r="Y15">
        <f t="shared" si="5"/>
        <v>5.82</v>
      </c>
      <c r="Z15">
        <f t="shared" si="5"/>
        <v>6.5600000000000005</v>
      </c>
      <c r="AA15">
        <f t="shared" si="5"/>
        <v>7.29</v>
      </c>
      <c r="AB15">
        <f t="shared" si="5"/>
        <v>7.6800000000000006</v>
      </c>
      <c r="AC15">
        <f t="shared" si="5"/>
        <v>7.9200000000000008</v>
      </c>
      <c r="AD15">
        <f t="shared" si="5"/>
        <v>9.2999999999999989</v>
      </c>
      <c r="AE15">
        <f t="shared" si="5"/>
        <v>8.120000000000001</v>
      </c>
      <c r="AF15">
        <f t="shared" si="5"/>
        <v>8.0500000000000007</v>
      </c>
      <c r="AG15">
        <f t="shared" si="5"/>
        <v>8.129999999999999</v>
      </c>
      <c r="AH15">
        <f t="shared" si="5"/>
        <v>8.0799999999999983</v>
      </c>
      <c r="AI15">
        <f t="shared" si="5"/>
        <v>8.07</v>
      </c>
      <c r="AJ15">
        <f t="shared" si="5"/>
        <v>7.8500000000000005</v>
      </c>
      <c r="AK15">
        <f t="shared" si="5"/>
        <v>8.2399999999999984</v>
      </c>
      <c r="AL15">
        <f t="shared" si="5"/>
        <v>8.4600000000000009</v>
      </c>
      <c r="AM15">
        <f t="shared" si="5"/>
        <v>8.2399999999999984</v>
      </c>
      <c r="AN15" t="e">
        <f t="shared" si="5"/>
        <v>#N/A</v>
      </c>
      <c r="AO15">
        <f t="shared" si="5"/>
        <v>8.27</v>
      </c>
      <c r="AP15">
        <f t="shared" si="5"/>
        <v>8.1499999999999986</v>
      </c>
      <c r="AQ15">
        <f t="shared" si="5"/>
        <v>7.7600000000000007</v>
      </c>
      <c r="AR15">
        <f t="shared" si="5"/>
        <v>7.830000000000001</v>
      </c>
      <c r="AS15">
        <f t="shared" si="5"/>
        <v>7.48</v>
      </c>
      <c r="AT15" t="e">
        <f t="shared" si="5"/>
        <v>#N/A</v>
      </c>
      <c r="AU15" t="e">
        <f t="shared" si="5"/>
        <v>#N/A</v>
      </c>
      <c r="AV15" t="e">
        <f t="shared" si="5"/>
        <v>#N/A</v>
      </c>
      <c r="AW15" t="e">
        <f t="shared" si="5"/>
        <v>#N/A</v>
      </c>
      <c r="AX15" t="e">
        <f t="shared" si="5"/>
        <v>#N/A</v>
      </c>
      <c r="AY15" t="e">
        <f t="shared" si="5"/>
        <v>#N/A</v>
      </c>
      <c r="AZ15" t="e">
        <f t="shared" si="5"/>
        <v>#N/A</v>
      </c>
      <c r="BA15" t="e">
        <f t="shared" si="5"/>
        <v>#N/A</v>
      </c>
      <c r="BB15" t="e">
        <f t="shared" si="5"/>
        <v>#N/A</v>
      </c>
      <c r="BC15" t="e">
        <f t="shared" si="5"/>
        <v>#N/A</v>
      </c>
      <c r="BD15" t="e">
        <f t="shared" si="5"/>
        <v>#N/A</v>
      </c>
      <c r="BE15" t="e">
        <f t="shared" si="5"/>
        <v>#N/A</v>
      </c>
      <c r="BF15" t="e">
        <f t="shared" si="5"/>
        <v>#N/A</v>
      </c>
      <c r="BG15" t="e">
        <f t="shared" si="5"/>
        <v>#N/A</v>
      </c>
      <c r="BH15" t="e">
        <f t="shared" si="5"/>
        <v>#N/A</v>
      </c>
      <c r="BI15" t="e">
        <f t="shared" si="5"/>
        <v>#N/A</v>
      </c>
      <c r="BJ15" t="e">
        <f t="shared" si="5"/>
        <v>#N/A</v>
      </c>
      <c r="BK15" t="e">
        <f t="shared" si="5"/>
        <v>#N/A</v>
      </c>
      <c r="BL15" t="e">
        <f t="shared" si="5"/>
        <v>#N/A</v>
      </c>
      <c r="BM15" t="e">
        <f t="shared" si="5"/>
        <v>#N/A</v>
      </c>
      <c r="BN15" t="e">
        <f t="shared" si="5"/>
        <v>#N/A</v>
      </c>
      <c r="BO15" t="e">
        <f t="shared" si="5"/>
        <v>#N/A</v>
      </c>
      <c r="BP15" t="e">
        <f t="shared" si="5"/>
        <v>#N/A</v>
      </c>
      <c r="BQ15" t="e">
        <f t="shared" si="5"/>
        <v>#N/A</v>
      </c>
      <c r="BR15" t="e">
        <f t="shared" si="5"/>
        <v>#N/A</v>
      </c>
      <c r="BS15" t="e">
        <f t="shared" si="5"/>
        <v>#N/A</v>
      </c>
      <c r="BT15" t="e">
        <f t="shared" si="5"/>
        <v>#N/A</v>
      </c>
      <c r="BU15" t="e">
        <f t="shared" si="5"/>
        <v>#N/A</v>
      </c>
      <c r="BV15" t="e">
        <f t="shared" ref="BV15:EG15" si="6">IF(BV3=0,NA(),BV3-ROUNDUP(BV3*0.1,2)-ROUNDUP(BV3*0.05,2))</f>
        <v>#N/A</v>
      </c>
      <c r="BW15" t="e">
        <f t="shared" si="6"/>
        <v>#N/A</v>
      </c>
      <c r="BX15" t="e">
        <f t="shared" si="6"/>
        <v>#N/A</v>
      </c>
      <c r="BY15" t="e">
        <f t="shared" si="6"/>
        <v>#N/A</v>
      </c>
      <c r="BZ15" t="e">
        <f t="shared" si="6"/>
        <v>#N/A</v>
      </c>
      <c r="CA15" t="e">
        <f t="shared" si="6"/>
        <v>#N/A</v>
      </c>
      <c r="CB15" t="e">
        <f t="shared" si="6"/>
        <v>#N/A</v>
      </c>
      <c r="CC15" t="e">
        <f t="shared" si="6"/>
        <v>#N/A</v>
      </c>
      <c r="CD15" t="e">
        <f t="shared" si="6"/>
        <v>#N/A</v>
      </c>
      <c r="CE15" t="e">
        <f t="shared" si="6"/>
        <v>#N/A</v>
      </c>
      <c r="CF15" t="e">
        <f t="shared" si="6"/>
        <v>#N/A</v>
      </c>
      <c r="CG15" t="e">
        <f t="shared" si="6"/>
        <v>#N/A</v>
      </c>
      <c r="CH15" t="e">
        <f t="shared" si="6"/>
        <v>#N/A</v>
      </c>
      <c r="CI15" t="e">
        <f t="shared" si="6"/>
        <v>#N/A</v>
      </c>
      <c r="CJ15" t="e">
        <f t="shared" si="6"/>
        <v>#N/A</v>
      </c>
      <c r="CK15" t="e">
        <f t="shared" si="6"/>
        <v>#N/A</v>
      </c>
      <c r="CL15" t="e">
        <f t="shared" si="6"/>
        <v>#N/A</v>
      </c>
      <c r="CM15" t="e">
        <f t="shared" si="6"/>
        <v>#N/A</v>
      </c>
      <c r="CN15" t="e">
        <f t="shared" si="6"/>
        <v>#N/A</v>
      </c>
      <c r="CO15" t="e">
        <f t="shared" si="6"/>
        <v>#N/A</v>
      </c>
      <c r="CP15" t="e">
        <f t="shared" si="6"/>
        <v>#N/A</v>
      </c>
      <c r="CQ15" t="e">
        <f t="shared" si="6"/>
        <v>#N/A</v>
      </c>
      <c r="CR15" t="e">
        <f t="shared" si="6"/>
        <v>#N/A</v>
      </c>
      <c r="CS15" t="e">
        <f t="shared" si="6"/>
        <v>#N/A</v>
      </c>
      <c r="CT15" t="e">
        <f t="shared" si="6"/>
        <v>#N/A</v>
      </c>
      <c r="CU15" t="e">
        <f t="shared" si="6"/>
        <v>#N/A</v>
      </c>
      <c r="CV15" t="e">
        <f t="shared" si="6"/>
        <v>#N/A</v>
      </c>
      <c r="CW15" t="e">
        <f t="shared" si="6"/>
        <v>#N/A</v>
      </c>
      <c r="CX15" t="e">
        <f t="shared" si="6"/>
        <v>#N/A</v>
      </c>
      <c r="CY15" t="e">
        <f t="shared" si="6"/>
        <v>#N/A</v>
      </c>
      <c r="CZ15" t="e">
        <f t="shared" si="6"/>
        <v>#N/A</v>
      </c>
      <c r="DA15" t="e">
        <f t="shared" si="6"/>
        <v>#N/A</v>
      </c>
      <c r="DB15" t="e">
        <f t="shared" si="6"/>
        <v>#N/A</v>
      </c>
      <c r="DC15" t="e">
        <f t="shared" si="6"/>
        <v>#N/A</v>
      </c>
      <c r="DD15" t="e">
        <f t="shared" si="6"/>
        <v>#N/A</v>
      </c>
      <c r="DE15" t="e">
        <f t="shared" si="6"/>
        <v>#N/A</v>
      </c>
      <c r="DF15" t="e">
        <f t="shared" si="6"/>
        <v>#N/A</v>
      </c>
      <c r="DG15" t="e">
        <f t="shared" si="6"/>
        <v>#N/A</v>
      </c>
      <c r="DH15" t="e">
        <f t="shared" si="6"/>
        <v>#N/A</v>
      </c>
      <c r="DI15" t="e">
        <f t="shared" si="6"/>
        <v>#N/A</v>
      </c>
      <c r="DJ15" t="e">
        <f t="shared" si="6"/>
        <v>#N/A</v>
      </c>
      <c r="DK15" t="e">
        <f t="shared" si="6"/>
        <v>#N/A</v>
      </c>
      <c r="DL15" t="e">
        <f t="shared" si="6"/>
        <v>#N/A</v>
      </c>
      <c r="DM15" t="e">
        <f t="shared" si="6"/>
        <v>#N/A</v>
      </c>
      <c r="DN15" t="e">
        <f t="shared" si="6"/>
        <v>#N/A</v>
      </c>
      <c r="DO15" t="e">
        <f t="shared" si="6"/>
        <v>#N/A</v>
      </c>
      <c r="DP15" t="e">
        <f t="shared" si="6"/>
        <v>#N/A</v>
      </c>
      <c r="DQ15" t="e">
        <f t="shared" si="6"/>
        <v>#N/A</v>
      </c>
      <c r="DR15" t="e">
        <f t="shared" si="6"/>
        <v>#N/A</v>
      </c>
      <c r="DS15" t="e">
        <f t="shared" si="6"/>
        <v>#N/A</v>
      </c>
      <c r="DT15" t="e">
        <f t="shared" si="6"/>
        <v>#N/A</v>
      </c>
      <c r="DU15" t="e">
        <f t="shared" si="6"/>
        <v>#N/A</v>
      </c>
      <c r="DV15" t="e">
        <f t="shared" si="6"/>
        <v>#N/A</v>
      </c>
      <c r="DW15" t="e">
        <f t="shared" si="6"/>
        <v>#N/A</v>
      </c>
      <c r="DX15" t="e">
        <f t="shared" si="6"/>
        <v>#N/A</v>
      </c>
      <c r="DY15" t="e">
        <f t="shared" si="6"/>
        <v>#N/A</v>
      </c>
      <c r="DZ15" t="e">
        <f t="shared" si="6"/>
        <v>#N/A</v>
      </c>
      <c r="EA15" t="e">
        <f t="shared" si="6"/>
        <v>#N/A</v>
      </c>
      <c r="EB15" t="e">
        <f t="shared" si="6"/>
        <v>#N/A</v>
      </c>
      <c r="EC15" t="e">
        <f t="shared" si="6"/>
        <v>#N/A</v>
      </c>
      <c r="ED15" t="e">
        <f t="shared" si="6"/>
        <v>#N/A</v>
      </c>
      <c r="EE15" t="e">
        <f t="shared" si="6"/>
        <v>#N/A</v>
      </c>
      <c r="EF15" t="e">
        <f t="shared" si="6"/>
        <v>#N/A</v>
      </c>
      <c r="EG15" t="e">
        <f t="shared" si="6"/>
        <v>#N/A</v>
      </c>
      <c r="EH15" t="e">
        <f t="shared" ref="EH15:GA15" si="7">IF(EH3=0,NA(),EH3-ROUNDUP(EH3*0.1,2)-ROUNDUP(EH3*0.05,2))</f>
        <v>#N/A</v>
      </c>
      <c r="EI15" t="e">
        <f t="shared" si="7"/>
        <v>#N/A</v>
      </c>
      <c r="EJ15" t="e">
        <f t="shared" si="7"/>
        <v>#N/A</v>
      </c>
      <c r="EK15" t="e">
        <f t="shared" si="7"/>
        <v>#N/A</v>
      </c>
      <c r="EL15" t="e">
        <f t="shared" si="7"/>
        <v>#N/A</v>
      </c>
      <c r="EM15" t="e">
        <f t="shared" si="7"/>
        <v>#N/A</v>
      </c>
      <c r="EN15" t="e">
        <f t="shared" si="7"/>
        <v>#N/A</v>
      </c>
      <c r="EO15" t="e">
        <f t="shared" si="7"/>
        <v>#N/A</v>
      </c>
      <c r="EP15" t="e">
        <f t="shared" si="7"/>
        <v>#N/A</v>
      </c>
      <c r="EQ15" t="e">
        <f t="shared" si="7"/>
        <v>#N/A</v>
      </c>
      <c r="ER15" t="e">
        <f t="shared" si="7"/>
        <v>#N/A</v>
      </c>
      <c r="ES15" t="e">
        <f t="shared" si="7"/>
        <v>#N/A</v>
      </c>
      <c r="ET15" t="e">
        <f t="shared" si="7"/>
        <v>#N/A</v>
      </c>
      <c r="EU15" t="e">
        <f t="shared" si="7"/>
        <v>#N/A</v>
      </c>
      <c r="EV15" t="e">
        <f t="shared" si="7"/>
        <v>#N/A</v>
      </c>
      <c r="EW15" t="e">
        <f t="shared" si="7"/>
        <v>#N/A</v>
      </c>
      <c r="EX15" t="e">
        <f t="shared" si="7"/>
        <v>#N/A</v>
      </c>
      <c r="EY15" t="e">
        <f t="shared" si="7"/>
        <v>#N/A</v>
      </c>
      <c r="EZ15" t="e">
        <f t="shared" si="7"/>
        <v>#N/A</v>
      </c>
      <c r="FA15" t="e">
        <f t="shared" si="7"/>
        <v>#N/A</v>
      </c>
      <c r="FB15" t="e">
        <f t="shared" si="7"/>
        <v>#N/A</v>
      </c>
      <c r="FC15" t="e">
        <f t="shared" si="7"/>
        <v>#N/A</v>
      </c>
      <c r="FD15" t="e">
        <f t="shared" si="7"/>
        <v>#N/A</v>
      </c>
      <c r="FE15" t="e">
        <f t="shared" si="7"/>
        <v>#N/A</v>
      </c>
      <c r="FF15" t="e">
        <f t="shared" si="7"/>
        <v>#N/A</v>
      </c>
      <c r="FG15" t="e">
        <f t="shared" si="7"/>
        <v>#N/A</v>
      </c>
      <c r="FH15" t="e">
        <f t="shared" si="7"/>
        <v>#N/A</v>
      </c>
      <c r="FI15" t="e">
        <f t="shared" si="7"/>
        <v>#N/A</v>
      </c>
      <c r="FJ15" t="e">
        <f t="shared" si="7"/>
        <v>#N/A</v>
      </c>
      <c r="FK15" t="e">
        <f t="shared" si="7"/>
        <v>#N/A</v>
      </c>
      <c r="FL15" t="e">
        <f t="shared" si="7"/>
        <v>#N/A</v>
      </c>
      <c r="FM15" t="e">
        <f t="shared" si="7"/>
        <v>#N/A</v>
      </c>
      <c r="FN15" t="e">
        <f t="shared" si="7"/>
        <v>#N/A</v>
      </c>
      <c r="FO15" t="e">
        <f t="shared" si="7"/>
        <v>#N/A</v>
      </c>
      <c r="FP15" t="e">
        <f t="shared" si="7"/>
        <v>#N/A</v>
      </c>
      <c r="FQ15" t="e">
        <f t="shared" si="7"/>
        <v>#N/A</v>
      </c>
      <c r="FR15" t="e">
        <f t="shared" si="7"/>
        <v>#N/A</v>
      </c>
      <c r="FS15" t="e">
        <f t="shared" si="7"/>
        <v>#N/A</v>
      </c>
      <c r="FT15" t="e">
        <f t="shared" si="7"/>
        <v>#N/A</v>
      </c>
      <c r="FU15" t="e">
        <f t="shared" si="7"/>
        <v>#N/A</v>
      </c>
      <c r="FV15" t="e">
        <f t="shared" si="7"/>
        <v>#N/A</v>
      </c>
      <c r="FW15" t="e">
        <f t="shared" si="7"/>
        <v>#N/A</v>
      </c>
      <c r="FX15" t="e">
        <f t="shared" si="7"/>
        <v>#N/A</v>
      </c>
      <c r="FY15" t="e">
        <f t="shared" si="7"/>
        <v>#N/A</v>
      </c>
      <c r="FZ15" t="e">
        <f t="shared" si="7"/>
        <v>#N/A</v>
      </c>
      <c r="GA15" t="e">
        <f t="shared" si="7"/>
        <v>#N/A</v>
      </c>
    </row>
    <row r="16" spans="1:183" x14ac:dyDescent="0.45">
      <c r="B16" t="s">
        <v>22</v>
      </c>
      <c r="C16" cm="1">
        <f t="array" ref="C16">LOOKUP(2,1/(I16:GA16&lt;&gt;""),I16:GA16)</f>
        <v>7.5699999999999994</v>
      </c>
      <c r="D16">
        <f t="shared" ref="D16:D21" si="8">D$9</f>
        <v>45</v>
      </c>
      <c r="F16" s="4">
        <f t="shared" ref="F16:F21" si="9">(C16-I16)/I16</f>
        <v>1.5661016949152542</v>
      </c>
      <c r="G16" s="3" cm="1">
        <f t="array" ref="G16">(C16-IF(ISNA(INDEX(I16:GA16,D16-22)),INDEX(I16:GA16,D16-23),INDEX(I16:GA16,D16-22)))/IF(ISNA(INDEX(I16:GA16,D16-22)),INDEX(I16:GA16,D16-23),INDEX(I16:GA16,D16-22))</f>
        <v>-9.2326139088729067E-2</v>
      </c>
      <c r="I16">
        <f t="shared" ref="I16:I21" si="10">IF(I4=0,NA(),I4-ROUNDUP(I4*0.1,2)-ROUNDUP(I4*0.05,2))</f>
        <v>2.9499999999999997</v>
      </c>
      <c r="J16">
        <f t="shared" ref="J16:BU16" si="11">IF(J4=0,NA(),J4-ROUNDUP(J4*0.1,2)-ROUNDUP(J4*0.05,2))</f>
        <v>2.98</v>
      </c>
      <c r="K16" t="e">
        <f t="shared" si="11"/>
        <v>#N/A</v>
      </c>
      <c r="L16">
        <f t="shared" si="11"/>
        <v>3.33</v>
      </c>
      <c r="M16" t="e">
        <f t="shared" si="11"/>
        <v>#N/A</v>
      </c>
      <c r="N16">
        <f t="shared" si="11"/>
        <v>3.63</v>
      </c>
      <c r="O16">
        <f t="shared" si="11"/>
        <v>3.82</v>
      </c>
      <c r="P16">
        <f t="shared" si="11"/>
        <v>4.93</v>
      </c>
      <c r="Q16">
        <f t="shared" si="11"/>
        <v>4.84</v>
      </c>
      <c r="R16">
        <f t="shared" si="11"/>
        <v>5.35</v>
      </c>
      <c r="S16">
        <f t="shared" si="11"/>
        <v>5.31</v>
      </c>
      <c r="T16">
        <f t="shared" si="11"/>
        <v>6.21</v>
      </c>
      <c r="U16">
        <f t="shared" si="11"/>
        <v>6.79</v>
      </c>
      <c r="V16">
        <f t="shared" si="11"/>
        <v>7.16</v>
      </c>
      <c r="W16">
        <f t="shared" si="11"/>
        <v>6.91</v>
      </c>
      <c r="X16">
        <f t="shared" si="11"/>
        <v>6.11</v>
      </c>
      <c r="Y16">
        <f t="shared" si="11"/>
        <v>5.41</v>
      </c>
      <c r="Z16">
        <f t="shared" si="11"/>
        <v>5.82</v>
      </c>
      <c r="AA16">
        <f t="shared" si="11"/>
        <v>6.83</v>
      </c>
      <c r="AB16">
        <f t="shared" si="11"/>
        <v>7.51</v>
      </c>
      <c r="AC16">
        <f t="shared" si="11"/>
        <v>7.6499999999999995</v>
      </c>
      <c r="AD16">
        <f t="shared" si="11"/>
        <v>8.2799999999999994</v>
      </c>
      <c r="AE16">
        <f t="shared" si="11"/>
        <v>8.34</v>
      </c>
      <c r="AF16">
        <f t="shared" si="11"/>
        <v>7.4700000000000006</v>
      </c>
      <c r="AG16">
        <f t="shared" si="11"/>
        <v>7.6599999999999993</v>
      </c>
      <c r="AH16">
        <f t="shared" si="11"/>
        <v>7.88</v>
      </c>
      <c r="AI16">
        <f t="shared" si="11"/>
        <v>7.7500000000000009</v>
      </c>
      <c r="AJ16">
        <f t="shared" si="11"/>
        <v>7.830000000000001</v>
      </c>
      <c r="AK16">
        <f t="shared" si="11"/>
        <v>7.64</v>
      </c>
      <c r="AL16">
        <f t="shared" si="11"/>
        <v>8.4</v>
      </c>
      <c r="AM16">
        <f t="shared" si="11"/>
        <v>8.2299999999999986</v>
      </c>
      <c r="AN16" t="e">
        <f t="shared" si="11"/>
        <v>#N/A</v>
      </c>
      <c r="AO16">
        <f t="shared" si="11"/>
        <v>7.910000000000001</v>
      </c>
      <c r="AP16">
        <f t="shared" si="11"/>
        <v>7.55</v>
      </c>
      <c r="AQ16">
        <f t="shared" si="11"/>
        <v>7.55</v>
      </c>
      <c r="AR16">
        <f t="shared" si="11"/>
        <v>7.9000000000000012</v>
      </c>
      <c r="AS16">
        <f t="shared" si="11"/>
        <v>7.5699999999999994</v>
      </c>
      <c r="AT16" t="e">
        <f t="shared" si="11"/>
        <v>#N/A</v>
      </c>
      <c r="AU16" t="e">
        <f t="shared" si="11"/>
        <v>#N/A</v>
      </c>
      <c r="AV16" t="e">
        <f t="shared" si="11"/>
        <v>#N/A</v>
      </c>
      <c r="AW16" t="e">
        <f t="shared" si="11"/>
        <v>#N/A</v>
      </c>
      <c r="AX16" t="e">
        <f t="shared" si="11"/>
        <v>#N/A</v>
      </c>
      <c r="AY16" t="e">
        <f t="shared" si="11"/>
        <v>#N/A</v>
      </c>
      <c r="AZ16" t="e">
        <f t="shared" si="11"/>
        <v>#N/A</v>
      </c>
      <c r="BA16" t="e">
        <f t="shared" si="11"/>
        <v>#N/A</v>
      </c>
      <c r="BB16" t="e">
        <f t="shared" si="11"/>
        <v>#N/A</v>
      </c>
      <c r="BC16" t="e">
        <f t="shared" si="11"/>
        <v>#N/A</v>
      </c>
      <c r="BD16" t="e">
        <f t="shared" si="11"/>
        <v>#N/A</v>
      </c>
      <c r="BE16" t="e">
        <f t="shared" si="11"/>
        <v>#N/A</v>
      </c>
      <c r="BF16" t="e">
        <f t="shared" si="11"/>
        <v>#N/A</v>
      </c>
      <c r="BG16" t="e">
        <f t="shared" si="11"/>
        <v>#N/A</v>
      </c>
      <c r="BH16" t="e">
        <f t="shared" si="11"/>
        <v>#N/A</v>
      </c>
      <c r="BI16" t="e">
        <f t="shared" si="11"/>
        <v>#N/A</v>
      </c>
      <c r="BJ16" t="e">
        <f t="shared" si="11"/>
        <v>#N/A</v>
      </c>
      <c r="BK16" t="e">
        <f t="shared" si="11"/>
        <v>#N/A</v>
      </c>
      <c r="BL16" t="e">
        <f t="shared" si="11"/>
        <v>#N/A</v>
      </c>
      <c r="BM16" t="e">
        <f t="shared" si="11"/>
        <v>#N/A</v>
      </c>
      <c r="BN16" t="e">
        <f t="shared" si="11"/>
        <v>#N/A</v>
      </c>
      <c r="BO16" t="e">
        <f t="shared" si="11"/>
        <v>#N/A</v>
      </c>
      <c r="BP16" t="e">
        <f t="shared" si="11"/>
        <v>#N/A</v>
      </c>
      <c r="BQ16" t="e">
        <f t="shared" si="11"/>
        <v>#N/A</v>
      </c>
      <c r="BR16" t="e">
        <f t="shared" si="11"/>
        <v>#N/A</v>
      </c>
      <c r="BS16" t="e">
        <f t="shared" si="11"/>
        <v>#N/A</v>
      </c>
      <c r="BT16" t="e">
        <f t="shared" si="11"/>
        <v>#N/A</v>
      </c>
      <c r="BU16" t="e">
        <f t="shared" si="11"/>
        <v>#N/A</v>
      </c>
      <c r="BV16" t="e">
        <f t="shared" ref="BV16:EG16" si="12">IF(BV4=0,NA(),BV4-ROUNDUP(BV4*0.1,2)-ROUNDUP(BV4*0.05,2))</f>
        <v>#N/A</v>
      </c>
      <c r="BW16" t="e">
        <f t="shared" si="12"/>
        <v>#N/A</v>
      </c>
      <c r="BX16" t="e">
        <f t="shared" si="12"/>
        <v>#N/A</v>
      </c>
      <c r="BY16" t="e">
        <f t="shared" si="12"/>
        <v>#N/A</v>
      </c>
      <c r="BZ16" t="e">
        <f t="shared" si="12"/>
        <v>#N/A</v>
      </c>
      <c r="CA16" t="e">
        <f t="shared" si="12"/>
        <v>#N/A</v>
      </c>
      <c r="CB16" t="e">
        <f t="shared" si="12"/>
        <v>#N/A</v>
      </c>
      <c r="CC16" t="e">
        <f t="shared" si="12"/>
        <v>#N/A</v>
      </c>
      <c r="CD16" t="e">
        <f t="shared" si="12"/>
        <v>#N/A</v>
      </c>
      <c r="CE16" t="e">
        <f t="shared" si="12"/>
        <v>#N/A</v>
      </c>
      <c r="CF16" t="e">
        <f t="shared" si="12"/>
        <v>#N/A</v>
      </c>
      <c r="CG16" t="e">
        <f t="shared" si="12"/>
        <v>#N/A</v>
      </c>
      <c r="CH16" t="e">
        <f t="shared" si="12"/>
        <v>#N/A</v>
      </c>
      <c r="CI16" t="e">
        <f t="shared" si="12"/>
        <v>#N/A</v>
      </c>
      <c r="CJ16" t="e">
        <f t="shared" si="12"/>
        <v>#N/A</v>
      </c>
      <c r="CK16" t="e">
        <f t="shared" si="12"/>
        <v>#N/A</v>
      </c>
      <c r="CL16" t="e">
        <f t="shared" si="12"/>
        <v>#N/A</v>
      </c>
      <c r="CM16" t="e">
        <f t="shared" si="12"/>
        <v>#N/A</v>
      </c>
      <c r="CN16" t="e">
        <f t="shared" si="12"/>
        <v>#N/A</v>
      </c>
      <c r="CO16" t="e">
        <f t="shared" si="12"/>
        <v>#N/A</v>
      </c>
      <c r="CP16" t="e">
        <f t="shared" si="12"/>
        <v>#N/A</v>
      </c>
      <c r="CQ16" t="e">
        <f t="shared" si="12"/>
        <v>#N/A</v>
      </c>
      <c r="CR16" t="e">
        <f t="shared" si="12"/>
        <v>#N/A</v>
      </c>
      <c r="CS16" t="e">
        <f t="shared" si="12"/>
        <v>#N/A</v>
      </c>
      <c r="CT16" t="e">
        <f t="shared" si="12"/>
        <v>#N/A</v>
      </c>
      <c r="CU16" t="e">
        <f t="shared" si="12"/>
        <v>#N/A</v>
      </c>
      <c r="CV16" t="e">
        <f t="shared" si="12"/>
        <v>#N/A</v>
      </c>
      <c r="CW16" t="e">
        <f t="shared" si="12"/>
        <v>#N/A</v>
      </c>
      <c r="CX16" t="e">
        <f t="shared" si="12"/>
        <v>#N/A</v>
      </c>
      <c r="CY16" t="e">
        <f t="shared" si="12"/>
        <v>#N/A</v>
      </c>
      <c r="CZ16" t="e">
        <f t="shared" si="12"/>
        <v>#N/A</v>
      </c>
      <c r="DA16" t="e">
        <f t="shared" si="12"/>
        <v>#N/A</v>
      </c>
      <c r="DB16" t="e">
        <f t="shared" si="12"/>
        <v>#N/A</v>
      </c>
      <c r="DC16" t="e">
        <f t="shared" si="12"/>
        <v>#N/A</v>
      </c>
      <c r="DD16" t="e">
        <f t="shared" si="12"/>
        <v>#N/A</v>
      </c>
      <c r="DE16" t="e">
        <f t="shared" si="12"/>
        <v>#N/A</v>
      </c>
      <c r="DF16" t="e">
        <f t="shared" si="12"/>
        <v>#N/A</v>
      </c>
      <c r="DG16" t="e">
        <f t="shared" si="12"/>
        <v>#N/A</v>
      </c>
      <c r="DH16" t="e">
        <f t="shared" si="12"/>
        <v>#N/A</v>
      </c>
      <c r="DI16" t="e">
        <f t="shared" si="12"/>
        <v>#N/A</v>
      </c>
      <c r="DJ16" t="e">
        <f t="shared" si="12"/>
        <v>#N/A</v>
      </c>
      <c r="DK16" t="e">
        <f t="shared" si="12"/>
        <v>#N/A</v>
      </c>
      <c r="DL16" t="e">
        <f t="shared" si="12"/>
        <v>#N/A</v>
      </c>
      <c r="DM16" t="e">
        <f t="shared" si="12"/>
        <v>#N/A</v>
      </c>
      <c r="DN16" t="e">
        <f t="shared" si="12"/>
        <v>#N/A</v>
      </c>
      <c r="DO16" t="e">
        <f t="shared" si="12"/>
        <v>#N/A</v>
      </c>
      <c r="DP16" t="e">
        <f t="shared" si="12"/>
        <v>#N/A</v>
      </c>
      <c r="DQ16" t="e">
        <f t="shared" si="12"/>
        <v>#N/A</v>
      </c>
      <c r="DR16" t="e">
        <f t="shared" si="12"/>
        <v>#N/A</v>
      </c>
      <c r="DS16" t="e">
        <f t="shared" si="12"/>
        <v>#N/A</v>
      </c>
      <c r="DT16" t="e">
        <f t="shared" si="12"/>
        <v>#N/A</v>
      </c>
      <c r="DU16" t="e">
        <f t="shared" si="12"/>
        <v>#N/A</v>
      </c>
      <c r="DV16" t="e">
        <f t="shared" si="12"/>
        <v>#N/A</v>
      </c>
      <c r="DW16" t="e">
        <f t="shared" si="12"/>
        <v>#N/A</v>
      </c>
      <c r="DX16" t="e">
        <f t="shared" si="12"/>
        <v>#N/A</v>
      </c>
      <c r="DY16" t="e">
        <f t="shared" si="12"/>
        <v>#N/A</v>
      </c>
      <c r="DZ16" t="e">
        <f t="shared" si="12"/>
        <v>#N/A</v>
      </c>
      <c r="EA16" t="e">
        <f t="shared" si="12"/>
        <v>#N/A</v>
      </c>
      <c r="EB16" t="e">
        <f t="shared" si="12"/>
        <v>#N/A</v>
      </c>
      <c r="EC16" t="e">
        <f t="shared" si="12"/>
        <v>#N/A</v>
      </c>
      <c r="ED16" t="e">
        <f t="shared" si="12"/>
        <v>#N/A</v>
      </c>
      <c r="EE16" t="e">
        <f t="shared" si="12"/>
        <v>#N/A</v>
      </c>
      <c r="EF16" t="e">
        <f t="shared" si="12"/>
        <v>#N/A</v>
      </c>
      <c r="EG16" t="e">
        <f t="shared" si="12"/>
        <v>#N/A</v>
      </c>
      <c r="EH16" t="e">
        <f t="shared" ref="EH16:GA16" si="13">IF(EH4=0,NA(),EH4-ROUNDUP(EH4*0.1,2)-ROUNDUP(EH4*0.05,2))</f>
        <v>#N/A</v>
      </c>
      <c r="EI16" t="e">
        <f t="shared" si="13"/>
        <v>#N/A</v>
      </c>
      <c r="EJ16" t="e">
        <f t="shared" si="13"/>
        <v>#N/A</v>
      </c>
      <c r="EK16" t="e">
        <f t="shared" si="13"/>
        <v>#N/A</v>
      </c>
      <c r="EL16" t="e">
        <f t="shared" si="13"/>
        <v>#N/A</v>
      </c>
      <c r="EM16" t="e">
        <f t="shared" si="13"/>
        <v>#N/A</v>
      </c>
      <c r="EN16" t="e">
        <f t="shared" si="13"/>
        <v>#N/A</v>
      </c>
      <c r="EO16" t="e">
        <f t="shared" si="13"/>
        <v>#N/A</v>
      </c>
      <c r="EP16" t="e">
        <f t="shared" si="13"/>
        <v>#N/A</v>
      </c>
      <c r="EQ16" t="e">
        <f t="shared" si="13"/>
        <v>#N/A</v>
      </c>
      <c r="ER16" t="e">
        <f t="shared" si="13"/>
        <v>#N/A</v>
      </c>
      <c r="ES16" t="e">
        <f t="shared" si="13"/>
        <v>#N/A</v>
      </c>
      <c r="ET16" t="e">
        <f t="shared" si="13"/>
        <v>#N/A</v>
      </c>
      <c r="EU16" t="e">
        <f t="shared" si="13"/>
        <v>#N/A</v>
      </c>
      <c r="EV16" t="e">
        <f t="shared" si="13"/>
        <v>#N/A</v>
      </c>
      <c r="EW16" t="e">
        <f t="shared" si="13"/>
        <v>#N/A</v>
      </c>
      <c r="EX16" t="e">
        <f t="shared" si="13"/>
        <v>#N/A</v>
      </c>
      <c r="EY16" t="e">
        <f t="shared" si="13"/>
        <v>#N/A</v>
      </c>
      <c r="EZ16" t="e">
        <f t="shared" si="13"/>
        <v>#N/A</v>
      </c>
      <c r="FA16" t="e">
        <f t="shared" si="13"/>
        <v>#N/A</v>
      </c>
      <c r="FB16" t="e">
        <f t="shared" si="13"/>
        <v>#N/A</v>
      </c>
      <c r="FC16" t="e">
        <f t="shared" si="13"/>
        <v>#N/A</v>
      </c>
      <c r="FD16" t="e">
        <f t="shared" si="13"/>
        <v>#N/A</v>
      </c>
      <c r="FE16" t="e">
        <f t="shared" si="13"/>
        <v>#N/A</v>
      </c>
      <c r="FF16" t="e">
        <f t="shared" si="13"/>
        <v>#N/A</v>
      </c>
      <c r="FG16" t="e">
        <f t="shared" si="13"/>
        <v>#N/A</v>
      </c>
      <c r="FH16" t="e">
        <f t="shared" si="13"/>
        <v>#N/A</v>
      </c>
      <c r="FI16" t="e">
        <f t="shared" si="13"/>
        <v>#N/A</v>
      </c>
      <c r="FJ16" t="e">
        <f t="shared" si="13"/>
        <v>#N/A</v>
      </c>
      <c r="FK16" t="e">
        <f t="shared" si="13"/>
        <v>#N/A</v>
      </c>
      <c r="FL16" t="e">
        <f t="shared" si="13"/>
        <v>#N/A</v>
      </c>
      <c r="FM16" t="e">
        <f t="shared" si="13"/>
        <v>#N/A</v>
      </c>
      <c r="FN16" t="e">
        <f t="shared" si="13"/>
        <v>#N/A</v>
      </c>
      <c r="FO16" t="e">
        <f t="shared" si="13"/>
        <v>#N/A</v>
      </c>
      <c r="FP16" t="e">
        <f t="shared" si="13"/>
        <v>#N/A</v>
      </c>
      <c r="FQ16" t="e">
        <f t="shared" si="13"/>
        <v>#N/A</v>
      </c>
      <c r="FR16" t="e">
        <f t="shared" si="13"/>
        <v>#N/A</v>
      </c>
      <c r="FS16" t="e">
        <f t="shared" si="13"/>
        <v>#N/A</v>
      </c>
      <c r="FT16" t="e">
        <f t="shared" si="13"/>
        <v>#N/A</v>
      </c>
      <c r="FU16" t="e">
        <f t="shared" si="13"/>
        <v>#N/A</v>
      </c>
      <c r="FV16" t="e">
        <f t="shared" si="13"/>
        <v>#N/A</v>
      </c>
      <c r="FW16" t="e">
        <f t="shared" si="13"/>
        <v>#N/A</v>
      </c>
      <c r="FX16" t="e">
        <f t="shared" si="13"/>
        <v>#N/A</v>
      </c>
      <c r="FY16" t="e">
        <f t="shared" si="13"/>
        <v>#N/A</v>
      </c>
      <c r="FZ16" t="e">
        <f t="shared" si="13"/>
        <v>#N/A</v>
      </c>
      <c r="GA16" t="e">
        <f t="shared" si="13"/>
        <v>#N/A</v>
      </c>
    </row>
    <row r="17" spans="1:183" x14ac:dyDescent="0.45">
      <c r="B17" t="s">
        <v>23</v>
      </c>
      <c r="C17" cm="1">
        <f t="array" ref="C17">LOOKUP(2,1/(I17:GA17&lt;&gt;""),I17:GA17)</f>
        <v>8.35</v>
      </c>
      <c r="D17">
        <f t="shared" si="8"/>
        <v>45</v>
      </c>
      <c r="F17" s="4">
        <f t="shared" si="9"/>
        <v>1.8114478114478116</v>
      </c>
      <c r="G17" s="3" cm="1">
        <f t="array" ref="G17">(C17-IF(ISNA(INDEX(I17:GA17,D17-22)),INDEX(I17:GA17,D17-23),INDEX(I17:GA17,D17-22)))/IF(ISNA(INDEX(I17:GA17,D17-22)),INDEX(I17:GA17,D17-23),INDEX(I17:GA17,D17-22))</f>
        <v>-0.11919831223628684</v>
      </c>
      <c r="I17">
        <f t="shared" si="10"/>
        <v>2.9699999999999998</v>
      </c>
      <c r="J17">
        <f t="shared" ref="J17:BU17" si="14">IF(J5=0,NA(),J5-ROUNDUP(J5*0.1,2)-ROUNDUP(J5*0.05,2))</f>
        <v>3.14</v>
      </c>
      <c r="K17" t="e">
        <f t="shared" si="14"/>
        <v>#N/A</v>
      </c>
      <c r="L17">
        <f t="shared" si="14"/>
        <v>3.3099999999999996</v>
      </c>
      <c r="M17" t="e">
        <f t="shared" si="14"/>
        <v>#N/A</v>
      </c>
      <c r="N17">
        <f t="shared" si="14"/>
        <v>3.5700000000000003</v>
      </c>
      <c r="O17">
        <f t="shared" si="14"/>
        <v>3.82</v>
      </c>
      <c r="P17">
        <f t="shared" si="14"/>
        <v>5.6099999999999994</v>
      </c>
      <c r="Q17">
        <f t="shared" si="14"/>
        <v>5.43</v>
      </c>
      <c r="R17">
        <f t="shared" si="14"/>
        <v>5.43</v>
      </c>
      <c r="S17">
        <f t="shared" si="14"/>
        <v>5.5699999999999994</v>
      </c>
      <c r="T17">
        <f t="shared" si="14"/>
        <v>7.49</v>
      </c>
      <c r="U17">
        <f t="shared" si="14"/>
        <v>8.1499999999999986</v>
      </c>
      <c r="V17">
        <f t="shared" si="14"/>
        <v>7.6499999999999995</v>
      </c>
      <c r="W17">
        <f t="shared" si="14"/>
        <v>7.379999999999999</v>
      </c>
      <c r="X17">
        <f t="shared" si="14"/>
        <v>6.9599999999999991</v>
      </c>
      <c r="Y17">
        <f t="shared" si="14"/>
        <v>6.26</v>
      </c>
      <c r="Z17">
        <f t="shared" si="14"/>
        <v>6.47</v>
      </c>
      <c r="AA17">
        <f t="shared" si="14"/>
        <v>6.98</v>
      </c>
      <c r="AB17">
        <f t="shared" si="14"/>
        <v>7.78</v>
      </c>
      <c r="AC17">
        <f t="shared" si="14"/>
        <v>8.4</v>
      </c>
      <c r="AD17">
        <f t="shared" si="14"/>
        <v>9.4799999999999986</v>
      </c>
      <c r="AE17">
        <f t="shared" si="14"/>
        <v>9.4799999999999986</v>
      </c>
      <c r="AF17">
        <f t="shared" si="14"/>
        <v>8.51</v>
      </c>
      <c r="AG17">
        <f t="shared" si="14"/>
        <v>8.32</v>
      </c>
      <c r="AH17">
        <f t="shared" si="14"/>
        <v>8.0799999999999983</v>
      </c>
      <c r="AI17">
        <f t="shared" si="14"/>
        <v>8.2099999999999991</v>
      </c>
      <c r="AJ17">
        <f t="shared" si="14"/>
        <v>8.1499999999999986</v>
      </c>
      <c r="AK17">
        <f t="shared" si="14"/>
        <v>9.7799999999999994</v>
      </c>
      <c r="AL17">
        <f t="shared" si="14"/>
        <v>9.2899999999999991</v>
      </c>
      <c r="AM17">
        <f t="shared" si="14"/>
        <v>8.86</v>
      </c>
      <c r="AN17" t="e">
        <f t="shared" si="14"/>
        <v>#N/A</v>
      </c>
      <c r="AO17">
        <f t="shared" si="14"/>
        <v>9.1000000000000014</v>
      </c>
      <c r="AP17">
        <f t="shared" si="14"/>
        <v>8.51</v>
      </c>
      <c r="AQ17">
        <f t="shared" si="14"/>
        <v>8.5300000000000011</v>
      </c>
      <c r="AR17">
        <f t="shared" si="14"/>
        <v>8.36</v>
      </c>
      <c r="AS17">
        <f t="shared" si="14"/>
        <v>8.35</v>
      </c>
      <c r="AT17" t="e">
        <f t="shared" si="14"/>
        <v>#N/A</v>
      </c>
      <c r="AU17" t="e">
        <f t="shared" si="14"/>
        <v>#N/A</v>
      </c>
      <c r="AV17" t="e">
        <f t="shared" si="14"/>
        <v>#N/A</v>
      </c>
      <c r="AW17" t="e">
        <f t="shared" si="14"/>
        <v>#N/A</v>
      </c>
      <c r="AX17" t="e">
        <f t="shared" si="14"/>
        <v>#N/A</v>
      </c>
      <c r="AY17" t="e">
        <f t="shared" si="14"/>
        <v>#N/A</v>
      </c>
      <c r="AZ17" t="e">
        <f t="shared" si="14"/>
        <v>#N/A</v>
      </c>
      <c r="BA17" t="e">
        <f t="shared" si="14"/>
        <v>#N/A</v>
      </c>
      <c r="BB17" t="e">
        <f t="shared" si="14"/>
        <v>#N/A</v>
      </c>
      <c r="BC17" t="e">
        <f t="shared" si="14"/>
        <v>#N/A</v>
      </c>
      <c r="BD17" t="e">
        <f t="shared" si="14"/>
        <v>#N/A</v>
      </c>
      <c r="BE17" t="e">
        <f t="shared" si="14"/>
        <v>#N/A</v>
      </c>
      <c r="BF17" t="e">
        <f t="shared" si="14"/>
        <v>#N/A</v>
      </c>
      <c r="BG17" t="e">
        <f t="shared" si="14"/>
        <v>#N/A</v>
      </c>
      <c r="BH17" t="e">
        <f t="shared" si="14"/>
        <v>#N/A</v>
      </c>
      <c r="BI17" t="e">
        <f t="shared" si="14"/>
        <v>#N/A</v>
      </c>
      <c r="BJ17" t="e">
        <f t="shared" si="14"/>
        <v>#N/A</v>
      </c>
      <c r="BK17" t="e">
        <f t="shared" si="14"/>
        <v>#N/A</v>
      </c>
      <c r="BL17" t="e">
        <f t="shared" si="14"/>
        <v>#N/A</v>
      </c>
      <c r="BM17" t="e">
        <f t="shared" si="14"/>
        <v>#N/A</v>
      </c>
      <c r="BN17" t="e">
        <f t="shared" si="14"/>
        <v>#N/A</v>
      </c>
      <c r="BO17" t="e">
        <f t="shared" si="14"/>
        <v>#N/A</v>
      </c>
      <c r="BP17" t="e">
        <f t="shared" si="14"/>
        <v>#N/A</v>
      </c>
      <c r="BQ17" t="e">
        <f t="shared" si="14"/>
        <v>#N/A</v>
      </c>
      <c r="BR17" t="e">
        <f t="shared" si="14"/>
        <v>#N/A</v>
      </c>
      <c r="BS17" t="e">
        <f t="shared" si="14"/>
        <v>#N/A</v>
      </c>
      <c r="BT17" t="e">
        <f t="shared" si="14"/>
        <v>#N/A</v>
      </c>
      <c r="BU17" t="e">
        <f t="shared" si="14"/>
        <v>#N/A</v>
      </c>
      <c r="BV17" t="e">
        <f t="shared" ref="BV17:EG17" si="15">IF(BV5=0,NA(),BV5-ROUNDUP(BV5*0.1,2)-ROUNDUP(BV5*0.05,2))</f>
        <v>#N/A</v>
      </c>
      <c r="BW17" t="e">
        <f t="shared" si="15"/>
        <v>#N/A</v>
      </c>
      <c r="BX17" t="e">
        <f t="shared" si="15"/>
        <v>#N/A</v>
      </c>
      <c r="BY17" t="e">
        <f t="shared" si="15"/>
        <v>#N/A</v>
      </c>
      <c r="BZ17" t="e">
        <f t="shared" si="15"/>
        <v>#N/A</v>
      </c>
      <c r="CA17" t="e">
        <f t="shared" si="15"/>
        <v>#N/A</v>
      </c>
      <c r="CB17" t="e">
        <f t="shared" si="15"/>
        <v>#N/A</v>
      </c>
      <c r="CC17" t="e">
        <f t="shared" si="15"/>
        <v>#N/A</v>
      </c>
      <c r="CD17" t="e">
        <f t="shared" si="15"/>
        <v>#N/A</v>
      </c>
      <c r="CE17" t="e">
        <f t="shared" si="15"/>
        <v>#N/A</v>
      </c>
      <c r="CF17" t="e">
        <f t="shared" si="15"/>
        <v>#N/A</v>
      </c>
      <c r="CG17" t="e">
        <f t="shared" si="15"/>
        <v>#N/A</v>
      </c>
      <c r="CH17" t="e">
        <f t="shared" si="15"/>
        <v>#N/A</v>
      </c>
      <c r="CI17" t="e">
        <f t="shared" si="15"/>
        <v>#N/A</v>
      </c>
      <c r="CJ17" t="e">
        <f t="shared" si="15"/>
        <v>#N/A</v>
      </c>
      <c r="CK17" t="e">
        <f t="shared" si="15"/>
        <v>#N/A</v>
      </c>
      <c r="CL17" t="e">
        <f t="shared" si="15"/>
        <v>#N/A</v>
      </c>
      <c r="CM17" t="e">
        <f t="shared" si="15"/>
        <v>#N/A</v>
      </c>
      <c r="CN17" t="e">
        <f t="shared" si="15"/>
        <v>#N/A</v>
      </c>
      <c r="CO17" t="e">
        <f t="shared" si="15"/>
        <v>#N/A</v>
      </c>
      <c r="CP17" t="e">
        <f t="shared" si="15"/>
        <v>#N/A</v>
      </c>
      <c r="CQ17" t="e">
        <f t="shared" si="15"/>
        <v>#N/A</v>
      </c>
      <c r="CR17" t="e">
        <f t="shared" si="15"/>
        <v>#N/A</v>
      </c>
      <c r="CS17" t="e">
        <f t="shared" si="15"/>
        <v>#N/A</v>
      </c>
      <c r="CT17" t="e">
        <f t="shared" si="15"/>
        <v>#N/A</v>
      </c>
      <c r="CU17" t="e">
        <f t="shared" si="15"/>
        <v>#N/A</v>
      </c>
      <c r="CV17" t="e">
        <f t="shared" si="15"/>
        <v>#N/A</v>
      </c>
      <c r="CW17" t="e">
        <f t="shared" si="15"/>
        <v>#N/A</v>
      </c>
      <c r="CX17" t="e">
        <f t="shared" si="15"/>
        <v>#N/A</v>
      </c>
      <c r="CY17" t="e">
        <f t="shared" si="15"/>
        <v>#N/A</v>
      </c>
      <c r="CZ17" t="e">
        <f t="shared" si="15"/>
        <v>#N/A</v>
      </c>
      <c r="DA17" t="e">
        <f t="shared" si="15"/>
        <v>#N/A</v>
      </c>
      <c r="DB17" t="e">
        <f t="shared" si="15"/>
        <v>#N/A</v>
      </c>
      <c r="DC17" t="e">
        <f t="shared" si="15"/>
        <v>#N/A</v>
      </c>
      <c r="DD17" t="e">
        <f t="shared" si="15"/>
        <v>#N/A</v>
      </c>
      <c r="DE17" t="e">
        <f t="shared" si="15"/>
        <v>#N/A</v>
      </c>
      <c r="DF17" t="e">
        <f t="shared" si="15"/>
        <v>#N/A</v>
      </c>
      <c r="DG17" t="e">
        <f t="shared" si="15"/>
        <v>#N/A</v>
      </c>
      <c r="DH17" t="e">
        <f t="shared" si="15"/>
        <v>#N/A</v>
      </c>
      <c r="DI17" t="e">
        <f t="shared" si="15"/>
        <v>#N/A</v>
      </c>
      <c r="DJ17" t="e">
        <f t="shared" si="15"/>
        <v>#N/A</v>
      </c>
      <c r="DK17" t="e">
        <f t="shared" si="15"/>
        <v>#N/A</v>
      </c>
      <c r="DL17" t="e">
        <f t="shared" si="15"/>
        <v>#N/A</v>
      </c>
      <c r="DM17" t="e">
        <f t="shared" si="15"/>
        <v>#N/A</v>
      </c>
      <c r="DN17" t="e">
        <f t="shared" si="15"/>
        <v>#N/A</v>
      </c>
      <c r="DO17" t="e">
        <f t="shared" si="15"/>
        <v>#N/A</v>
      </c>
      <c r="DP17" t="e">
        <f t="shared" si="15"/>
        <v>#N/A</v>
      </c>
      <c r="DQ17" t="e">
        <f t="shared" si="15"/>
        <v>#N/A</v>
      </c>
      <c r="DR17" t="e">
        <f t="shared" si="15"/>
        <v>#N/A</v>
      </c>
      <c r="DS17" t="e">
        <f t="shared" si="15"/>
        <v>#N/A</v>
      </c>
      <c r="DT17" t="e">
        <f t="shared" si="15"/>
        <v>#N/A</v>
      </c>
      <c r="DU17" t="e">
        <f t="shared" si="15"/>
        <v>#N/A</v>
      </c>
      <c r="DV17" t="e">
        <f t="shared" si="15"/>
        <v>#N/A</v>
      </c>
      <c r="DW17" t="e">
        <f t="shared" si="15"/>
        <v>#N/A</v>
      </c>
      <c r="DX17" t="e">
        <f t="shared" si="15"/>
        <v>#N/A</v>
      </c>
      <c r="DY17" t="e">
        <f t="shared" si="15"/>
        <v>#N/A</v>
      </c>
      <c r="DZ17" t="e">
        <f t="shared" si="15"/>
        <v>#N/A</v>
      </c>
      <c r="EA17" t="e">
        <f t="shared" si="15"/>
        <v>#N/A</v>
      </c>
      <c r="EB17" t="e">
        <f t="shared" si="15"/>
        <v>#N/A</v>
      </c>
      <c r="EC17" t="e">
        <f t="shared" si="15"/>
        <v>#N/A</v>
      </c>
      <c r="ED17" t="e">
        <f t="shared" si="15"/>
        <v>#N/A</v>
      </c>
      <c r="EE17" t="e">
        <f t="shared" si="15"/>
        <v>#N/A</v>
      </c>
      <c r="EF17" t="e">
        <f t="shared" si="15"/>
        <v>#N/A</v>
      </c>
      <c r="EG17" t="e">
        <f t="shared" si="15"/>
        <v>#N/A</v>
      </c>
      <c r="EH17" t="e">
        <f t="shared" ref="EH17:GA17" si="16">IF(EH5=0,NA(),EH5-ROUNDUP(EH5*0.1,2)-ROUNDUP(EH5*0.05,2))</f>
        <v>#N/A</v>
      </c>
      <c r="EI17" t="e">
        <f t="shared" si="16"/>
        <v>#N/A</v>
      </c>
      <c r="EJ17" t="e">
        <f t="shared" si="16"/>
        <v>#N/A</v>
      </c>
      <c r="EK17" t="e">
        <f t="shared" si="16"/>
        <v>#N/A</v>
      </c>
      <c r="EL17" t="e">
        <f t="shared" si="16"/>
        <v>#N/A</v>
      </c>
      <c r="EM17" t="e">
        <f t="shared" si="16"/>
        <v>#N/A</v>
      </c>
      <c r="EN17" t="e">
        <f t="shared" si="16"/>
        <v>#N/A</v>
      </c>
      <c r="EO17" t="e">
        <f t="shared" si="16"/>
        <v>#N/A</v>
      </c>
      <c r="EP17" t="e">
        <f t="shared" si="16"/>
        <v>#N/A</v>
      </c>
      <c r="EQ17" t="e">
        <f t="shared" si="16"/>
        <v>#N/A</v>
      </c>
      <c r="ER17" t="e">
        <f t="shared" si="16"/>
        <v>#N/A</v>
      </c>
      <c r="ES17" t="e">
        <f t="shared" si="16"/>
        <v>#N/A</v>
      </c>
      <c r="ET17" t="e">
        <f t="shared" si="16"/>
        <v>#N/A</v>
      </c>
      <c r="EU17" t="e">
        <f t="shared" si="16"/>
        <v>#N/A</v>
      </c>
      <c r="EV17" t="e">
        <f t="shared" si="16"/>
        <v>#N/A</v>
      </c>
      <c r="EW17" t="e">
        <f t="shared" si="16"/>
        <v>#N/A</v>
      </c>
      <c r="EX17" t="e">
        <f t="shared" si="16"/>
        <v>#N/A</v>
      </c>
      <c r="EY17" t="e">
        <f t="shared" si="16"/>
        <v>#N/A</v>
      </c>
      <c r="EZ17" t="e">
        <f t="shared" si="16"/>
        <v>#N/A</v>
      </c>
      <c r="FA17" t="e">
        <f t="shared" si="16"/>
        <v>#N/A</v>
      </c>
      <c r="FB17" t="e">
        <f t="shared" si="16"/>
        <v>#N/A</v>
      </c>
      <c r="FC17" t="e">
        <f t="shared" si="16"/>
        <v>#N/A</v>
      </c>
      <c r="FD17" t="e">
        <f t="shared" si="16"/>
        <v>#N/A</v>
      </c>
      <c r="FE17" t="e">
        <f t="shared" si="16"/>
        <v>#N/A</v>
      </c>
      <c r="FF17" t="e">
        <f t="shared" si="16"/>
        <v>#N/A</v>
      </c>
      <c r="FG17" t="e">
        <f t="shared" si="16"/>
        <v>#N/A</v>
      </c>
      <c r="FH17" t="e">
        <f t="shared" si="16"/>
        <v>#N/A</v>
      </c>
      <c r="FI17" t="e">
        <f t="shared" si="16"/>
        <v>#N/A</v>
      </c>
      <c r="FJ17" t="e">
        <f t="shared" si="16"/>
        <v>#N/A</v>
      </c>
      <c r="FK17" t="e">
        <f t="shared" si="16"/>
        <v>#N/A</v>
      </c>
      <c r="FL17" t="e">
        <f t="shared" si="16"/>
        <v>#N/A</v>
      </c>
      <c r="FM17" t="e">
        <f t="shared" si="16"/>
        <v>#N/A</v>
      </c>
      <c r="FN17" t="e">
        <f t="shared" si="16"/>
        <v>#N/A</v>
      </c>
      <c r="FO17" t="e">
        <f t="shared" si="16"/>
        <v>#N/A</v>
      </c>
      <c r="FP17" t="e">
        <f t="shared" si="16"/>
        <v>#N/A</v>
      </c>
      <c r="FQ17" t="e">
        <f t="shared" si="16"/>
        <v>#N/A</v>
      </c>
      <c r="FR17" t="e">
        <f t="shared" si="16"/>
        <v>#N/A</v>
      </c>
      <c r="FS17" t="e">
        <f t="shared" si="16"/>
        <v>#N/A</v>
      </c>
      <c r="FT17" t="e">
        <f t="shared" si="16"/>
        <v>#N/A</v>
      </c>
      <c r="FU17" t="e">
        <f t="shared" si="16"/>
        <v>#N/A</v>
      </c>
      <c r="FV17" t="e">
        <f t="shared" si="16"/>
        <v>#N/A</v>
      </c>
      <c r="FW17" t="e">
        <f t="shared" si="16"/>
        <v>#N/A</v>
      </c>
      <c r="FX17" t="e">
        <f t="shared" si="16"/>
        <v>#N/A</v>
      </c>
      <c r="FY17" t="e">
        <f t="shared" si="16"/>
        <v>#N/A</v>
      </c>
      <c r="FZ17" t="e">
        <f t="shared" si="16"/>
        <v>#N/A</v>
      </c>
      <c r="GA17" t="e">
        <f t="shared" si="16"/>
        <v>#N/A</v>
      </c>
    </row>
    <row r="18" spans="1:183" x14ac:dyDescent="0.45">
      <c r="B18" t="s">
        <v>24</v>
      </c>
      <c r="C18" cm="1">
        <f t="array" ref="C18">LOOKUP(2,1/(I18:GA18&lt;&gt;""),I18:GA18)</f>
        <v>8.36</v>
      </c>
      <c r="D18">
        <f t="shared" si="8"/>
        <v>45</v>
      </c>
      <c r="F18" s="4">
        <f t="shared" si="9"/>
        <v>1.8243243243243241</v>
      </c>
      <c r="G18" s="3" cm="1">
        <f t="array" ref="G18">(C18-IF(ISNA(INDEX(I18:GA18,D18-22)),INDEX(I18:GA18,D18-23),INDEX(I18:GA18,D18-22)))/IF(ISNA(INDEX(I18:GA18,D18-22)),INDEX(I18:GA18,D18-23),INDEX(I18:GA18,D18-22))</f>
        <v>-5.9453032104638181E-3</v>
      </c>
      <c r="I18">
        <f t="shared" si="10"/>
        <v>2.96</v>
      </c>
      <c r="J18">
        <f t="shared" ref="J18:BU18" si="17">IF(J6=0,NA(),J6-ROUNDUP(J6*0.1,2)-ROUNDUP(J6*0.05,2))</f>
        <v>3.19</v>
      </c>
      <c r="K18" t="e">
        <f t="shared" si="17"/>
        <v>#N/A</v>
      </c>
      <c r="L18">
        <f t="shared" si="17"/>
        <v>3.41</v>
      </c>
      <c r="M18" t="e">
        <f t="shared" si="17"/>
        <v>#N/A</v>
      </c>
      <c r="N18">
        <f t="shared" si="17"/>
        <v>3.73</v>
      </c>
      <c r="O18">
        <f t="shared" si="17"/>
        <v>4.0399999999999991</v>
      </c>
      <c r="P18">
        <f t="shared" si="17"/>
        <v>5.19</v>
      </c>
      <c r="Q18">
        <f t="shared" si="17"/>
        <v>5.59</v>
      </c>
      <c r="R18">
        <f t="shared" si="17"/>
        <v>5.59</v>
      </c>
      <c r="S18">
        <f t="shared" si="17"/>
        <v>5.58</v>
      </c>
      <c r="T18">
        <f t="shared" si="17"/>
        <v>6.53</v>
      </c>
      <c r="U18">
        <f t="shared" si="17"/>
        <v>7.2399999999999993</v>
      </c>
      <c r="V18">
        <f t="shared" si="17"/>
        <v>7.1800000000000015</v>
      </c>
      <c r="W18">
        <f t="shared" si="17"/>
        <v>7.2000000000000011</v>
      </c>
      <c r="X18">
        <f t="shared" si="17"/>
        <v>6.77</v>
      </c>
      <c r="Y18">
        <f t="shared" si="17"/>
        <v>6.71</v>
      </c>
      <c r="Z18">
        <f t="shared" si="17"/>
        <v>6.6999999999999993</v>
      </c>
      <c r="AA18">
        <f t="shared" si="17"/>
        <v>7.3</v>
      </c>
      <c r="AB18">
        <f t="shared" si="17"/>
        <v>7.96</v>
      </c>
      <c r="AC18">
        <f t="shared" si="17"/>
        <v>9.41</v>
      </c>
      <c r="AD18">
        <f t="shared" si="17"/>
        <v>9.2899999999999991</v>
      </c>
      <c r="AE18">
        <f t="shared" si="17"/>
        <v>8.41</v>
      </c>
      <c r="AF18">
        <f t="shared" si="17"/>
        <v>7.9800000000000013</v>
      </c>
      <c r="AG18">
        <f t="shared" si="17"/>
        <v>8.24</v>
      </c>
      <c r="AH18">
        <f t="shared" si="17"/>
        <v>7.9700000000000015</v>
      </c>
      <c r="AI18">
        <f t="shared" si="17"/>
        <v>8.35</v>
      </c>
      <c r="AJ18">
        <f t="shared" si="17"/>
        <v>8.33</v>
      </c>
      <c r="AK18">
        <f t="shared" si="17"/>
        <v>10.639999999999999</v>
      </c>
      <c r="AL18">
        <f t="shared" si="17"/>
        <v>8.6600000000000019</v>
      </c>
      <c r="AM18">
        <f t="shared" si="17"/>
        <v>8.5</v>
      </c>
      <c r="AN18" t="e">
        <f t="shared" si="17"/>
        <v>#N/A</v>
      </c>
      <c r="AO18">
        <f t="shared" si="17"/>
        <v>9.26</v>
      </c>
      <c r="AP18">
        <f t="shared" si="17"/>
        <v>8.73</v>
      </c>
      <c r="AQ18">
        <f t="shared" si="17"/>
        <v>8.5500000000000007</v>
      </c>
      <c r="AR18">
        <f t="shared" si="17"/>
        <v>8.5</v>
      </c>
      <c r="AS18">
        <f t="shared" si="17"/>
        <v>8.36</v>
      </c>
      <c r="AT18" t="e">
        <f t="shared" si="17"/>
        <v>#N/A</v>
      </c>
      <c r="AU18" t="e">
        <f t="shared" si="17"/>
        <v>#N/A</v>
      </c>
      <c r="AV18" t="e">
        <f t="shared" si="17"/>
        <v>#N/A</v>
      </c>
      <c r="AW18" t="e">
        <f t="shared" si="17"/>
        <v>#N/A</v>
      </c>
      <c r="AX18" t="e">
        <f t="shared" si="17"/>
        <v>#N/A</v>
      </c>
      <c r="AY18" t="e">
        <f t="shared" si="17"/>
        <v>#N/A</v>
      </c>
      <c r="AZ18" t="e">
        <f t="shared" si="17"/>
        <v>#N/A</v>
      </c>
      <c r="BA18" t="e">
        <f t="shared" si="17"/>
        <v>#N/A</v>
      </c>
      <c r="BB18" t="e">
        <f t="shared" si="17"/>
        <v>#N/A</v>
      </c>
      <c r="BC18" t="e">
        <f t="shared" si="17"/>
        <v>#N/A</v>
      </c>
      <c r="BD18" t="e">
        <f t="shared" si="17"/>
        <v>#N/A</v>
      </c>
      <c r="BE18" t="e">
        <f t="shared" si="17"/>
        <v>#N/A</v>
      </c>
      <c r="BF18" t="e">
        <f t="shared" si="17"/>
        <v>#N/A</v>
      </c>
      <c r="BG18" t="e">
        <f t="shared" si="17"/>
        <v>#N/A</v>
      </c>
      <c r="BH18" t="e">
        <f t="shared" si="17"/>
        <v>#N/A</v>
      </c>
      <c r="BI18" t="e">
        <f t="shared" si="17"/>
        <v>#N/A</v>
      </c>
      <c r="BJ18" t="e">
        <f t="shared" si="17"/>
        <v>#N/A</v>
      </c>
      <c r="BK18" t="e">
        <f t="shared" si="17"/>
        <v>#N/A</v>
      </c>
      <c r="BL18" t="e">
        <f t="shared" si="17"/>
        <v>#N/A</v>
      </c>
      <c r="BM18" t="e">
        <f t="shared" si="17"/>
        <v>#N/A</v>
      </c>
      <c r="BN18" t="e">
        <f t="shared" si="17"/>
        <v>#N/A</v>
      </c>
      <c r="BO18" t="e">
        <f t="shared" si="17"/>
        <v>#N/A</v>
      </c>
      <c r="BP18" t="e">
        <f t="shared" si="17"/>
        <v>#N/A</v>
      </c>
      <c r="BQ18" t="e">
        <f t="shared" si="17"/>
        <v>#N/A</v>
      </c>
      <c r="BR18" t="e">
        <f t="shared" si="17"/>
        <v>#N/A</v>
      </c>
      <c r="BS18" t="e">
        <f t="shared" si="17"/>
        <v>#N/A</v>
      </c>
      <c r="BT18" t="e">
        <f t="shared" si="17"/>
        <v>#N/A</v>
      </c>
      <c r="BU18" t="e">
        <f t="shared" si="17"/>
        <v>#N/A</v>
      </c>
      <c r="BV18" t="e">
        <f t="shared" ref="BV18:EG18" si="18">IF(BV6=0,NA(),BV6-ROUNDUP(BV6*0.1,2)-ROUNDUP(BV6*0.05,2))</f>
        <v>#N/A</v>
      </c>
      <c r="BW18" t="e">
        <f t="shared" si="18"/>
        <v>#N/A</v>
      </c>
      <c r="BX18" t="e">
        <f t="shared" si="18"/>
        <v>#N/A</v>
      </c>
      <c r="BY18" t="e">
        <f t="shared" si="18"/>
        <v>#N/A</v>
      </c>
      <c r="BZ18" t="e">
        <f t="shared" si="18"/>
        <v>#N/A</v>
      </c>
      <c r="CA18" t="e">
        <f t="shared" si="18"/>
        <v>#N/A</v>
      </c>
      <c r="CB18" t="e">
        <f t="shared" si="18"/>
        <v>#N/A</v>
      </c>
      <c r="CC18" t="e">
        <f t="shared" si="18"/>
        <v>#N/A</v>
      </c>
      <c r="CD18" t="e">
        <f t="shared" si="18"/>
        <v>#N/A</v>
      </c>
      <c r="CE18" t="e">
        <f t="shared" si="18"/>
        <v>#N/A</v>
      </c>
      <c r="CF18" t="e">
        <f t="shared" si="18"/>
        <v>#N/A</v>
      </c>
      <c r="CG18" t="e">
        <f t="shared" si="18"/>
        <v>#N/A</v>
      </c>
      <c r="CH18" t="e">
        <f t="shared" si="18"/>
        <v>#N/A</v>
      </c>
      <c r="CI18" t="e">
        <f t="shared" si="18"/>
        <v>#N/A</v>
      </c>
      <c r="CJ18" t="e">
        <f t="shared" si="18"/>
        <v>#N/A</v>
      </c>
      <c r="CK18" t="e">
        <f t="shared" si="18"/>
        <v>#N/A</v>
      </c>
      <c r="CL18" t="e">
        <f t="shared" si="18"/>
        <v>#N/A</v>
      </c>
      <c r="CM18" t="e">
        <f t="shared" si="18"/>
        <v>#N/A</v>
      </c>
      <c r="CN18" t="e">
        <f t="shared" si="18"/>
        <v>#N/A</v>
      </c>
      <c r="CO18" t="e">
        <f t="shared" si="18"/>
        <v>#N/A</v>
      </c>
      <c r="CP18" t="e">
        <f t="shared" si="18"/>
        <v>#N/A</v>
      </c>
      <c r="CQ18" t="e">
        <f t="shared" si="18"/>
        <v>#N/A</v>
      </c>
      <c r="CR18" t="e">
        <f t="shared" si="18"/>
        <v>#N/A</v>
      </c>
      <c r="CS18" t="e">
        <f t="shared" si="18"/>
        <v>#N/A</v>
      </c>
      <c r="CT18" t="e">
        <f t="shared" si="18"/>
        <v>#N/A</v>
      </c>
      <c r="CU18" t="e">
        <f t="shared" si="18"/>
        <v>#N/A</v>
      </c>
      <c r="CV18" t="e">
        <f t="shared" si="18"/>
        <v>#N/A</v>
      </c>
      <c r="CW18" t="e">
        <f t="shared" si="18"/>
        <v>#N/A</v>
      </c>
      <c r="CX18" t="e">
        <f t="shared" si="18"/>
        <v>#N/A</v>
      </c>
      <c r="CY18" t="e">
        <f t="shared" si="18"/>
        <v>#N/A</v>
      </c>
      <c r="CZ18" t="e">
        <f t="shared" si="18"/>
        <v>#N/A</v>
      </c>
      <c r="DA18" t="e">
        <f t="shared" si="18"/>
        <v>#N/A</v>
      </c>
      <c r="DB18" t="e">
        <f t="shared" si="18"/>
        <v>#N/A</v>
      </c>
      <c r="DC18" t="e">
        <f t="shared" si="18"/>
        <v>#N/A</v>
      </c>
      <c r="DD18" t="e">
        <f t="shared" si="18"/>
        <v>#N/A</v>
      </c>
      <c r="DE18" t="e">
        <f t="shared" si="18"/>
        <v>#N/A</v>
      </c>
      <c r="DF18" t="e">
        <f t="shared" si="18"/>
        <v>#N/A</v>
      </c>
      <c r="DG18" t="e">
        <f t="shared" si="18"/>
        <v>#N/A</v>
      </c>
      <c r="DH18" t="e">
        <f t="shared" si="18"/>
        <v>#N/A</v>
      </c>
      <c r="DI18" t="e">
        <f t="shared" si="18"/>
        <v>#N/A</v>
      </c>
      <c r="DJ18" t="e">
        <f t="shared" si="18"/>
        <v>#N/A</v>
      </c>
      <c r="DK18" t="e">
        <f t="shared" si="18"/>
        <v>#N/A</v>
      </c>
      <c r="DL18" t="e">
        <f t="shared" si="18"/>
        <v>#N/A</v>
      </c>
      <c r="DM18" t="e">
        <f t="shared" si="18"/>
        <v>#N/A</v>
      </c>
      <c r="DN18" t="e">
        <f t="shared" si="18"/>
        <v>#N/A</v>
      </c>
      <c r="DO18" t="e">
        <f t="shared" si="18"/>
        <v>#N/A</v>
      </c>
      <c r="DP18" t="e">
        <f t="shared" si="18"/>
        <v>#N/A</v>
      </c>
      <c r="DQ18" t="e">
        <f t="shared" si="18"/>
        <v>#N/A</v>
      </c>
      <c r="DR18" t="e">
        <f t="shared" si="18"/>
        <v>#N/A</v>
      </c>
      <c r="DS18" t="e">
        <f t="shared" si="18"/>
        <v>#N/A</v>
      </c>
      <c r="DT18" t="e">
        <f t="shared" si="18"/>
        <v>#N/A</v>
      </c>
      <c r="DU18" t="e">
        <f t="shared" si="18"/>
        <v>#N/A</v>
      </c>
      <c r="DV18" t="e">
        <f t="shared" si="18"/>
        <v>#N/A</v>
      </c>
      <c r="DW18" t="e">
        <f t="shared" si="18"/>
        <v>#N/A</v>
      </c>
      <c r="DX18" t="e">
        <f t="shared" si="18"/>
        <v>#N/A</v>
      </c>
      <c r="DY18" t="e">
        <f t="shared" si="18"/>
        <v>#N/A</v>
      </c>
      <c r="DZ18" t="e">
        <f t="shared" si="18"/>
        <v>#N/A</v>
      </c>
      <c r="EA18" t="e">
        <f t="shared" si="18"/>
        <v>#N/A</v>
      </c>
      <c r="EB18" t="e">
        <f t="shared" si="18"/>
        <v>#N/A</v>
      </c>
      <c r="EC18" t="e">
        <f t="shared" si="18"/>
        <v>#N/A</v>
      </c>
      <c r="ED18" t="e">
        <f t="shared" si="18"/>
        <v>#N/A</v>
      </c>
      <c r="EE18" t="e">
        <f t="shared" si="18"/>
        <v>#N/A</v>
      </c>
      <c r="EF18" t="e">
        <f t="shared" si="18"/>
        <v>#N/A</v>
      </c>
      <c r="EG18" t="e">
        <f t="shared" si="18"/>
        <v>#N/A</v>
      </c>
      <c r="EH18" t="e">
        <f t="shared" ref="EH18:GA18" si="19">IF(EH6=0,NA(),EH6-ROUNDUP(EH6*0.1,2)-ROUNDUP(EH6*0.05,2))</f>
        <v>#N/A</v>
      </c>
      <c r="EI18" t="e">
        <f t="shared" si="19"/>
        <v>#N/A</v>
      </c>
      <c r="EJ18" t="e">
        <f t="shared" si="19"/>
        <v>#N/A</v>
      </c>
      <c r="EK18" t="e">
        <f t="shared" si="19"/>
        <v>#N/A</v>
      </c>
      <c r="EL18" t="e">
        <f t="shared" si="19"/>
        <v>#N/A</v>
      </c>
      <c r="EM18" t="e">
        <f t="shared" si="19"/>
        <v>#N/A</v>
      </c>
      <c r="EN18" t="e">
        <f t="shared" si="19"/>
        <v>#N/A</v>
      </c>
      <c r="EO18" t="e">
        <f t="shared" si="19"/>
        <v>#N/A</v>
      </c>
      <c r="EP18" t="e">
        <f t="shared" si="19"/>
        <v>#N/A</v>
      </c>
      <c r="EQ18" t="e">
        <f t="shared" si="19"/>
        <v>#N/A</v>
      </c>
      <c r="ER18" t="e">
        <f t="shared" si="19"/>
        <v>#N/A</v>
      </c>
      <c r="ES18" t="e">
        <f t="shared" si="19"/>
        <v>#N/A</v>
      </c>
      <c r="ET18" t="e">
        <f t="shared" si="19"/>
        <v>#N/A</v>
      </c>
      <c r="EU18" t="e">
        <f t="shared" si="19"/>
        <v>#N/A</v>
      </c>
      <c r="EV18" t="e">
        <f t="shared" si="19"/>
        <v>#N/A</v>
      </c>
      <c r="EW18" t="e">
        <f t="shared" si="19"/>
        <v>#N/A</v>
      </c>
      <c r="EX18" t="e">
        <f t="shared" si="19"/>
        <v>#N/A</v>
      </c>
      <c r="EY18" t="e">
        <f t="shared" si="19"/>
        <v>#N/A</v>
      </c>
      <c r="EZ18" t="e">
        <f t="shared" si="19"/>
        <v>#N/A</v>
      </c>
      <c r="FA18" t="e">
        <f t="shared" si="19"/>
        <v>#N/A</v>
      </c>
      <c r="FB18" t="e">
        <f t="shared" si="19"/>
        <v>#N/A</v>
      </c>
      <c r="FC18" t="e">
        <f t="shared" si="19"/>
        <v>#N/A</v>
      </c>
      <c r="FD18" t="e">
        <f t="shared" si="19"/>
        <v>#N/A</v>
      </c>
      <c r="FE18" t="e">
        <f t="shared" si="19"/>
        <v>#N/A</v>
      </c>
      <c r="FF18" t="e">
        <f t="shared" si="19"/>
        <v>#N/A</v>
      </c>
      <c r="FG18" t="e">
        <f t="shared" si="19"/>
        <v>#N/A</v>
      </c>
      <c r="FH18" t="e">
        <f t="shared" si="19"/>
        <v>#N/A</v>
      </c>
      <c r="FI18" t="e">
        <f t="shared" si="19"/>
        <v>#N/A</v>
      </c>
      <c r="FJ18" t="e">
        <f t="shared" si="19"/>
        <v>#N/A</v>
      </c>
      <c r="FK18" t="e">
        <f t="shared" si="19"/>
        <v>#N/A</v>
      </c>
      <c r="FL18" t="e">
        <f t="shared" si="19"/>
        <v>#N/A</v>
      </c>
      <c r="FM18" t="e">
        <f t="shared" si="19"/>
        <v>#N/A</v>
      </c>
      <c r="FN18" t="e">
        <f t="shared" si="19"/>
        <v>#N/A</v>
      </c>
      <c r="FO18" t="e">
        <f t="shared" si="19"/>
        <v>#N/A</v>
      </c>
      <c r="FP18" t="e">
        <f t="shared" si="19"/>
        <v>#N/A</v>
      </c>
      <c r="FQ18" t="e">
        <f t="shared" si="19"/>
        <v>#N/A</v>
      </c>
      <c r="FR18" t="e">
        <f t="shared" si="19"/>
        <v>#N/A</v>
      </c>
      <c r="FS18" t="e">
        <f t="shared" si="19"/>
        <v>#N/A</v>
      </c>
      <c r="FT18" t="e">
        <f t="shared" si="19"/>
        <v>#N/A</v>
      </c>
      <c r="FU18" t="e">
        <f t="shared" si="19"/>
        <v>#N/A</v>
      </c>
      <c r="FV18" t="e">
        <f t="shared" si="19"/>
        <v>#N/A</v>
      </c>
      <c r="FW18" t="e">
        <f t="shared" si="19"/>
        <v>#N/A</v>
      </c>
      <c r="FX18" t="e">
        <f t="shared" si="19"/>
        <v>#N/A</v>
      </c>
      <c r="FY18" t="e">
        <f t="shared" si="19"/>
        <v>#N/A</v>
      </c>
      <c r="FZ18" t="e">
        <f t="shared" si="19"/>
        <v>#N/A</v>
      </c>
      <c r="GA18" t="e">
        <f t="shared" si="19"/>
        <v>#N/A</v>
      </c>
    </row>
    <row r="19" spans="1:183" x14ac:dyDescent="0.45">
      <c r="B19" t="s">
        <v>25</v>
      </c>
      <c r="C19" cm="1">
        <f t="array" ref="C19">LOOKUP(2,1/(I19:GA19&lt;&gt;""),I19:GA19)</f>
        <v>7.7299999999999995</v>
      </c>
      <c r="D19">
        <f t="shared" si="8"/>
        <v>45</v>
      </c>
      <c r="F19" s="4">
        <f t="shared" si="9"/>
        <v>1.5511551155115511</v>
      </c>
      <c r="G19" s="3" cm="1">
        <f t="array" ref="G19">(C19-IF(ISNA(INDEX(I19:GA19,D19-22)),INDEX(I19:GA19,D19-23),INDEX(I19:GA19,D19-22)))/IF(ISNA(INDEX(I19:GA19,D19-22)),INDEX(I19:GA19,D19-23),INDEX(I19:GA19,D19-22))</f>
        <v>-6.0753341433778758E-2</v>
      </c>
      <c r="I19">
        <f t="shared" si="10"/>
        <v>3.03</v>
      </c>
      <c r="J19">
        <f t="shared" ref="J19:BU19" si="20">IF(J7=0,NA(),J7-ROUNDUP(J7*0.1,2)-ROUNDUP(J7*0.05,2))</f>
        <v>3.02</v>
      </c>
      <c r="K19" t="e">
        <f t="shared" si="20"/>
        <v>#N/A</v>
      </c>
      <c r="L19">
        <f t="shared" si="20"/>
        <v>3.2499999999999996</v>
      </c>
      <c r="M19" t="e">
        <f t="shared" si="20"/>
        <v>#N/A</v>
      </c>
      <c r="N19">
        <f t="shared" si="20"/>
        <v>3.6399999999999997</v>
      </c>
      <c r="O19">
        <f t="shared" si="20"/>
        <v>3.74</v>
      </c>
      <c r="P19">
        <f t="shared" si="20"/>
        <v>4.8099999999999996</v>
      </c>
      <c r="Q19">
        <f t="shared" si="20"/>
        <v>4.9800000000000004</v>
      </c>
      <c r="R19">
        <f t="shared" si="20"/>
        <v>5.35</v>
      </c>
      <c r="S19">
        <f t="shared" si="20"/>
        <v>5.28</v>
      </c>
      <c r="T19">
        <f t="shared" si="20"/>
        <v>6.29</v>
      </c>
      <c r="U19">
        <f t="shared" si="20"/>
        <v>6.67</v>
      </c>
      <c r="V19">
        <f t="shared" si="20"/>
        <v>6.9600000000000009</v>
      </c>
      <c r="W19">
        <f t="shared" si="20"/>
        <v>6.83</v>
      </c>
      <c r="X19">
        <f t="shared" si="20"/>
        <v>6.76</v>
      </c>
      <c r="Y19">
        <f t="shared" si="20"/>
        <v>6.14</v>
      </c>
      <c r="Z19">
        <f t="shared" si="20"/>
        <v>5.88</v>
      </c>
      <c r="AA19">
        <f t="shared" si="20"/>
        <v>6.77</v>
      </c>
      <c r="AB19">
        <f t="shared" si="20"/>
        <v>7.55</v>
      </c>
      <c r="AC19">
        <f t="shared" si="20"/>
        <v>8.2299999999999986</v>
      </c>
      <c r="AD19">
        <f t="shared" si="20"/>
        <v>9.73</v>
      </c>
      <c r="AE19">
        <f t="shared" si="20"/>
        <v>8.2299999999999986</v>
      </c>
      <c r="AF19">
        <f t="shared" si="20"/>
        <v>7.9200000000000008</v>
      </c>
      <c r="AG19">
        <f t="shared" si="20"/>
        <v>7.88</v>
      </c>
      <c r="AH19">
        <f t="shared" si="20"/>
        <v>7.9300000000000006</v>
      </c>
      <c r="AI19">
        <f t="shared" si="20"/>
        <v>7.86</v>
      </c>
      <c r="AJ19">
        <f t="shared" si="20"/>
        <v>7.7700000000000005</v>
      </c>
      <c r="AK19">
        <f t="shared" si="20"/>
        <v>8.4</v>
      </c>
      <c r="AL19">
        <f t="shared" si="20"/>
        <v>8.92</v>
      </c>
      <c r="AM19">
        <f t="shared" si="20"/>
        <v>8.1599999999999984</v>
      </c>
      <c r="AN19" t="e">
        <f t="shared" si="20"/>
        <v>#N/A</v>
      </c>
      <c r="AO19">
        <f t="shared" si="20"/>
        <v>7.87</v>
      </c>
      <c r="AP19">
        <f t="shared" si="20"/>
        <v>8.2999999999999989</v>
      </c>
      <c r="AQ19">
        <f t="shared" si="20"/>
        <v>7.9800000000000013</v>
      </c>
      <c r="AR19">
        <f t="shared" si="20"/>
        <v>7.64</v>
      </c>
      <c r="AS19">
        <f t="shared" si="20"/>
        <v>7.7299999999999995</v>
      </c>
      <c r="AT19" t="e">
        <f t="shared" si="20"/>
        <v>#N/A</v>
      </c>
      <c r="AU19" t="e">
        <f t="shared" si="20"/>
        <v>#N/A</v>
      </c>
      <c r="AV19" t="e">
        <f t="shared" si="20"/>
        <v>#N/A</v>
      </c>
      <c r="AW19" t="e">
        <f t="shared" si="20"/>
        <v>#N/A</v>
      </c>
      <c r="AX19" t="e">
        <f t="shared" si="20"/>
        <v>#N/A</v>
      </c>
      <c r="AY19" t="e">
        <f t="shared" si="20"/>
        <v>#N/A</v>
      </c>
      <c r="AZ19" t="e">
        <f t="shared" si="20"/>
        <v>#N/A</v>
      </c>
      <c r="BA19" t="e">
        <f t="shared" si="20"/>
        <v>#N/A</v>
      </c>
      <c r="BB19" t="e">
        <f t="shared" si="20"/>
        <v>#N/A</v>
      </c>
      <c r="BC19" t="e">
        <f t="shared" si="20"/>
        <v>#N/A</v>
      </c>
      <c r="BD19" t="e">
        <f t="shared" si="20"/>
        <v>#N/A</v>
      </c>
      <c r="BE19" t="e">
        <f t="shared" si="20"/>
        <v>#N/A</v>
      </c>
      <c r="BF19" t="e">
        <f t="shared" si="20"/>
        <v>#N/A</v>
      </c>
      <c r="BG19" t="e">
        <f t="shared" si="20"/>
        <v>#N/A</v>
      </c>
      <c r="BH19" t="e">
        <f t="shared" si="20"/>
        <v>#N/A</v>
      </c>
      <c r="BI19" t="e">
        <f t="shared" si="20"/>
        <v>#N/A</v>
      </c>
      <c r="BJ19" t="e">
        <f t="shared" si="20"/>
        <v>#N/A</v>
      </c>
      <c r="BK19" t="e">
        <f t="shared" si="20"/>
        <v>#N/A</v>
      </c>
      <c r="BL19" t="e">
        <f t="shared" si="20"/>
        <v>#N/A</v>
      </c>
      <c r="BM19" t="e">
        <f t="shared" si="20"/>
        <v>#N/A</v>
      </c>
      <c r="BN19" t="e">
        <f t="shared" si="20"/>
        <v>#N/A</v>
      </c>
      <c r="BO19" t="e">
        <f t="shared" si="20"/>
        <v>#N/A</v>
      </c>
      <c r="BP19" t="e">
        <f t="shared" si="20"/>
        <v>#N/A</v>
      </c>
      <c r="BQ19" t="e">
        <f t="shared" si="20"/>
        <v>#N/A</v>
      </c>
      <c r="BR19" t="e">
        <f t="shared" si="20"/>
        <v>#N/A</v>
      </c>
      <c r="BS19" t="e">
        <f t="shared" si="20"/>
        <v>#N/A</v>
      </c>
      <c r="BT19" t="e">
        <f t="shared" si="20"/>
        <v>#N/A</v>
      </c>
      <c r="BU19" t="e">
        <f t="shared" si="20"/>
        <v>#N/A</v>
      </c>
      <c r="BV19" t="e">
        <f t="shared" ref="BV19:EG19" si="21">IF(BV7=0,NA(),BV7-ROUNDUP(BV7*0.1,2)-ROUNDUP(BV7*0.05,2))</f>
        <v>#N/A</v>
      </c>
      <c r="BW19" t="e">
        <f t="shared" si="21"/>
        <v>#N/A</v>
      </c>
      <c r="BX19" t="e">
        <f t="shared" si="21"/>
        <v>#N/A</v>
      </c>
      <c r="BY19" t="e">
        <f t="shared" si="21"/>
        <v>#N/A</v>
      </c>
      <c r="BZ19" t="e">
        <f t="shared" si="21"/>
        <v>#N/A</v>
      </c>
      <c r="CA19" t="e">
        <f t="shared" si="21"/>
        <v>#N/A</v>
      </c>
      <c r="CB19" t="e">
        <f t="shared" si="21"/>
        <v>#N/A</v>
      </c>
      <c r="CC19" t="e">
        <f t="shared" si="21"/>
        <v>#N/A</v>
      </c>
      <c r="CD19" t="e">
        <f t="shared" si="21"/>
        <v>#N/A</v>
      </c>
      <c r="CE19" t="e">
        <f t="shared" si="21"/>
        <v>#N/A</v>
      </c>
      <c r="CF19" t="e">
        <f t="shared" si="21"/>
        <v>#N/A</v>
      </c>
      <c r="CG19" t="e">
        <f t="shared" si="21"/>
        <v>#N/A</v>
      </c>
      <c r="CH19" t="e">
        <f t="shared" si="21"/>
        <v>#N/A</v>
      </c>
      <c r="CI19" t="e">
        <f t="shared" si="21"/>
        <v>#N/A</v>
      </c>
      <c r="CJ19" t="e">
        <f t="shared" si="21"/>
        <v>#N/A</v>
      </c>
      <c r="CK19" t="e">
        <f t="shared" si="21"/>
        <v>#N/A</v>
      </c>
      <c r="CL19" t="e">
        <f t="shared" si="21"/>
        <v>#N/A</v>
      </c>
      <c r="CM19" t="e">
        <f t="shared" si="21"/>
        <v>#N/A</v>
      </c>
      <c r="CN19" t="e">
        <f t="shared" si="21"/>
        <v>#N/A</v>
      </c>
      <c r="CO19" t="e">
        <f t="shared" si="21"/>
        <v>#N/A</v>
      </c>
      <c r="CP19" t="e">
        <f t="shared" si="21"/>
        <v>#N/A</v>
      </c>
      <c r="CQ19" t="e">
        <f t="shared" si="21"/>
        <v>#N/A</v>
      </c>
      <c r="CR19" t="e">
        <f t="shared" si="21"/>
        <v>#N/A</v>
      </c>
      <c r="CS19" t="e">
        <f t="shared" si="21"/>
        <v>#N/A</v>
      </c>
      <c r="CT19" t="e">
        <f t="shared" si="21"/>
        <v>#N/A</v>
      </c>
      <c r="CU19" t="e">
        <f t="shared" si="21"/>
        <v>#N/A</v>
      </c>
      <c r="CV19" t="e">
        <f t="shared" si="21"/>
        <v>#N/A</v>
      </c>
      <c r="CW19" t="e">
        <f t="shared" si="21"/>
        <v>#N/A</v>
      </c>
      <c r="CX19" t="e">
        <f t="shared" si="21"/>
        <v>#N/A</v>
      </c>
      <c r="CY19" t="e">
        <f t="shared" si="21"/>
        <v>#N/A</v>
      </c>
      <c r="CZ19" t="e">
        <f t="shared" si="21"/>
        <v>#N/A</v>
      </c>
      <c r="DA19" t="e">
        <f t="shared" si="21"/>
        <v>#N/A</v>
      </c>
      <c r="DB19" t="e">
        <f t="shared" si="21"/>
        <v>#N/A</v>
      </c>
      <c r="DC19" t="e">
        <f t="shared" si="21"/>
        <v>#N/A</v>
      </c>
      <c r="DD19" t="e">
        <f t="shared" si="21"/>
        <v>#N/A</v>
      </c>
      <c r="DE19" t="e">
        <f t="shared" si="21"/>
        <v>#N/A</v>
      </c>
      <c r="DF19" t="e">
        <f t="shared" si="21"/>
        <v>#N/A</v>
      </c>
      <c r="DG19" t="e">
        <f t="shared" si="21"/>
        <v>#N/A</v>
      </c>
      <c r="DH19" t="e">
        <f t="shared" si="21"/>
        <v>#N/A</v>
      </c>
      <c r="DI19" t="e">
        <f t="shared" si="21"/>
        <v>#N/A</v>
      </c>
      <c r="DJ19" t="e">
        <f t="shared" si="21"/>
        <v>#N/A</v>
      </c>
      <c r="DK19" t="e">
        <f t="shared" si="21"/>
        <v>#N/A</v>
      </c>
      <c r="DL19" t="e">
        <f t="shared" si="21"/>
        <v>#N/A</v>
      </c>
      <c r="DM19" t="e">
        <f t="shared" si="21"/>
        <v>#N/A</v>
      </c>
      <c r="DN19" t="e">
        <f t="shared" si="21"/>
        <v>#N/A</v>
      </c>
      <c r="DO19" t="e">
        <f t="shared" si="21"/>
        <v>#N/A</v>
      </c>
      <c r="DP19" t="e">
        <f t="shared" si="21"/>
        <v>#N/A</v>
      </c>
      <c r="DQ19" t="e">
        <f t="shared" si="21"/>
        <v>#N/A</v>
      </c>
      <c r="DR19" t="e">
        <f t="shared" si="21"/>
        <v>#N/A</v>
      </c>
      <c r="DS19" t="e">
        <f t="shared" si="21"/>
        <v>#N/A</v>
      </c>
      <c r="DT19" t="e">
        <f t="shared" si="21"/>
        <v>#N/A</v>
      </c>
      <c r="DU19" t="e">
        <f t="shared" si="21"/>
        <v>#N/A</v>
      </c>
      <c r="DV19" t="e">
        <f t="shared" si="21"/>
        <v>#N/A</v>
      </c>
      <c r="DW19" t="e">
        <f t="shared" si="21"/>
        <v>#N/A</v>
      </c>
      <c r="DX19" t="e">
        <f t="shared" si="21"/>
        <v>#N/A</v>
      </c>
      <c r="DY19" t="e">
        <f t="shared" si="21"/>
        <v>#N/A</v>
      </c>
      <c r="DZ19" t="e">
        <f t="shared" si="21"/>
        <v>#N/A</v>
      </c>
      <c r="EA19" t="e">
        <f t="shared" si="21"/>
        <v>#N/A</v>
      </c>
      <c r="EB19" t="e">
        <f t="shared" si="21"/>
        <v>#N/A</v>
      </c>
      <c r="EC19" t="e">
        <f t="shared" si="21"/>
        <v>#N/A</v>
      </c>
      <c r="ED19" t="e">
        <f t="shared" si="21"/>
        <v>#N/A</v>
      </c>
      <c r="EE19" t="e">
        <f t="shared" si="21"/>
        <v>#N/A</v>
      </c>
      <c r="EF19" t="e">
        <f t="shared" si="21"/>
        <v>#N/A</v>
      </c>
      <c r="EG19" t="e">
        <f t="shared" si="21"/>
        <v>#N/A</v>
      </c>
      <c r="EH19" t="e">
        <f t="shared" ref="EH19:GA19" si="22">IF(EH7=0,NA(),EH7-ROUNDUP(EH7*0.1,2)-ROUNDUP(EH7*0.05,2))</f>
        <v>#N/A</v>
      </c>
      <c r="EI19" t="e">
        <f t="shared" si="22"/>
        <v>#N/A</v>
      </c>
      <c r="EJ19" t="e">
        <f t="shared" si="22"/>
        <v>#N/A</v>
      </c>
      <c r="EK19" t="e">
        <f t="shared" si="22"/>
        <v>#N/A</v>
      </c>
      <c r="EL19" t="e">
        <f t="shared" si="22"/>
        <v>#N/A</v>
      </c>
      <c r="EM19" t="e">
        <f t="shared" si="22"/>
        <v>#N/A</v>
      </c>
      <c r="EN19" t="e">
        <f t="shared" si="22"/>
        <v>#N/A</v>
      </c>
      <c r="EO19" t="e">
        <f t="shared" si="22"/>
        <v>#N/A</v>
      </c>
      <c r="EP19" t="e">
        <f t="shared" si="22"/>
        <v>#N/A</v>
      </c>
      <c r="EQ19" t="e">
        <f t="shared" si="22"/>
        <v>#N/A</v>
      </c>
      <c r="ER19" t="e">
        <f t="shared" si="22"/>
        <v>#N/A</v>
      </c>
      <c r="ES19" t="e">
        <f t="shared" si="22"/>
        <v>#N/A</v>
      </c>
      <c r="ET19" t="e">
        <f t="shared" si="22"/>
        <v>#N/A</v>
      </c>
      <c r="EU19" t="e">
        <f t="shared" si="22"/>
        <v>#N/A</v>
      </c>
      <c r="EV19" t="e">
        <f t="shared" si="22"/>
        <v>#N/A</v>
      </c>
      <c r="EW19" t="e">
        <f t="shared" si="22"/>
        <v>#N/A</v>
      </c>
      <c r="EX19" t="e">
        <f t="shared" si="22"/>
        <v>#N/A</v>
      </c>
      <c r="EY19" t="e">
        <f t="shared" si="22"/>
        <v>#N/A</v>
      </c>
      <c r="EZ19" t="e">
        <f t="shared" si="22"/>
        <v>#N/A</v>
      </c>
      <c r="FA19" t="e">
        <f t="shared" si="22"/>
        <v>#N/A</v>
      </c>
      <c r="FB19" t="e">
        <f t="shared" si="22"/>
        <v>#N/A</v>
      </c>
      <c r="FC19" t="e">
        <f t="shared" si="22"/>
        <v>#N/A</v>
      </c>
      <c r="FD19" t="e">
        <f t="shared" si="22"/>
        <v>#N/A</v>
      </c>
      <c r="FE19" t="e">
        <f t="shared" si="22"/>
        <v>#N/A</v>
      </c>
      <c r="FF19" t="e">
        <f t="shared" si="22"/>
        <v>#N/A</v>
      </c>
      <c r="FG19" t="e">
        <f t="shared" si="22"/>
        <v>#N/A</v>
      </c>
      <c r="FH19" t="e">
        <f t="shared" si="22"/>
        <v>#N/A</v>
      </c>
      <c r="FI19" t="e">
        <f t="shared" si="22"/>
        <v>#N/A</v>
      </c>
      <c r="FJ19" t="e">
        <f t="shared" si="22"/>
        <v>#N/A</v>
      </c>
      <c r="FK19" t="e">
        <f t="shared" si="22"/>
        <v>#N/A</v>
      </c>
      <c r="FL19" t="e">
        <f t="shared" si="22"/>
        <v>#N/A</v>
      </c>
      <c r="FM19" t="e">
        <f t="shared" si="22"/>
        <v>#N/A</v>
      </c>
      <c r="FN19" t="e">
        <f t="shared" si="22"/>
        <v>#N/A</v>
      </c>
      <c r="FO19" t="e">
        <f t="shared" si="22"/>
        <v>#N/A</v>
      </c>
      <c r="FP19" t="e">
        <f t="shared" si="22"/>
        <v>#N/A</v>
      </c>
      <c r="FQ19" t="e">
        <f t="shared" si="22"/>
        <v>#N/A</v>
      </c>
      <c r="FR19" t="e">
        <f t="shared" si="22"/>
        <v>#N/A</v>
      </c>
      <c r="FS19" t="e">
        <f t="shared" si="22"/>
        <v>#N/A</v>
      </c>
      <c r="FT19" t="e">
        <f t="shared" si="22"/>
        <v>#N/A</v>
      </c>
      <c r="FU19" t="e">
        <f t="shared" si="22"/>
        <v>#N/A</v>
      </c>
      <c r="FV19" t="e">
        <f t="shared" si="22"/>
        <v>#N/A</v>
      </c>
      <c r="FW19" t="e">
        <f t="shared" si="22"/>
        <v>#N/A</v>
      </c>
      <c r="FX19" t="e">
        <f t="shared" si="22"/>
        <v>#N/A</v>
      </c>
      <c r="FY19" t="e">
        <f t="shared" si="22"/>
        <v>#N/A</v>
      </c>
      <c r="FZ19" t="e">
        <f t="shared" si="22"/>
        <v>#N/A</v>
      </c>
      <c r="GA19" t="e">
        <f t="shared" si="22"/>
        <v>#N/A</v>
      </c>
    </row>
    <row r="20" spans="1:183" x14ac:dyDescent="0.45">
      <c r="B20" t="s">
        <v>26</v>
      </c>
      <c r="C20" cm="1">
        <f t="array" ref="C20">LOOKUP(2,1/(I20:GA20&lt;&gt;""),I20:GA20)</f>
        <v>8.5</v>
      </c>
      <c r="D20">
        <f t="shared" si="8"/>
        <v>45</v>
      </c>
      <c r="F20" s="4">
        <f t="shared" si="9"/>
        <v>1.4216524216524218</v>
      </c>
      <c r="G20" s="3" cm="1">
        <f t="array" ref="G20">(C20-IF(ISNA(INDEX(I20:GA20,D20-22)),INDEX(I20:GA20,D20-23),INDEX(I20:GA20,D20-22)))/IF(ISNA(INDEX(I20:GA20,D20-22)),INDEX(I20:GA20,D20-23),INDEX(I20:GA20,D20-22))</f>
        <v>-3.8461538461538443E-2</v>
      </c>
      <c r="I20">
        <f t="shared" si="10"/>
        <v>3.51</v>
      </c>
      <c r="J20">
        <f t="shared" ref="J20:BU20" si="23">IF(J8=0,NA(),J8-ROUNDUP(J8*0.1,2)-ROUNDUP(J8*0.05,2))</f>
        <v>3.3099999999999996</v>
      </c>
      <c r="K20" t="e">
        <f t="shared" si="23"/>
        <v>#N/A</v>
      </c>
      <c r="L20">
        <f t="shared" si="23"/>
        <v>3.3099999999999996</v>
      </c>
      <c r="M20" t="e">
        <f t="shared" si="23"/>
        <v>#N/A</v>
      </c>
      <c r="N20">
        <f t="shared" si="23"/>
        <v>4</v>
      </c>
      <c r="O20">
        <f t="shared" si="23"/>
        <v>4.33</v>
      </c>
      <c r="P20">
        <f t="shared" si="23"/>
        <v>5.0100000000000007</v>
      </c>
      <c r="Q20">
        <f t="shared" si="23"/>
        <v>5.5699999999999994</v>
      </c>
      <c r="R20">
        <f t="shared" si="23"/>
        <v>6.05</v>
      </c>
      <c r="S20">
        <f t="shared" si="23"/>
        <v>6.11</v>
      </c>
      <c r="T20">
        <f t="shared" si="23"/>
        <v>6.76</v>
      </c>
      <c r="U20">
        <f t="shared" si="23"/>
        <v>7.2499999999999991</v>
      </c>
      <c r="V20">
        <f t="shared" si="23"/>
        <v>7.0600000000000005</v>
      </c>
      <c r="W20">
        <f t="shared" si="23"/>
        <v>6.9699999999999989</v>
      </c>
      <c r="X20">
        <f t="shared" si="23"/>
        <v>6.46</v>
      </c>
      <c r="Y20">
        <f t="shared" si="23"/>
        <v>6.41</v>
      </c>
      <c r="Z20">
        <f t="shared" si="23"/>
        <v>6.6599999999999993</v>
      </c>
      <c r="AA20">
        <f t="shared" si="23"/>
        <v>7.4599999999999991</v>
      </c>
      <c r="AB20">
        <f t="shared" si="23"/>
        <v>7.69</v>
      </c>
      <c r="AC20">
        <f t="shared" si="23"/>
        <v>8.56</v>
      </c>
      <c r="AD20">
        <f t="shared" si="23"/>
        <v>9.1999999999999993</v>
      </c>
      <c r="AE20">
        <f t="shared" si="23"/>
        <v>8.84</v>
      </c>
      <c r="AF20">
        <f t="shared" si="23"/>
        <v>8.1599999999999984</v>
      </c>
      <c r="AG20">
        <f t="shared" si="23"/>
        <v>8.65</v>
      </c>
      <c r="AH20">
        <f t="shared" si="23"/>
        <v>8.52</v>
      </c>
      <c r="AI20">
        <f t="shared" si="23"/>
        <v>8.52</v>
      </c>
      <c r="AJ20">
        <f t="shared" si="23"/>
        <v>8.33</v>
      </c>
      <c r="AK20">
        <f t="shared" si="23"/>
        <v>10.62</v>
      </c>
      <c r="AL20">
        <f t="shared" si="23"/>
        <v>10.41</v>
      </c>
      <c r="AM20">
        <f t="shared" si="23"/>
        <v>9.91</v>
      </c>
      <c r="AN20" t="e">
        <f t="shared" si="23"/>
        <v>#N/A</v>
      </c>
      <c r="AO20">
        <f t="shared" si="23"/>
        <v>9.44</v>
      </c>
      <c r="AP20">
        <f t="shared" si="23"/>
        <v>8.8099999999999987</v>
      </c>
      <c r="AQ20">
        <f t="shared" si="23"/>
        <v>8.91</v>
      </c>
      <c r="AR20">
        <f t="shared" si="23"/>
        <v>8.99</v>
      </c>
      <c r="AS20">
        <f t="shared" si="23"/>
        <v>8.5</v>
      </c>
      <c r="AT20" t="e">
        <f t="shared" si="23"/>
        <v>#N/A</v>
      </c>
      <c r="AU20" t="e">
        <f t="shared" si="23"/>
        <v>#N/A</v>
      </c>
      <c r="AV20" t="e">
        <f t="shared" si="23"/>
        <v>#N/A</v>
      </c>
      <c r="AW20" t="e">
        <f t="shared" si="23"/>
        <v>#N/A</v>
      </c>
      <c r="AX20" t="e">
        <f t="shared" si="23"/>
        <v>#N/A</v>
      </c>
      <c r="AY20" t="e">
        <f t="shared" si="23"/>
        <v>#N/A</v>
      </c>
      <c r="AZ20" t="e">
        <f t="shared" si="23"/>
        <v>#N/A</v>
      </c>
      <c r="BA20" t="e">
        <f t="shared" si="23"/>
        <v>#N/A</v>
      </c>
      <c r="BB20" t="e">
        <f t="shared" si="23"/>
        <v>#N/A</v>
      </c>
      <c r="BC20" t="e">
        <f t="shared" si="23"/>
        <v>#N/A</v>
      </c>
      <c r="BD20" t="e">
        <f t="shared" si="23"/>
        <v>#N/A</v>
      </c>
      <c r="BE20" t="e">
        <f t="shared" si="23"/>
        <v>#N/A</v>
      </c>
      <c r="BF20" t="e">
        <f t="shared" si="23"/>
        <v>#N/A</v>
      </c>
      <c r="BG20" t="e">
        <f t="shared" si="23"/>
        <v>#N/A</v>
      </c>
      <c r="BH20" t="e">
        <f t="shared" si="23"/>
        <v>#N/A</v>
      </c>
      <c r="BI20" t="e">
        <f t="shared" si="23"/>
        <v>#N/A</v>
      </c>
      <c r="BJ20" t="e">
        <f t="shared" si="23"/>
        <v>#N/A</v>
      </c>
      <c r="BK20" t="e">
        <f t="shared" si="23"/>
        <v>#N/A</v>
      </c>
      <c r="BL20" t="e">
        <f t="shared" si="23"/>
        <v>#N/A</v>
      </c>
      <c r="BM20" t="e">
        <f t="shared" si="23"/>
        <v>#N/A</v>
      </c>
      <c r="BN20" t="e">
        <f t="shared" si="23"/>
        <v>#N/A</v>
      </c>
      <c r="BO20" t="e">
        <f t="shared" si="23"/>
        <v>#N/A</v>
      </c>
      <c r="BP20" t="e">
        <f t="shared" si="23"/>
        <v>#N/A</v>
      </c>
      <c r="BQ20" t="e">
        <f t="shared" si="23"/>
        <v>#N/A</v>
      </c>
      <c r="BR20" t="e">
        <f t="shared" si="23"/>
        <v>#N/A</v>
      </c>
      <c r="BS20" t="e">
        <f t="shared" si="23"/>
        <v>#N/A</v>
      </c>
      <c r="BT20" t="e">
        <f t="shared" si="23"/>
        <v>#N/A</v>
      </c>
      <c r="BU20" t="e">
        <f t="shared" si="23"/>
        <v>#N/A</v>
      </c>
      <c r="BV20" t="e">
        <f t="shared" ref="BV20:EG20" si="24">IF(BV8=0,NA(),BV8-ROUNDUP(BV8*0.1,2)-ROUNDUP(BV8*0.05,2))</f>
        <v>#N/A</v>
      </c>
      <c r="BW20" t="e">
        <f t="shared" si="24"/>
        <v>#N/A</v>
      </c>
      <c r="BX20" t="e">
        <f t="shared" si="24"/>
        <v>#N/A</v>
      </c>
      <c r="BY20" t="e">
        <f t="shared" si="24"/>
        <v>#N/A</v>
      </c>
      <c r="BZ20" t="e">
        <f t="shared" si="24"/>
        <v>#N/A</v>
      </c>
      <c r="CA20" t="e">
        <f t="shared" si="24"/>
        <v>#N/A</v>
      </c>
      <c r="CB20" t="e">
        <f t="shared" si="24"/>
        <v>#N/A</v>
      </c>
      <c r="CC20" t="e">
        <f t="shared" si="24"/>
        <v>#N/A</v>
      </c>
      <c r="CD20" t="e">
        <f t="shared" si="24"/>
        <v>#N/A</v>
      </c>
      <c r="CE20" t="e">
        <f t="shared" si="24"/>
        <v>#N/A</v>
      </c>
      <c r="CF20" t="e">
        <f t="shared" si="24"/>
        <v>#N/A</v>
      </c>
      <c r="CG20" t="e">
        <f t="shared" si="24"/>
        <v>#N/A</v>
      </c>
      <c r="CH20" t="e">
        <f t="shared" si="24"/>
        <v>#N/A</v>
      </c>
      <c r="CI20" t="e">
        <f t="shared" si="24"/>
        <v>#N/A</v>
      </c>
      <c r="CJ20" t="e">
        <f t="shared" si="24"/>
        <v>#N/A</v>
      </c>
      <c r="CK20" t="e">
        <f t="shared" si="24"/>
        <v>#N/A</v>
      </c>
      <c r="CL20" t="e">
        <f t="shared" si="24"/>
        <v>#N/A</v>
      </c>
      <c r="CM20" t="e">
        <f t="shared" si="24"/>
        <v>#N/A</v>
      </c>
      <c r="CN20" t="e">
        <f t="shared" si="24"/>
        <v>#N/A</v>
      </c>
      <c r="CO20" t="e">
        <f t="shared" si="24"/>
        <v>#N/A</v>
      </c>
      <c r="CP20" t="e">
        <f t="shared" si="24"/>
        <v>#N/A</v>
      </c>
      <c r="CQ20" t="e">
        <f t="shared" si="24"/>
        <v>#N/A</v>
      </c>
      <c r="CR20" t="e">
        <f t="shared" si="24"/>
        <v>#N/A</v>
      </c>
      <c r="CS20" t="e">
        <f t="shared" si="24"/>
        <v>#N/A</v>
      </c>
      <c r="CT20" t="e">
        <f t="shared" si="24"/>
        <v>#N/A</v>
      </c>
      <c r="CU20" t="e">
        <f t="shared" si="24"/>
        <v>#N/A</v>
      </c>
      <c r="CV20" t="e">
        <f t="shared" si="24"/>
        <v>#N/A</v>
      </c>
      <c r="CW20" t="e">
        <f t="shared" si="24"/>
        <v>#N/A</v>
      </c>
      <c r="CX20" t="e">
        <f t="shared" si="24"/>
        <v>#N/A</v>
      </c>
      <c r="CY20" t="e">
        <f t="shared" si="24"/>
        <v>#N/A</v>
      </c>
      <c r="CZ20" t="e">
        <f t="shared" si="24"/>
        <v>#N/A</v>
      </c>
      <c r="DA20" t="e">
        <f t="shared" si="24"/>
        <v>#N/A</v>
      </c>
      <c r="DB20" t="e">
        <f t="shared" si="24"/>
        <v>#N/A</v>
      </c>
      <c r="DC20" t="e">
        <f t="shared" si="24"/>
        <v>#N/A</v>
      </c>
      <c r="DD20" t="e">
        <f t="shared" si="24"/>
        <v>#N/A</v>
      </c>
      <c r="DE20" t="e">
        <f t="shared" si="24"/>
        <v>#N/A</v>
      </c>
      <c r="DF20" t="e">
        <f t="shared" si="24"/>
        <v>#N/A</v>
      </c>
      <c r="DG20" t="e">
        <f t="shared" si="24"/>
        <v>#N/A</v>
      </c>
      <c r="DH20" t="e">
        <f t="shared" si="24"/>
        <v>#N/A</v>
      </c>
      <c r="DI20" t="e">
        <f t="shared" si="24"/>
        <v>#N/A</v>
      </c>
      <c r="DJ20" t="e">
        <f t="shared" si="24"/>
        <v>#N/A</v>
      </c>
      <c r="DK20" t="e">
        <f t="shared" si="24"/>
        <v>#N/A</v>
      </c>
      <c r="DL20" t="e">
        <f t="shared" si="24"/>
        <v>#N/A</v>
      </c>
      <c r="DM20" t="e">
        <f t="shared" si="24"/>
        <v>#N/A</v>
      </c>
      <c r="DN20" t="e">
        <f t="shared" si="24"/>
        <v>#N/A</v>
      </c>
      <c r="DO20" t="e">
        <f t="shared" si="24"/>
        <v>#N/A</v>
      </c>
      <c r="DP20" t="e">
        <f t="shared" si="24"/>
        <v>#N/A</v>
      </c>
      <c r="DQ20" t="e">
        <f t="shared" si="24"/>
        <v>#N/A</v>
      </c>
      <c r="DR20" t="e">
        <f t="shared" si="24"/>
        <v>#N/A</v>
      </c>
      <c r="DS20" t="e">
        <f t="shared" si="24"/>
        <v>#N/A</v>
      </c>
      <c r="DT20" t="e">
        <f t="shared" si="24"/>
        <v>#N/A</v>
      </c>
      <c r="DU20" t="e">
        <f t="shared" si="24"/>
        <v>#N/A</v>
      </c>
      <c r="DV20" t="e">
        <f t="shared" si="24"/>
        <v>#N/A</v>
      </c>
      <c r="DW20" t="e">
        <f t="shared" si="24"/>
        <v>#N/A</v>
      </c>
      <c r="DX20" t="e">
        <f t="shared" si="24"/>
        <v>#N/A</v>
      </c>
      <c r="DY20" t="e">
        <f t="shared" si="24"/>
        <v>#N/A</v>
      </c>
      <c r="DZ20" t="e">
        <f t="shared" si="24"/>
        <v>#N/A</v>
      </c>
      <c r="EA20" t="e">
        <f t="shared" si="24"/>
        <v>#N/A</v>
      </c>
      <c r="EB20" t="e">
        <f t="shared" si="24"/>
        <v>#N/A</v>
      </c>
      <c r="EC20" t="e">
        <f t="shared" si="24"/>
        <v>#N/A</v>
      </c>
      <c r="ED20" t="e">
        <f t="shared" si="24"/>
        <v>#N/A</v>
      </c>
      <c r="EE20" t="e">
        <f t="shared" si="24"/>
        <v>#N/A</v>
      </c>
      <c r="EF20" t="e">
        <f t="shared" si="24"/>
        <v>#N/A</v>
      </c>
      <c r="EG20" t="e">
        <f t="shared" si="24"/>
        <v>#N/A</v>
      </c>
      <c r="EH20" t="e">
        <f t="shared" ref="EH20:GA20" si="25">IF(EH8=0,NA(),EH8-ROUNDUP(EH8*0.1,2)-ROUNDUP(EH8*0.05,2))</f>
        <v>#N/A</v>
      </c>
      <c r="EI20" t="e">
        <f t="shared" si="25"/>
        <v>#N/A</v>
      </c>
      <c r="EJ20" t="e">
        <f t="shared" si="25"/>
        <v>#N/A</v>
      </c>
      <c r="EK20" t="e">
        <f t="shared" si="25"/>
        <v>#N/A</v>
      </c>
      <c r="EL20" t="e">
        <f t="shared" si="25"/>
        <v>#N/A</v>
      </c>
      <c r="EM20" t="e">
        <f t="shared" si="25"/>
        <v>#N/A</v>
      </c>
      <c r="EN20" t="e">
        <f t="shared" si="25"/>
        <v>#N/A</v>
      </c>
      <c r="EO20" t="e">
        <f t="shared" si="25"/>
        <v>#N/A</v>
      </c>
      <c r="EP20" t="e">
        <f t="shared" si="25"/>
        <v>#N/A</v>
      </c>
      <c r="EQ20" t="e">
        <f t="shared" si="25"/>
        <v>#N/A</v>
      </c>
      <c r="ER20" t="e">
        <f t="shared" si="25"/>
        <v>#N/A</v>
      </c>
      <c r="ES20" t="e">
        <f t="shared" si="25"/>
        <v>#N/A</v>
      </c>
      <c r="ET20" t="e">
        <f t="shared" si="25"/>
        <v>#N/A</v>
      </c>
      <c r="EU20" t="e">
        <f t="shared" si="25"/>
        <v>#N/A</v>
      </c>
      <c r="EV20" t="e">
        <f t="shared" si="25"/>
        <v>#N/A</v>
      </c>
      <c r="EW20" t="e">
        <f t="shared" si="25"/>
        <v>#N/A</v>
      </c>
      <c r="EX20" t="e">
        <f t="shared" si="25"/>
        <v>#N/A</v>
      </c>
      <c r="EY20" t="e">
        <f t="shared" si="25"/>
        <v>#N/A</v>
      </c>
      <c r="EZ20" t="e">
        <f t="shared" si="25"/>
        <v>#N/A</v>
      </c>
      <c r="FA20" t="e">
        <f t="shared" si="25"/>
        <v>#N/A</v>
      </c>
      <c r="FB20" t="e">
        <f t="shared" si="25"/>
        <v>#N/A</v>
      </c>
      <c r="FC20" t="e">
        <f t="shared" si="25"/>
        <v>#N/A</v>
      </c>
      <c r="FD20" t="e">
        <f t="shared" si="25"/>
        <v>#N/A</v>
      </c>
      <c r="FE20" t="e">
        <f t="shared" si="25"/>
        <v>#N/A</v>
      </c>
      <c r="FF20" t="e">
        <f t="shared" si="25"/>
        <v>#N/A</v>
      </c>
      <c r="FG20" t="e">
        <f t="shared" si="25"/>
        <v>#N/A</v>
      </c>
      <c r="FH20" t="e">
        <f t="shared" si="25"/>
        <v>#N/A</v>
      </c>
      <c r="FI20" t="e">
        <f t="shared" si="25"/>
        <v>#N/A</v>
      </c>
      <c r="FJ20" t="e">
        <f t="shared" si="25"/>
        <v>#N/A</v>
      </c>
      <c r="FK20" t="e">
        <f t="shared" si="25"/>
        <v>#N/A</v>
      </c>
      <c r="FL20" t="e">
        <f t="shared" si="25"/>
        <v>#N/A</v>
      </c>
      <c r="FM20" t="e">
        <f t="shared" si="25"/>
        <v>#N/A</v>
      </c>
      <c r="FN20" t="e">
        <f t="shared" si="25"/>
        <v>#N/A</v>
      </c>
      <c r="FO20" t="e">
        <f t="shared" si="25"/>
        <v>#N/A</v>
      </c>
      <c r="FP20" t="e">
        <f t="shared" si="25"/>
        <v>#N/A</v>
      </c>
      <c r="FQ20" t="e">
        <f t="shared" si="25"/>
        <v>#N/A</v>
      </c>
      <c r="FR20" t="e">
        <f t="shared" si="25"/>
        <v>#N/A</v>
      </c>
      <c r="FS20" t="e">
        <f t="shared" si="25"/>
        <v>#N/A</v>
      </c>
      <c r="FT20" t="e">
        <f t="shared" si="25"/>
        <v>#N/A</v>
      </c>
      <c r="FU20" t="e">
        <f t="shared" si="25"/>
        <v>#N/A</v>
      </c>
      <c r="FV20" t="e">
        <f t="shared" si="25"/>
        <v>#N/A</v>
      </c>
      <c r="FW20" t="e">
        <f t="shared" si="25"/>
        <v>#N/A</v>
      </c>
      <c r="FX20" t="e">
        <f t="shared" si="25"/>
        <v>#N/A</v>
      </c>
      <c r="FY20" t="e">
        <f t="shared" si="25"/>
        <v>#N/A</v>
      </c>
      <c r="FZ20" t="e">
        <f t="shared" si="25"/>
        <v>#N/A</v>
      </c>
      <c r="GA20" t="e">
        <f t="shared" si="25"/>
        <v>#N/A</v>
      </c>
    </row>
    <row r="21" spans="1:183" x14ac:dyDescent="0.45">
      <c r="B21" t="s">
        <v>27</v>
      </c>
      <c r="C21" cm="1">
        <f t="array" ref="C21">LOOKUP(2,1/(I21:GA21&lt;&gt;""),I21:GA21)</f>
        <v>7.8200000000000012</v>
      </c>
      <c r="D21">
        <f t="shared" si="8"/>
        <v>45</v>
      </c>
      <c r="F21" s="4">
        <f t="shared" si="9"/>
        <v>1.598006644518273</v>
      </c>
      <c r="G21" s="3" cm="1">
        <f t="array" ref="G21">(C21-IF(ISNA(INDEX(I21:GA21,D21-22)),INDEX(I21:GA21,D21-23),INDEX(I21:GA21,D21-22)))/IF(ISNA(INDEX(I21:GA21,D21-22)),INDEX(I21:GA21,D21-23),INDEX(I21:GA21,D21-22))</f>
        <v>-3.4567901234567502E-2</v>
      </c>
      <c r="I21">
        <f t="shared" si="10"/>
        <v>3.01</v>
      </c>
      <c r="J21">
        <f t="shared" ref="J21:BU21" si="26">IF(J9=0,NA(),J9-ROUNDUP(J9*0.1,2)-ROUNDUP(J9*0.05,2))</f>
        <v>2.9099999999999997</v>
      </c>
      <c r="K21" t="e">
        <f t="shared" si="26"/>
        <v>#N/A</v>
      </c>
      <c r="L21">
        <f t="shared" si="26"/>
        <v>3.36</v>
      </c>
      <c r="M21" t="e">
        <f t="shared" si="26"/>
        <v>#N/A</v>
      </c>
      <c r="N21">
        <f t="shared" si="26"/>
        <v>3.7499999999999996</v>
      </c>
      <c r="O21">
        <f t="shared" si="26"/>
        <v>3.82</v>
      </c>
      <c r="P21">
        <f t="shared" si="26"/>
        <v>5.69</v>
      </c>
      <c r="Q21">
        <f t="shared" si="26"/>
        <v>6.12</v>
      </c>
      <c r="R21">
        <f t="shared" si="26"/>
        <v>5.15</v>
      </c>
      <c r="S21">
        <f t="shared" si="26"/>
        <v>5.59</v>
      </c>
      <c r="T21">
        <f t="shared" si="26"/>
        <v>6.36</v>
      </c>
      <c r="U21">
        <f t="shared" si="26"/>
        <v>6.9</v>
      </c>
      <c r="V21">
        <f t="shared" si="26"/>
        <v>7.22</v>
      </c>
      <c r="W21">
        <f t="shared" si="26"/>
        <v>6.68</v>
      </c>
      <c r="X21">
        <f t="shared" si="26"/>
        <v>6.42</v>
      </c>
      <c r="Y21">
        <f t="shared" si="26"/>
        <v>5.8900000000000006</v>
      </c>
      <c r="Z21">
        <f t="shared" si="26"/>
        <v>5.97</v>
      </c>
      <c r="AA21">
        <f t="shared" si="26"/>
        <v>6.71</v>
      </c>
      <c r="AB21">
        <f t="shared" si="26"/>
        <v>8.2299999999999986</v>
      </c>
      <c r="AC21">
        <f t="shared" si="26"/>
        <v>8.25</v>
      </c>
      <c r="AD21">
        <f t="shared" si="26"/>
        <v>9.43</v>
      </c>
      <c r="AE21">
        <f t="shared" si="26"/>
        <v>8.0999999999999979</v>
      </c>
      <c r="AF21">
        <f t="shared" si="26"/>
        <v>7.88</v>
      </c>
      <c r="AG21">
        <f t="shared" si="26"/>
        <v>7.7299999999999995</v>
      </c>
      <c r="AH21">
        <f t="shared" si="26"/>
        <v>8.01</v>
      </c>
      <c r="AI21">
        <f t="shared" si="26"/>
        <v>8.11</v>
      </c>
      <c r="AJ21">
        <f t="shared" si="26"/>
        <v>8.129999999999999</v>
      </c>
      <c r="AK21">
        <f t="shared" si="26"/>
        <v>8.2099999999999991</v>
      </c>
      <c r="AL21">
        <f t="shared" si="26"/>
        <v>8.84</v>
      </c>
      <c r="AM21">
        <f t="shared" si="26"/>
        <v>8.0799999999999983</v>
      </c>
      <c r="AN21" t="e">
        <f t="shared" si="26"/>
        <v>#N/A</v>
      </c>
      <c r="AO21">
        <f t="shared" si="26"/>
        <v>8.120000000000001</v>
      </c>
      <c r="AP21">
        <f t="shared" si="26"/>
        <v>7.7500000000000009</v>
      </c>
      <c r="AQ21">
        <f t="shared" si="26"/>
        <v>7.87</v>
      </c>
      <c r="AR21">
        <f t="shared" si="26"/>
        <v>8.07</v>
      </c>
      <c r="AS21">
        <f t="shared" si="26"/>
        <v>7.8200000000000012</v>
      </c>
      <c r="AT21" t="e">
        <f t="shared" si="26"/>
        <v>#N/A</v>
      </c>
      <c r="AU21" t="e">
        <f t="shared" si="26"/>
        <v>#N/A</v>
      </c>
      <c r="AV21" t="e">
        <f t="shared" si="26"/>
        <v>#N/A</v>
      </c>
      <c r="AW21" t="e">
        <f t="shared" si="26"/>
        <v>#N/A</v>
      </c>
      <c r="AX21" t="e">
        <f t="shared" si="26"/>
        <v>#N/A</v>
      </c>
      <c r="AY21" t="e">
        <f t="shared" si="26"/>
        <v>#N/A</v>
      </c>
      <c r="AZ21" t="e">
        <f t="shared" si="26"/>
        <v>#N/A</v>
      </c>
      <c r="BA21" t="e">
        <f t="shared" si="26"/>
        <v>#N/A</v>
      </c>
      <c r="BB21" t="e">
        <f t="shared" si="26"/>
        <v>#N/A</v>
      </c>
      <c r="BC21" t="e">
        <f t="shared" si="26"/>
        <v>#N/A</v>
      </c>
      <c r="BD21" t="e">
        <f t="shared" si="26"/>
        <v>#N/A</v>
      </c>
      <c r="BE21" t="e">
        <f t="shared" si="26"/>
        <v>#N/A</v>
      </c>
      <c r="BF21" t="e">
        <f t="shared" si="26"/>
        <v>#N/A</v>
      </c>
      <c r="BG21" t="e">
        <f t="shared" si="26"/>
        <v>#N/A</v>
      </c>
      <c r="BH21" t="e">
        <f t="shared" si="26"/>
        <v>#N/A</v>
      </c>
      <c r="BI21" t="e">
        <f t="shared" si="26"/>
        <v>#N/A</v>
      </c>
      <c r="BJ21" t="e">
        <f t="shared" si="26"/>
        <v>#N/A</v>
      </c>
      <c r="BK21" t="e">
        <f t="shared" si="26"/>
        <v>#N/A</v>
      </c>
      <c r="BL21" t="e">
        <f t="shared" si="26"/>
        <v>#N/A</v>
      </c>
      <c r="BM21" t="e">
        <f t="shared" si="26"/>
        <v>#N/A</v>
      </c>
      <c r="BN21" t="e">
        <f t="shared" si="26"/>
        <v>#N/A</v>
      </c>
      <c r="BO21" t="e">
        <f t="shared" si="26"/>
        <v>#N/A</v>
      </c>
      <c r="BP21" t="e">
        <f t="shared" si="26"/>
        <v>#N/A</v>
      </c>
      <c r="BQ21" t="e">
        <f t="shared" si="26"/>
        <v>#N/A</v>
      </c>
      <c r="BR21" t="e">
        <f t="shared" si="26"/>
        <v>#N/A</v>
      </c>
      <c r="BS21" t="e">
        <f t="shared" si="26"/>
        <v>#N/A</v>
      </c>
      <c r="BT21" t="e">
        <f t="shared" si="26"/>
        <v>#N/A</v>
      </c>
      <c r="BU21" t="e">
        <f t="shared" si="26"/>
        <v>#N/A</v>
      </c>
      <c r="BV21" t="e">
        <f t="shared" ref="BV21:EG21" si="27">IF(BV9=0,NA(),BV9-ROUNDUP(BV9*0.1,2)-ROUNDUP(BV9*0.05,2))</f>
        <v>#N/A</v>
      </c>
      <c r="BW21" t="e">
        <f t="shared" si="27"/>
        <v>#N/A</v>
      </c>
      <c r="BX21" t="e">
        <f t="shared" si="27"/>
        <v>#N/A</v>
      </c>
      <c r="BY21" t="e">
        <f t="shared" si="27"/>
        <v>#N/A</v>
      </c>
      <c r="BZ21" t="e">
        <f t="shared" si="27"/>
        <v>#N/A</v>
      </c>
      <c r="CA21" t="e">
        <f t="shared" si="27"/>
        <v>#N/A</v>
      </c>
      <c r="CB21" t="e">
        <f t="shared" si="27"/>
        <v>#N/A</v>
      </c>
      <c r="CC21" t="e">
        <f t="shared" si="27"/>
        <v>#N/A</v>
      </c>
      <c r="CD21" t="e">
        <f t="shared" si="27"/>
        <v>#N/A</v>
      </c>
      <c r="CE21" t="e">
        <f t="shared" si="27"/>
        <v>#N/A</v>
      </c>
      <c r="CF21" t="e">
        <f t="shared" si="27"/>
        <v>#N/A</v>
      </c>
      <c r="CG21" t="e">
        <f t="shared" si="27"/>
        <v>#N/A</v>
      </c>
      <c r="CH21" t="e">
        <f t="shared" si="27"/>
        <v>#N/A</v>
      </c>
      <c r="CI21" t="e">
        <f t="shared" si="27"/>
        <v>#N/A</v>
      </c>
      <c r="CJ21" t="e">
        <f t="shared" si="27"/>
        <v>#N/A</v>
      </c>
      <c r="CK21" t="e">
        <f t="shared" si="27"/>
        <v>#N/A</v>
      </c>
      <c r="CL21" t="e">
        <f t="shared" si="27"/>
        <v>#N/A</v>
      </c>
      <c r="CM21" t="e">
        <f t="shared" si="27"/>
        <v>#N/A</v>
      </c>
      <c r="CN21" t="e">
        <f t="shared" si="27"/>
        <v>#N/A</v>
      </c>
      <c r="CO21" t="e">
        <f t="shared" si="27"/>
        <v>#N/A</v>
      </c>
      <c r="CP21" t="e">
        <f t="shared" si="27"/>
        <v>#N/A</v>
      </c>
      <c r="CQ21" t="e">
        <f t="shared" si="27"/>
        <v>#N/A</v>
      </c>
      <c r="CR21" t="e">
        <f t="shared" si="27"/>
        <v>#N/A</v>
      </c>
      <c r="CS21" t="e">
        <f t="shared" si="27"/>
        <v>#N/A</v>
      </c>
      <c r="CT21" t="e">
        <f t="shared" si="27"/>
        <v>#N/A</v>
      </c>
      <c r="CU21" t="e">
        <f t="shared" si="27"/>
        <v>#N/A</v>
      </c>
      <c r="CV21" t="e">
        <f t="shared" si="27"/>
        <v>#N/A</v>
      </c>
      <c r="CW21" t="e">
        <f t="shared" si="27"/>
        <v>#N/A</v>
      </c>
      <c r="CX21" t="e">
        <f t="shared" si="27"/>
        <v>#N/A</v>
      </c>
      <c r="CY21" t="e">
        <f t="shared" si="27"/>
        <v>#N/A</v>
      </c>
      <c r="CZ21" t="e">
        <f t="shared" si="27"/>
        <v>#N/A</v>
      </c>
      <c r="DA21" t="e">
        <f t="shared" si="27"/>
        <v>#N/A</v>
      </c>
      <c r="DB21" t="e">
        <f t="shared" si="27"/>
        <v>#N/A</v>
      </c>
      <c r="DC21" t="e">
        <f t="shared" si="27"/>
        <v>#N/A</v>
      </c>
      <c r="DD21" t="e">
        <f t="shared" si="27"/>
        <v>#N/A</v>
      </c>
      <c r="DE21" t="e">
        <f t="shared" si="27"/>
        <v>#N/A</v>
      </c>
      <c r="DF21" t="e">
        <f t="shared" si="27"/>
        <v>#N/A</v>
      </c>
      <c r="DG21" t="e">
        <f t="shared" si="27"/>
        <v>#N/A</v>
      </c>
      <c r="DH21" t="e">
        <f t="shared" si="27"/>
        <v>#N/A</v>
      </c>
      <c r="DI21" t="e">
        <f t="shared" si="27"/>
        <v>#N/A</v>
      </c>
      <c r="DJ21" t="e">
        <f t="shared" si="27"/>
        <v>#N/A</v>
      </c>
      <c r="DK21" t="e">
        <f t="shared" si="27"/>
        <v>#N/A</v>
      </c>
      <c r="DL21" t="e">
        <f t="shared" si="27"/>
        <v>#N/A</v>
      </c>
      <c r="DM21" t="e">
        <f t="shared" si="27"/>
        <v>#N/A</v>
      </c>
      <c r="DN21" t="e">
        <f t="shared" si="27"/>
        <v>#N/A</v>
      </c>
      <c r="DO21" t="e">
        <f t="shared" si="27"/>
        <v>#N/A</v>
      </c>
      <c r="DP21" t="e">
        <f t="shared" si="27"/>
        <v>#N/A</v>
      </c>
      <c r="DQ21" t="e">
        <f t="shared" si="27"/>
        <v>#N/A</v>
      </c>
      <c r="DR21" t="e">
        <f t="shared" si="27"/>
        <v>#N/A</v>
      </c>
      <c r="DS21" t="e">
        <f t="shared" si="27"/>
        <v>#N/A</v>
      </c>
      <c r="DT21" t="e">
        <f t="shared" si="27"/>
        <v>#N/A</v>
      </c>
      <c r="DU21" t="e">
        <f t="shared" si="27"/>
        <v>#N/A</v>
      </c>
      <c r="DV21" t="e">
        <f t="shared" si="27"/>
        <v>#N/A</v>
      </c>
      <c r="DW21" t="e">
        <f t="shared" si="27"/>
        <v>#N/A</v>
      </c>
      <c r="DX21" t="e">
        <f t="shared" si="27"/>
        <v>#N/A</v>
      </c>
      <c r="DY21" t="e">
        <f t="shared" si="27"/>
        <v>#N/A</v>
      </c>
      <c r="DZ21" t="e">
        <f t="shared" si="27"/>
        <v>#N/A</v>
      </c>
      <c r="EA21" t="e">
        <f t="shared" si="27"/>
        <v>#N/A</v>
      </c>
      <c r="EB21" t="e">
        <f t="shared" si="27"/>
        <v>#N/A</v>
      </c>
      <c r="EC21" t="e">
        <f t="shared" si="27"/>
        <v>#N/A</v>
      </c>
      <c r="ED21" t="e">
        <f t="shared" si="27"/>
        <v>#N/A</v>
      </c>
      <c r="EE21" t="e">
        <f t="shared" si="27"/>
        <v>#N/A</v>
      </c>
      <c r="EF21" t="e">
        <f t="shared" si="27"/>
        <v>#N/A</v>
      </c>
      <c r="EG21" t="e">
        <f t="shared" si="27"/>
        <v>#N/A</v>
      </c>
      <c r="EH21" t="e">
        <f t="shared" ref="EH21:GA21" si="28">IF(EH9=0,NA(),EH9-ROUNDUP(EH9*0.1,2)-ROUNDUP(EH9*0.05,2))</f>
        <v>#N/A</v>
      </c>
      <c r="EI21" t="e">
        <f t="shared" si="28"/>
        <v>#N/A</v>
      </c>
      <c r="EJ21" t="e">
        <f t="shared" si="28"/>
        <v>#N/A</v>
      </c>
      <c r="EK21" t="e">
        <f t="shared" si="28"/>
        <v>#N/A</v>
      </c>
      <c r="EL21" t="e">
        <f t="shared" si="28"/>
        <v>#N/A</v>
      </c>
      <c r="EM21" t="e">
        <f t="shared" si="28"/>
        <v>#N/A</v>
      </c>
      <c r="EN21" t="e">
        <f t="shared" si="28"/>
        <v>#N/A</v>
      </c>
      <c r="EO21" t="e">
        <f t="shared" si="28"/>
        <v>#N/A</v>
      </c>
      <c r="EP21" t="e">
        <f t="shared" si="28"/>
        <v>#N/A</v>
      </c>
      <c r="EQ21" t="e">
        <f t="shared" si="28"/>
        <v>#N/A</v>
      </c>
      <c r="ER21" t="e">
        <f t="shared" si="28"/>
        <v>#N/A</v>
      </c>
      <c r="ES21" t="e">
        <f t="shared" si="28"/>
        <v>#N/A</v>
      </c>
      <c r="ET21" t="e">
        <f t="shared" si="28"/>
        <v>#N/A</v>
      </c>
      <c r="EU21" t="e">
        <f t="shared" si="28"/>
        <v>#N/A</v>
      </c>
      <c r="EV21" t="e">
        <f t="shared" si="28"/>
        <v>#N/A</v>
      </c>
      <c r="EW21" t="e">
        <f t="shared" si="28"/>
        <v>#N/A</v>
      </c>
      <c r="EX21" t="e">
        <f t="shared" si="28"/>
        <v>#N/A</v>
      </c>
      <c r="EY21" t="e">
        <f t="shared" si="28"/>
        <v>#N/A</v>
      </c>
      <c r="EZ21" t="e">
        <f t="shared" si="28"/>
        <v>#N/A</v>
      </c>
      <c r="FA21" t="e">
        <f t="shared" si="28"/>
        <v>#N/A</v>
      </c>
      <c r="FB21" t="e">
        <f t="shared" si="28"/>
        <v>#N/A</v>
      </c>
      <c r="FC21" t="e">
        <f t="shared" si="28"/>
        <v>#N/A</v>
      </c>
      <c r="FD21" t="e">
        <f t="shared" si="28"/>
        <v>#N/A</v>
      </c>
      <c r="FE21" t="e">
        <f t="shared" si="28"/>
        <v>#N/A</v>
      </c>
      <c r="FF21" t="e">
        <f t="shared" si="28"/>
        <v>#N/A</v>
      </c>
      <c r="FG21" t="e">
        <f t="shared" si="28"/>
        <v>#N/A</v>
      </c>
      <c r="FH21" t="e">
        <f t="shared" si="28"/>
        <v>#N/A</v>
      </c>
      <c r="FI21" t="e">
        <f t="shared" si="28"/>
        <v>#N/A</v>
      </c>
      <c r="FJ21" t="e">
        <f t="shared" si="28"/>
        <v>#N/A</v>
      </c>
      <c r="FK21" t="e">
        <f t="shared" si="28"/>
        <v>#N/A</v>
      </c>
      <c r="FL21" t="e">
        <f t="shared" si="28"/>
        <v>#N/A</v>
      </c>
      <c r="FM21" t="e">
        <f t="shared" si="28"/>
        <v>#N/A</v>
      </c>
      <c r="FN21" t="e">
        <f t="shared" si="28"/>
        <v>#N/A</v>
      </c>
      <c r="FO21" t="e">
        <f t="shared" si="28"/>
        <v>#N/A</v>
      </c>
      <c r="FP21" t="e">
        <f t="shared" si="28"/>
        <v>#N/A</v>
      </c>
      <c r="FQ21" t="e">
        <f t="shared" si="28"/>
        <v>#N/A</v>
      </c>
      <c r="FR21" t="e">
        <f t="shared" si="28"/>
        <v>#N/A</v>
      </c>
      <c r="FS21" t="e">
        <f t="shared" si="28"/>
        <v>#N/A</v>
      </c>
      <c r="FT21" t="e">
        <f t="shared" si="28"/>
        <v>#N/A</v>
      </c>
      <c r="FU21" t="e">
        <f t="shared" si="28"/>
        <v>#N/A</v>
      </c>
      <c r="FV21" t="e">
        <f t="shared" si="28"/>
        <v>#N/A</v>
      </c>
      <c r="FW21" t="e">
        <f t="shared" si="28"/>
        <v>#N/A</v>
      </c>
      <c r="FX21" t="e">
        <f t="shared" si="28"/>
        <v>#N/A</v>
      </c>
      <c r="FY21" t="e">
        <f t="shared" si="28"/>
        <v>#N/A</v>
      </c>
      <c r="FZ21" t="e">
        <f t="shared" si="28"/>
        <v>#N/A</v>
      </c>
      <c r="GA21" t="e">
        <f t="shared" si="28"/>
        <v>#N/A</v>
      </c>
    </row>
    <row r="24" spans="1:183" x14ac:dyDescent="0.45">
      <c r="A24" s="2" t="s">
        <v>13</v>
      </c>
    </row>
    <row r="25" spans="1:183" x14ac:dyDescent="0.45">
      <c r="A25" s="2"/>
      <c r="I25" s="1">
        <f>I14</f>
        <v>44331</v>
      </c>
      <c r="J25" s="1">
        <f t="shared" ref="J25:BU25" si="29">J14</f>
        <v>44332</v>
      </c>
      <c r="K25" s="1">
        <f t="shared" si="29"/>
        <v>44333</v>
      </c>
      <c r="L25" s="1">
        <f t="shared" si="29"/>
        <v>44334</v>
      </c>
      <c r="M25" s="1">
        <f t="shared" si="29"/>
        <v>44335</v>
      </c>
      <c r="N25" s="1">
        <f t="shared" si="29"/>
        <v>44336</v>
      </c>
      <c r="O25" s="1">
        <f t="shared" si="29"/>
        <v>44337</v>
      </c>
      <c r="P25" s="1">
        <f t="shared" si="29"/>
        <v>44338</v>
      </c>
      <c r="Q25" s="1">
        <f t="shared" si="29"/>
        <v>44339</v>
      </c>
      <c r="R25" s="1">
        <f t="shared" si="29"/>
        <v>44340</v>
      </c>
      <c r="S25" s="1">
        <f t="shared" si="29"/>
        <v>44341</v>
      </c>
      <c r="T25" s="1">
        <f t="shared" si="29"/>
        <v>44342</v>
      </c>
      <c r="U25" s="1">
        <f t="shared" si="29"/>
        <v>44343</v>
      </c>
      <c r="V25" s="1">
        <f t="shared" si="29"/>
        <v>44344</v>
      </c>
      <c r="W25" s="1">
        <f t="shared" si="29"/>
        <v>44345</v>
      </c>
      <c r="X25" s="1">
        <f t="shared" si="29"/>
        <v>44346</v>
      </c>
      <c r="Y25" s="1">
        <f t="shared" si="29"/>
        <v>44347</v>
      </c>
      <c r="Z25" s="1">
        <f t="shared" si="29"/>
        <v>44348</v>
      </c>
      <c r="AA25" s="1">
        <f t="shared" si="29"/>
        <v>44349</v>
      </c>
      <c r="AB25" s="1">
        <f t="shared" si="29"/>
        <v>44350</v>
      </c>
      <c r="AC25" s="1">
        <f t="shared" si="29"/>
        <v>44351</v>
      </c>
      <c r="AD25" s="1">
        <f t="shared" si="29"/>
        <v>44352</v>
      </c>
      <c r="AE25" s="1">
        <f t="shared" si="29"/>
        <v>44353</v>
      </c>
      <c r="AF25" s="1">
        <f t="shared" si="29"/>
        <v>44354</v>
      </c>
      <c r="AG25" s="1">
        <f t="shared" si="29"/>
        <v>44355</v>
      </c>
      <c r="AH25" s="1">
        <f t="shared" si="29"/>
        <v>44356</v>
      </c>
      <c r="AI25" s="1">
        <f t="shared" si="29"/>
        <v>44357</v>
      </c>
      <c r="AJ25" s="1">
        <f t="shared" si="29"/>
        <v>44358</v>
      </c>
      <c r="AK25" s="1">
        <f t="shared" si="29"/>
        <v>44359</v>
      </c>
      <c r="AL25" s="1">
        <f t="shared" si="29"/>
        <v>44360</v>
      </c>
      <c r="AM25" s="1">
        <f t="shared" si="29"/>
        <v>44361</v>
      </c>
      <c r="AN25" s="1">
        <f t="shared" si="29"/>
        <v>44362</v>
      </c>
      <c r="AO25" s="1">
        <f t="shared" si="29"/>
        <v>44363</v>
      </c>
      <c r="AP25" s="1">
        <f t="shared" si="29"/>
        <v>44364</v>
      </c>
      <c r="AQ25" s="1">
        <f t="shared" si="29"/>
        <v>44365</v>
      </c>
      <c r="AR25" s="1">
        <f t="shared" si="29"/>
        <v>44366</v>
      </c>
      <c r="AS25" s="1">
        <f t="shared" si="29"/>
        <v>44367</v>
      </c>
      <c r="AT25" s="1">
        <f t="shared" si="29"/>
        <v>44368</v>
      </c>
      <c r="AU25" s="1">
        <f t="shared" si="29"/>
        <v>44369</v>
      </c>
      <c r="AV25" s="1">
        <f t="shared" si="29"/>
        <v>44370</v>
      </c>
      <c r="AW25" s="1">
        <f t="shared" si="29"/>
        <v>44371</v>
      </c>
      <c r="AX25" s="1">
        <f t="shared" si="29"/>
        <v>44372</v>
      </c>
      <c r="AY25" s="1">
        <f t="shared" si="29"/>
        <v>44373</v>
      </c>
      <c r="AZ25" s="1">
        <f t="shared" si="29"/>
        <v>44374</v>
      </c>
      <c r="BA25" s="1">
        <f t="shared" si="29"/>
        <v>44375</v>
      </c>
      <c r="BB25" s="1">
        <f t="shared" si="29"/>
        <v>44376</v>
      </c>
      <c r="BC25" s="1">
        <f t="shared" si="29"/>
        <v>44377</v>
      </c>
      <c r="BD25" s="1">
        <f t="shared" si="29"/>
        <v>44378</v>
      </c>
      <c r="BE25" s="1">
        <f t="shared" si="29"/>
        <v>44379</v>
      </c>
      <c r="BF25" s="1">
        <f t="shared" si="29"/>
        <v>44380</v>
      </c>
      <c r="BG25" s="1">
        <f t="shared" si="29"/>
        <v>44381</v>
      </c>
      <c r="BH25" s="1">
        <f t="shared" si="29"/>
        <v>44382</v>
      </c>
      <c r="BI25" s="1">
        <f t="shared" si="29"/>
        <v>44383</v>
      </c>
      <c r="BJ25" s="1">
        <f t="shared" si="29"/>
        <v>44384</v>
      </c>
      <c r="BK25" s="1">
        <f t="shared" si="29"/>
        <v>44385</v>
      </c>
      <c r="BL25" s="1">
        <f t="shared" si="29"/>
        <v>44386</v>
      </c>
      <c r="BM25" s="1">
        <f t="shared" si="29"/>
        <v>44387</v>
      </c>
      <c r="BN25" s="1">
        <f t="shared" si="29"/>
        <v>44388</v>
      </c>
      <c r="BO25" s="1">
        <f t="shared" si="29"/>
        <v>44389</v>
      </c>
      <c r="BP25" s="1">
        <f t="shared" si="29"/>
        <v>44390</v>
      </c>
      <c r="BQ25" s="1">
        <f t="shared" si="29"/>
        <v>44391</v>
      </c>
      <c r="BR25" s="1">
        <f t="shared" si="29"/>
        <v>44392</v>
      </c>
      <c r="BS25" s="1">
        <f t="shared" si="29"/>
        <v>44393</v>
      </c>
      <c r="BT25" s="1">
        <f t="shared" si="29"/>
        <v>44394</v>
      </c>
      <c r="BU25" s="1">
        <f t="shared" si="29"/>
        <v>44395</v>
      </c>
      <c r="BV25" s="1">
        <f t="shared" ref="BV25:EG25" si="30">BV14</f>
        <v>44396</v>
      </c>
      <c r="BW25" s="1">
        <f t="shared" si="30"/>
        <v>44397</v>
      </c>
      <c r="BX25" s="1">
        <f t="shared" si="30"/>
        <v>44398</v>
      </c>
      <c r="BY25" s="1">
        <f t="shared" si="30"/>
        <v>44399</v>
      </c>
      <c r="BZ25" s="1">
        <f t="shared" si="30"/>
        <v>44400</v>
      </c>
      <c r="CA25" s="1">
        <f t="shared" si="30"/>
        <v>44401</v>
      </c>
      <c r="CB25" s="1">
        <f t="shared" si="30"/>
        <v>44402</v>
      </c>
      <c r="CC25" s="1">
        <f t="shared" si="30"/>
        <v>44403</v>
      </c>
      <c r="CD25" s="1">
        <f t="shared" si="30"/>
        <v>44404</v>
      </c>
      <c r="CE25" s="1">
        <f t="shared" si="30"/>
        <v>44405</v>
      </c>
      <c r="CF25" s="1">
        <f t="shared" si="30"/>
        <v>44406</v>
      </c>
      <c r="CG25" s="1">
        <f t="shared" si="30"/>
        <v>44407</v>
      </c>
      <c r="CH25" s="1">
        <f t="shared" si="30"/>
        <v>44408</v>
      </c>
      <c r="CI25" s="1">
        <f t="shared" si="30"/>
        <v>44409</v>
      </c>
      <c r="CJ25" s="1">
        <f t="shared" si="30"/>
        <v>44410</v>
      </c>
      <c r="CK25" s="1">
        <f t="shared" si="30"/>
        <v>44411</v>
      </c>
      <c r="CL25" s="1">
        <f t="shared" si="30"/>
        <v>44412</v>
      </c>
      <c r="CM25" s="1">
        <f t="shared" si="30"/>
        <v>44413</v>
      </c>
      <c r="CN25" s="1">
        <f t="shared" si="30"/>
        <v>44414</v>
      </c>
      <c r="CO25" s="1">
        <f t="shared" si="30"/>
        <v>44415</v>
      </c>
      <c r="CP25" s="1">
        <f t="shared" si="30"/>
        <v>44416</v>
      </c>
      <c r="CQ25" s="1">
        <f t="shared" si="30"/>
        <v>44417</v>
      </c>
      <c r="CR25" s="1">
        <f t="shared" si="30"/>
        <v>44418</v>
      </c>
      <c r="CS25" s="1">
        <f t="shared" si="30"/>
        <v>44419</v>
      </c>
      <c r="CT25" s="1">
        <f t="shared" si="30"/>
        <v>44420</v>
      </c>
      <c r="CU25" s="1">
        <f t="shared" si="30"/>
        <v>44421</v>
      </c>
      <c r="CV25" s="1">
        <f t="shared" si="30"/>
        <v>44422</v>
      </c>
      <c r="CW25" s="1">
        <f t="shared" si="30"/>
        <v>44423</v>
      </c>
      <c r="CX25" s="1">
        <f t="shared" si="30"/>
        <v>44424</v>
      </c>
      <c r="CY25" s="1">
        <f t="shared" si="30"/>
        <v>44425</v>
      </c>
      <c r="CZ25" s="1">
        <f t="shared" si="30"/>
        <v>44426</v>
      </c>
      <c r="DA25" s="1">
        <f t="shared" si="30"/>
        <v>44427</v>
      </c>
      <c r="DB25" s="1">
        <f t="shared" si="30"/>
        <v>44428</v>
      </c>
      <c r="DC25" s="1">
        <f t="shared" si="30"/>
        <v>44429</v>
      </c>
      <c r="DD25" s="1">
        <f t="shared" si="30"/>
        <v>44430</v>
      </c>
      <c r="DE25" s="1">
        <f t="shared" si="30"/>
        <v>44431</v>
      </c>
      <c r="DF25" s="1">
        <f t="shared" si="30"/>
        <v>44432</v>
      </c>
      <c r="DG25" s="1">
        <f t="shared" si="30"/>
        <v>44433</v>
      </c>
      <c r="DH25" s="1">
        <f t="shared" si="30"/>
        <v>44434</v>
      </c>
      <c r="DI25" s="1">
        <f t="shared" si="30"/>
        <v>44435</v>
      </c>
      <c r="DJ25" s="1">
        <f t="shared" si="30"/>
        <v>44436</v>
      </c>
      <c r="DK25" s="1">
        <f t="shared" si="30"/>
        <v>44437</v>
      </c>
      <c r="DL25" s="1">
        <f t="shared" si="30"/>
        <v>44438</v>
      </c>
      <c r="DM25" s="1">
        <f t="shared" si="30"/>
        <v>44439</v>
      </c>
      <c r="DN25" s="1">
        <f t="shared" si="30"/>
        <v>44440</v>
      </c>
      <c r="DO25" s="1">
        <f t="shared" si="30"/>
        <v>44441</v>
      </c>
      <c r="DP25" s="1">
        <f t="shared" si="30"/>
        <v>44442</v>
      </c>
      <c r="DQ25" s="1">
        <f t="shared" si="30"/>
        <v>44443</v>
      </c>
      <c r="DR25" s="1">
        <f t="shared" si="30"/>
        <v>44444</v>
      </c>
      <c r="DS25" s="1">
        <f t="shared" si="30"/>
        <v>44445</v>
      </c>
      <c r="DT25" s="1">
        <f t="shared" si="30"/>
        <v>44446</v>
      </c>
      <c r="DU25" s="1">
        <f t="shared" si="30"/>
        <v>44447</v>
      </c>
      <c r="DV25" s="1">
        <f t="shared" si="30"/>
        <v>44448</v>
      </c>
      <c r="DW25" s="1">
        <f t="shared" si="30"/>
        <v>44449</v>
      </c>
      <c r="DX25" s="1">
        <f t="shared" si="30"/>
        <v>44450</v>
      </c>
      <c r="DY25" s="1">
        <f t="shared" si="30"/>
        <v>44451</v>
      </c>
      <c r="DZ25" s="1">
        <f t="shared" si="30"/>
        <v>44452</v>
      </c>
      <c r="EA25" s="1">
        <f t="shared" si="30"/>
        <v>44453</v>
      </c>
      <c r="EB25" s="1">
        <f t="shared" si="30"/>
        <v>44454</v>
      </c>
      <c r="EC25" s="1">
        <f t="shared" si="30"/>
        <v>44455</v>
      </c>
      <c r="ED25" s="1">
        <f t="shared" si="30"/>
        <v>44456</v>
      </c>
      <c r="EE25" s="1">
        <f t="shared" si="30"/>
        <v>44457</v>
      </c>
      <c r="EF25" s="1">
        <f t="shared" si="30"/>
        <v>44458</v>
      </c>
      <c r="EG25" s="1">
        <f t="shared" si="30"/>
        <v>44459</v>
      </c>
      <c r="EH25" s="1">
        <f t="shared" ref="EH25:GA25" si="31">EH14</f>
        <v>44460</v>
      </c>
      <c r="EI25" s="1">
        <f t="shared" si="31"/>
        <v>44461</v>
      </c>
      <c r="EJ25" s="1">
        <f t="shared" si="31"/>
        <v>44462</v>
      </c>
      <c r="EK25" s="1">
        <f t="shared" si="31"/>
        <v>44463</v>
      </c>
      <c r="EL25" s="1">
        <f t="shared" si="31"/>
        <v>44464</v>
      </c>
      <c r="EM25" s="1">
        <f t="shared" si="31"/>
        <v>44465</v>
      </c>
      <c r="EN25" s="1">
        <f t="shared" si="31"/>
        <v>44466</v>
      </c>
      <c r="EO25" s="1">
        <f t="shared" si="31"/>
        <v>44467</v>
      </c>
      <c r="EP25" s="1">
        <f t="shared" si="31"/>
        <v>44468</v>
      </c>
      <c r="EQ25" s="1">
        <f t="shared" si="31"/>
        <v>44469</v>
      </c>
      <c r="ER25" s="1">
        <f t="shared" si="31"/>
        <v>44470</v>
      </c>
      <c r="ES25" s="1">
        <f t="shared" si="31"/>
        <v>44471</v>
      </c>
      <c r="ET25" s="1">
        <f t="shared" si="31"/>
        <v>44472</v>
      </c>
      <c r="EU25" s="1">
        <f t="shared" si="31"/>
        <v>44473</v>
      </c>
      <c r="EV25" s="1">
        <f t="shared" si="31"/>
        <v>44474</v>
      </c>
      <c r="EW25" s="1">
        <f t="shared" si="31"/>
        <v>44475</v>
      </c>
      <c r="EX25" s="1">
        <f t="shared" si="31"/>
        <v>44476</v>
      </c>
      <c r="EY25" s="1">
        <f t="shared" si="31"/>
        <v>44477</v>
      </c>
      <c r="EZ25" s="1">
        <f t="shared" si="31"/>
        <v>44478</v>
      </c>
      <c r="FA25" s="1">
        <f t="shared" si="31"/>
        <v>44479</v>
      </c>
      <c r="FB25" s="1">
        <f t="shared" si="31"/>
        <v>44480</v>
      </c>
      <c r="FC25" s="1">
        <f t="shared" si="31"/>
        <v>44481</v>
      </c>
      <c r="FD25" s="1">
        <f t="shared" si="31"/>
        <v>44482</v>
      </c>
      <c r="FE25" s="1">
        <f t="shared" si="31"/>
        <v>44483</v>
      </c>
      <c r="FF25" s="1">
        <f t="shared" si="31"/>
        <v>44484</v>
      </c>
      <c r="FG25" s="1">
        <f t="shared" si="31"/>
        <v>44485</v>
      </c>
      <c r="FH25" s="1">
        <f t="shared" si="31"/>
        <v>44486</v>
      </c>
      <c r="FI25" s="1">
        <f t="shared" si="31"/>
        <v>44487</v>
      </c>
      <c r="FJ25" s="1">
        <f t="shared" si="31"/>
        <v>44488</v>
      </c>
      <c r="FK25" s="1">
        <f t="shared" si="31"/>
        <v>44489</v>
      </c>
      <c r="FL25" s="1">
        <f t="shared" si="31"/>
        <v>44490</v>
      </c>
      <c r="FM25" s="1">
        <f t="shared" si="31"/>
        <v>44491</v>
      </c>
      <c r="FN25" s="1">
        <f t="shared" si="31"/>
        <v>44492</v>
      </c>
      <c r="FO25" s="1">
        <f t="shared" si="31"/>
        <v>44493</v>
      </c>
      <c r="FP25" s="1">
        <f t="shared" si="31"/>
        <v>44494</v>
      </c>
      <c r="FQ25" s="1">
        <f t="shared" si="31"/>
        <v>44495</v>
      </c>
      <c r="FR25" s="1">
        <f t="shared" si="31"/>
        <v>44496</v>
      </c>
      <c r="FS25" s="1">
        <f t="shared" si="31"/>
        <v>44497</v>
      </c>
      <c r="FT25" s="1">
        <f t="shared" si="31"/>
        <v>44498</v>
      </c>
      <c r="FU25" s="1">
        <f t="shared" si="31"/>
        <v>44499</v>
      </c>
      <c r="FV25" s="1">
        <f t="shared" si="31"/>
        <v>44500</v>
      </c>
      <c r="FW25" s="1">
        <f t="shared" si="31"/>
        <v>44501</v>
      </c>
      <c r="FX25" s="1">
        <f t="shared" si="31"/>
        <v>44502</v>
      </c>
      <c r="FY25" s="1">
        <f t="shared" si="31"/>
        <v>44503</v>
      </c>
      <c r="FZ25" s="1">
        <f t="shared" si="31"/>
        <v>44504</v>
      </c>
      <c r="GA25" s="1">
        <f t="shared" si="31"/>
        <v>44505</v>
      </c>
    </row>
    <row r="26" spans="1:183" x14ac:dyDescent="0.45">
      <c r="A26">
        <v>48</v>
      </c>
      <c r="B26" t="s">
        <v>21</v>
      </c>
      <c r="C26" cm="1">
        <f t="array" ref="C26">LOOKUP(2,1/(I26:GA26&lt;&gt;""),I26:GA26)</f>
        <v>422.40000000000003</v>
      </c>
      <c r="D26">
        <f t="shared" ref="D26:D32" si="32">D$9</f>
        <v>45</v>
      </c>
      <c r="F26" s="4">
        <f t="shared" ref="F26" si="33">(C26-I26)/I26</f>
        <v>1.2680412371134022</v>
      </c>
      <c r="G26" s="3" cm="1">
        <f t="array" ref="G26">(C26-IF(ISNA(INDEX(I26:GA26,D26-22)),INDEX(I26:GA26,D26-23),INDEX(I26:GA26,D26-22)))/IF(ISNA(INDEX(I26:GA26,D26-22)),INDEX(I26:GA26,D26-23),INDEX(I26:GA26,D26-22))</f>
        <v>-7.9497907949790711E-2</v>
      </c>
      <c r="I26">
        <f t="shared" ref="I26:I32" si="34">IF(ISBLANK(I3),NA(),$A26*I3)</f>
        <v>186.24</v>
      </c>
      <c r="J26">
        <f t="shared" ref="J26:BU26" si="35">IF(ISBLANK(J3),NA(),$A26*J3)</f>
        <v>176.64000000000001</v>
      </c>
      <c r="K26" t="e">
        <f t="shared" si="35"/>
        <v>#N/A</v>
      </c>
      <c r="L26">
        <f t="shared" si="35"/>
        <v>189.60000000000002</v>
      </c>
      <c r="M26" t="e">
        <f t="shared" si="35"/>
        <v>#N/A</v>
      </c>
      <c r="N26">
        <f t="shared" si="35"/>
        <v>213.60000000000002</v>
      </c>
      <c r="O26">
        <f t="shared" si="35"/>
        <v>211.68</v>
      </c>
      <c r="P26">
        <f t="shared" si="35"/>
        <v>287.52</v>
      </c>
      <c r="Q26">
        <f t="shared" si="35"/>
        <v>282.71999999999997</v>
      </c>
      <c r="R26">
        <f t="shared" si="35"/>
        <v>312.48</v>
      </c>
      <c r="S26">
        <f t="shared" si="35"/>
        <v>313.44</v>
      </c>
      <c r="T26">
        <f t="shared" si="35"/>
        <v>368.64</v>
      </c>
      <c r="U26">
        <f t="shared" si="35"/>
        <v>417.12</v>
      </c>
      <c r="V26">
        <f t="shared" si="35"/>
        <v>412.32</v>
      </c>
      <c r="W26">
        <f t="shared" si="35"/>
        <v>370.56</v>
      </c>
      <c r="X26">
        <f t="shared" si="35"/>
        <v>347.52</v>
      </c>
      <c r="Y26">
        <f t="shared" si="35"/>
        <v>329.28000000000003</v>
      </c>
      <c r="Z26">
        <f t="shared" si="35"/>
        <v>371.04</v>
      </c>
      <c r="AA26">
        <f t="shared" si="35"/>
        <v>411.84000000000003</v>
      </c>
      <c r="AB26">
        <f t="shared" si="35"/>
        <v>434.40000000000003</v>
      </c>
      <c r="AC26">
        <f t="shared" si="35"/>
        <v>447.84000000000003</v>
      </c>
      <c r="AD26">
        <f t="shared" si="35"/>
        <v>525.59999999999991</v>
      </c>
      <c r="AE26">
        <f t="shared" si="35"/>
        <v>458.88</v>
      </c>
      <c r="AF26">
        <f t="shared" si="35"/>
        <v>455.04</v>
      </c>
      <c r="AG26">
        <f t="shared" si="35"/>
        <v>459.36</v>
      </c>
      <c r="AH26">
        <f t="shared" si="35"/>
        <v>456.96</v>
      </c>
      <c r="AI26">
        <f t="shared" si="35"/>
        <v>456.48</v>
      </c>
      <c r="AJ26">
        <f t="shared" si="35"/>
        <v>444</v>
      </c>
      <c r="AK26">
        <f t="shared" si="35"/>
        <v>465.59999999999997</v>
      </c>
      <c r="AL26">
        <f t="shared" si="35"/>
        <v>478.08000000000004</v>
      </c>
      <c r="AM26">
        <f t="shared" si="35"/>
        <v>465.59999999999997</v>
      </c>
      <c r="AN26" t="e">
        <f t="shared" si="35"/>
        <v>#N/A</v>
      </c>
      <c r="AO26">
        <f t="shared" si="35"/>
        <v>467.52</v>
      </c>
      <c r="AP26">
        <f t="shared" si="35"/>
        <v>460.32</v>
      </c>
      <c r="AQ26">
        <f t="shared" si="35"/>
        <v>438.72</v>
      </c>
      <c r="AR26">
        <f t="shared" si="35"/>
        <v>443.04</v>
      </c>
      <c r="AS26">
        <f t="shared" si="35"/>
        <v>422.40000000000003</v>
      </c>
      <c r="AT26" t="e">
        <f t="shared" si="35"/>
        <v>#N/A</v>
      </c>
      <c r="AU26" t="e">
        <f t="shared" si="35"/>
        <v>#N/A</v>
      </c>
      <c r="AV26" t="e">
        <f t="shared" si="35"/>
        <v>#N/A</v>
      </c>
      <c r="AW26" t="e">
        <f t="shared" si="35"/>
        <v>#N/A</v>
      </c>
      <c r="AX26" t="e">
        <f t="shared" si="35"/>
        <v>#N/A</v>
      </c>
      <c r="AY26" t="e">
        <f t="shared" si="35"/>
        <v>#N/A</v>
      </c>
      <c r="AZ26" t="e">
        <f t="shared" si="35"/>
        <v>#N/A</v>
      </c>
      <c r="BA26" t="e">
        <f t="shared" si="35"/>
        <v>#N/A</v>
      </c>
      <c r="BB26" t="e">
        <f t="shared" si="35"/>
        <v>#N/A</v>
      </c>
      <c r="BC26" t="e">
        <f t="shared" si="35"/>
        <v>#N/A</v>
      </c>
      <c r="BD26" t="e">
        <f t="shared" si="35"/>
        <v>#N/A</v>
      </c>
      <c r="BE26" t="e">
        <f t="shared" si="35"/>
        <v>#N/A</v>
      </c>
      <c r="BF26" t="e">
        <f t="shared" si="35"/>
        <v>#N/A</v>
      </c>
      <c r="BG26" t="e">
        <f t="shared" si="35"/>
        <v>#N/A</v>
      </c>
      <c r="BH26" t="e">
        <f t="shared" si="35"/>
        <v>#N/A</v>
      </c>
      <c r="BI26" t="e">
        <f t="shared" si="35"/>
        <v>#N/A</v>
      </c>
      <c r="BJ26" t="e">
        <f t="shared" si="35"/>
        <v>#N/A</v>
      </c>
      <c r="BK26" t="e">
        <f t="shared" si="35"/>
        <v>#N/A</v>
      </c>
      <c r="BL26" t="e">
        <f t="shared" si="35"/>
        <v>#N/A</v>
      </c>
      <c r="BM26" t="e">
        <f t="shared" si="35"/>
        <v>#N/A</v>
      </c>
      <c r="BN26" t="e">
        <f t="shared" si="35"/>
        <v>#N/A</v>
      </c>
      <c r="BO26" t="e">
        <f t="shared" si="35"/>
        <v>#N/A</v>
      </c>
      <c r="BP26" t="e">
        <f t="shared" si="35"/>
        <v>#N/A</v>
      </c>
      <c r="BQ26" t="e">
        <f t="shared" si="35"/>
        <v>#N/A</v>
      </c>
      <c r="BR26" t="e">
        <f t="shared" si="35"/>
        <v>#N/A</v>
      </c>
      <c r="BS26" t="e">
        <f t="shared" si="35"/>
        <v>#N/A</v>
      </c>
      <c r="BT26" t="e">
        <f t="shared" si="35"/>
        <v>#N/A</v>
      </c>
      <c r="BU26" t="e">
        <f t="shared" si="35"/>
        <v>#N/A</v>
      </c>
      <c r="BV26" t="e">
        <f t="shared" ref="BV26:EG26" si="36">IF(ISBLANK(BV3),NA(),$A26*BV3)</f>
        <v>#N/A</v>
      </c>
      <c r="BW26" t="e">
        <f t="shared" si="36"/>
        <v>#N/A</v>
      </c>
      <c r="BX26" t="e">
        <f t="shared" si="36"/>
        <v>#N/A</v>
      </c>
      <c r="BY26" t="e">
        <f t="shared" si="36"/>
        <v>#N/A</v>
      </c>
      <c r="BZ26" t="e">
        <f t="shared" si="36"/>
        <v>#N/A</v>
      </c>
      <c r="CA26" t="e">
        <f t="shared" si="36"/>
        <v>#N/A</v>
      </c>
      <c r="CB26" t="e">
        <f t="shared" si="36"/>
        <v>#N/A</v>
      </c>
      <c r="CC26" t="e">
        <f t="shared" si="36"/>
        <v>#N/A</v>
      </c>
      <c r="CD26" t="e">
        <f t="shared" si="36"/>
        <v>#N/A</v>
      </c>
      <c r="CE26" t="e">
        <f t="shared" si="36"/>
        <v>#N/A</v>
      </c>
      <c r="CF26" t="e">
        <f t="shared" si="36"/>
        <v>#N/A</v>
      </c>
      <c r="CG26" t="e">
        <f t="shared" si="36"/>
        <v>#N/A</v>
      </c>
      <c r="CH26" t="e">
        <f t="shared" si="36"/>
        <v>#N/A</v>
      </c>
      <c r="CI26" t="e">
        <f t="shared" si="36"/>
        <v>#N/A</v>
      </c>
      <c r="CJ26" t="e">
        <f t="shared" si="36"/>
        <v>#N/A</v>
      </c>
      <c r="CK26" t="e">
        <f t="shared" si="36"/>
        <v>#N/A</v>
      </c>
      <c r="CL26" t="e">
        <f t="shared" si="36"/>
        <v>#N/A</v>
      </c>
      <c r="CM26" t="e">
        <f t="shared" si="36"/>
        <v>#N/A</v>
      </c>
      <c r="CN26" t="e">
        <f t="shared" si="36"/>
        <v>#N/A</v>
      </c>
      <c r="CO26" t="e">
        <f t="shared" si="36"/>
        <v>#N/A</v>
      </c>
      <c r="CP26" t="e">
        <f t="shared" si="36"/>
        <v>#N/A</v>
      </c>
      <c r="CQ26" t="e">
        <f t="shared" si="36"/>
        <v>#N/A</v>
      </c>
      <c r="CR26" t="e">
        <f t="shared" si="36"/>
        <v>#N/A</v>
      </c>
      <c r="CS26" t="e">
        <f t="shared" si="36"/>
        <v>#N/A</v>
      </c>
      <c r="CT26" t="e">
        <f t="shared" si="36"/>
        <v>#N/A</v>
      </c>
      <c r="CU26" t="e">
        <f t="shared" si="36"/>
        <v>#N/A</v>
      </c>
      <c r="CV26" t="e">
        <f t="shared" si="36"/>
        <v>#N/A</v>
      </c>
      <c r="CW26" t="e">
        <f t="shared" si="36"/>
        <v>#N/A</v>
      </c>
      <c r="CX26" t="e">
        <f t="shared" si="36"/>
        <v>#N/A</v>
      </c>
      <c r="CY26" t="e">
        <f t="shared" si="36"/>
        <v>#N/A</v>
      </c>
      <c r="CZ26" t="e">
        <f t="shared" si="36"/>
        <v>#N/A</v>
      </c>
      <c r="DA26" t="e">
        <f t="shared" si="36"/>
        <v>#N/A</v>
      </c>
      <c r="DB26" t="e">
        <f t="shared" si="36"/>
        <v>#N/A</v>
      </c>
      <c r="DC26" t="e">
        <f t="shared" si="36"/>
        <v>#N/A</v>
      </c>
      <c r="DD26" t="e">
        <f t="shared" si="36"/>
        <v>#N/A</v>
      </c>
      <c r="DE26" t="e">
        <f t="shared" si="36"/>
        <v>#N/A</v>
      </c>
      <c r="DF26" t="e">
        <f t="shared" si="36"/>
        <v>#N/A</v>
      </c>
      <c r="DG26" t="e">
        <f t="shared" si="36"/>
        <v>#N/A</v>
      </c>
      <c r="DH26" t="e">
        <f t="shared" si="36"/>
        <v>#N/A</v>
      </c>
      <c r="DI26" t="e">
        <f t="shared" si="36"/>
        <v>#N/A</v>
      </c>
      <c r="DJ26" t="e">
        <f t="shared" si="36"/>
        <v>#N/A</v>
      </c>
      <c r="DK26" t="e">
        <f t="shared" si="36"/>
        <v>#N/A</v>
      </c>
      <c r="DL26" t="e">
        <f t="shared" si="36"/>
        <v>#N/A</v>
      </c>
      <c r="DM26" t="e">
        <f t="shared" si="36"/>
        <v>#N/A</v>
      </c>
      <c r="DN26" t="e">
        <f t="shared" si="36"/>
        <v>#N/A</v>
      </c>
      <c r="DO26" t="e">
        <f t="shared" si="36"/>
        <v>#N/A</v>
      </c>
      <c r="DP26" t="e">
        <f t="shared" si="36"/>
        <v>#N/A</v>
      </c>
      <c r="DQ26" t="e">
        <f t="shared" si="36"/>
        <v>#N/A</v>
      </c>
      <c r="DR26" t="e">
        <f t="shared" si="36"/>
        <v>#N/A</v>
      </c>
      <c r="DS26" t="e">
        <f t="shared" si="36"/>
        <v>#N/A</v>
      </c>
      <c r="DT26" t="e">
        <f t="shared" si="36"/>
        <v>#N/A</v>
      </c>
      <c r="DU26" t="e">
        <f t="shared" si="36"/>
        <v>#N/A</v>
      </c>
      <c r="DV26" t="e">
        <f t="shared" si="36"/>
        <v>#N/A</v>
      </c>
      <c r="DW26" t="e">
        <f t="shared" si="36"/>
        <v>#N/A</v>
      </c>
      <c r="DX26" t="e">
        <f t="shared" si="36"/>
        <v>#N/A</v>
      </c>
      <c r="DY26" t="e">
        <f t="shared" si="36"/>
        <v>#N/A</v>
      </c>
      <c r="DZ26" t="e">
        <f t="shared" si="36"/>
        <v>#N/A</v>
      </c>
      <c r="EA26" t="e">
        <f t="shared" si="36"/>
        <v>#N/A</v>
      </c>
      <c r="EB26" t="e">
        <f t="shared" si="36"/>
        <v>#N/A</v>
      </c>
      <c r="EC26" t="e">
        <f t="shared" si="36"/>
        <v>#N/A</v>
      </c>
      <c r="ED26" t="e">
        <f t="shared" si="36"/>
        <v>#N/A</v>
      </c>
      <c r="EE26" t="e">
        <f t="shared" si="36"/>
        <v>#N/A</v>
      </c>
      <c r="EF26" t="e">
        <f t="shared" si="36"/>
        <v>#N/A</v>
      </c>
      <c r="EG26" t="e">
        <f t="shared" si="36"/>
        <v>#N/A</v>
      </c>
      <c r="EH26" t="e">
        <f t="shared" ref="EH26:GA26" si="37">IF(ISBLANK(EH3),NA(),$A26*EH3)</f>
        <v>#N/A</v>
      </c>
      <c r="EI26" t="e">
        <f t="shared" si="37"/>
        <v>#N/A</v>
      </c>
      <c r="EJ26" t="e">
        <f t="shared" si="37"/>
        <v>#N/A</v>
      </c>
      <c r="EK26" t="e">
        <f t="shared" si="37"/>
        <v>#N/A</v>
      </c>
      <c r="EL26" t="e">
        <f t="shared" si="37"/>
        <v>#N/A</v>
      </c>
      <c r="EM26" t="e">
        <f t="shared" si="37"/>
        <v>#N/A</v>
      </c>
      <c r="EN26" t="e">
        <f t="shared" si="37"/>
        <v>#N/A</v>
      </c>
      <c r="EO26" t="e">
        <f t="shared" si="37"/>
        <v>#N/A</v>
      </c>
      <c r="EP26" t="e">
        <f t="shared" si="37"/>
        <v>#N/A</v>
      </c>
      <c r="EQ26" t="e">
        <f t="shared" si="37"/>
        <v>#N/A</v>
      </c>
      <c r="ER26" t="e">
        <f t="shared" si="37"/>
        <v>#N/A</v>
      </c>
      <c r="ES26" t="e">
        <f t="shared" si="37"/>
        <v>#N/A</v>
      </c>
      <c r="ET26" t="e">
        <f t="shared" si="37"/>
        <v>#N/A</v>
      </c>
      <c r="EU26" t="e">
        <f t="shared" si="37"/>
        <v>#N/A</v>
      </c>
      <c r="EV26" t="e">
        <f t="shared" si="37"/>
        <v>#N/A</v>
      </c>
      <c r="EW26" t="e">
        <f t="shared" si="37"/>
        <v>#N/A</v>
      </c>
      <c r="EX26" t="e">
        <f t="shared" si="37"/>
        <v>#N/A</v>
      </c>
      <c r="EY26" t="e">
        <f t="shared" si="37"/>
        <v>#N/A</v>
      </c>
      <c r="EZ26" t="e">
        <f t="shared" si="37"/>
        <v>#N/A</v>
      </c>
      <c r="FA26" t="e">
        <f t="shared" si="37"/>
        <v>#N/A</v>
      </c>
      <c r="FB26" t="e">
        <f t="shared" si="37"/>
        <v>#N/A</v>
      </c>
      <c r="FC26" t="e">
        <f t="shared" si="37"/>
        <v>#N/A</v>
      </c>
      <c r="FD26" t="e">
        <f t="shared" si="37"/>
        <v>#N/A</v>
      </c>
      <c r="FE26" t="e">
        <f t="shared" si="37"/>
        <v>#N/A</v>
      </c>
      <c r="FF26" t="e">
        <f t="shared" si="37"/>
        <v>#N/A</v>
      </c>
      <c r="FG26" t="e">
        <f t="shared" si="37"/>
        <v>#N/A</v>
      </c>
      <c r="FH26" t="e">
        <f t="shared" si="37"/>
        <v>#N/A</v>
      </c>
      <c r="FI26" t="e">
        <f t="shared" si="37"/>
        <v>#N/A</v>
      </c>
      <c r="FJ26" t="e">
        <f t="shared" si="37"/>
        <v>#N/A</v>
      </c>
      <c r="FK26" t="e">
        <f t="shared" si="37"/>
        <v>#N/A</v>
      </c>
      <c r="FL26" t="e">
        <f t="shared" si="37"/>
        <v>#N/A</v>
      </c>
      <c r="FM26" t="e">
        <f t="shared" si="37"/>
        <v>#N/A</v>
      </c>
      <c r="FN26" t="e">
        <f t="shared" si="37"/>
        <v>#N/A</v>
      </c>
      <c r="FO26" t="e">
        <f t="shared" si="37"/>
        <v>#N/A</v>
      </c>
      <c r="FP26" t="e">
        <f t="shared" si="37"/>
        <v>#N/A</v>
      </c>
      <c r="FQ26" t="e">
        <f t="shared" si="37"/>
        <v>#N/A</v>
      </c>
      <c r="FR26" t="e">
        <f t="shared" si="37"/>
        <v>#N/A</v>
      </c>
      <c r="FS26" t="e">
        <f t="shared" si="37"/>
        <v>#N/A</v>
      </c>
      <c r="FT26" t="e">
        <f t="shared" si="37"/>
        <v>#N/A</v>
      </c>
      <c r="FU26" t="e">
        <f t="shared" si="37"/>
        <v>#N/A</v>
      </c>
      <c r="FV26" t="e">
        <f t="shared" si="37"/>
        <v>#N/A</v>
      </c>
      <c r="FW26" t="e">
        <f t="shared" si="37"/>
        <v>#N/A</v>
      </c>
      <c r="FX26" t="e">
        <f t="shared" si="37"/>
        <v>#N/A</v>
      </c>
      <c r="FY26" t="e">
        <f t="shared" si="37"/>
        <v>#N/A</v>
      </c>
      <c r="FZ26" t="e">
        <f t="shared" si="37"/>
        <v>#N/A</v>
      </c>
      <c r="GA26" t="e">
        <f t="shared" si="37"/>
        <v>#N/A</v>
      </c>
    </row>
    <row r="27" spans="1:183" x14ac:dyDescent="0.45">
      <c r="A27">
        <v>10</v>
      </c>
      <c r="B27" t="s">
        <v>22</v>
      </c>
      <c r="C27" cm="1">
        <f t="array" ref="C27">LOOKUP(2,1/(I27:GA27&lt;&gt;""),I27:GA27)</f>
        <v>89.2</v>
      </c>
      <c r="D27">
        <f t="shared" si="32"/>
        <v>45</v>
      </c>
      <c r="F27" s="4">
        <f t="shared" ref="F27:F32" si="38">(C27-I27)/I27</f>
        <v>1.563218390804598</v>
      </c>
      <c r="G27" s="3" cm="1">
        <f t="array" ref="G27">(C27-IF(ISNA(INDEX(I27:GA27,D27-22)),INDEX(I27:GA27,D27-23),INDEX(I27:GA27,D27-22)))/IF(ISNA(INDEX(I27:GA27,D27-22)),INDEX(I27:GA27,D27-23),INDEX(I27:GA27,D27-22))</f>
        <v>-9.2573753814852444E-2</v>
      </c>
      <c r="I27">
        <f t="shared" si="34"/>
        <v>34.799999999999997</v>
      </c>
      <c r="J27">
        <f t="shared" ref="J27:BU27" si="39">IF(ISBLANK(J4),NA(),$A27*J4)</f>
        <v>35.200000000000003</v>
      </c>
      <c r="K27" t="e">
        <f t="shared" si="39"/>
        <v>#N/A</v>
      </c>
      <c r="L27">
        <f t="shared" si="39"/>
        <v>39.300000000000004</v>
      </c>
      <c r="M27" t="e">
        <f t="shared" si="39"/>
        <v>#N/A</v>
      </c>
      <c r="N27">
        <f t="shared" si="39"/>
        <v>42.800000000000004</v>
      </c>
      <c r="O27">
        <f t="shared" si="39"/>
        <v>45</v>
      </c>
      <c r="P27">
        <f t="shared" si="39"/>
        <v>58</v>
      </c>
      <c r="Q27">
        <f t="shared" si="39"/>
        <v>57</v>
      </c>
      <c r="R27">
        <f t="shared" si="39"/>
        <v>63</v>
      </c>
      <c r="S27">
        <f t="shared" si="39"/>
        <v>62.599999999999994</v>
      </c>
      <c r="T27">
        <f t="shared" si="39"/>
        <v>73.2</v>
      </c>
      <c r="U27">
        <f t="shared" si="39"/>
        <v>79.900000000000006</v>
      </c>
      <c r="V27">
        <f t="shared" si="39"/>
        <v>84.399999999999991</v>
      </c>
      <c r="W27">
        <f t="shared" si="39"/>
        <v>81.400000000000006</v>
      </c>
      <c r="X27">
        <f t="shared" si="39"/>
        <v>71.900000000000006</v>
      </c>
      <c r="Y27">
        <f t="shared" si="39"/>
        <v>63.7</v>
      </c>
      <c r="Z27">
        <f t="shared" si="39"/>
        <v>68.600000000000009</v>
      </c>
      <c r="AA27">
        <f t="shared" si="39"/>
        <v>80.5</v>
      </c>
      <c r="AB27">
        <f t="shared" si="39"/>
        <v>88.5</v>
      </c>
      <c r="AC27">
        <f t="shared" si="39"/>
        <v>90.199999999999989</v>
      </c>
      <c r="AD27">
        <f t="shared" si="39"/>
        <v>97.5</v>
      </c>
      <c r="AE27">
        <f t="shared" si="39"/>
        <v>98.3</v>
      </c>
      <c r="AF27">
        <f t="shared" si="39"/>
        <v>88.100000000000009</v>
      </c>
      <c r="AG27">
        <f t="shared" si="39"/>
        <v>90.3</v>
      </c>
      <c r="AH27">
        <f t="shared" si="39"/>
        <v>92.8</v>
      </c>
      <c r="AI27">
        <f t="shared" si="39"/>
        <v>91.300000000000011</v>
      </c>
      <c r="AJ27">
        <f t="shared" si="39"/>
        <v>92.300000000000011</v>
      </c>
      <c r="AK27">
        <f t="shared" si="39"/>
        <v>90.1</v>
      </c>
      <c r="AL27">
        <f t="shared" si="39"/>
        <v>98.9</v>
      </c>
      <c r="AM27">
        <f t="shared" si="39"/>
        <v>96.899999999999991</v>
      </c>
      <c r="AN27" t="e">
        <f t="shared" si="39"/>
        <v>#N/A</v>
      </c>
      <c r="AO27">
        <f t="shared" si="39"/>
        <v>93.2</v>
      </c>
      <c r="AP27">
        <f t="shared" si="39"/>
        <v>88.9</v>
      </c>
      <c r="AQ27">
        <f t="shared" si="39"/>
        <v>88.9</v>
      </c>
      <c r="AR27">
        <f t="shared" si="39"/>
        <v>93.100000000000009</v>
      </c>
      <c r="AS27">
        <f t="shared" si="39"/>
        <v>89.2</v>
      </c>
      <c r="AT27" t="e">
        <f t="shared" si="39"/>
        <v>#N/A</v>
      </c>
      <c r="AU27" t="e">
        <f t="shared" si="39"/>
        <v>#N/A</v>
      </c>
      <c r="AV27" t="e">
        <f t="shared" si="39"/>
        <v>#N/A</v>
      </c>
      <c r="AW27" t="e">
        <f t="shared" si="39"/>
        <v>#N/A</v>
      </c>
      <c r="AX27" t="e">
        <f t="shared" si="39"/>
        <v>#N/A</v>
      </c>
      <c r="AY27" t="e">
        <f t="shared" si="39"/>
        <v>#N/A</v>
      </c>
      <c r="AZ27" t="e">
        <f t="shared" si="39"/>
        <v>#N/A</v>
      </c>
      <c r="BA27" t="e">
        <f t="shared" si="39"/>
        <v>#N/A</v>
      </c>
      <c r="BB27" t="e">
        <f t="shared" si="39"/>
        <v>#N/A</v>
      </c>
      <c r="BC27" t="e">
        <f t="shared" si="39"/>
        <v>#N/A</v>
      </c>
      <c r="BD27" t="e">
        <f t="shared" si="39"/>
        <v>#N/A</v>
      </c>
      <c r="BE27" t="e">
        <f t="shared" si="39"/>
        <v>#N/A</v>
      </c>
      <c r="BF27" t="e">
        <f t="shared" si="39"/>
        <v>#N/A</v>
      </c>
      <c r="BG27" t="e">
        <f t="shared" si="39"/>
        <v>#N/A</v>
      </c>
      <c r="BH27" t="e">
        <f t="shared" si="39"/>
        <v>#N/A</v>
      </c>
      <c r="BI27" t="e">
        <f t="shared" si="39"/>
        <v>#N/A</v>
      </c>
      <c r="BJ27" t="e">
        <f t="shared" si="39"/>
        <v>#N/A</v>
      </c>
      <c r="BK27" t="e">
        <f t="shared" si="39"/>
        <v>#N/A</v>
      </c>
      <c r="BL27" t="e">
        <f t="shared" si="39"/>
        <v>#N/A</v>
      </c>
      <c r="BM27" t="e">
        <f t="shared" si="39"/>
        <v>#N/A</v>
      </c>
      <c r="BN27" t="e">
        <f t="shared" si="39"/>
        <v>#N/A</v>
      </c>
      <c r="BO27" t="e">
        <f t="shared" si="39"/>
        <v>#N/A</v>
      </c>
      <c r="BP27" t="e">
        <f t="shared" si="39"/>
        <v>#N/A</v>
      </c>
      <c r="BQ27" t="e">
        <f t="shared" si="39"/>
        <v>#N/A</v>
      </c>
      <c r="BR27" t="e">
        <f t="shared" si="39"/>
        <v>#N/A</v>
      </c>
      <c r="BS27" t="e">
        <f t="shared" si="39"/>
        <v>#N/A</v>
      </c>
      <c r="BT27" t="e">
        <f t="shared" si="39"/>
        <v>#N/A</v>
      </c>
      <c r="BU27" t="e">
        <f t="shared" si="39"/>
        <v>#N/A</v>
      </c>
      <c r="BV27" t="e">
        <f t="shared" ref="BV27:EG27" si="40">IF(ISBLANK(BV4),NA(),$A27*BV4)</f>
        <v>#N/A</v>
      </c>
      <c r="BW27" t="e">
        <f t="shared" si="40"/>
        <v>#N/A</v>
      </c>
      <c r="BX27" t="e">
        <f t="shared" si="40"/>
        <v>#N/A</v>
      </c>
      <c r="BY27" t="e">
        <f t="shared" si="40"/>
        <v>#N/A</v>
      </c>
      <c r="BZ27" t="e">
        <f t="shared" si="40"/>
        <v>#N/A</v>
      </c>
      <c r="CA27" t="e">
        <f t="shared" si="40"/>
        <v>#N/A</v>
      </c>
      <c r="CB27" t="e">
        <f t="shared" si="40"/>
        <v>#N/A</v>
      </c>
      <c r="CC27" t="e">
        <f t="shared" si="40"/>
        <v>#N/A</v>
      </c>
      <c r="CD27" t="e">
        <f t="shared" si="40"/>
        <v>#N/A</v>
      </c>
      <c r="CE27" t="e">
        <f t="shared" si="40"/>
        <v>#N/A</v>
      </c>
      <c r="CF27" t="e">
        <f t="shared" si="40"/>
        <v>#N/A</v>
      </c>
      <c r="CG27" t="e">
        <f t="shared" si="40"/>
        <v>#N/A</v>
      </c>
      <c r="CH27" t="e">
        <f t="shared" si="40"/>
        <v>#N/A</v>
      </c>
      <c r="CI27" t="e">
        <f t="shared" si="40"/>
        <v>#N/A</v>
      </c>
      <c r="CJ27" t="e">
        <f t="shared" si="40"/>
        <v>#N/A</v>
      </c>
      <c r="CK27" t="e">
        <f t="shared" si="40"/>
        <v>#N/A</v>
      </c>
      <c r="CL27" t="e">
        <f t="shared" si="40"/>
        <v>#N/A</v>
      </c>
      <c r="CM27" t="e">
        <f t="shared" si="40"/>
        <v>#N/A</v>
      </c>
      <c r="CN27" t="e">
        <f t="shared" si="40"/>
        <v>#N/A</v>
      </c>
      <c r="CO27" t="e">
        <f t="shared" si="40"/>
        <v>#N/A</v>
      </c>
      <c r="CP27" t="e">
        <f t="shared" si="40"/>
        <v>#N/A</v>
      </c>
      <c r="CQ27" t="e">
        <f t="shared" si="40"/>
        <v>#N/A</v>
      </c>
      <c r="CR27" t="e">
        <f t="shared" si="40"/>
        <v>#N/A</v>
      </c>
      <c r="CS27" t="e">
        <f t="shared" si="40"/>
        <v>#N/A</v>
      </c>
      <c r="CT27" t="e">
        <f t="shared" si="40"/>
        <v>#N/A</v>
      </c>
      <c r="CU27" t="e">
        <f t="shared" si="40"/>
        <v>#N/A</v>
      </c>
      <c r="CV27" t="e">
        <f t="shared" si="40"/>
        <v>#N/A</v>
      </c>
      <c r="CW27" t="e">
        <f t="shared" si="40"/>
        <v>#N/A</v>
      </c>
      <c r="CX27" t="e">
        <f t="shared" si="40"/>
        <v>#N/A</v>
      </c>
      <c r="CY27" t="e">
        <f t="shared" si="40"/>
        <v>#N/A</v>
      </c>
      <c r="CZ27" t="e">
        <f t="shared" si="40"/>
        <v>#N/A</v>
      </c>
      <c r="DA27" t="e">
        <f t="shared" si="40"/>
        <v>#N/A</v>
      </c>
      <c r="DB27" t="e">
        <f t="shared" si="40"/>
        <v>#N/A</v>
      </c>
      <c r="DC27" t="e">
        <f t="shared" si="40"/>
        <v>#N/A</v>
      </c>
      <c r="DD27" t="e">
        <f t="shared" si="40"/>
        <v>#N/A</v>
      </c>
      <c r="DE27" t="e">
        <f t="shared" si="40"/>
        <v>#N/A</v>
      </c>
      <c r="DF27" t="e">
        <f t="shared" si="40"/>
        <v>#N/A</v>
      </c>
      <c r="DG27" t="e">
        <f t="shared" si="40"/>
        <v>#N/A</v>
      </c>
      <c r="DH27" t="e">
        <f t="shared" si="40"/>
        <v>#N/A</v>
      </c>
      <c r="DI27" t="e">
        <f t="shared" si="40"/>
        <v>#N/A</v>
      </c>
      <c r="DJ27" t="e">
        <f t="shared" si="40"/>
        <v>#N/A</v>
      </c>
      <c r="DK27" t="e">
        <f t="shared" si="40"/>
        <v>#N/A</v>
      </c>
      <c r="DL27" t="e">
        <f t="shared" si="40"/>
        <v>#N/A</v>
      </c>
      <c r="DM27" t="e">
        <f t="shared" si="40"/>
        <v>#N/A</v>
      </c>
      <c r="DN27" t="e">
        <f t="shared" si="40"/>
        <v>#N/A</v>
      </c>
      <c r="DO27" t="e">
        <f t="shared" si="40"/>
        <v>#N/A</v>
      </c>
      <c r="DP27" t="e">
        <f t="shared" si="40"/>
        <v>#N/A</v>
      </c>
      <c r="DQ27" t="e">
        <f t="shared" si="40"/>
        <v>#N/A</v>
      </c>
      <c r="DR27" t="e">
        <f t="shared" si="40"/>
        <v>#N/A</v>
      </c>
      <c r="DS27" t="e">
        <f t="shared" si="40"/>
        <v>#N/A</v>
      </c>
      <c r="DT27" t="e">
        <f t="shared" si="40"/>
        <v>#N/A</v>
      </c>
      <c r="DU27" t="e">
        <f t="shared" si="40"/>
        <v>#N/A</v>
      </c>
      <c r="DV27" t="e">
        <f t="shared" si="40"/>
        <v>#N/A</v>
      </c>
      <c r="DW27" t="e">
        <f t="shared" si="40"/>
        <v>#N/A</v>
      </c>
      <c r="DX27" t="e">
        <f t="shared" si="40"/>
        <v>#N/A</v>
      </c>
      <c r="DY27" t="e">
        <f t="shared" si="40"/>
        <v>#N/A</v>
      </c>
      <c r="DZ27" t="e">
        <f t="shared" si="40"/>
        <v>#N/A</v>
      </c>
      <c r="EA27" t="e">
        <f t="shared" si="40"/>
        <v>#N/A</v>
      </c>
      <c r="EB27" t="e">
        <f t="shared" si="40"/>
        <v>#N/A</v>
      </c>
      <c r="EC27" t="e">
        <f t="shared" si="40"/>
        <v>#N/A</v>
      </c>
      <c r="ED27" t="e">
        <f t="shared" si="40"/>
        <v>#N/A</v>
      </c>
      <c r="EE27" t="e">
        <f t="shared" si="40"/>
        <v>#N/A</v>
      </c>
      <c r="EF27" t="e">
        <f t="shared" si="40"/>
        <v>#N/A</v>
      </c>
      <c r="EG27" t="e">
        <f t="shared" si="40"/>
        <v>#N/A</v>
      </c>
      <c r="EH27" t="e">
        <f t="shared" ref="EH27:GA27" si="41">IF(ISBLANK(EH4),NA(),$A27*EH4)</f>
        <v>#N/A</v>
      </c>
      <c r="EI27" t="e">
        <f t="shared" si="41"/>
        <v>#N/A</v>
      </c>
      <c r="EJ27" t="e">
        <f t="shared" si="41"/>
        <v>#N/A</v>
      </c>
      <c r="EK27" t="e">
        <f t="shared" si="41"/>
        <v>#N/A</v>
      </c>
      <c r="EL27" t="e">
        <f t="shared" si="41"/>
        <v>#N/A</v>
      </c>
      <c r="EM27" t="e">
        <f t="shared" si="41"/>
        <v>#N/A</v>
      </c>
      <c r="EN27" t="e">
        <f t="shared" si="41"/>
        <v>#N/A</v>
      </c>
      <c r="EO27" t="e">
        <f t="shared" si="41"/>
        <v>#N/A</v>
      </c>
      <c r="EP27" t="e">
        <f t="shared" si="41"/>
        <v>#N/A</v>
      </c>
      <c r="EQ27" t="e">
        <f t="shared" si="41"/>
        <v>#N/A</v>
      </c>
      <c r="ER27" t="e">
        <f t="shared" si="41"/>
        <v>#N/A</v>
      </c>
      <c r="ES27" t="e">
        <f t="shared" si="41"/>
        <v>#N/A</v>
      </c>
      <c r="ET27" t="e">
        <f t="shared" si="41"/>
        <v>#N/A</v>
      </c>
      <c r="EU27" t="e">
        <f t="shared" si="41"/>
        <v>#N/A</v>
      </c>
      <c r="EV27" t="e">
        <f t="shared" si="41"/>
        <v>#N/A</v>
      </c>
      <c r="EW27" t="e">
        <f t="shared" si="41"/>
        <v>#N/A</v>
      </c>
      <c r="EX27" t="e">
        <f t="shared" si="41"/>
        <v>#N/A</v>
      </c>
      <c r="EY27" t="e">
        <f t="shared" si="41"/>
        <v>#N/A</v>
      </c>
      <c r="EZ27" t="e">
        <f t="shared" si="41"/>
        <v>#N/A</v>
      </c>
      <c r="FA27" t="e">
        <f t="shared" si="41"/>
        <v>#N/A</v>
      </c>
      <c r="FB27" t="e">
        <f t="shared" si="41"/>
        <v>#N/A</v>
      </c>
      <c r="FC27" t="e">
        <f t="shared" si="41"/>
        <v>#N/A</v>
      </c>
      <c r="FD27" t="e">
        <f t="shared" si="41"/>
        <v>#N/A</v>
      </c>
      <c r="FE27" t="e">
        <f t="shared" si="41"/>
        <v>#N/A</v>
      </c>
      <c r="FF27" t="e">
        <f t="shared" si="41"/>
        <v>#N/A</v>
      </c>
      <c r="FG27" t="e">
        <f t="shared" si="41"/>
        <v>#N/A</v>
      </c>
      <c r="FH27" t="e">
        <f t="shared" si="41"/>
        <v>#N/A</v>
      </c>
      <c r="FI27" t="e">
        <f t="shared" si="41"/>
        <v>#N/A</v>
      </c>
      <c r="FJ27" t="e">
        <f t="shared" si="41"/>
        <v>#N/A</v>
      </c>
      <c r="FK27" t="e">
        <f t="shared" si="41"/>
        <v>#N/A</v>
      </c>
      <c r="FL27" t="e">
        <f t="shared" si="41"/>
        <v>#N/A</v>
      </c>
      <c r="FM27" t="e">
        <f t="shared" si="41"/>
        <v>#N/A</v>
      </c>
      <c r="FN27" t="e">
        <f t="shared" si="41"/>
        <v>#N/A</v>
      </c>
      <c r="FO27" t="e">
        <f t="shared" si="41"/>
        <v>#N/A</v>
      </c>
      <c r="FP27" t="e">
        <f t="shared" si="41"/>
        <v>#N/A</v>
      </c>
      <c r="FQ27" t="e">
        <f t="shared" si="41"/>
        <v>#N/A</v>
      </c>
      <c r="FR27" t="e">
        <f t="shared" si="41"/>
        <v>#N/A</v>
      </c>
      <c r="FS27" t="e">
        <f t="shared" si="41"/>
        <v>#N/A</v>
      </c>
      <c r="FT27" t="e">
        <f t="shared" si="41"/>
        <v>#N/A</v>
      </c>
      <c r="FU27" t="e">
        <f t="shared" si="41"/>
        <v>#N/A</v>
      </c>
      <c r="FV27" t="e">
        <f t="shared" si="41"/>
        <v>#N/A</v>
      </c>
      <c r="FW27" t="e">
        <f t="shared" si="41"/>
        <v>#N/A</v>
      </c>
      <c r="FX27" t="e">
        <f t="shared" si="41"/>
        <v>#N/A</v>
      </c>
      <c r="FY27" t="e">
        <f t="shared" si="41"/>
        <v>#N/A</v>
      </c>
      <c r="FZ27" t="e">
        <f t="shared" si="41"/>
        <v>#N/A</v>
      </c>
      <c r="GA27" t="e">
        <f t="shared" si="41"/>
        <v>#N/A</v>
      </c>
    </row>
    <row r="28" spans="1:183" x14ac:dyDescent="0.45">
      <c r="A28">
        <v>5</v>
      </c>
      <c r="B28" t="s">
        <v>23</v>
      </c>
      <c r="C28" cm="1">
        <f t="array" ref="C28">LOOKUP(2,1/(I28:GA28&lt;&gt;""),I28:GA28)</f>
        <v>49.2</v>
      </c>
      <c r="D28">
        <f t="shared" si="32"/>
        <v>45</v>
      </c>
      <c r="F28" s="4">
        <f t="shared" si="38"/>
        <v>1.8114285714285716</v>
      </c>
      <c r="G28" s="3" cm="1">
        <f t="array" ref="G28">(C28-IF(ISNA(INDEX(I28:GA28,D28-22)),INDEX(I28:GA28,D28-23),INDEX(I28:GA28,D28-22)))/IF(ISNA(INDEX(I28:GA28,D28-22)),INDEX(I28:GA28,D28-23),INDEX(I28:GA28,D28-22))</f>
        <v>-0.11827956989247303</v>
      </c>
      <c r="I28">
        <f t="shared" si="34"/>
        <v>17.5</v>
      </c>
      <c r="J28">
        <f t="shared" ref="J28:BU28" si="42">IF(ISBLANK(J5),NA(),$A28*J5)</f>
        <v>18.5</v>
      </c>
      <c r="K28" t="e">
        <f t="shared" si="42"/>
        <v>#N/A</v>
      </c>
      <c r="L28">
        <f t="shared" si="42"/>
        <v>19.5</v>
      </c>
      <c r="M28" t="e">
        <f t="shared" si="42"/>
        <v>#N/A</v>
      </c>
      <c r="N28">
        <f t="shared" si="42"/>
        <v>21</v>
      </c>
      <c r="O28">
        <f t="shared" si="42"/>
        <v>22.5</v>
      </c>
      <c r="P28">
        <f t="shared" si="42"/>
        <v>33</v>
      </c>
      <c r="Q28">
        <f t="shared" si="42"/>
        <v>32.049999999999997</v>
      </c>
      <c r="R28">
        <f t="shared" si="42"/>
        <v>32.049999999999997</v>
      </c>
      <c r="S28">
        <f t="shared" si="42"/>
        <v>32.799999999999997</v>
      </c>
      <c r="T28">
        <f t="shared" si="42"/>
        <v>44.15</v>
      </c>
      <c r="U28">
        <f t="shared" si="42"/>
        <v>48.05</v>
      </c>
      <c r="V28">
        <f t="shared" si="42"/>
        <v>45.099999999999994</v>
      </c>
      <c r="W28">
        <f t="shared" si="42"/>
        <v>43.449999999999996</v>
      </c>
      <c r="X28">
        <f t="shared" si="42"/>
        <v>40.949999999999996</v>
      </c>
      <c r="Y28">
        <f t="shared" si="42"/>
        <v>36.85</v>
      </c>
      <c r="Z28">
        <f t="shared" si="42"/>
        <v>38.15</v>
      </c>
      <c r="AA28">
        <f t="shared" si="42"/>
        <v>41.150000000000006</v>
      </c>
      <c r="AB28">
        <f t="shared" si="42"/>
        <v>45.8</v>
      </c>
      <c r="AC28">
        <f t="shared" si="42"/>
        <v>49.45</v>
      </c>
      <c r="AD28">
        <f t="shared" si="42"/>
        <v>55.8</v>
      </c>
      <c r="AE28">
        <f t="shared" si="42"/>
        <v>55.8</v>
      </c>
      <c r="AF28">
        <f t="shared" si="42"/>
        <v>50.15</v>
      </c>
      <c r="AG28">
        <f t="shared" si="42"/>
        <v>49.050000000000004</v>
      </c>
      <c r="AH28">
        <f t="shared" si="42"/>
        <v>47.599999999999994</v>
      </c>
      <c r="AI28">
        <f t="shared" si="42"/>
        <v>48.35</v>
      </c>
      <c r="AJ28">
        <f t="shared" si="42"/>
        <v>48.05</v>
      </c>
      <c r="AK28">
        <f t="shared" si="42"/>
        <v>57.599999999999994</v>
      </c>
      <c r="AL28">
        <f t="shared" si="42"/>
        <v>54.699999999999996</v>
      </c>
      <c r="AM28">
        <f t="shared" si="42"/>
        <v>52.199999999999996</v>
      </c>
      <c r="AN28" t="e">
        <f t="shared" si="42"/>
        <v>#N/A</v>
      </c>
      <c r="AO28">
        <f t="shared" si="42"/>
        <v>53.6</v>
      </c>
      <c r="AP28">
        <f t="shared" si="42"/>
        <v>50.15</v>
      </c>
      <c r="AQ28">
        <f t="shared" si="42"/>
        <v>50.25</v>
      </c>
      <c r="AR28">
        <f t="shared" si="42"/>
        <v>49.25</v>
      </c>
      <c r="AS28">
        <f t="shared" si="42"/>
        <v>49.2</v>
      </c>
      <c r="AT28" t="e">
        <f t="shared" si="42"/>
        <v>#N/A</v>
      </c>
      <c r="AU28" t="e">
        <f t="shared" si="42"/>
        <v>#N/A</v>
      </c>
      <c r="AV28" t="e">
        <f t="shared" si="42"/>
        <v>#N/A</v>
      </c>
      <c r="AW28" t="e">
        <f t="shared" si="42"/>
        <v>#N/A</v>
      </c>
      <c r="AX28" t="e">
        <f t="shared" si="42"/>
        <v>#N/A</v>
      </c>
      <c r="AY28" t="e">
        <f t="shared" si="42"/>
        <v>#N/A</v>
      </c>
      <c r="AZ28" t="e">
        <f t="shared" si="42"/>
        <v>#N/A</v>
      </c>
      <c r="BA28" t="e">
        <f t="shared" si="42"/>
        <v>#N/A</v>
      </c>
      <c r="BB28" t="e">
        <f t="shared" si="42"/>
        <v>#N/A</v>
      </c>
      <c r="BC28" t="e">
        <f t="shared" si="42"/>
        <v>#N/A</v>
      </c>
      <c r="BD28" t="e">
        <f t="shared" si="42"/>
        <v>#N/A</v>
      </c>
      <c r="BE28" t="e">
        <f t="shared" si="42"/>
        <v>#N/A</v>
      </c>
      <c r="BF28" t="e">
        <f t="shared" si="42"/>
        <v>#N/A</v>
      </c>
      <c r="BG28" t="e">
        <f t="shared" si="42"/>
        <v>#N/A</v>
      </c>
      <c r="BH28" t="e">
        <f t="shared" si="42"/>
        <v>#N/A</v>
      </c>
      <c r="BI28" t="e">
        <f t="shared" si="42"/>
        <v>#N/A</v>
      </c>
      <c r="BJ28" t="e">
        <f t="shared" si="42"/>
        <v>#N/A</v>
      </c>
      <c r="BK28" t="e">
        <f t="shared" si="42"/>
        <v>#N/A</v>
      </c>
      <c r="BL28" t="e">
        <f t="shared" si="42"/>
        <v>#N/A</v>
      </c>
      <c r="BM28" t="e">
        <f t="shared" si="42"/>
        <v>#N/A</v>
      </c>
      <c r="BN28" t="e">
        <f t="shared" si="42"/>
        <v>#N/A</v>
      </c>
      <c r="BO28" t="e">
        <f t="shared" si="42"/>
        <v>#N/A</v>
      </c>
      <c r="BP28" t="e">
        <f t="shared" si="42"/>
        <v>#N/A</v>
      </c>
      <c r="BQ28" t="e">
        <f t="shared" si="42"/>
        <v>#N/A</v>
      </c>
      <c r="BR28" t="e">
        <f t="shared" si="42"/>
        <v>#N/A</v>
      </c>
      <c r="BS28" t="e">
        <f t="shared" si="42"/>
        <v>#N/A</v>
      </c>
      <c r="BT28" t="e">
        <f t="shared" si="42"/>
        <v>#N/A</v>
      </c>
      <c r="BU28" t="e">
        <f t="shared" si="42"/>
        <v>#N/A</v>
      </c>
      <c r="BV28" t="e">
        <f t="shared" ref="BV28:EG28" si="43">IF(ISBLANK(BV5),NA(),$A28*BV5)</f>
        <v>#N/A</v>
      </c>
      <c r="BW28" t="e">
        <f t="shared" si="43"/>
        <v>#N/A</v>
      </c>
      <c r="BX28" t="e">
        <f t="shared" si="43"/>
        <v>#N/A</v>
      </c>
      <c r="BY28" t="e">
        <f t="shared" si="43"/>
        <v>#N/A</v>
      </c>
      <c r="BZ28" t="e">
        <f t="shared" si="43"/>
        <v>#N/A</v>
      </c>
      <c r="CA28" t="e">
        <f t="shared" si="43"/>
        <v>#N/A</v>
      </c>
      <c r="CB28" t="e">
        <f t="shared" si="43"/>
        <v>#N/A</v>
      </c>
      <c r="CC28" t="e">
        <f t="shared" si="43"/>
        <v>#N/A</v>
      </c>
      <c r="CD28" t="e">
        <f t="shared" si="43"/>
        <v>#N/A</v>
      </c>
      <c r="CE28" t="e">
        <f t="shared" si="43"/>
        <v>#N/A</v>
      </c>
      <c r="CF28" t="e">
        <f t="shared" si="43"/>
        <v>#N/A</v>
      </c>
      <c r="CG28" t="e">
        <f t="shared" si="43"/>
        <v>#N/A</v>
      </c>
      <c r="CH28" t="e">
        <f t="shared" si="43"/>
        <v>#N/A</v>
      </c>
      <c r="CI28" t="e">
        <f t="shared" si="43"/>
        <v>#N/A</v>
      </c>
      <c r="CJ28" t="e">
        <f t="shared" si="43"/>
        <v>#N/A</v>
      </c>
      <c r="CK28" t="e">
        <f t="shared" si="43"/>
        <v>#N/A</v>
      </c>
      <c r="CL28" t="e">
        <f t="shared" si="43"/>
        <v>#N/A</v>
      </c>
      <c r="CM28" t="e">
        <f t="shared" si="43"/>
        <v>#N/A</v>
      </c>
      <c r="CN28" t="e">
        <f t="shared" si="43"/>
        <v>#N/A</v>
      </c>
      <c r="CO28" t="e">
        <f t="shared" si="43"/>
        <v>#N/A</v>
      </c>
      <c r="CP28" t="e">
        <f t="shared" si="43"/>
        <v>#N/A</v>
      </c>
      <c r="CQ28" t="e">
        <f t="shared" si="43"/>
        <v>#N/A</v>
      </c>
      <c r="CR28" t="e">
        <f t="shared" si="43"/>
        <v>#N/A</v>
      </c>
      <c r="CS28" t="e">
        <f t="shared" si="43"/>
        <v>#N/A</v>
      </c>
      <c r="CT28" t="e">
        <f t="shared" si="43"/>
        <v>#N/A</v>
      </c>
      <c r="CU28" t="e">
        <f t="shared" si="43"/>
        <v>#N/A</v>
      </c>
      <c r="CV28" t="e">
        <f t="shared" si="43"/>
        <v>#N/A</v>
      </c>
      <c r="CW28" t="e">
        <f t="shared" si="43"/>
        <v>#N/A</v>
      </c>
      <c r="CX28" t="e">
        <f t="shared" si="43"/>
        <v>#N/A</v>
      </c>
      <c r="CY28" t="e">
        <f t="shared" si="43"/>
        <v>#N/A</v>
      </c>
      <c r="CZ28" t="e">
        <f t="shared" si="43"/>
        <v>#N/A</v>
      </c>
      <c r="DA28" t="e">
        <f t="shared" si="43"/>
        <v>#N/A</v>
      </c>
      <c r="DB28" t="e">
        <f t="shared" si="43"/>
        <v>#N/A</v>
      </c>
      <c r="DC28" t="e">
        <f t="shared" si="43"/>
        <v>#N/A</v>
      </c>
      <c r="DD28" t="e">
        <f t="shared" si="43"/>
        <v>#N/A</v>
      </c>
      <c r="DE28" t="e">
        <f t="shared" si="43"/>
        <v>#N/A</v>
      </c>
      <c r="DF28" t="e">
        <f t="shared" si="43"/>
        <v>#N/A</v>
      </c>
      <c r="DG28" t="e">
        <f t="shared" si="43"/>
        <v>#N/A</v>
      </c>
      <c r="DH28" t="e">
        <f t="shared" si="43"/>
        <v>#N/A</v>
      </c>
      <c r="DI28" t="e">
        <f t="shared" si="43"/>
        <v>#N/A</v>
      </c>
      <c r="DJ28" t="e">
        <f t="shared" si="43"/>
        <v>#N/A</v>
      </c>
      <c r="DK28" t="e">
        <f t="shared" si="43"/>
        <v>#N/A</v>
      </c>
      <c r="DL28" t="e">
        <f t="shared" si="43"/>
        <v>#N/A</v>
      </c>
      <c r="DM28" t="e">
        <f t="shared" si="43"/>
        <v>#N/A</v>
      </c>
      <c r="DN28" t="e">
        <f t="shared" si="43"/>
        <v>#N/A</v>
      </c>
      <c r="DO28" t="e">
        <f t="shared" si="43"/>
        <v>#N/A</v>
      </c>
      <c r="DP28" t="e">
        <f t="shared" si="43"/>
        <v>#N/A</v>
      </c>
      <c r="DQ28" t="e">
        <f t="shared" si="43"/>
        <v>#N/A</v>
      </c>
      <c r="DR28" t="e">
        <f t="shared" si="43"/>
        <v>#N/A</v>
      </c>
      <c r="DS28" t="e">
        <f t="shared" si="43"/>
        <v>#N/A</v>
      </c>
      <c r="DT28" t="e">
        <f t="shared" si="43"/>
        <v>#N/A</v>
      </c>
      <c r="DU28" t="e">
        <f t="shared" si="43"/>
        <v>#N/A</v>
      </c>
      <c r="DV28" t="e">
        <f t="shared" si="43"/>
        <v>#N/A</v>
      </c>
      <c r="DW28" t="e">
        <f t="shared" si="43"/>
        <v>#N/A</v>
      </c>
      <c r="DX28" t="e">
        <f t="shared" si="43"/>
        <v>#N/A</v>
      </c>
      <c r="DY28" t="e">
        <f t="shared" si="43"/>
        <v>#N/A</v>
      </c>
      <c r="DZ28" t="e">
        <f t="shared" si="43"/>
        <v>#N/A</v>
      </c>
      <c r="EA28" t="e">
        <f t="shared" si="43"/>
        <v>#N/A</v>
      </c>
      <c r="EB28" t="e">
        <f t="shared" si="43"/>
        <v>#N/A</v>
      </c>
      <c r="EC28" t="e">
        <f t="shared" si="43"/>
        <v>#N/A</v>
      </c>
      <c r="ED28" t="e">
        <f t="shared" si="43"/>
        <v>#N/A</v>
      </c>
      <c r="EE28" t="e">
        <f t="shared" si="43"/>
        <v>#N/A</v>
      </c>
      <c r="EF28" t="e">
        <f t="shared" si="43"/>
        <v>#N/A</v>
      </c>
      <c r="EG28" t="e">
        <f t="shared" si="43"/>
        <v>#N/A</v>
      </c>
      <c r="EH28" t="e">
        <f t="shared" ref="EH28:GA28" si="44">IF(ISBLANK(EH5),NA(),$A28*EH5)</f>
        <v>#N/A</v>
      </c>
      <c r="EI28" t="e">
        <f t="shared" si="44"/>
        <v>#N/A</v>
      </c>
      <c r="EJ28" t="e">
        <f t="shared" si="44"/>
        <v>#N/A</v>
      </c>
      <c r="EK28" t="e">
        <f t="shared" si="44"/>
        <v>#N/A</v>
      </c>
      <c r="EL28" t="e">
        <f t="shared" si="44"/>
        <v>#N/A</v>
      </c>
      <c r="EM28" t="e">
        <f t="shared" si="44"/>
        <v>#N/A</v>
      </c>
      <c r="EN28" t="e">
        <f t="shared" si="44"/>
        <v>#N/A</v>
      </c>
      <c r="EO28" t="e">
        <f t="shared" si="44"/>
        <v>#N/A</v>
      </c>
      <c r="EP28" t="e">
        <f t="shared" si="44"/>
        <v>#N/A</v>
      </c>
      <c r="EQ28" t="e">
        <f t="shared" si="44"/>
        <v>#N/A</v>
      </c>
      <c r="ER28" t="e">
        <f t="shared" si="44"/>
        <v>#N/A</v>
      </c>
      <c r="ES28" t="e">
        <f t="shared" si="44"/>
        <v>#N/A</v>
      </c>
      <c r="ET28" t="e">
        <f t="shared" si="44"/>
        <v>#N/A</v>
      </c>
      <c r="EU28" t="e">
        <f t="shared" si="44"/>
        <v>#N/A</v>
      </c>
      <c r="EV28" t="e">
        <f t="shared" si="44"/>
        <v>#N/A</v>
      </c>
      <c r="EW28" t="e">
        <f t="shared" si="44"/>
        <v>#N/A</v>
      </c>
      <c r="EX28" t="e">
        <f t="shared" si="44"/>
        <v>#N/A</v>
      </c>
      <c r="EY28" t="e">
        <f t="shared" si="44"/>
        <v>#N/A</v>
      </c>
      <c r="EZ28" t="e">
        <f t="shared" si="44"/>
        <v>#N/A</v>
      </c>
      <c r="FA28" t="e">
        <f t="shared" si="44"/>
        <v>#N/A</v>
      </c>
      <c r="FB28" t="e">
        <f t="shared" si="44"/>
        <v>#N/A</v>
      </c>
      <c r="FC28" t="e">
        <f t="shared" si="44"/>
        <v>#N/A</v>
      </c>
      <c r="FD28" t="e">
        <f t="shared" si="44"/>
        <v>#N/A</v>
      </c>
      <c r="FE28" t="e">
        <f t="shared" si="44"/>
        <v>#N/A</v>
      </c>
      <c r="FF28" t="e">
        <f t="shared" si="44"/>
        <v>#N/A</v>
      </c>
      <c r="FG28" t="e">
        <f t="shared" si="44"/>
        <v>#N/A</v>
      </c>
      <c r="FH28" t="e">
        <f t="shared" si="44"/>
        <v>#N/A</v>
      </c>
      <c r="FI28" t="e">
        <f t="shared" si="44"/>
        <v>#N/A</v>
      </c>
      <c r="FJ28" t="e">
        <f t="shared" si="44"/>
        <v>#N/A</v>
      </c>
      <c r="FK28" t="e">
        <f t="shared" si="44"/>
        <v>#N/A</v>
      </c>
      <c r="FL28" t="e">
        <f t="shared" si="44"/>
        <v>#N/A</v>
      </c>
      <c r="FM28" t="e">
        <f t="shared" si="44"/>
        <v>#N/A</v>
      </c>
      <c r="FN28" t="e">
        <f t="shared" si="44"/>
        <v>#N/A</v>
      </c>
      <c r="FO28" t="e">
        <f t="shared" si="44"/>
        <v>#N/A</v>
      </c>
      <c r="FP28" t="e">
        <f t="shared" si="44"/>
        <v>#N/A</v>
      </c>
      <c r="FQ28" t="e">
        <f t="shared" si="44"/>
        <v>#N/A</v>
      </c>
      <c r="FR28" t="e">
        <f t="shared" si="44"/>
        <v>#N/A</v>
      </c>
      <c r="FS28" t="e">
        <f t="shared" si="44"/>
        <v>#N/A</v>
      </c>
      <c r="FT28" t="e">
        <f t="shared" si="44"/>
        <v>#N/A</v>
      </c>
      <c r="FU28" t="e">
        <f t="shared" si="44"/>
        <v>#N/A</v>
      </c>
      <c r="FV28" t="e">
        <f t="shared" si="44"/>
        <v>#N/A</v>
      </c>
      <c r="FW28" t="e">
        <f t="shared" si="44"/>
        <v>#N/A</v>
      </c>
      <c r="FX28" t="e">
        <f t="shared" si="44"/>
        <v>#N/A</v>
      </c>
      <c r="FY28" t="e">
        <f t="shared" si="44"/>
        <v>#N/A</v>
      </c>
      <c r="FZ28" t="e">
        <f t="shared" si="44"/>
        <v>#N/A</v>
      </c>
      <c r="GA28" t="e">
        <f t="shared" si="44"/>
        <v>#N/A</v>
      </c>
    </row>
    <row r="29" spans="1:183" x14ac:dyDescent="0.45">
      <c r="A29">
        <v>7</v>
      </c>
      <c r="B29" t="s">
        <v>24</v>
      </c>
      <c r="C29" cm="1">
        <f t="array" ref="C29">LOOKUP(2,1/(I29:GA29&lt;&gt;""),I29:GA29)</f>
        <v>68.95</v>
      </c>
      <c r="D29">
        <f t="shared" si="32"/>
        <v>45</v>
      </c>
      <c r="F29" s="4">
        <f t="shared" si="38"/>
        <v>1.8223495702005732</v>
      </c>
      <c r="G29" s="3" cm="1">
        <f t="array" ref="G29">(C29-IF(ISNA(INDEX(I29:GA29,D29-22)),INDEX(I29:GA29,D29-23),INDEX(I29:GA29,D29-22)))/IF(ISNA(INDEX(I29:GA29,D29-22)),INDEX(I29:GA29,D29-23),INDEX(I29:GA29,D29-22))</f>
        <v>-6.0544904137235355E-3</v>
      </c>
      <c r="I29">
        <f t="shared" si="34"/>
        <v>24.43</v>
      </c>
      <c r="J29">
        <f t="shared" ref="J29:BU29" si="45">IF(ISBLANK(J6),NA(),$A29*J6)</f>
        <v>26.32</v>
      </c>
      <c r="K29" t="e">
        <f t="shared" si="45"/>
        <v>#N/A</v>
      </c>
      <c r="L29">
        <f t="shared" si="45"/>
        <v>28.21</v>
      </c>
      <c r="M29" t="e">
        <f t="shared" si="45"/>
        <v>#N/A</v>
      </c>
      <c r="N29">
        <f t="shared" si="45"/>
        <v>30.87</v>
      </c>
      <c r="O29">
        <f t="shared" si="45"/>
        <v>33.32</v>
      </c>
      <c r="P29">
        <f t="shared" si="45"/>
        <v>42.84</v>
      </c>
      <c r="Q29">
        <f t="shared" si="45"/>
        <v>46.06</v>
      </c>
      <c r="R29">
        <f t="shared" si="45"/>
        <v>46.06</v>
      </c>
      <c r="S29">
        <f t="shared" si="45"/>
        <v>45.99</v>
      </c>
      <c r="T29">
        <f t="shared" si="45"/>
        <v>53.830000000000005</v>
      </c>
      <c r="U29">
        <f t="shared" si="45"/>
        <v>59.709999999999994</v>
      </c>
      <c r="V29">
        <f t="shared" si="45"/>
        <v>59.220000000000006</v>
      </c>
      <c r="W29">
        <f t="shared" si="45"/>
        <v>59.36</v>
      </c>
      <c r="X29">
        <f t="shared" si="45"/>
        <v>55.79</v>
      </c>
      <c r="Y29">
        <f t="shared" si="45"/>
        <v>55.300000000000004</v>
      </c>
      <c r="Z29">
        <f t="shared" si="45"/>
        <v>55.23</v>
      </c>
      <c r="AA29">
        <f t="shared" si="45"/>
        <v>60.129999999999995</v>
      </c>
      <c r="AB29">
        <f t="shared" si="45"/>
        <v>65.589999999999989</v>
      </c>
      <c r="AC29">
        <f t="shared" si="45"/>
        <v>77.56</v>
      </c>
      <c r="AD29">
        <f t="shared" si="45"/>
        <v>76.58</v>
      </c>
      <c r="AE29">
        <f t="shared" si="45"/>
        <v>69.37</v>
      </c>
      <c r="AF29">
        <f t="shared" si="45"/>
        <v>65.73</v>
      </c>
      <c r="AG29">
        <f t="shared" si="45"/>
        <v>67.97</v>
      </c>
      <c r="AH29">
        <f t="shared" si="45"/>
        <v>65.660000000000011</v>
      </c>
      <c r="AI29">
        <f t="shared" si="45"/>
        <v>68.88</v>
      </c>
      <c r="AJ29">
        <f t="shared" si="45"/>
        <v>68.740000000000009</v>
      </c>
      <c r="AK29">
        <f t="shared" si="45"/>
        <v>87.71</v>
      </c>
      <c r="AL29">
        <f t="shared" si="45"/>
        <v>71.47</v>
      </c>
      <c r="AM29">
        <f t="shared" si="45"/>
        <v>70.14</v>
      </c>
      <c r="AN29" t="e">
        <f t="shared" si="45"/>
        <v>#N/A</v>
      </c>
      <c r="AO29">
        <f t="shared" si="45"/>
        <v>76.3</v>
      </c>
      <c r="AP29">
        <f t="shared" si="45"/>
        <v>71.959999999999994</v>
      </c>
      <c r="AQ29">
        <f t="shared" si="45"/>
        <v>70.490000000000009</v>
      </c>
      <c r="AR29">
        <f t="shared" si="45"/>
        <v>70.14</v>
      </c>
      <c r="AS29">
        <f t="shared" si="45"/>
        <v>68.95</v>
      </c>
      <c r="AT29" t="e">
        <f t="shared" si="45"/>
        <v>#N/A</v>
      </c>
      <c r="AU29" t="e">
        <f t="shared" si="45"/>
        <v>#N/A</v>
      </c>
      <c r="AV29" t="e">
        <f t="shared" si="45"/>
        <v>#N/A</v>
      </c>
      <c r="AW29" t="e">
        <f t="shared" si="45"/>
        <v>#N/A</v>
      </c>
      <c r="AX29" t="e">
        <f t="shared" si="45"/>
        <v>#N/A</v>
      </c>
      <c r="AY29" t="e">
        <f t="shared" si="45"/>
        <v>#N/A</v>
      </c>
      <c r="AZ29" t="e">
        <f t="shared" si="45"/>
        <v>#N/A</v>
      </c>
      <c r="BA29" t="e">
        <f t="shared" si="45"/>
        <v>#N/A</v>
      </c>
      <c r="BB29" t="e">
        <f t="shared" si="45"/>
        <v>#N/A</v>
      </c>
      <c r="BC29" t="e">
        <f t="shared" si="45"/>
        <v>#N/A</v>
      </c>
      <c r="BD29" t="e">
        <f t="shared" si="45"/>
        <v>#N/A</v>
      </c>
      <c r="BE29" t="e">
        <f t="shared" si="45"/>
        <v>#N/A</v>
      </c>
      <c r="BF29" t="e">
        <f t="shared" si="45"/>
        <v>#N/A</v>
      </c>
      <c r="BG29" t="e">
        <f t="shared" si="45"/>
        <v>#N/A</v>
      </c>
      <c r="BH29" t="e">
        <f t="shared" si="45"/>
        <v>#N/A</v>
      </c>
      <c r="BI29" t="e">
        <f t="shared" si="45"/>
        <v>#N/A</v>
      </c>
      <c r="BJ29" t="e">
        <f t="shared" si="45"/>
        <v>#N/A</v>
      </c>
      <c r="BK29" t="e">
        <f t="shared" si="45"/>
        <v>#N/A</v>
      </c>
      <c r="BL29" t="e">
        <f t="shared" si="45"/>
        <v>#N/A</v>
      </c>
      <c r="BM29" t="e">
        <f t="shared" si="45"/>
        <v>#N/A</v>
      </c>
      <c r="BN29" t="e">
        <f t="shared" si="45"/>
        <v>#N/A</v>
      </c>
      <c r="BO29" t="e">
        <f t="shared" si="45"/>
        <v>#N/A</v>
      </c>
      <c r="BP29" t="e">
        <f t="shared" si="45"/>
        <v>#N/A</v>
      </c>
      <c r="BQ29" t="e">
        <f t="shared" si="45"/>
        <v>#N/A</v>
      </c>
      <c r="BR29" t="e">
        <f t="shared" si="45"/>
        <v>#N/A</v>
      </c>
      <c r="BS29" t="e">
        <f t="shared" si="45"/>
        <v>#N/A</v>
      </c>
      <c r="BT29" t="e">
        <f t="shared" si="45"/>
        <v>#N/A</v>
      </c>
      <c r="BU29" t="e">
        <f t="shared" si="45"/>
        <v>#N/A</v>
      </c>
      <c r="BV29" t="e">
        <f t="shared" ref="BV29:EG29" si="46">IF(ISBLANK(BV6),NA(),$A29*BV6)</f>
        <v>#N/A</v>
      </c>
      <c r="BW29" t="e">
        <f t="shared" si="46"/>
        <v>#N/A</v>
      </c>
      <c r="BX29" t="e">
        <f t="shared" si="46"/>
        <v>#N/A</v>
      </c>
      <c r="BY29" t="e">
        <f t="shared" si="46"/>
        <v>#N/A</v>
      </c>
      <c r="BZ29" t="e">
        <f t="shared" si="46"/>
        <v>#N/A</v>
      </c>
      <c r="CA29" t="e">
        <f t="shared" si="46"/>
        <v>#N/A</v>
      </c>
      <c r="CB29" t="e">
        <f t="shared" si="46"/>
        <v>#N/A</v>
      </c>
      <c r="CC29" t="e">
        <f t="shared" si="46"/>
        <v>#N/A</v>
      </c>
      <c r="CD29" t="e">
        <f t="shared" si="46"/>
        <v>#N/A</v>
      </c>
      <c r="CE29" t="e">
        <f t="shared" si="46"/>
        <v>#N/A</v>
      </c>
      <c r="CF29" t="e">
        <f t="shared" si="46"/>
        <v>#N/A</v>
      </c>
      <c r="CG29" t="e">
        <f t="shared" si="46"/>
        <v>#N/A</v>
      </c>
      <c r="CH29" t="e">
        <f t="shared" si="46"/>
        <v>#N/A</v>
      </c>
      <c r="CI29" t="e">
        <f t="shared" si="46"/>
        <v>#N/A</v>
      </c>
      <c r="CJ29" t="e">
        <f t="shared" si="46"/>
        <v>#N/A</v>
      </c>
      <c r="CK29" t="e">
        <f t="shared" si="46"/>
        <v>#N/A</v>
      </c>
      <c r="CL29" t="e">
        <f t="shared" si="46"/>
        <v>#N/A</v>
      </c>
      <c r="CM29" t="e">
        <f t="shared" si="46"/>
        <v>#N/A</v>
      </c>
      <c r="CN29" t="e">
        <f t="shared" si="46"/>
        <v>#N/A</v>
      </c>
      <c r="CO29" t="e">
        <f t="shared" si="46"/>
        <v>#N/A</v>
      </c>
      <c r="CP29" t="e">
        <f t="shared" si="46"/>
        <v>#N/A</v>
      </c>
      <c r="CQ29" t="e">
        <f t="shared" si="46"/>
        <v>#N/A</v>
      </c>
      <c r="CR29" t="e">
        <f t="shared" si="46"/>
        <v>#N/A</v>
      </c>
      <c r="CS29" t="e">
        <f t="shared" si="46"/>
        <v>#N/A</v>
      </c>
      <c r="CT29" t="e">
        <f t="shared" si="46"/>
        <v>#N/A</v>
      </c>
      <c r="CU29" t="e">
        <f t="shared" si="46"/>
        <v>#N/A</v>
      </c>
      <c r="CV29" t="e">
        <f t="shared" si="46"/>
        <v>#N/A</v>
      </c>
      <c r="CW29" t="e">
        <f t="shared" si="46"/>
        <v>#N/A</v>
      </c>
      <c r="CX29" t="e">
        <f t="shared" si="46"/>
        <v>#N/A</v>
      </c>
      <c r="CY29" t="e">
        <f t="shared" si="46"/>
        <v>#N/A</v>
      </c>
      <c r="CZ29" t="e">
        <f t="shared" si="46"/>
        <v>#N/A</v>
      </c>
      <c r="DA29" t="e">
        <f t="shared" si="46"/>
        <v>#N/A</v>
      </c>
      <c r="DB29" t="e">
        <f t="shared" si="46"/>
        <v>#N/A</v>
      </c>
      <c r="DC29" t="e">
        <f t="shared" si="46"/>
        <v>#N/A</v>
      </c>
      <c r="DD29" t="e">
        <f t="shared" si="46"/>
        <v>#N/A</v>
      </c>
      <c r="DE29" t="e">
        <f t="shared" si="46"/>
        <v>#N/A</v>
      </c>
      <c r="DF29" t="e">
        <f t="shared" si="46"/>
        <v>#N/A</v>
      </c>
      <c r="DG29" t="e">
        <f t="shared" si="46"/>
        <v>#N/A</v>
      </c>
      <c r="DH29" t="e">
        <f t="shared" si="46"/>
        <v>#N/A</v>
      </c>
      <c r="DI29" t="e">
        <f t="shared" si="46"/>
        <v>#N/A</v>
      </c>
      <c r="DJ29" t="e">
        <f t="shared" si="46"/>
        <v>#N/A</v>
      </c>
      <c r="DK29" t="e">
        <f t="shared" si="46"/>
        <v>#N/A</v>
      </c>
      <c r="DL29" t="e">
        <f t="shared" si="46"/>
        <v>#N/A</v>
      </c>
      <c r="DM29" t="e">
        <f t="shared" si="46"/>
        <v>#N/A</v>
      </c>
      <c r="DN29" t="e">
        <f t="shared" si="46"/>
        <v>#N/A</v>
      </c>
      <c r="DO29" t="e">
        <f t="shared" si="46"/>
        <v>#N/A</v>
      </c>
      <c r="DP29" t="e">
        <f t="shared" si="46"/>
        <v>#N/A</v>
      </c>
      <c r="DQ29" t="e">
        <f t="shared" si="46"/>
        <v>#N/A</v>
      </c>
      <c r="DR29" t="e">
        <f t="shared" si="46"/>
        <v>#N/A</v>
      </c>
      <c r="DS29" t="e">
        <f t="shared" si="46"/>
        <v>#N/A</v>
      </c>
      <c r="DT29" t="e">
        <f t="shared" si="46"/>
        <v>#N/A</v>
      </c>
      <c r="DU29" t="e">
        <f t="shared" si="46"/>
        <v>#N/A</v>
      </c>
      <c r="DV29" t="e">
        <f t="shared" si="46"/>
        <v>#N/A</v>
      </c>
      <c r="DW29" t="e">
        <f t="shared" si="46"/>
        <v>#N/A</v>
      </c>
      <c r="DX29" t="e">
        <f t="shared" si="46"/>
        <v>#N/A</v>
      </c>
      <c r="DY29" t="e">
        <f t="shared" si="46"/>
        <v>#N/A</v>
      </c>
      <c r="DZ29" t="e">
        <f t="shared" si="46"/>
        <v>#N/A</v>
      </c>
      <c r="EA29" t="e">
        <f t="shared" si="46"/>
        <v>#N/A</v>
      </c>
      <c r="EB29" t="e">
        <f t="shared" si="46"/>
        <v>#N/A</v>
      </c>
      <c r="EC29" t="e">
        <f t="shared" si="46"/>
        <v>#N/A</v>
      </c>
      <c r="ED29" t="e">
        <f t="shared" si="46"/>
        <v>#N/A</v>
      </c>
      <c r="EE29" t="e">
        <f t="shared" si="46"/>
        <v>#N/A</v>
      </c>
      <c r="EF29" t="e">
        <f t="shared" si="46"/>
        <v>#N/A</v>
      </c>
      <c r="EG29" t="e">
        <f t="shared" si="46"/>
        <v>#N/A</v>
      </c>
      <c r="EH29" t="e">
        <f t="shared" ref="EH29:GA29" si="47">IF(ISBLANK(EH6),NA(),$A29*EH6)</f>
        <v>#N/A</v>
      </c>
      <c r="EI29" t="e">
        <f t="shared" si="47"/>
        <v>#N/A</v>
      </c>
      <c r="EJ29" t="e">
        <f t="shared" si="47"/>
        <v>#N/A</v>
      </c>
      <c r="EK29" t="e">
        <f t="shared" si="47"/>
        <v>#N/A</v>
      </c>
      <c r="EL29" t="e">
        <f t="shared" si="47"/>
        <v>#N/A</v>
      </c>
      <c r="EM29" t="e">
        <f t="shared" si="47"/>
        <v>#N/A</v>
      </c>
      <c r="EN29" t="e">
        <f t="shared" si="47"/>
        <v>#N/A</v>
      </c>
      <c r="EO29" t="e">
        <f t="shared" si="47"/>
        <v>#N/A</v>
      </c>
      <c r="EP29" t="e">
        <f t="shared" si="47"/>
        <v>#N/A</v>
      </c>
      <c r="EQ29" t="e">
        <f t="shared" si="47"/>
        <v>#N/A</v>
      </c>
      <c r="ER29" t="e">
        <f t="shared" si="47"/>
        <v>#N/A</v>
      </c>
      <c r="ES29" t="e">
        <f t="shared" si="47"/>
        <v>#N/A</v>
      </c>
      <c r="ET29" t="e">
        <f t="shared" si="47"/>
        <v>#N/A</v>
      </c>
      <c r="EU29" t="e">
        <f t="shared" si="47"/>
        <v>#N/A</v>
      </c>
      <c r="EV29" t="e">
        <f t="shared" si="47"/>
        <v>#N/A</v>
      </c>
      <c r="EW29" t="e">
        <f t="shared" si="47"/>
        <v>#N/A</v>
      </c>
      <c r="EX29" t="e">
        <f t="shared" si="47"/>
        <v>#N/A</v>
      </c>
      <c r="EY29" t="e">
        <f t="shared" si="47"/>
        <v>#N/A</v>
      </c>
      <c r="EZ29" t="e">
        <f t="shared" si="47"/>
        <v>#N/A</v>
      </c>
      <c r="FA29" t="e">
        <f t="shared" si="47"/>
        <v>#N/A</v>
      </c>
      <c r="FB29" t="e">
        <f t="shared" si="47"/>
        <v>#N/A</v>
      </c>
      <c r="FC29" t="e">
        <f t="shared" si="47"/>
        <v>#N/A</v>
      </c>
      <c r="FD29" t="e">
        <f t="shared" si="47"/>
        <v>#N/A</v>
      </c>
      <c r="FE29" t="e">
        <f t="shared" si="47"/>
        <v>#N/A</v>
      </c>
      <c r="FF29" t="e">
        <f t="shared" si="47"/>
        <v>#N/A</v>
      </c>
      <c r="FG29" t="e">
        <f t="shared" si="47"/>
        <v>#N/A</v>
      </c>
      <c r="FH29" t="e">
        <f t="shared" si="47"/>
        <v>#N/A</v>
      </c>
      <c r="FI29" t="e">
        <f t="shared" si="47"/>
        <v>#N/A</v>
      </c>
      <c r="FJ29" t="e">
        <f t="shared" si="47"/>
        <v>#N/A</v>
      </c>
      <c r="FK29" t="e">
        <f t="shared" si="47"/>
        <v>#N/A</v>
      </c>
      <c r="FL29" t="e">
        <f t="shared" si="47"/>
        <v>#N/A</v>
      </c>
      <c r="FM29" t="e">
        <f t="shared" si="47"/>
        <v>#N/A</v>
      </c>
      <c r="FN29" t="e">
        <f t="shared" si="47"/>
        <v>#N/A</v>
      </c>
      <c r="FO29" t="e">
        <f t="shared" si="47"/>
        <v>#N/A</v>
      </c>
      <c r="FP29" t="e">
        <f t="shared" si="47"/>
        <v>#N/A</v>
      </c>
      <c r="FQ29" t="e">
        <f t="shared" si="47"/>
        <v>#N/A</v>
      </c>
      <c r="FR29" t="e">
        <f t="shared" si="47"/>
        <v>#N/A</v>
      </c>
      <c r="FS29" t="e">
        <f t="shared" si="47"/>
        <v>#N/A</v>
      </c>
      <c r="FT29" t="e">
        <f t="shared" si="47"/>
        <v>#N/A</v>
      </c>
      <c r="FU29" t="e">
        <f t="shared" si="47"/>
        <v>#N/A</v>
      </c>
      <c r="FV29" t="e">
        <f t="shared" si="47"/>
        <v>#N/A</v>
      </c>
      <c r="FW29" t="e">
        <f t="shared" si="47"/>
        <v>#N/A</v>
      </c>
      <c r="FX29" t="e">
        <f t="shared" si="47"/>
        <v>#N/A</v>
      </c>
      <c r="FY29" t="e">
        <f t="shared" si="47"/>
        <v>#N/A</v>
      </c>
      <c r="FZ29" t="e">
        <f t="shared" si="47"/>
        <v>#N/A</v>
      </c>
      <c r="GA29" t="e">
        <f t="shared" si="47"/>
        <v>#N/A</v>
      </c>
    </row>
    <row r="30" spans="1:183" x14ac:dyDescent="0.45">
      <c r="A30">
        <v>10</v>
      </c>
      <c r="B30" t="s">
        <v>25</v>
      </c>
      <c r="C30" cm="1">
        <f t="array" ref="C30">LOOKUP(2,1/(I30:GA30&lt;&gt;""),I30:GA30)</f>
        <v>91.1</v>
      </c>
      <c r="D30">
        <f t="shared" si="32"/>
        <v>45</v>
      </c>
      <c r="F30" s="4">
        <f t="shared" si="38"/>
        <v>1.5518207282913166</v>
      </c>
      <c r="G30" s="3" cm="1">
        <f t="array" ref="G30">(C30-IF(ISNA(INDEX(I30:GA30,D30-22)),INDEX(I30:GA30,D30-23),INDEX(I30:GA30,D30-22)))/IF(ISNA(INDEX(I30:GA30,D30-22)),INDEX(I30:GA30,D30-23),INDEX(I30:GA30,D30-22))</f>
        <v>-5.9855521155830732E-2</v>
      </c>
      <c r="I30">
        <f t="shared" si="34"/>
        <v>35.699999999999996</v>
      </c>
      <c r="J30">
        <f t="shared" ref="J30:BU30" si="48">IF(ISBLANK(J7),NA(),$A30*J7)</f>
        <v>35.6</v>
      </c>
      <c r="K30" t="e">
        <f t="shared" si="48"/>
        <v>#N/A</v>
      </c>
      <c r="L30">
        <f t="shared" si="48"/>
        <v>38.4</v>
      </c>
      <c r="M30" t="e">
        <f t="shared" si="48"/>
        <v>#N/A</v>
      </c>
      <c r="N30">
        <f t="shared" si="48"/>
        <v>42.9</v>
      </c>
      <c r="O30">
        <f t="shared" si="48"/>
        <v>44</v>
      </c>
      <c r="P30">
        <f t="shared" si="48"/>
        <v>56.7</v>
      </c>
      <c r="Q30">
        <f t="shared" si="48"/>
        <v>58.7</v>
      </c>
      <c r="R30">
        <f t="shared" si="48"/>
        <v>63</v>
      </c>
      <c r="S30">
        <f t="shared" si="48"/>
        <v>62.300000000000004</v>
      </c>
      <c r="T30">
        <f t="shared" si="48"/>
        <v>74.2</v>
      </c>
      <c r="U30">
        <f t="shared" si="48"/>
        <v>78.600000000000009</v>
      </c>
      <c r="V30">
        <f t="shared" si="48"/>
        <v>82.100000000000009</v>
      </c>
      <c r="W30">
        <f t="shared" si="48"/>
        <v>80.5</v>
      </c>
      <c r="X30">
        <f t="shared" si="48"/>
        <v>79.599999999999994</v>
      </c>
      <c r="Y30">
        <f t="shared" si="48"/>
        <v>72.400000000000006</v>
      </c>
      <c r="Z30">
        <f t="shared" si="48"/>
        <v>69.3</v>
      </c>
      <c r="AA30">
        <f t="shared" si="48"/>
        <v>79.7</v>
      </c>
      <c r="AB30">
        <f t="shared" si="48"/>
        <v>88.9</v>
      </c>
      <c r="AC30">
        <f t="shared" si="48"/>
        <v>96.899999999999991</v>
      </c>
      <c r="AD30">
        <f t="shared" si="48"/>
        <v>114.60000000000001</v>
      </c>
      <c r="AE30">
        <f t="shared" si="48"/>
        <v>96.899999999999991</v>
      </c>
      <c r="AF30">
        <f t="shared" si="48"/>
        <v>93.3</v>
      </c>
      <c r="AG30">
        <f t="shared" si="48"/>
        <v>92.8</v>
      </c>
      <c r="AH30">
        <f t="shared" si="48"/>
        <v>93.4</v>
      </c>
      <c r="AI30">
        <f t="shared" si="48"/>
        <v>92.6</v>
      </c>
      <c r="AJ30">
        <f t="shared" si="48"/>
        <v>91.5</v>
      </c>
      <c r="AK30">
        <f t="shared" si="48"/>
        <v>98.9</v>
      </c>
      <c r="AL30">
        <f t="shared" si="48"/>
        <v>105.1</v>
      </c>
      <c r="AM30">
        <f t="shared" si="48"/>
        <v>96.199999999999989</v>
      </c>
      <c r="AN30" t="e">
        <f t="shared" si="48"/>
        <v>#N/A</v>
      </c>
      <c r="AO30">
        <f t="shared" si="48"/>
        <v>92.699999999999989</v>
      </c>
      <c r="AP30">
        <f t="shared" si="48"/>
        <v>97.699999999999989</v>
      </c>
      <c r="AQ30">
        <f t="shared" si="48"/>
        <v>93.9</v>
      </c>
      <c r="AR30">
        <f t="shared" si="48"/>
        <v>90.1</v>
      </c>
      <c r="AS30">
        <f t="shared" si="48"/>
        <v>91.1</v>
      </c>
      <c r="AT30" t="e">
        <f t="shared" si="48"/>
        <v>#N/A</v>
      </c>
      <c r="AU30" t="e">
        <f t="shared" si="48"/>
        <v>#N/A</v>
      </c>
      <c r="AV30" t="e">
        <f t="shared" si="48"/>
        <v>#N/A</v>
      </c>
      <c r="AW30" t="e">
        <f t="shared" si="48"/>
        <v>#N/A</v>
      </c>
      <c r="AX30" t="e">
        <f t="shared" si="48"/>
        <v>#N/A</v>
      </c>
      <c r="AY30" t="e">
        <f t="shared" si="48"/>
        <v>#N/A</v>
      </c>
      <c r="AZ30" t="e">
        <f t="shared" si="48"/>
        <v>#N/A</v>
      </c>
      <c r="BA30" t="e">
        <f t="shared" si="48"/>
        <v>#N/A</v>
      </c>
      <c r="BB30" t="e">
        <f t="shared" si="48"/>
        <v>#N/A</v>
      </c>
      <c r="BC30" t="e">
        <f t="shared" si="48"/>
        <v>#N/A</v>
      </c>
      <c r="BD30" t="e">
        <f t="shared" si="48"/>
        <v>#N/A</v>
      </c>
      <c r="BE30" t="e">
        <f t="shared" si="48"/>
        <v>#N/A</v>
      </c>
      <c r="BF30" t="e">
        <f t="shared" si="48"/>
        <v>#N/A</v>
      </c>
      <c r="BG30" t="e">
        <f t="shared" si="48"/>
        <v>#N/A</v>
      </c>
      <c r="BH30" t="e">
        <f t="shared" si="48"/>
        <v>#N/A</v>
      </c>
      <c r="BI30" t="e">
        <f t="shared" si="48"/>
        <v>#N/A</v>
      </c>
      <c r="BJ30" t="e">
        <f t="shared" si="48"/>
        <v>#N/A</v>
      </c>
      <c r="BK30" t="e">
        <f t="shared" si="48"/>
        <v>#N/A</v>
      </c>
      <c r="BL30" t="e">
        <f t="shared" si="48"/>
        <v>#N/A</v>
      </c>
      <c r="BM30" t="e">
        <f t="shared" si="48"/>
        <v>#N/A</v>
      </c>
      <c r="BN30" t="e">
        <f t="shared" si="48"/>
        <v>#N/A</v>
      </c>
      <c r="BO30" t="e">
        <f t="shared" si="48"/>
        <v>#N/A</v>
      </c>
      <c r="BP30" t="e">
        <f t="shared" si="48"/>
        <v>#N/A</v>
      </c>
      <c r="BQ30" t="e">
        <f t="shared" si="48"/>
        <v>#N/A</v>
      </c>
      <c r="BR30" t="e">
        <f t="shared" si="48"/>
        <v>#N/A</v>
      </c>
      <c r="BS30" t="e">
        <f t="shared" si="48"/>
        <v>#N/A</v>
      </c>
      <c r="BT30" t="e">
        <f t="shared" si="48"/>
        <v>#N/A</v>
      </c>
      <c r="BU30" t="e">
        <f t="shared" si="48"/>
        <v>#N/A</v>
      </c>
      <c r="BV30" t="e">
        <f t="shared" ref="BV30:EG30" si="49">IF(ISBLANK(BV7),NA(),$A30*BV7)</f>
        <v>#N/A</v>
      </c>
      <c r="BW30" t="e">
        <f t="shared" si="49"/>
        <v>#N/A</v>
      </c>
      <c r="BX30" t="e">
        <f t="shared" si="49"/>
        <v>#N/A</v>
      </c>
      <c r="BY30" t="e">
        <f t="shared" si="49"/>
        <v>#N/A</v>
      </c>
      <c r="BZ30" t="e">
        <f t="shared" si="49"/>
        <v>#N/A</v>
      </c>
      <c r="CA30" t="e">
        <f t="shared" si="49"/>
        <v>#N/A</v>
      </c>
      <c r="CB30" t="e">
        <f t="shared" si="49"/>
        <v>#N/A</v>
      </c>
      <c r="CC30" t="e">
        <f t="shared" si="49"/>
        <v>#N/A</v>
      </c>
      <c r="CD30" t="e">
        <f t="shared" si="49"/>
        <v>#N/A</v>
      </c>
      <c r="CE30" t="e">
        <f t="shared" si="49"/>
        <v>#N/A</v>
      </c>
      <c r="CF30" t="e">
        <f t="shared" si="49"/>
        <v>#N/A</v>
      </c>
      <c r="CG30" t="e">
        <f t="shared" si="49"/>
        <v>#N/A</v>
      </c>
      <c r="CH30" t="e">
        <f t="shared" si="49"/>
        <v>#N/A</v>
      </c>
      <c r="CI30" t="e">
        <f t="shared" si="49"/>
        <v>#N/A</v>
      </c>
      <c r="CJ30" t="e">
        <f t="shared" si="49"/>
        <v>#N/A</v>
      </c>
      <c r="CK30" t="e">
        <f t="shared" si="49"/>
        <v>#N/A</v>
      </c>
      <c r="CL30" t="e">
        <f t="shared" si="49"/>
        <v>#N/A</v>
      </c>
      <c r="CM30" t="e">
        <f t="shared" si="49"/>
        <v>#N/A</v>
      </c>
      <c r="CN30" t="e">
        <f t="shared" si="49"/>
        <v>#N/A</v>
      </c>
      <c r="CO30" t="e">
        <f t="shared" si="49"/>
        <v>#N/A</v>
      </c>
      <c r="CP30" t="e">
        <f t="shared" si="49"/>
        <v>#N/A</v>
      </c>
      <c r="CQ30" t="e">
        <f t="shared" si="49"/>
        <v>#N/A</v>
      </c>
      <c r="CR30" t="e">
        <f t="shared" si="49"/>
        <v>#N/A</v>
      </c>
      <c r="CS30" t="e">
        <f t="shared" si="49"/>
        <v>#N/A</v>
      </c>
      <c r="CT30" t="e">
        <f t="shared" si="49"/>
        <v>#N/A</v>
      </c>
      <c r="CU30" t="e">
        <f t="shared" si="49"/>
        <v>#N/A</v>
      </c>
      <c r="CV30" t="e">
        <f t="shared" si="49"/>
        <v>#N/A</v>
      </c>
      <c r="CW30" t="e">
        <f t="shared" si="49"/>
        <v>#N/A</v>
      </c>
      <c r="CX30" t="e">
        <f t="shared" si="49"/>
        <v>#N/A</v>
      </c>
      <c r="CY30" t="e">
        <f t="shared" si="49"/>
        <v>#N/A</v>
      </c>
      <c r="CZ30" t="e">
        <f t="shared" si="49"/>
        <v>#N/A</v>
      </c>
      <c r="DA30" t="e">
        <f t="shared" si="49"/>
        <v>#N/A</v>
      </c>
      <c r="DB30" t="e">
        <f t="shared" si="49"/>
        <v>#N/A</v>
      </c>
      <c r="DC30" t="e">
        <f t="shared" si="49"/>
        <v>#N/A</v>
      </c>
      <c r="DD30" t="e">
        <f t="shared" si="49"/>
        <v>#N/A</v>
      </c>
      <c r="DE30" t="e">
        <f t="shared" si="49"/>
        <v>#N/A</v>
      </c>
      <c r="DF30" t="e">
        <f t="shared" si="49"/>
        <v>#N/A</v>
      </c>
      <c r="DG30" t="e">
        <f t="shared" si="49"/>
        <v>#N/A</v>
      </c>
      <c r="DH30" t="e">
        <f t="shared" si="49"/>
        <v>#N/A</v>
      </c>
      <c r="DI30" t="e">
        <f t="shared" si="49"/>
        <v>#N/A</v>
      </c>
      <c r="DJ30" t="e">
        <f t="shared" si="49"/>
        <v>#N/A</v>
      </c>
      <c r="DK30" t="e">
        <f t="shared" si="49"/>
        <v>#N/A</v>
      </c>
      <c r="DL30" t="e">
        <f t="shared" si="49"/>
        <v>#N/A</v>
      </c>
      <c r="DM30" t="e">
        <f t="shared" si="49"/>
        <v>#N/A</v>
      </c>
      <c r="DN30" t="e">
        <f t="shared" si="49"/>
        <v>#N/A</v>
      </c>
      <c r="DO30" t="e">
        <f t="shared" si="49"/>
        <v>#N/A</v>
      </c>
      <c r="DP30" t="e">
        <f t="shared" si="49"/>
        <v>#N/A</v>
      </c>
      <c r="DQ30" t="e">
        <f t="shared" si="49"/>
        <v>#N/A</v>
      </c>
      <c r="DR30" t="e">
        <f t="shared" si="49"/>
        <v>#N/A</v>
      </c>
      <c r="DS30" t="e">
        <f t="shared" si="49"/>
        <v>#N/A</v>
      </c>
      <c r="DT30" t="e">
        <f t="shared" si="49"/>
        <v>#N/A</v>
      </c>
      <c r="DU30" t="e">
        <f t="shared" si="49"/>
        <v>#N/A</v>
      </c>
      <c r="DV30" t="e">
        <f t="shared" si="49"/>
        <v>#N/A</v>
      </c>
      <c r="DW30" t="e">
        <f t="shared" si="49"/>
        <v>#N/A</v>
      </c>
      <c r="DX30" t="e">
        <f t="shared" si="49"/>
        <v>#N/A</v>
      </c>
      <c r="DY30" t="e">
        <f t="shared" si="49"/>
        <v>#N/A</v>
      </c>
      <c r="DZ30" t="e">
        <f t="shared" si="49"/>
        <v>#N/A</v>
      </c>
      <c r="EA30" t="e">
        <f t="shared" si="49"/>
        <v>#N/A</v>
      </c>
      <c r="EB30" t="e">
        <f t="shared" si="49"/>
        <v>#N/A</v>
      </c>
      <c r="EC30" t="e">
        <f t="shared" si="49"/>
        <v>#N/A</v>
      </c>
      <c r="ED30" t="e">
        <f t="shared" si="49"/>
        <v>#N/A</v>
      </c>
      <c r="EE30" t="e">
        <f t="shared" si="49"/>
        <v>#N/A</v>
      </c>
      <c r="EF30" t="e">
        <f t="shared" si="49"/>
        <v>#N/A</v>
      </c>
      <c r="EG30" t="e">
        <f t="shared" si="49"/>
        <v>#N/A</v>
      </c>
      <c r="EH30" t="e">
        <f t="shared" ref="EH30:GA30" si="50">IF(ISBLANK(EH7),NA(),$A30*EH7)</f>
        <v>#N/A</v>
      </c>
      <c r="EI30" t="e">
        <f t="shared" si="50"/>
        <v>#N/A</v>
      </c>
      <c r="EJ30" t="e">
        <f t="shared" si="50"/>
        <v>#N/A</v>
      </c>
      <c r="EK30" t="e">
        <f t="shared" si="50"/>
        <v>#N/A</v>
      </c>
      <c r="EL30" t="e">
        <f t="shared" si="50"/>
        <v>#N/A</v>
      </c>
      <c r="EM30" t="e">
        <f t="shared" si="50"/>
        <v>#N/A</v>
      </c>
      <c r="EN30" t="e">
        <f t="shared" si="50"/>
        <v>#N/A</v>
      </c>
      <c r="EO30" t="e">
        <f t="shared" si="50"/>
        <v>#N/A</v>
      </c>
      <c r="EP30" t="e">
        <f t="shared" si="50"/>
        <v>#N/A</v>
      </c>
      <c r="EQ30" t="e">
        <f t="shared" si="50"/>
        <v>#N/A</v>
      </c>
      <c r="ER30" t="e">
        <f t="shared" si="50"/>
        <v>#N/A</v>
      </c>
      <c r="ES30" t="e">
        <f t="shared" si="50"/>
        <v>#N/A</v>
      </c>
      <c r="ET30" t="e">
        <f t="shared" si="50"/>
        <v>#N/A</v>
      </c>
      <c r="EU30" t="e">
        <f t="shared" si="50"/>
        <v>#N/A</v>
      </c>
      <c r="EV30" t="e">
        <f t="shared" si="50"/>
        <v>#N/A</v>
      </c>
      <c r="EW30" t="e">
        <f t="shared" si="50"/>
        <v>#N/A</v>
      </c>
      <c r="EX30" t="e">
        <f t="shared" si="50"/>
        <v>#N/A</v>
      </c>
      <c r="EY30" t="e">
        <f t="shared" si="50"/>
        <v>#N/A</v>
      </c>
      <c r="EZ30" t="e">
        <f t="shared" si="50"/>
        <v>#N/A</v>
      </c>
      <c r="FA30" t="e">
        <f t="shared" si="50"/>
        <v>#N/A</v>
      </c>
      <c r="FB30" t="e">
        <f t="shared" si="50"/>
        <v>#N/A</v>
      </c>
      <c r="FC30" t="e">
        <f t="shared" si="50"/>
        <v>#N/A</v>
      </c>
      <c r="FD30" t="e">
        <f t="shared" si="50"/>
        <v>#N/A</v>
      </c>
      <c r="FE30" t="e">
        <f t="shared" si="50"/>
        <v>#N/A</v>
      </c>
      <c r="FF30" t="e">
        <f t="shared" si="50"/>
        <v>#N/A</v>
      </c>
      <c r="FG30" t="e">
        <f t="shared" si="50"/>
        <v>#N/A</v>
      </c>
      <c r="FH30" t="e">
        <f t="shared" si="50"/>
        <v>#N/A</v>
      </c>
      <c r="FI30" t="e">
        <f t="shared" si="50"/>
        <v>#N/A</v>
      </c>
      <c r="FJ30" t="e">
        <f t="shared" si="50"/>
        <v>#N/A</v>
      </c>
      <c r="FK30" t="e">
        <f t="shared" si="50"/>
        <v>#N/A</v>
      </c>
      <c r="FL30" t="e">
        <f t="shared" si="50"/>
        <v>#N/A</v>
      </c>
      <c r="FM30" t="e">
        <f t="shared" si="50"/>
        <v>#N/A</v>
      </c>
      <c r="FN30" t="e">
        <f t="shared" si="50"/>
        <v>#N/A</v>
      </c>
      <c r="FO30" t="e">
        <f t="shared" si="50"/>
        <v>#N/A</v>
      </c>
      <c r="FP30" t="e">
        <f t="shared" si="50"/>
        <v>#N/A</v>
      </c>
      <c r="FQ30" t="e">
        <f t="shared" si="50"/>
        <v>#N/A</v>
      </c>
      <c r="FR30" t="e">
        <f t="shared" si="50"/>
        <v>#N/A</v>
      </c>
      <c r="FS30" t="e">
        <f t="shared" si="50"/>
        <v>#N/A</v>
      </c>
      <c r="FT30" t="e">
        <f t="shared" si="50"/>
        <v>#N/A</v>
      </c>
      <c r="FU30" t="e">
        <f t="shared" si="50"/>
        <v>#N/A</v>
      </c>
      <c r="FV30" t="e">
        <f t="shared" si="50"/>
        <v>#N/A</v>
      </c>
      <c r="FW30" t="e">
        <f t="shared" si="50"/>
        <v>#N/A</v>
      </c>
      <c r="FX30" t="e">
        <f t="shared" si="50"/>
        <v>#N/A</v>
      </c>
      <c r="FY30" t="e">
        <f t="shared" si="50"/>
        <v>#N/A</v>
      </c>
      <c r="FZ30" t="e">
        <f t="shared" si="50"/>
        <v>#N/A</v>
      </c>
      <c r="GA30" t="e">
        <f t="shared" si="50"/>
        <v>#N/A</v>
      </c>
    </row>
    <row r="31" spans="1:183" x14ac:dyDescent="0.45">
      <c r="A31">
        <v>10</v>
      </c>
      <c r="B31" t="s">
        <v>26</v>
      </c>
      <c r="C31" cm="1">
        <f t="array" ref="C31">LOOKUP(2,1/(I31:GA31&lt;&gt;""),I31:GA31)</f>
        <v>100.19999999999999</v>
      </c>
      <c r="D31">
        <f t="shared" si="32"/>
        <v>45</v>
      </c>
      <c r="F31" s="4">
        <f t="shared" si="38"/>
        <v>1.4202898550724636</v>
      </c>
      <c r="G31" s="3" cm="1">
        <f t="array" ref="G31">(C31-IF(ISNA(INDEX(I31:GA31,D31-22)),INDEX(I31:GA31,D31-23),INDEX(I31:GA31,D31-22)))/IF(ISNA(INDEX(I31:GA31,D31-22)),INDEX(I31:GA31,D31-23),INDEX(I31:GA31,D31-22))</f>
        <v>-3.6538461538461645E-2</v>
      </c>
      <c r="I31">
        <f t="shared" si="34"/>
        <v>41.4</v>
      </c>
      <c r="J31">
        <f t="shared" ref="J31:BU31" si="51">IF(ISBLANK(J8),NA(),$A31*J8)</f>
        <v>39</v>
      </c>
      <c r="K31" t="e">
        <f t="shared" si="51"/>
        <v>#N/A</v>
      </c>
      <c r="L31">
        <f t="shared" si="51"/>
        <v>39</v>
      </c>
      <c r="M31" t="e">
        <f t="shared" si="51"/>
        <v>#N/A</v>
      </c>
      <c r="N31">
        <f t="shared" si="51"/>
        <v>47.199999999999996</v>
      </c>
      <c r="O31">
        <f t="shared" si="51"/>
        <v>51</v>
      </c>
      <c r="P31">
        <f t="shared" si="51"/>
        <v>59</v>
      </c>
      <c r="Q31">
        <f t="shared" si="51"/>
        <v>65.599999999999994</v>
      </c>
      <c r="R31">
        <f t="shared" si="51"/>
        <v>71.3</v>
      </c>
      <c r="S31">
        <f t="shared" si="51"/>
        <v>71.900000000000006</v>
      </c>
      <c r="T31">
        <f t="shared" si="51"/>
        <v>79.599999999999994</v>
      </c>
      <c r="U31">
        <f t="shared" si="51"/>
        <v>85.399999999999991</v>
      </c>
      <c r="V31">
        <f t="shared" si="51"/>
        <v>83.2</v>
      </c>
      <c r="W31">
        <f t="shared" si="51"/>
        <v>82</v>
      </c>
      <c r="X31">
        <f t="shared" si="51"/>
        <v>76</v>
      </c>
      <c r="Y31">
        <f t="shared" si="51"/>
        <v>75.5</v>
      </c>
      <c r="Z31">
        <f t="shared" si="51"/>
        <v>78.5</v>
      </c>
      <c r="AA31">
        <f t="shared" si="51"/>
        <v>87.8</v>
      </c>
      <c r="AB31">
        <f t="shared" si="51"/>
        <v>90.600000000000009</v>
      </c>
      <c r="AC31">
        <f t="shared" si="51"/>
        <v>100.8</v>
      </c>
      <c r="AD31">
        <f t="shared" si="51"/>
        <v>108.4</v>
      </c>
      <c r="AE31">
        <f t="shared" si="51"/>
        <v>104</v>
      </c>
      <c r="AF31">
        <f t="shared" si="51"/>
        <v>96.199999999999989</v>
      </c>
      <c r="AG31">
        <f t="shared" si="51"/>
        <v>101.8</v>
      </c>
      <c r="AH31">
        <f t="shared" si="51"/>
        <v>100.39999999999999</v>
      </c>
      <c r="AI31">
        <f t="shared" si="51"/>
        <v>100.39999999999999</v>
      </c>
      <c r="AJ31">
        <f t="shared" si="51"/>
        <v>98.2</v>
      </c>
      <c r="AK31">
        <f t="shared" si="51"/>
        <v>125.1</v>
      </c>
      <c r="AL31">
        <f t="shared" si="51"/>
        <v>122.6</v>
      </c>
      <c r="AM31">
        <f t="shared" si="51"/>
        <v>116.7</v>
      </c>
      <c r="AN31" t="e">
        <f t="shared" si="51"/>
        <v>#N/A</v>
      </c>
      <c r="AO31">
        <f t="shared" si="51"/>
        <v>111.19999999999999</v>
      </c>
      <c r="AP31">
        <f t="shared" si="51"/>
        <v>103.69999999999999</v>
      </c>
      <c r="AQ31">
        <f t="shared" si="51"/>
        <v>104.9</v>
      </c>
      <c r="AR31">
        <f t="shared" si="51"/>
        <v>105.8</v>
      </c>
      <c r="AS31">
        <f t="shared" si="51"/>
        <v>100.19999999999999</v>
      </c>
      <c r="AT31" t="e">
        <f t="shared" si="51"/>
        <v>#N/A</v>
      </c>
      <c r="AU31" t="e">
        <f t="shared" si="51"/>
        <v>#N/A</v>
      </c>
      <c r="AV31" t="e">
        <f t="shared" si="51"/>
        <v>#N/A</v>
      </c>
      <c r="AW31" t="e">
        <f t="shared" si="51"/>
        <v>#N/A</v>
      </c>
      <c r="AX31" t="e">
        <f t="shared" si="51"/>
        <v>#N/A</v>
      </c>
      <c r="AY31" t="e">
        <f t="shared" si="51"/>
        <v>#N/A</v>
      </c>
      <c r="AZ31" t="e">
        <f t="shared" si="51"/>
        <v>#N/A</v>
      </c>
      <c r="BA31" t="e">
        <f t="shared" si="51"/>
        <v>#N/A</v>
      </c>
      <c r="BB31" t="e">
        <f t="shared" si="51"/>
        <v>#N/A</v>
      </c>
      <c r="BC31" t="e">
        <f t="shared" si="51"/>
        <v>#N/A</v>
      </c>
      <c r="BD31" t="e">
        <f t="shared" si="51"/>
        <v>#N/A</v>
      </c>
      <c r="BE31" t="e">
        <f t="shared" si="51"/>
        <v>#N/A</v>
      </c>
      <c r="BF31" t="e">
        <f t="shared" si="51"/>
        <v>#N/A</v>
      </c>
      <c r="BG31" t="e">
        <f t="shared" si="51"/>
        <v>#N/A</v>
      </c>
      <c r="BH31" t="e">
        <f t="shared" si="51"/>
        <v>#N/A</v>
      </c>
      <c r="BI31" t="e">
        <f t="shared" si="51"/>
        <v>#N/A</v>
      </c>
      <c r="BJ31" t="e">
        <f t="shared" si="51"/>
        <v>#N/A</v>
      </c>
      <c r="BK31" t="e">
        <f t="shared" si="51"/>
        <v>#N/A</v>
      </c>
      <c r="BL31" t="e">
        <f t="shared" si="51"/>
        <v>#N/A</v>
      </c>
      <c r="BM31" t="e">
        <f t="shared" si="51"/>
        <v>#N/A</v>
      </c>
      <c r="BN31" t="e">
        <f t="shared" si="51"/>
        <v>#N/A</v>
      </c>
      <c r="BO31" t="e">
        <f t="shared" si="51"/>
        <v>#N/A</v>
      </c>
      <c r="BP31" t="e">
        <f t="shared" si="51"/>
        <v>#N/A</v>
      </c>
      <c r="BQ31" t="e">
        <f t="shared" si="51"/>
        <v>#N/A</v>
      </c>
      <c r="BR31" t="e">
        <f t="shared" si="51"/>
        <v>#N/A</v>
      </c>
      <c r="BS31" t="e">
        <f t="shared" si="51"/>
        <v>#N/A</v>
      </c>
      <c r="BT31" t="e">
        <f t="shared" si="51"/>
        <v>#N/A</v>
      </c>
      <c r="BU31" t="e">
        <f t="shared" si="51"/>
        <v>#N/A</v>
      </c>
      <c r="BV31" t="e">
        <f t="shared" ref="BV31:EG31" si="52">IF(ISBLANK(BV8),NA(),$A31*BV8)</f>
        <v>#N/A</v>
      </c>
      <c r="BW31" t="e">
        <f t="shared" si="52"/>
        <v>#N/A</v>
      </c>
      <c r="BX31" t="e">
        <f t="shared" si="52"/>
        <v>#N/A</v>
      </c>
      <c r="BY31" t="e">
        <f t="shared" si="52"/>
        <v>#N/A</v>
      </c>
      <c r="BZ31" t="e">
        <f t="shared" si="52"/>
        <v>#N/A</v>
      </c>
      <c r="CA31" t="e">
        <f t="shared" si="52"/>
        <v>#N/A</v>
      </c>
      <c r="CB31" t="e">
        <f t="shared" si="52"/>
        <v>#N/A</v>
      </c>
      <c r="CC31" t="e">
        <f t="shared" si="52"/>
        <v>#N/A</v>
      </c>
      <c r="CD31" t="e">
        <f t="shared" si="52"/>
        <v>#N/A</v>
      </c>
      <c r="CE31" t="e">
        <f t="shared" si="52"/>
        <v>#N/A</v>
      </c>
      <c r="CF31" t="e">
        <f t="shared" si="52"/>
        <v>#N/A</v>
      </c>
      <c r="CG31" t="e">
        <f t="shared" si="52"/>
        <v>#N/A</v>
      </c>
      <c r="CH31" t="e">
        <f t="shared" si="52"/>
        <v>#N/A</v>
      </c>
      <c r="CI31" t="e">
        <f t="shared" si="52"/>
        <v>#N/A</v>
      </c>
      <c r="CJ31" t="e">
        <f t="shared" si="52"/>
        <v>#N/A</v>
      </c>
      <c r="CK31" t="e">
        <f t="shared" si="52"/>
        <v>#N/A</v>
      </c>
      <c r="CL31" t="e">
        <f t="shared" si="52"/>
        <v>#N/A</v>
      </c>
      <c r="CM31" t="e">
        <f t="shared" si="52"/>
        <v>#N/A</v>
      </c>
      <c r="CN31" t="e">
        <f t="shared" si="52"/>
        <v>#N/A</v>
      </c>
      <c r="CO31" t="e">
        <f t="shared" si="52"/>
        <v>#N/A</v>
      </c>
      <c r="CP31" t="e">
        <f t="shared" si="52"/>
        <v>#N/A</v>
      </c>
      <c r="CQ31" t="e">
        <f t="shared" si="52"/>
        <v>#N/A</v>
      </c>
      <c r="CR31" t="e">
        <f t="shared" si="52"/>
        <v>#N/A</v>
      </c>
      <c r="CS31" t="e">
        <f t="shared" si="52"/>
        <v>#N/A</v>
      </c>
      <c r="CT31" t="e">
        <f t="shared" si="52"/>
        <v>#N/A</v>
      </c>
      <c r="CU31" t="e">
        <f t="shared" si="52"/>
        <v>#N/A</v>
      </c>
      <c r="CV31" t="e">
        <f t="shared" si="52"/>
        <v>#N/A</v>
      </c>
      <c r="CW31" t="e">
        <f t="shared" si="52"/>
        <v>#N/A</v>
      </c>
      <c r="CX31" t="e">
        <f t="shared" si="52"/>
        <v>#N/A</v>
      </c>
      <c r="CY31" t="e">
        <f t="shared" si="52"/>
        <v>#N/A</v>
      </c>
      <c r="CZ31" t="e">
        <f t="shared" si="52"/>
        <v>#N/A</v>
      </c>
      <c r="DA31" t="e">
        <f t="shared" si="52"/>
        <v>#N/A</v>
      </c>
      <c r="DB31" t="e">
        <f t="shared" si="52"/>
        <v>#N/A</v>
      </c>
      <c r="DC31" t="e">
        <f t="shared" si="52"/>
        <v>#N/A</v>
      </c>
      <c r="DD31" t="e">
        <f t="shared" si="52"/>
        <v>#N/A</v>
      </c>
      <c r="DE31" t="e">
        <f t="shared" si="52"/>
        <v>#N/A</v>
      </c>
      <c r="DF31" t="e">
        <f t="shared" si="52"/>
        <v>#N/A</v>
      </c>
      <c r="DG31" t="e">
        <f t="shared" si="52"/>
        <v>#N/A</v>
      </c>
      <c r="DH31" t="e">
        <f t="shared" si="52"/>
        <v>#N/A</v>
      </c>
      <c r="DI31" t="e">
        <f t="shared" si="52"/>
        <v>#N/A</v>
      </c>
      <c r="DJ31" t="e">
        <f t="shared" si="52"/>
        <v>#N/A</v>
      </c>
      <c r="DK31" t="e">
        <f t="shared" si="52"/>
        <v>#N/A</v>
      </c>
      <c r="DL31" t="e">
        <f t="shared" si="52"/>
        <v>#N/A</v>
      </c>
      <c r="DM31" t="e">
        <f t="shared" si="52"/>
        <v>#N/A</v>
      </c>
      <c r="DN31" t="e">
        <f t="shared" si="52"/>
        <v>#N/A</v>
      </c>
      <c r="DO31" t="e">
        <f t="shared" si="52"/>
        <v>#N/A</v>
      </c>
      <c r="DP31" t="e">
        <f t="shared" si="52"/>
        <v>#N/A</v>
      </c>
      <c r="DQ31" t="e">
        <f t="shared" si="52"/>
        <v>#N/A</v>
      </c>
      <c r="DR31" t="e">
        <f t="shared" si="52"/>
        <v>#N/A</v>
      </c>
      <c r="DS31" t="e">
        <f t="shared" si="52"/>
        <v>#N/A</v>
      </c>
      <c r="DT31" t="e">
        <f t="shared" si="52"/>
        <v>#N/A</v>
      </c>
      <c r="DU31" t="e">
        <f t="shared" si="52"/>
        <v>#N/A</v>
      </c>
      <c r="DV31" t="e">
        <f t="shared" si="52"/>
        <v>#N/A</v>
      </c>
      <c r="DW31" t="e">
        <f t="shared" si="52"/>
        <v>#N/A</v>
      </c>
      <c r="DX31" t="e">
        <f t="shared" si="52"/>
        <v>#N/A</v>
      </c>
      <c r="DY31" t="e">
        <f t="shared" si="52"/>
        <v>#N/A</v>
      </c>
      <c r="DZ31" t="e">
        <f t="shared" si="52"/>
        <v>#N/A</v>
      </c>
      <c r="EA31" t="e">
        <f t="shared" si="52"/>
        <v>#N/A</v>
      </c>
      <c r="EB31" t="e">
        <f t="shared" si="52"/>
        <v>#N/A</v>
      </c>
      <c r="EC31" t="e">
        <f t="shared" si="52"/>
        <v>#N/A</v>
      </c>
      <c r="ED31" t="e">
        <f t="shared" si="52"/>
        <v>#N/A</v>
      </c>
      <c r="EE31" t="e">
        <f t="shared" si="52"/>
        <v>#N/A</v>
      </c>
      <c r="EF31" t="e">
        <f t="shared" si="52"/>
        <v>#N/A</v>
      </c>
      <c r="EG31" t="e">
        <f t="shared" si="52"/>
        <v>#N/A</v>
      </c>
      <c r="EH31" t="e">
        <f t="shared" ref="EH31:GA31" si="53">IF(ISBLANK(EH8),NA(),$A31*EH8)</f>
        <v>#N/A</v>
      </c>
      <c r="EI31" t="e">
        <f t="shared" si="53"/>
        <v>#N/A</v>
      </c>
      <c r="EJ31" t="e">
        <f t="shared" si="53"/>
        <v>#N/A</v>
      </c>
      <c r="EK31" t="e">
        <f t="shared" si="53"/>
        <v>#N/A</v>
      </c>
      <c r="EL31" t="e">
        <f t="shared" si="53"/>
        <v>#N/A</v>
      </c>
      <c r="EM31" t="e">
        <f t="shared" si="53"/>
        <v>#N/A</v>
      </c>
      <c r="EN31" t="e">
        <f t="shared" si="53"/>
        <v>#N/A</v>
      </c>
      <c r="EO31" t="e">
        <f t="shared" si="53"/>
        <v>#N/A</v>
      </c>
      <c r="EP31" t="e">
        <f t="shared" si="53"/>
        <v>#N/A</v>
      </c>
      <c r="EQ31" t="e">
        <f t="shared" si="53"/>
        <v>#N/A</v>
      </c>
      <c r="ER31" t="e">
        <f t="shared" si="53"/>
        <v>#N/A</v>
      </c>
      <c r="ES31" t="e">
        <f t="shared" si="53"/>
        <v>#N/A</v>
      </c>
      <c r="ET31" t="e">
        <f t="shared" si="53"/>
        <v>#N/A</v>
      </c>
      <c r="EU31" t="e">
        <f t="shared" si="53"/>
        <v>#N/A</v>
      </c>
      <c r="EV31" t="e">
        <f t="shared" si="53"/>
        <v>#N/A</v>
      </c>
      <c r="EW31" t="e">
        <f t="shared" si="53"/>
        <v>#N/A</v>
      </c>
      <c r="EX31" t="e">
        <f t="shared" si="53"/>
        <v>#N/A</v>
      </c>
      <c r="EY31" t="e">
        <f t="shared" si="53"/>
        <v>#N/A</v>
      </c>
      <c r="EZ31" t="e">
        <f t="shared" si="53"/>
        <v>#N/A</v>
      </c>
      <c r="FA31" t="e">
        <f t="shared" si="53"/>
        <v>#N/A</v>
      </c>
      <c r="FB31" t="e">
        <f t="shared" si="53"/>
        <v>#N/A</v>
      </c>
      <c r="FC31" t="e">
        <f t="shared" si="53"/>
        <v>#N/A</v>
      </c>
      <c r="FD31" t="e">
        <f t="shared" si="53"/>
        <v>#N/A</v>
      </c>
      <c r="FE31" t="e">
        <f t="shared" si="53"/>
        <v>#N/A</v>
      </c>
      <c r="FF31" t="e">
        <f t="shared" si="53"/>
        <v>#N/A</v>
      </c>
      <c r="FG31" t="e">
        <f t="shared" si="53"/>
        <v>#N/A</v>
      </c>
      <c r="FH31" t="e">
        <f t="shared" si="53"/>
        <v>#N/A</v>
      </c>
      <c r="FI31" t="e">
        <f t="shared" si="53"/>
        <v>#N/A</v>
      </c>
      <c r="FJ31" t="e">
        <f t="shared" si="53"/>
        <v>#N/A</v>
      </c>
      <c r="FK31" t="e">
        <f t="shared" si="53"/>
        <v>#N/A</v>
      </c>
      <c r="FL31" t="e">
        <f t="shared" si="53"/>
        <v>#N/A</v>
      </c>
      <c r="FM31" t="e">
        <f t="shared" si="53"/>
        <v>#N/A</v>
      </c>
      <c r="FN31" t="e">
        <f t="shared" si="53"/>
        <v>#N/A</v>
      </c>
      <c r="FO31" t="e">
        <f t="shared" si="53"/>
        <v>#N/A</v>
      </c>
      <c r="FP31" t="e">
        <f t="shared" si="53"/>
        <v>#N/A</v>
      </c>
      <c r="FQ31" t="e">
        <f t="shared" si="53"/>
        <v>#N/A</v>
      </c>
      <c r="FR31" t="e">
        <f t="shared" si="53"/>
        <v>#N/A</v>
      </c>
      <c r="FS31" t="e">
        <f t="shared" si="53"/>
        <v>#N/A</v>
      </c>
      <c r="FT31" t="e">
        <f t="shared" si="53"/>
        <v>#N/A</v>
      </c>
      <c r="FU31" t="e">
        <f t="shared" si="53"/>
        <v>#N/A</v>
      </c>
      <c r="FV31" t="e">
        <f t="shared" si="53"/>
        <v>#N/A</v>
      </c>
      <c r="FW31" t="e">
        <f t="shared" si="53"/>
        <v>#N/A</v>
      </c>
      <c r="FX31" t="e">
        <f t="shared" si="53"/>
        <v>#N/A</v>
      </c>
      <c r="FY31" t="e">
        <f t="shared" si="53"/>
        <v>#N/A</v>
      </c>
      <c r="FZ31" t="e">
        <f t="shared" si="53"/>
        <v>#N/A</v>
      </c>
      <c r="GA31" t="e">
        <f t="shared" si="53"/>
        <v>#N/A</v>
      </c>
    </row>
    <row r="32" spans="1:183" x14ac:dyDescent="0.45">
      <c r="A32">
        <v>6</v>
      </c>
      <c r="B32" t="s">
        <v>27</v>
      </c>
      <c r="C32" cm="1">
        <f t="array" ref="C32">LOOKUP(2,1/(I32:GA32&lt;&gt;""),I32:GA32)</f>
        <v>55.320000000000007</v>
      </c>
      <c r="D32">
        <f t="shared" si="32"/>
        <v>45</v>
      </c>
      <c r="F32" s="4">
        <f t="shared" si="38"/>
        <v>1.5971830985915501</v>
      </c>
      <c r="G32" s="3" cm="1">
        <f t="array" ref="G32">(C32-IF(ISNA(INDEX(I32:GA32,D32-22)),INDEX(I32:GA32,D32-23),INDEX(I32:GA32,D32-22)))/IF(ISNA(INDEX(I32:GA32,D32-22)),INDEX(I32:GA32,D32-23),INDEX(I32:GA32,D32-22))</f>
        <v>-3.3542976939203141E-2</v>
      </c>
      <c r="I32">
        <f t="shared" si="34"/>
        <v>21.299999999999997</v>
      </c>
      <c r="J32">
        <f t="shared" ref="J32:BU32" si="54">IF(ISBLANK(J9),NA(),$A32*J9)</f>
        <v>20.64</v>
      </c>
      <c r="K32" t="e">
        <f t="shared" si="54"/>
        <v>#N/A</v>
      </c>
      <c r="L32">
        <f t="shared" si="54"/>
        <v>23.759999999999998</v>
      </c>
      <c r="M32" t="e">
        <f t="shared" si="54"/>
        <v>#N/A</v>
      </c>
      <c r="N32">
        <f t="shared" si="54"/>
        <v>26.58</v>
      </c>
      <c r="O32">
        <f t="shared" si="54"/>
        <v>27.06</v>
      </c>
      <c r="P32">
        <f t="shared" si="54"/>
        <v>40.26</v>
      </c>
      <c r="Q32">
        <f t="shared" si="54"/>
        <v>43.32</v>
      </c>
      <c r="R32">
        <f t="shared" si="54"/>
        <v>36.42</v>
      </c>
      <c r="S32">
        <f t="shared" si="54"/>
        <v>39.480000000000004</v>
      </c>
      <c r="T32">
        <f t="shared" si="54"/>
        <v>44.94</v>
      </c>
      <c r="U32">
        <f t="shared" si="54"/>
        <v>48.78</v>
      </c>
      <c r="V32">
        <f t="shared" si="54"/>
        <v>51.06</v>
      </c>
      <c r="W32">
        <f t="shared" si="54"/>
        <v>47.22</v>
      </c>
      <c r="X32">
        <f t="shared" si="54"/>
        <v>45.36</v>
      </c>
      <c r="Y32">
        <f t="shared" si="54"/>
        <v>41.64</v>
      </c>
      <c r="Z32">
        <f t="shared" si="54"/>
        <v>42.24</v>
      </c>
      <c r="AA32">
        <f t="shared" si="54"/>
        <v>47.400000000000006</v>
      </c>
      <c r="AB32">
        <f t="shared" si="54"/>
        <v>58.14</v>
      </c>
      <c r="AC32">
        <f t="shared" si="54"/>
        <v>58.320000000000007</v>
      </c>
      <c r="AD32">
        <f t="shared" si="54"/>
        <v>66.599999999999994</v>
      </c>
      <c r="AE32">
        <f t="shared" si="54"/>
        <v>57.239999999999995</v>
      </c>
      <c r="AF32">
        <f t="shared" si="54"/>
        <v>55.679999999999993</v>
      </c>
      <c r="AG32">
        <f t="shared" si="54"/>
        <v>54.66</v>
      </c>
      <c r="AH32">
        <f t="shared" si="54"/>
        <v>56.64</v>
      </c>
      <c r="AI32">
        <f t="shared" si="54"/>
        <v>57.300000000000004</v>
      </c>
      <c r="AJ32">
        <f t="shared" si="54"/>
        <v>57.42</v>
      </c>
      <c r="AK32">
        <f t="shared" si="54"/>
        <v>58.019999999999996</v>
      </c>
      <c r="AL32">
        <f t="shared" si="54"/>
        <v>62.519999999999996</v>
      </c>
      <c r="AM32">
        <f t="shared" si="54"/>
        <v>57.12</v>
      </c>
      <c r="AN32" t="e">
        <f t="shared" si="54"/>
        <v>#N/A</v>
      </c>
      <c r="AO32">
        <f t="shared" si="54"/>
        <v>57.36</v>
      </c>
      <c r="AP32">
        <f t="shared" si="54"/>
        <v>54.78</v>
      </c>
      <c r="AQ32">
        <f t="shared" si="54"/>
        <v>55.62</v>
      </c>
      <c r="AR32">
        <f t="shared" si="54"/>
        <v>57.06</v>
      </c>
      <c r="AS32">
        <f t="shared" si="54"/>
        <v>55.320000000000007</v>
      </c>
      <c r="AT32" t="e">
        <f t="shared" si="54"/>
        <v>#N/A</v>
      </c>
      <c r="AU32" t="e">
        <f t="shared" si="54"/>
        <v>#N/A</v>
      </c>
      <c r="AV32" t="e">
        <f t="shared" si="54"/>
        <v>#N/A</v>
      </c>
      <c r="AW32" t="e">
        <f t="shared" si="54"/>
        <v>#N/A</v>
      </c>
      <c r="AX32" t="e">
        <f t="shared" si="54"/>
        <v>#N/A</v>
      </c>
      <c r="AY32" t="e">
        <f t="shared" si="54"/>
        <v>#N/A</v>
      </c>
      <c r="AZ32" t="e">
        <f t="shared" si="54"/>
        <v>#N/A</v>
      </c>
      <c r="BA32" t="e">
        <f t="shared" si="54"/>
        <v>#N/A</v>
      </c>
      <c r="BB32" t="e">
        <f t="shared" si="54"/>
        <v>#N/A</v>
      </c>
      <c r="BC32" t="e">
        <f t="shared" si="54"/>
        <v>#N/A</v>
      </c>
      <c r="BD32" t="e">
        <f t="shared" si="54"/>
        <v>#N/A</v>
      </c>
      <c r="BE32" t="e">
        <f t="shared" si="54"/>
        <v>#N/A</v>
      </c>
      <c r="BF32" t="e">
        <f t="shared" si="54"/>
        <v>#N/A</v>
      </c>
      <c r="BG32" t="e">
        <f t="shared" si="54"/>
        <v>#N/A</v>
      </c>
      <c r="BH32" t="e">
        <f t="shared" si="54"/>
        <v>#N/A</v>
      </c>
      <c r="BI32" t="e">
        <f t="shared" si="54"/>
        <v>#N/A</v>
      </c>
      <c r="BJ32" t="e">
        <f t="shared" si="54"/>
        <v>#N/A</v>
      </c>
      <c r="BK32" t="e">
        <f t="shared" si="54"/>
        <v>#N/A</v>
      </c>
      <c r="BL32" t="e">
        <f t="shared" si="54"/>
        <v>#N/A</v>
      </c>
      <c r="BM32" t="e">
        <f t="shared" si="54"/>
        <v>#N/A</v>
      </c>
      <c r="BN32" t="e">
        <f t="shared" si="54"/>
        <v>#N/A</v>
      </c>
      <c r="BO32" t="e">
        <f t="shared" si="54"/>
        <v>#N/A</v>
      </c>
      <c r="BP32" t="e">
        <f t="shared" si="54"/>
        <v>#N/A</v>
      </c>
      <c r="BQ32" t="e">
        <f t="shared" si="54"/>
        <v>#N/A</v>
      </c>
      <c r="BR32" t="e">
        <f t="shared" si="54"/>
        <v>#N/A</v>
      </c>
      <c r="BS32" t="e">
        <f t="shared" si="54"/>
        <v>#N/A</v>
      </c>
      <c r="BT32" t="e">
        <f t="shared" si="54"/>
        <v>#N/A</v>
      </c>
      <c r="BU32" t="e">
        <f t="shared" si="54"/>
        <v>#N/A</v>
      </c>
      <c r="BV32" t="e">
        <f t="shared" ref="BV32:EG32" si="55">IF(ISBLANK(BV9),NA(),$A32*BV9)</f>
        <v>#N/A</v>
      </c>
      <c r="BW32" t="e">
        <f t="shared" si="55"/>
        <v>#N/A</v>
      </c>
      <c r="BX32" t="e">
        <f t="shared" si="55"/>
        <v>#N/A</v>
      </c>
      <c r="BY32" t="e">
        <f t="shared" si="55"/>
        <v>#N/A</v>
      </c>
      <c r="BZ32" t="e">
        <f t="shared" si="55"/>
        <v>#N/A</v>
      </c>
      <c r="CA32" t="e">
        <f t="shared" si="55"/>
        <v>#N/A</v>
      </c>
      <c r="CB32" t="e">
        <f t="shared" si="55"/>
        <v>#N/A</v>
      </c>
      <c r="CC32" t="e">
        <f t="shared" si="55"/>
        <v>#N/A</v>
      </c>
      <c r="CD32" t="e">
        <f t="shared" si="55"/>
        <v>#N/A</v>
      </c>
      <c r="CE32" t="e">
        <f t="shared" si="55"/>
        <v>#N/A</v>
      </c>
      <c r="CF32" t="e">
        <f t="shared" si="55"/>
        <v>#N/A</v>
      </c>
      <c r="CG32" t="e">
        <f t="shared" si="55"/>
        <v>#N/A</v>
      </c>
      <c r="CH32" t="e">
        <f t="shared" si="55"/>
        <v>#N/A</v>
      </c>
      <c r="CI32" t="e">
        <f t="shared" si="55"/>
        <v>#N/A</v>
      </c>
      <c r="CJ32" t="e">
        <f t="shared" si="55"/>
        <v>#N/A</v>
      </c>
      <c r="CK32" t="e">
        <f t="shared" si="55"/>
        <v>#N/A</v>
      </c>
      <c r="CL32" t="e">
        <f t="shared" si="55"/>
        <v>#N/A</v>
      </c>
      <c r="CM32" t="e">
        <f t="shared" si="55"/>
        <v>#N/A</v>
      </c>
      <c r="CN32" t="e">
        <f t="shared" si="55"/>
        <v>#N/A</v>
      </c>
      <c r="CO32" t="e">
        <f t="shared" si="55"/>
        <v>#N/A</v>
      </c>
      <c r="CP32" t="e">
        <f t="shared" si="55"/>
        <v>#N/A</v>
      </c>
      <c r="CQ32" t="e">
        <f t="shared" si="55"/>
        <v>#N/A</v>
      </c>
      <c r="CR32" t="e">
        <f t="shared" si="55"/>
        <v>#N/A</v>
      </c>
      <c r="CS32" t="e">
        <f t="shared" si="55"/>
        <v>#N/A</v>
      </c>
      <c r="CT32" t="e">
        <f t="shared" si="55"/>
        <v>#N/A</v>
      </c>
      <c r="CU32" t="e">
        <f t="shared" si="55"/>
        <v>#N/A</v>
      </c>
      <c r="CV32" t="e">
        <f t="shared" si="55"/>
        <v>#N/A</v>
      </c>
      <c r="CW32" t="e">
        <f t="shared" si="55"/>
        <v>#N/A</v>
      </c>
      <c r="CX32" t="e">
        <f t="shared" si="55"/>
        <v>#N/A</v>
      </c>
      <c r="CY32" t="e">
        <f t="shared" si="55"/>
        <v>#N/A</v>
      </c>
      <c r="CZ32" t="e">
        <f t="shared" si="55"/>
        <v>#N/A</v>
      </c>
      <c r="DA32" t="e">
        <f t="shared" si="55"/>
        <v>#N/A</v>
      </c>
      <c r="DB32" t="e">
        <f t="shared" si="55"/>
        <v>#N/A</v>
      </c>
      <c r="DC32" t="e">
        <f t="shared" si="55"/>
        <v>#N/A</v>
      </c>
      <c r="DD32" t="e">
        <f t="shared" si="55"/>
        <v>#N/A</v>
      </c>
      <c r="DE32" t="e">
        <f t="shared" si="55"/>
        <v>#N/A</v>
      </c>
      <c r="DF32" t="e">
        <f t="shared" si="55"/>
        <v>#N/A</v>
      </c>
      <c r="DG32" t="e">
        <f t="shared" si="55"/>
        <v>#N/A</v>
      </c>
      <c r="DH32" t="e">
        <f t="shared" si="55"/>
        <v>#N/A</v>
      </c>
      <c r="DI32" t="e">
        <f t="shared" si="55"/>
        <v>#N/A</v>
      </c>
      <c r="DJ32" t="e">
        <f t="shared" si="55"/>
        <v>#N/A</v>
      </c>
      <c r="DK32" t="e">
        <f t="shared" si="55"/>
        <v>#N/A</v>
      </c>
      <c r="DL32" t="e">
        <f t="shared" si="55"/>
        <v>#N/A</v>
      </c>
      <c r="DM32" t="e">
        <f t="shared" si="55"/>
        <v>#N/A</v>
      </c>
      <c r="DN32" t="e">
        <f t="shared" si="55"/>
        <v>#N/A</v>
      </c>
      <c r="DO32" t="e">
        <f t="shared" si="55"/>
        <v>#N/A</v>
      </c>
      <c r="DP32" t="e">
        <f t="shared" si="55"/>
        <v>#N/A</v>
      </c>
      <c r="DQ32" t="e">
        <f t="shared" si="55"/>
        <v>#N/A</v>
      </c>
      <c r="DR32" t="e">
        <f t="shared" si="55"/>
        <v>#N/A</v>
      </c>
      <c r="DS32" t="e">
        <f t="shared" si="55"/>
        <v>#N/A</v>
      </c>
      <c r="DT32" t="e">
        <f t="shared" si="55"/>
        <v>#N/A</v>
      </c>
      <c r="DU32" t="e">
        <f t="shared" si="55"/>
        <v>#N/A</v>
      </c>
      <c r="DV32" t="e">
        <f t="shared" si="55"/>
        <v>#N/A</v>
      </c>
      <c r="DW32" t="e">
        <f t="shared" si="55"/>
        <v>#N/A</v>
      </c>
      <c r="DX32" t="e">
        <f t="shared" si="55"/>
        <v>#N/A</v>
      </c>
      <c r="DY32" t="e">
        <f t="shared" si="55"/>
        <v>#N/A</v>
      </c>
      <c r="DZ32" t="e">
        <f t="shared" si="55"/>
        <v>#N/A</v>
      </c>
      <c r="EA32" t="e">
        <f t="shared" si="55"/>
        <v>#N/A</v>
      </c>
      <c r="EB32" t="e">
        <f t="shared" si="55"/>
        <v>#N/A</v>
      </c>
      <c r="EC32" t="e">
        <f t="shared" si="55"/>
        <v>#N/A</v>
      </c>
      <c r="ED32" t="e">
        <f t="shared" si="55"/>
        <v>#N/A</v>
      </c>
      <c r="EE32" t="e">
        <f t="shared" si="55"/>
        <v>#N/A</v>
      </c>
      <c r="EF32" t="e">
        <f t="shared" si="55"/>
        <v>#N/A</v>
      </c>
      <c r="EG32" t="e">
        <f t="shared" si="55"/>
        <v>#N/A</v>
      </c>
      <c r="EH32" t="e">
        <f t="shared" ref="EH32:GA32" si="56">IF(ISBLANK(EH9),NA(),$A32*EH9)</f>
        <v>#N/A</v>
      </c>
      <c r="EI32" t="e">
        <f t="shared" si="56"/>
        <v>#N/A</v>
      </c>
      <c r="EJ32" t="e">
        <f t="shared" si="56"/>
        <v>#N/A</v>
      </c>
      <c r="EK32" t="e">
        <f t="shared" si="56"/>
        <v>#N/A</v>
      </c>
      <c r="EL32" t="e">
        <f t="shared" si="56"/>
        <v>#N/A</v>
      </c>
      <c r="EM32" t="e">
        <f t="shared" si="56"/>
        <v>#N/A</v>
      </c>
      <c r="EN32" t="e">
        <f t="shared" si="56"/>
        <v>#N/A</v>
      </c>
      <c r="EO32" t="e">
        <f t="shared" si="56"/>
        <v>#N/A</v>
      </c>
      <c r="EP32" t="e">
        <f t="shared" si="56"/>
        <v>#N/A</v>
      </c>
      <c r="EQ32" t="e">
        <f t="shared" si="56"/>
        <v>#N/A</v>
      </c>
      <c r="ER32" t="e">
        <f t="shared" si="56"/>
        <v>#N/A</v>
      </c>
      <c r="ES32" t="e">
        <f t="shared" si="56"/>
        <v>#N/A</v>
      </c>
      <c r="ET32" t="e">
        <f t="shared" si="56"/>
        <v>#N/A</v>
      </c>
      <c r="EU32" t="e">
        <f t="shared" si="56"/>
        <v>#N/A</v>
      </c>
      <c r="EV32" t="e">
        <f t="shared" si="56"/>
        <v>#N/A</v>
      </c>
      <c r="EW32" t="e">
        <f t="shared" si="56"/>
        <v>#N/A</v>
      </c>
      <c r="EX32" t="e">
        <f t="shared" si="56"/>
        <v>#N/A</v>
      </c>
      <c r="EY32" t="e">
        <f t="shared" si="56"/>
        <v>#N/A</v>
      </c>
      <c r="EZ32" t="e">
        <f t="shared" si="56"/>
        <v>#N/A</v>
      </c>
      <c r="FA32" t="e">
        <f t="shared" si="56"/>
        <v>#N/A</v>
      </c>
      <c r="FB32" t="e">
        <f t="shared" si="56"/>
        <v>#N/A</v>
      </c>
      <c r="FC32" t="e">
        <f t="shared" si="56"/>
        <v>#N/A</v>
      </c>
      <c r="FD32" t="e">
        <f t="shared" si="56"/>
        <v>#N/A</v>
      </c>
      <c r="FE32" t="e">
        <f t="shared" si="56"/>
        <v>#N/A</v>
      </c>
      <c r="FF32" t="e">
        <f t="shared" si="56"/>
        <v>#N/A</v>
      </c>
      <c r="FG32" t="e">
        <f t="shared" si="56"/>
        <v>#N/A</v>
      </c>
      <c r="FH32" t="e">
        <f t="shared" si="56"/>
        <v>#N/A</v>
      </c>
      <c r="FI32" t="e">
        <f t="shared" si="56"/>
        <v>#N/A</v>
      </c>
      <c r="FJ32" t="e">
        <f t="shared" si="56"/>
        <v>#N/A</v>
      </c>
      <c r="FK32" t="e">
        <f t="shared" si="56"/>
        <v>#N/A</v>
      </c>
      <c r="FL32" t="e">
        <f t="shared" si="56"/>
        <v>#N/A</v>
      </c>
      <c r="FM32" t="e">
        <f t="shared" si="56"/>
        <v>#N/A</v>
      </c>
      <c r="FN32" t="e">
        <f t="shared" si="56"/>
        <v>#N/A</v>
      </c>
      <c r="FO32" t="e">
        <f t="shared" si="56"/>
        <v>#N/A</v>
      </c>
      <c r="FP32" t="e">
        <f t="shared" si="56"/>
        <v>#N/A</v>
      </c>
      <c r="FQ32" t="e">
        <f t="shared" si="56"/>
        <v>#N/A</v>
      </c>
      <c r="FR32" t="e">
        <f t="shared" si="56"/>
        <v>#N/A</v>
      </c>
      <c r="FS32" t="e">
        <f t="shared" si="56"/>
        <v>#N/A</v>
      </c>
      <c r="FT32" t="e">
        <f t="shared" si="56"/>
        <v>#N/A</v>
      </c>
      <c r="FU32" t="e">
        <f t="shared" si="56"/>
        <v>#N/A</v>
      </c>
      <c r="FV32" t="e">
        <f t="shared" si="56"/>
        <v>#N/A</v>
      </c>
      <c r="FW32" t="e">
        <f t="shared" si="56"/>
        <v>#N/A</v>
      </c>
      <c r="FX32" t="e">
        <f t="shared" si="56"/>
        <v>#N/A</v>
      </c>
      <c r="FY32" t="e">
        <f t="shared" si="56"/>
        <v>#N/A</v>
      </c>
      <c r="FZ32" t="e">
        <f t="shared" si="56"/>
        <v>#N/A</v>
      </c>
      <c r="GA32" t="e">
        <f t="shared" si="56"/>
        <v>#N/A</v>
      </c>
    </row>
    <row r="36" spans="1:183" x14ac:dyDescent="0.45">
      <c r="A36" s="2" t="s">
        <v>29</v>
      </c>
    </row>
    <row r="37" spans="1:183" x14ac:dyDescent="0.45">
      <c r="I37" s="1">
        <f>I25</f>
        <v>44331</v>
      </c>
      <c r="J37" s="1">
        <f t="shared" ref="J37:BU37" si="57">J25</f>
        <v>44332</v>
      </c>
      <c r="K37" s="1">
        <f t="shared" si="57"/>
        <v>44333</v>
      </c>
      <c r="L37" s="1">
        <f t="shared" si="57"/>
        <v>44334</v>
      </c>
      <c r="M37" s="1">
        <f t="shared" si="57"/>
        <v>44335</v>
      </c>
      <c r="N37" s="1">
        <f t="shared" si="57"/>
        <v>44336</v>
      </c>
      <c r="O37" s="1">
        <f t="shared" si="57"/>
        <v>44337</v>
      </c>
      <c r="P37" s="1">
        <f t="shared" si="57"/>
        <v>44338</v>
      </c>
      <c r="Q37" s="1">
        <f t="shared" si="57"/>
        <v>44339</v>
      </c>
      <c r="R37" s="1">
        <f t="shared" si="57"/>
        <v>44340</v>
      </c>
      <c r="S37" s="1">
        <f t="shared" si="57"/>
        <v>44341</v>
      </c>
      <c r="T37" s="1">
        <f t="shared" si="57"/>
        <v>44342</v>
      </c>
      <c r="U37" s="1">
        <f t="shared" si="57"/>
        <v>44343</v>
      </c>
      <c r="V37" s="1">
        <f t="shared" si="57"/>
        <v>44344</v>
      </c>
      <c r="W37" s="1">
        <f t="shared" si="57"/>
        <v>44345</v>
      </c>
      <c r="X37" s="1">
        <f t="shared" si="57"/>
        <v>44346</v>
      </c>
      <c r="Y37" s="1">
        <f t="shared" si="57"/>
        <v>44347</v>
      </c>
      <c r="Z37" s="1">
        <f t="shared" si="57"/>
        <v>44348</v>
      </c>
      <c r="AA37" s="1">
        <f t="shared" si="57"/>
        <v>44349</v>
      </c>
      <c r="AB37" s="1">
        <f t="shared" si="57"/>
        <v>44350</v>
      </c>
      <c r="AC37" s="1">
        <f t="shared" si="57"/>
        <v>44351</v>
      </c>
      <c r="AD37" s="1">
        <f t="shared" si="57"/>
        <v>44352</v>
      </c>
      <c r="AE37" s="1">
        <f t="shared" si="57"/>
        <v>44353</v>
      </c>
      <c r="AF37" s="1">
        <f t="shared" si="57"/>
        <v>44354</v>
      </c>
      <c r="AG37" s="1">
        <f t="shared" si="57"/>
        <v>44355</v>
      </c>
      <c r="AH37" s="1">
        <f t="shared" si="57"/>
        <v>44356</v>
      </c>
      <c r="AI37" s="1">
        <f t="shared" si="57"/>
        <v>44357</v>
      </c>
      <c r="AJ37" s="1">
        <f t="shared" si="57"/>
        <v>44358</v>
      </c>
      <c r="AK37" s="1">
        <f t="shared" si="57"/>
        <v>44359</v>
      </c>
      <c r="AL37" s="1">
        <f t="shared" si="57"/>
        <v>44360</v>
      </c>
      <c r="AM37" s="1">
        <f t="shared" si="57"/>
        <v>44361</v>
      </c>
      <c r="AN37" s="1">
        <f t="shared" si="57"/>
        <v>44362</v>
      </c>
      <c r="AO37" s="1">
        <f t="shared" si="57"/>
        <v>44363</v>
      </c>
      <c r="AP37" s="1">
        <f t="shared" si="57"/>
        <v>44364</v>
      </c>
      <c r="AQ37" s="1">
        <f t="shared" si="57"/>
        <v>44365</v>
      </c>
      <c r="AR37" s="1">
        <f t="shared" si="57"/>
        <v>44366</v>
      </c>
      <c r="AS37" s="1">
        <f t="shared" si="57"/>
        <v>44367</v>
      </c>
      <c r="AT37" s="1">
        <f t="shared" si="57"/>
        <v>44368</v>
      </c>
      <c r="AU37" s="1">
        <f t="shared" si="57"/>
        <v>44369</v>
      </c>
      <c r="AV37" s="1">
        <f t="shared" si="57"/>
        <v>44370</v>
      </c>
      <c r="AW37" s="1">
        <f t="shared" si="57"/>
        <v>44371</v>
      </c>
      <c r="AX37" s="1">
        <f t="shared" si="57"/>
        <v>44372</v>
      </c>
      <c r="AY37" s="1">
        <f t="shared" si="57"/>
        <v>44373</v>
      </c>
      <c r="AZ37" s="1">
        <f t="shared" si="57"/>
        <v>44374</v>
      </c>
      <c r="BA37" s="1">
        <f t="shared" si="57"/>
        <v>44375</v>
      </c>
      <c r="BB37" s="1">
        <f t="shared" si="57"/>
        <v>44376</v>
      </c>
      <c r="BC37" s="1">
        <f t="shared" si="57"/>
        <v>44377</v>
      </c>
      <c r="BD37" s="1">
        <f t="shared" si="57"/>
        <v>44378</v>
      </c>
      <c r="BE37" s="1">
        <f t="shared" si="57"/>
        <v>44379</v>
      </c>
      <c r="BF37" s="1">
        <f t="shared" si="57"/>
        <v>44380</v>
      </c>
      <c r="BG37" s="1">
        <f t="shared" si="57"/>
        <v>44381</v>
      </c>
      <c r="BH37" s="1">
        <f t="shared" si="57"/>
        <v>44382</v>
      </c>
      <c r="BI37" s="1">
        <f t="shared" si="57"/>
        <v>44383</v>
      </c>
      <c r="BJ37" s="1">
        <f t="shared" si="57"/>
        <v>44384</v>
      </c>
      <c r="BK37" s="1">
        <f t="shared" si="57"/>
        <v>44385</v>
      </c>
      <c r="BL37" s="1">
        <f t="shared" si="57"/>
        <v>44386</v>
      </c>
      <c r="BM37" s="1">
        <f t="shared" si="57"/>
        <v>44387</v>
      </c>
      <c r="BN37" s="1">
        <f t="shared" si="57"/>
        <v>44388</v>
      </c>
      <c r="BO37" s="1">
        <f t="shared" si="57"/>
        <v>44389</v>
      </c>
      <c r="BP37" s="1">
        <f t="shared" si="57"/>
        <v>44390</v>
      </c>
      <c r="BQ37" s="1">
        <f t="shared" si="57"/>
        <v>44391</v>
      </c>
      <c r="BR37" s="1">
        <f t="shared" si="57"/>
        <v>44392</v>
      </c>
      <c r="BS37" s="1">
        <f t="shared" si="57"/>
        <v>44393</v>
      </c>
      <c r="BT37" s="1">
        <f t="shared" si="57"/>
        <v>44394</v>
      </c>
      <c r="BU37" s="1">
        <f t="shared" si="57"/>
        <v>44395</v>
      </c>
      <c r="BV37" s="1">
        <f t="shared" ref="BV37:EG37" si="58">BV25</f>
        <v>44396</v>
      </c>
      <c r="BW37" s="1">
        <f t="shared" si="58"/>
        <v>44397</v>
      </c>
      <c r="BX37" s="1">
        <f t="shared" si="58"/>
        <v>44398</v>
      </c>
      <c r="BY37" s="1">
        <f t="shared" si="58"/>
        <v>44399</v>
      </c>
      <c r="BZ37" s="1">
        <f t="shared" si="58"/>
        <v>44400</v>
      </c>
      <c r="CA37" s="1">
        <f t="shared" si="58"/>
        <v>44401</v>
      </c>
      <c r="CB37" s="1">
        <f t="shared" si="58"/>
        <v>44402</v>
      </c>
      <c r="CC37" s="1">
        <f t="shared" si="58"/>
        <v>44403</v>
      </c>
      <c r="CD37" s="1">
        <f t="shared" si="58"/>
        <v>44404</v>
      </c>
      <c r="CE37" s="1">
        <f t="shared" si="58"/>
        <v>44405</v>
      </c>
      <c r="CF37" s="1">
        <f t="shared" si="58"/>
        <v>44406</v>
      </c>
      <c r="CG37" s="1">
        <f t="shared" si="58"/>
        <v>44407</v>
      </c>
      <c r="CH37" s="1">
        <f t="shared" si="58"/>
        <v>44408</v>
      </c>
      <c r="CI37" s="1">
        <f t="shared" si="58"/>
        <v>44409</v>
      </c>
      <c r="CJ37" s="1">
        <f t="shared" si="58"/>
        <v>44410</v>
      </c>
      <c r="CK37" s="1">
        <f t="shared" si="58"/>
        <v>44411</v>
      </c>
      <c r="CL37" s="1">
        <f t="shared" si="58"/>
        <v>44412</v>
      </c>
      <c r="CM37" s="1">
        <f t="shared" si="58"/>
        <v>44413</v>
      </c>
      <c r="CN37" s="1">
        <f t="shared" si="58"/>
        <v>44414</v>
      </c>
      <c r="CO37" s="1">
        <f t="shared" si="58"/>
        <v>44415</v>
      </c>
      <c r="CP37" s="1">
        <f t="shared" si="58"/>
        <v>44416</v>
      </c>
      <c r="CQ37" s="1">
        <f t="shared" si="58"/>
        <v>44417</v>
      </c>
      <c r="CR37" s="1">
        <f t="shared" si="58"/>
        <v>44418</v>
      </c>
      <c r="CS37" s="1">
        <f t="shared" si="58"/>
        <v>44419</v>
      </c>
      <c r="CT37" s="1">
        <f t="shared" si="58"/>
        <v>44420</v>
      </c>
      <c r="CU37" s="1">
        <f t="shared" si="58"/>
        <v>44421</v>
      </c>
      <c r="CV37" s="1">
        <f t="shared" si="58"/>
        <v>44422</v>
      </c>
      <c r="CW37" s="1">
        <f t="shared" si="58"/>
        <v>44423</v>
      </c>
      <c r="CX37" s="1">
        <f t="shared" si="58"/>
        <v>44424</v>
      </c>
      <c r="CY37" s="1">
        <f t="shared" si="58"/>
        <v>44425</v>
      </c>
      <c r="CZ37" s="1">
        <f t="shared" si="58"/>
        <v>44426</v>
      </c>
      <c r="DA37" s="1">
        <f t="shared" si="58"/>
        <v>44427</v>
      </c>
      <c r="DB37" s="1">
        <f t="shared" si="58"/>
        <v>44428</v>
      </c>
      <c r="DC37" s="1">
        <f t="shared" si="58"/>
        <v>44429</v>
      </c>
      <c r="DD37" s="1">
        <f t="shared" si="58"/>
        <v>44430</v>
      </c>
      <c r="DE37" s="1">
        <f t="shared" si="58"/>
        <v>44431</v>
      </c>
      <c r="DF37" s="1">
        <f t="shared" si="58"/>
        <v>44432</v>
      </c>
      <c r="DG37" s="1">
        <f t="shared" si="58"/>
        <v>44433</v>
      </c>
      <c r="DH37" s="1">
        <f t="shared" si="58"/>
        <v>44434</v>
      </c>
      <c r="DI37" s="1">
        <f t="shared" si="58"/>
        <v>44435</v>
      </c>
      <c r="DJ37" s="1">
        <f t="shared" si="58"/>
        <v>44436</v>
      </c>
      <c r="DK37" s="1">
        <f t="shared" si="58"/>
        <v>44437</v>
      </c>
      <c r="DL37" s="1">
        <f t="shared" si="58"/>
        <v>44438</v>
      </c>
      <c r="DM37" s="1">
        <f t="shared" si="58"/>
        <v>44439</v>
      </c>
      <c r="DN37" s="1">
        <f t="shared" si="58"/>
        <v>44440</v>
      </c>
      <c r="DO37" s="1">
        <f t="shared" si="58"/>
        <v>44441</v>
      </c>
      <c r="DP37" s="1">
        <f t="shared" si="58"/>
        <v>44442</v>
      </c>
      <c r="DQ37" s="1">
        <f t="shared" si="58"/>
        <v>44443</v>
      </c>
      <c r="DR37" s="1">
        <f t="shared" si="58"/>
        <v>44444</v>
      </c>
      <c r="DS37" s="1">
        <f t="shared" si="58"/>
        <v>44445</v>
      </c>
      <c r="DT37" s="1">
        <f t="shared" si="58"/>
        <v>44446</v>
      </c>
      <c r="DU37" s="1">
        <f t="shared" si="58"/>
        <v>44447</v>
      </c>
      <c r="DV37" s="1">
        <f t="shared" si="58"/>
        <v>44448</v>
      </c>
      <c r="DW37" s="1">
        <f t="shared" si="58"/>
        <v>44449</v>
      </c>
      <c r="DX37" s="1">
        <f t="shared" si="58"/>
        <v>44450</v>
      </c>
      <c r="DY37" s="1">
        <f t="shared" si="58"/>
        <v>44451</v>
      </c>
      <c r="DZ37" s="1">
        <f t="shared" si="58"/>
        <v>44452</v>
      </c>
      <c r="EA37" s="1">
        <f t="shared" si="58"/>
        <v>44453</v>
      </c>
      <c r="EB37" s="1">
        <f t="shared" si="58"/>
        <v>44454</v>
      </c>
      <c r="EC37" s="1">
        <f t="shared" si="58"/>
        <v>44455</v>
      </c>
      <c r="ED37" s="1">
        <f t="shared" si="58"/>
        <v>44456</v>
      </c>
      <c r="EE37" s="1">
        <f t="shared" si="58"/>
        <v>44457</v>
      </c>
      <c r="EF37" s="1">
        <f t="shared" si="58"/>
        <v>44458</v>
      </c>
      <c r="EG37" s="1">
        <f t="shared" si="58"/>
        <v>44459</v>
      </c>
      <c r="EH37" s="1">
        <f t="shared" ref="EH37:GA37" si="59">EH25</f>
        <v>44460</v>
      </c>
      <c r="EI37" s="1">
        <f t="shared" si="59"/>
        <v>44461</v>
      </c>
      <c r="EJ37" s="1">
        <f t="shared" si="59"/>
        <v>44462</v>
      </c>
      <c r="EK37" s="1">
        <f t="shared" si="59"/>
        <v>44463</v>
      </c>
      <c r="EL37" s="1">
        <f t="shared" si="59"/>
        <v>44464</v>
      </c>
      <c r="EM37" s="1">
        <f t="shared" si="59"/>
        <v>44465</v>
      </c>
      <c r="EN37" s="1">
        <f t="shared" si="59"/>
        <v>44466</v>
      </c>
      <c r="EO37" s="1">
        <f t="shared" si="59"/>
        <v>44467</v>
      </c>
      <c r="EP37" s="1">
        <f t="shared" si="59"/>
        <v>44468</v>
      </c>
      <c r="EQ37" s="1">
        <f t="shared" si="59"/>
        <v>44469</v>
      </c>
      <c r="ER37" s="1">
        <f t="shared" si="59"/>
        <v>44470</v>
      </c>
      <c r="ES37" s="1">
        <f t="shared" si="59"/>
        <v>44471</v>
      </c>
      <c r="ET37" s="1">
        <f t="shared" si="59"/>
        <v>44472</v>
      </c>
      <c r="EU37" s="1">
        <f t="shared" si="59"/>
        <v>44473</v>
      </c>
      <c r="EV37" s="1">
        <f t="shared" si="59"/>
        <v>44474</v>
      </c>
      <c r="EW37" s="1">
        <f t="shared" si="59"/>
        <v>44475</v>
      </c>
      <c r="EX37" s="1">
        <f t="shared" si="59"/>
        <v>44476</v>
      </c>
      <c r="EY37" s="1">
        <f t="shared" si="59"/>
        <v>44477</v>
      </c>
      <c r="EZ37" s="1">
        <f t="shared" si="59"/>
        <v>44478</v>
      </c>
      <c r="FA37" s="1">
        <f t="shared" si="59"/>
        <v>44479</v>
      </c>
      <c r="FB37" s="1">
        <f t="shared" si="59"/>
        <v>44480</v>
      </c>
      <c r="FC37" s="1">
        <f t="shared" si="59"/>
        <v>44481</v>
      </c>
      <c r="FD37" s="1">
        <f t="shared" si="59"/>
        <v>44482</v>
      </c>
      <c r="FE37" s="1">
        <f t="shared" si="59"/>
        <v>44483</v>
      </c>
      <c r="FF37" s="1">
        <f t="shared" si="59"/>
        <v>44484</v>
      </c>
      <c r="FG37" s="1">
        <f t="shared" si="59"/>
        <v>44485</v>
      </c>
      <c r="FH37" s="1">
        <f t="shared" si="59"/>
        <v>44486</v>
      </c>
      <c r="FI37" s="1">
        <f t="shared" si="59"/>
        <v>44487</v>
      </c>
      <c r="FJ37" s="1">
        <f t="shared" si="59"/>
        <v>44488</v>
      </c>
      <c r="FK37" s="1">
        <f t="shared" si="59"/>
        <v>44489</v>
      </c>
      <c r="FL37" s="1">
        <f t="shared" si="59"/>
        <v>44490</v>
      </c>
      <c r="FM37" s="1">
        <f t="shared" si="59"/>
        <v>44491</v>
      </c>
      <c r="FN37" s="1">
        <f t="shared" si="59"/>
        <v>44492</v>
      </c>
      <c r="FO37" s="1">
        <f t="shared" si="59"/>
        <v>44493</v>
      </c>
      <c r="FP37" s="1">
        <f t="shared" si="59"/>
        <v>44494</v>
      </c>
      <c r="FQ37" s="1">
        <f t="shared" si="59"/>
        <v>44495</v>
      </c>
      <c r="FR37" s="1">
        <f t="shared" si="59"/>
        <v>44496</v>
      </c>
      <c r="FS37" s="1">
        <f t="shared" si="59"/>
        <v>44497</v>
      </c>
      <c r="FT37" s="1">
        <f t="shared" si="59"/>
        <v>44498</v>
      </c>
      <c r="FU37" s="1">
        <f t="shared" si="59"/>
        <v>44499</v>
      </c>
      <c r="FV37" s="1">
        <f t="shared" si="59"/>
        <v>44500</v>
      </c>
      <c r="FW37" s="1">
        <f t="shared" si="59"/>
        <v>44501</v>
      </c>
      <c r="FX37" s="1">
        <f t="shared" si="59"/>
        <v>44502</v>
      </c>
      <c r="FY37" s="1">
        <f t="shared" si="59"/>
        <v>44503</v>
      </c>
      <c r="FZ37" s="1">
        <f t="shared" si="59"/>
        <v>44504</v>
      </c>
      <c r="GA37" s="1">
        <f t="shared" si="59"/>
        <v>44505</v>
      </c>
    </row>
    <row r="38" spans="1:183" x14ac:dyDescent="0.45">
      <c r="A38">
        <f>A26</f>
        <v>48</v>
      </c>
      <c r="B38" t="s">
        <v>21</v>
      </c>
      <c r="C38" cm="1">
        <f t="array" ref="C38">LOOKUP(2,1/(I38:GA38&lt;&gt;""),I38:GA38)</f>
        <v>359.04</v>
      </c>
      <c r="D38">
        <f t="shared" ref="D38:D44" si="60">D$9</f>
        <v>45</v>
      </c>
      <c r="F38" s="4">
        <f t="shared" ref="F38" si="61">(C38-I38)/I38</f>
        <v>1.2735562310030397</v>
      </c>
      <c r="G38" s="3" cm="1">
        <f t="array" ref="G38">(C38-IF(ISNA(INDEX(I38:GA38,D38-22)),INDEX(I38:GA38,D38-23),INDEX(I38:GA38,D38-22)))/IF(ISNA(INDEX(I38:GA38,D38-22)),INDEX(I38:GA38,D38-23),INDEX(I38:GA38,D38-22))</f>
        <v>-7.881773399014784E-2</v>
      </c>
      <c r="I38">
        <f t="shared" ref="I38:I44" si="62">IF(ISNA(I15),NA(),$A38*I15)</f>
        <v>157.91999999999999</v>
      </c>
      <c r="J38">
        <f t="shared" ref="J38:BU38" si="63">IF(ISNA(J15),NA(),$A38*J15)</f>
        <v>149.76</v>
      </c>
      <c r="K38" t="e">
        <f t="shared" si="63"/>
        <v>#N/A</v>
      </c>
      <c r="L38">
        <f t="shared" si="63"/>
        <v>160.80000000000001</v>
      </c>
      <c r="M38" t="e">
        <f t="shared" si="63"/>
        <v>#N/A</v>
      </c>
      <c r="N38">
        <f t="shared" si="63"/>
        <v>180.96</v>
      </c>
      <c r="O38">
        <f t="shared" si="63"/>
        <v>179.04</v>
      </c>
      <c r="P38">
        <f t="shared" si="63"/>
        <v>244.32000000000005</v>
      </c>
      <c r="Q38">
        <f t="shared" si="63"/>
        <v>240</v>
      </c>
      <c r="R38">
        <f t="shared" si="63"/>
        <v>264.95999999999998</v>
      </c>
      <c r="S38">
        <f t="shared" si="63"/>
        <v>265.92</v>
      </c>
      <c r="T38">
        <f t="shared" si="63"/>
        <v>312.96000000000004</v>
      </c>
      <c r="U38">
        <f t="shared" si="63"/>
        <v>354.23999999999995</v>
      </c>
      <c r="V38">
        <f t="shared" si="63"/>
        <v>350.4</v>
      </c>
      <c r="W38">
        <f t="shared" si="63"/>
        <v>314.39999999999998</v>
      </c>
      <c r="X38">
        <f t="shared" si="63"/>
        <v>294.71999999999997</v>
      </c>
      <c r="Y38">
        <f t="shared" si="63"/>
        <v>279.36</v>
      </c>
      <c r="Z38">
        <f t="shared" si="63"/>
        <v>314.88</v>
      </c>
      <c r="AA38">
        <f t="shared" si="63"/>
        <v>349.92</v>
      </c>
      <c r="AB38">
        <f t="shared" si="63"/>
        <v>368.64000000000004</v>
      </c>
      <c r="AC38">
        <f t="shared" si="63"/>
        <v>380.16</v>
      </c>
      <c r="AD38">
        <f t="shared" si="63"/>
        <v>446.4</v>
      </c>
      <c r="AE38">
        <f t="shared" si="63"/>
        <v>389.76000000000005</v>
      </c>
      <c r="AF38">
        <f t="shared" si="63"/>
        <v>386.40000000000003</v>
      </c>
      <c r="AG38">
        <f t="shared" si="63"/>
        <v>390.23999999999995</v>
      </c>
      <c r="AH38">
        <f t="shared" si="63"/>
        <v>387.83999999999992</v>
      </c>
      <c r="AI38">
        <f t="shared" si="63"/>
        <v>387.36</v>
      </c>
      <c r="AJ38">
        <f t="shared" si="63"/>
        <v>376.8</v>
      </c>
      <c r="AK38">
        <f t="shared" si="63"/>
        <v>395.51999999999992</v>
      </c>
      <c r="AL38">
        <f t="shared" si="63"/>
        <v>406.08000000000004</v>
      </c>
      <c r="AM38">
        <f t="shared" si="63"/>
        <v>395.51999999999992</v>
      </c>
      <c r="AN38" t="e">
        <f t="shared" si="63"/>
        <v>#N/A</v>
      </c>
      <c r="AO38">
        <f t="shared" si="63"/>
        <v>396.96</v>
      </c>
      <c r="AP38">
        <f t="shared" si="63"/>
        <v>391.19999999999993</v>
      </c>
      <c r="AQ38">
        <f t="shared" si="63"/>
        <v>372.48</v>
      </c>
      <c r="AR38">
        <f t="shared" si="63"/>
        <v>375.84000000000003</v>
      </c>
      <c r="AS38">
        <f t="shared" si="63"/>
        <v>359.04</v>
      </c>
      <c r="AT38" t="e">
        <f t="shared" si="63"/>
        <v>#N/A</v>
      </c>
      <c r="AU38" t="e">
        <f t="shared" si="63"/>
        <v>#N/A</v>
      </c>
      <c r="AV38" t="e">
        <f t="shared" si="63"/>
        <v>#N/A</v>
      </c>
      <c r="AW38" t="e">
        <f t="shared" si="63"/>
        <v>#N/A</v>
      </c>
      <c r="AX38" t="e">
        <f t="shared" si="63"/>
        <v>#N/A</v>
      </c>
      <c r="AY38" t="e">
        <f t="shared" si="63"/>
        <v>#N/A</v>
      </c>
      <c r="AZ38" t="e">
        <f t="shared" si="63"/>
        <v>#N/A</v>
      </c>
      <c r="BA38" t="e">
        <f t="shared" si="63"/>
        <v>#N/A</v>
      </c>
      <c r="BB38" t="e">
        <f t="shared" si="63"/>
        <v>#N/A</v>
      </c>
      <c r="BC38" t="e">
        <f t="shared" si="63"/>
        <v>#N/A</v>
      </c>
      <c r="BD38" t="e">
        <f t="shared" si="63"/>
        <v>#N/A</v>
      </c>
      <c r="BE38" t="e">
        <f t="shared" si="63"/>
        <v>#N/A</v>
      </c>
      <c r="BF38" t="e">
        <f t="shared" si="63"/>
        <v>#N/A</v>
      </c>
      <c r="BG38" t="e">
        <f t="shared" si="63"/>
        <v>#N/A</v>
      </c>
      <c r="BH38" t="e">
        <f t="shared" si="63"/>
        <v>#N/A</v>
      </c>
      <c r="BI38" t="e">
        <f t="shared" si="63"/>
        <v>#N/A</v>
      </c>
      <c r="BJ38" t="e">
        <f t="shared" si="63"/>
        <v>#N/A</v>
      </c>
      <c r="BK38" t="e">
        <f t="shared" si="63"/>
        <v>#N/A</v>
      </c>
      <c r="BL38" t="e">
        <f t="shared" si="63"/>
        <v>#N/A</v>
      </c>
      <c r="BM38" t="e">
        <f t="shared" si="63"/>
        <v>#N/A</v>
      </c>
      <c r="BN38" t="e">
        <f t="shared" si="63"/>
        <v>#N/A</v>
      </c>
      <c r="BO38" t="e">
        <f t="shared" si="63"/>
        <v>#N/A</v>
      </c>
      <c r="BP38" t="e">
        <f t="shared" si="63"/>
        <v>#N/A</v>
      </c>
      <c r="BQ38" t="e">
        <f t="shared" si="63"/>
        <v>#N/A</v>
      </c>
      <c r="BR38" t="e">
        <f t="shared" si="63"/>
        <v>#N/A</v>
      </c>
      <c r="BS38" t="e">
        <f t="shared" si="63"/>
        <v>#N/A</v>
      </c>
      <c r="BT38" t="e">
        <f t="shared" si="63"/>
        <v>#N/A</v>
      </c>
      <c r="BU38" t="e">
        <f t="shared" si="63"/>
        <v>#N/A</v>
      </c>
      <c r="BV38" t="e">
        <f t="shared" ref="BV38:EG38" si="64">IF(ISNA(BV15),NA(),$A38*BV15)</f>
        <v>#N/A</v>
      </c>
      <c r="BW38" t="e">
        <f t="shared" si="64"/>
        <v>#N/A</v>
      </c>
      <c r="BX38" t="e">
        <f t="shared" si="64"/>
        <v>#N/A</v>
      </c>
      <c r="BY38" t="e">
        <f t="shared" si="64"/>
        <v>#N/A</v>
      </c>
      <c r="BZ38" t="e">
        <f t="shared" si="64"/>
        <v>#N/A</v>
      </c>
      <c r="CA38" t="e">
        <f t="shared" si="64"/>
        <v>#N/A</v>
      </c>
      <c r="CB38" t="e">
        <f t="shared" si="64"/>
        <v>#N/A</v>
      </c>
      <c r="CC38" t="e">
        <f t="shared" si="64"/>
        <v>#N/A</v>
      </c>
      <c r="CD38" t="e">
        <f t="shared" si="64"/>
        <v>#N/A</v>
      </c>
      <c r="CE38" t="e">
        <f t="shared" si="64"/>
        <v>#N/A</v>
      </c>
      <c r="CF38" t="e">
        <f t="shared" si="64"/>
        <v>#N/A</v>
      </c>
      <c r="CG38" t="e">
        <f t="shared" si="64"/>
        <v>#N/A</v>
      </c>
      <c r="CH38" t="e">
        <f t="shared" si="64"/>
        <v>#N/A</v>
      </c>
      <c r="CI38" t="e">
        <f t="shared" si="64"/>
        <v>#N/A</v>
      </c>
      <c r="CJ38" t="e">
        <f t="shared" si="64"/>
        <v>#N/A</v>
      </c>
      <c r="CK38" t="e">
        <f t="shared" si="64"/>
        <v>#N/A</v>
      </c>
      <c r="CL38" t="e">
        <f t="shared" si="64"/>
        <v>#N/A</v>
      </c>
      <c r="CM38" t="e">
        <f t="shared" si="64"/>
        <v>#N/A</v>
      </c>
      <c r="CN38" t="e">
        <f t="shared" si="64"/>
        <v>#N/A</v>
      </c>
      <c r="CO38" t="e">
        <f t="shared" si="64"/>
        <v>#N/A</v>
      </c>
      <c r="CP38" t="e">
        <f t="shared" si="64"/>
        <v>#N/A</v>
      </c>
      <c r="CQ38" t="e">
        <f t="shared" si="64"/>
        <v>#N/A</v>
      </c>
      <c r="CR38" t="e">
        <f t="shared" si="64"/>
        <v>#N/A</v>
      </c>
      <c r="CS38" t="e">
        <f t="shared" si="64"/>
        <v>#N/A</v>
      </c>
      <c r="CT38" t="e">
        <f t="shared" si="64"/>
        <v>#N/A</v>
      </c>
      <c r="CU38" t="e">
        <f t="shared" si="64"/>
        <v>#N/A</v>
      </c>
      <c r="CV38" t="e">
        <f t="shared" si="64"/>
        <v>#N/A</v>
      </c>
      <c r="CW38" t="e">
        <f t="shared" si="64"/>
        <v>#N/A</v>
      </c>
      <c r="CX38" t="e">
        <f t="shared" si="64"/>
        <v>#N/A</v>
      </c>
      <c r="CY38" t="e">
        <f t="shared" si="64"/>
        <v>#N/A</v>
      </c>
      <c r="CZ38" t="e">
        <f t="shared" si="64"/>
        <v>#N/A</v>
      </c>
      <c r="DA38" t="e">
        <f t="shared" si="64"/>
        <v>#N/A</v>
      </c>
      <c r="DB38" t="e">
        <f t="shared" si="64"/>
        <v>#N/A</v>
      </c>
      <c r="DC38" t="e">
        <f t="shared" si="64"/>
        <v>#N/A</v>
      </c>
      <c r="DD38" t="e">
        <f t="shared" si="64"/>
        <v>#N/A</v>
      </c>
      <c r="DE38" t="e">
        <f t="shared" si="64"/>
        <v>#N/A</v>
      </c>
      <c r="DF38" t="e">
        <f t="shared" si="64"/>
        <v>#N/A</v>
      </c>
      <c r="DG38" t="e">
        <f t="shared" si="64"/>
        <v>#N/A</v>
      </c>
      <c r="DH38" t="e">
        <f t="shared" si="64"/>
        <v>#N/A</v>
      </c>
      <c r="DI38" t="e">
        <f t="shared" si="64"/>
        <v>#N/A</v>
      </c>
      <c r="DJ38" t="e">
        <f t="shared" si="64"/>
        <v>#N/A</v>
      </c>
      <c r="DK38" t="e">
        <f t="shared" si="64"/>
        <v>#N/A</v>
      </c>
      <c r="DL38" t="e">
        <f t="shared" si="64"/>
        <v>#N/A</v>
      </c>
      <c r="DM38" t="e">
        <f t="shared" si="64"/>
        <v>#N/A</v>
      </c>
      <c r="DN38" t="e">
        <f t="shared" si="64"/>
        <v>#N/A</v>
      </c>
      <c r="DO38" t="e">
        <f t="shared" si="64"/>
        <v>#N/A</v>
      </c>
      <c r="DP38" t="e">
        <f t="shared" si="64"/>
        <v>#N/A</v>
      </c>
      <c r="DQ38" t="e">
        <f t="shared" si="64"/>
        <v>#N/A</v>
      </c>
      <c r="DR38" t="e">
        <f t="shared" si="64"/>
        <v>#N/A</v>
      </c>
      <c r="DS38" t="e">
        <f t="shared" si="64"/>
        <v>#N/A</v>
      </c>
      <c r="DT38" t="e">
        <f t="shared" si="64"/>
        <v>#N/A</v>
      </c>
      <c r="DU38" t="e">
        <f t="shared" si="64"/>
        <v>#N/A</v>
      </c>
      <c r="DV38" t="e">
        <f t="shared" si="64"/>
        <v>#N/A</v>
      </c>
      <c r="DW38" t="e">
        <f t="shared" si="64"/>
        <v>#N/A</v>
      </c>
      <c r="DX38" t="e">
        <f t="shared" si="64"/>
        <v>#N/A</v>
      </c>
      <c r="DY38" t="e">
        <f t="shared" si="64"/>
        <v>#N/A</v>
      </c>
      <c r="DZ38" t="e">
        <f t="shared" si="64"/>
        <v>#N/A</v>
      </c>
      <c r="EA38" t="e">
        <f t="shared" si="64"/>
        <v>#N/A</v>
      </c>
      <c r="EB38" t="e">
        <f t="shared" si="64"/>
        <v>#N/A</v>
      </c>
      <c r="EC38" t="e">
        <f t="shared" si="64"/>
        <v>#N/A</v>
      </c>
      <c r="ED38" t="e">
        <f t="shared" si="64"/>
        <v>#N/A</v>
      </c>
      <c r="EE38" t="e">
        <f t="shared" si="64"/>
        <v>#N/A</v>
      </c>
      <c r="EF38" t="e">
        <f t="shared" si="64"/>
        <v>#N/A</v>
      </c>
      <c r="EG38" t="e">
        <f t="shared" si="64"/>
        <v>#N/A</v>
      </c>
      <c r="EH38" t="e">
        <f t="shared" ref="EH38:GA38" si="65">IF(ISNA(EH15),NA(),$A38*EH15)</f>
        <v>#N/A</v>
      </c>
      <c r="EI38" t="e">
        <f t="shared" si="65"/>
        <v>#N/A</v>
      </c>
      <c r="EJ38" t="e">
        <f t="shared" si="65"/>
        <v>#N/A</v>
      </c>
      <c r="EK38" t="e">
        <f t="shared" si="65"/>
        <v>#N/A</v>
      </c>
      <c r="EL38" t="e">
        <f t="shared" si="65"/>
        <v>#N/A</v>
      </c>
      <c r="EM38" t="e">
        <f t="shared" si="65"/>
        <v>#N/A</v>
      </c>
      <c r="EN38" t="e">
        <f t="shared" si="65"/>
        <v>#N/A</v>
      </c>
      <c r="EO38" t="e">
        <f t="shared" si="65"/>
        <v>#N/A</v>
      </c>
      <c r="EP38" t="e">
        <f t="shared" si="65"/>
        <v>#N/A</v>
      </c>
      <c r="EQ38" t="e">
        <f t="shared" si="65"/>
        <v>#N/A</v>
      </c>
      <c r="ER38" t="e">
        <f t="shared" si="65"/>
        <v>#N/A</v>
      </c>
      <c r="ES38" t="e">
        <f t="shared" si="65"/>
        <v>#N/A</v>
      </c>
      <c r="ET38" t="e">
        <f t="shared" si="65"/>
        <v>#N/A</v>
      </c>
      <c r="EU38" t="e">
        <f t="shared" si="65"/>
        <v>#N/A</v>
      </c>
      <c r="EV38" t="e">
        <f t="shared" si="65"/>
        <v>#N/A</v>
      </c>
      <c r="EW38" t="e">
        <f t="shared" si="65"/>
        <v>#N/A</v>
      </c>
      <c r="EX38" t="e">
        <f t="shared" si="65"/>
        <v>#N/A</v>
      </c>
      <c r="EY38" t="e">
        <f t="shared" si="65"/>
        <v>#N/A</v>
      </c>
      <c r="EZ38" t="e">
        <f t="shared" si="65"/>
        <v>#N/A</v>
      </c>
      <c r="FA38" t="e">
        <f t="shared" si="65"/>
        <v>#N/A</v>
      </c>
      <c r="FB38" t="e">
        <f t="shared" si="65"/>
        <v>#N/A</v>
      </c>
      <c r="FC38" t="e">
        <f t="shared" si="65"/>
        <v>#N/A</v>
      </c>
      <c r="FD38" t="e">
        <f t="shared" si="65"/>
        <v>#N/A</v>
      </c>
      <c r="FE38" t="e">
        <f t="shared" si="65"/>
        <v>#N/A</v>
      </c>
      <c r="FF38" t="e">
        <f t="shared" si="65"/>
        <v>#N/A</v>
      </c>
      <c r="FG38" t="e">
        <f t="shared" si="65"/>
        <v>#N/A</v>
      </c>
      <c r="FH38" t="e">
        <f t="shared" si="65"/>
        <v>#N/A</v>
      </c>
      <c r="FI38" t="e">
        <f t="shared" si="65"/>
        <v>#N/A</v>
      </c>
      <c r="FJ38" t="e">
        <f t="shared" si="65"/>
        <v>#N/A</v>
      </c>
      <c r="FK38" t="e">
        <f t="shared" si="65"/>
        <v>#N/A</v>
      </c>
      <c r="FL38" t="e">
        <f t="shared" si="65"/>
        <v>#N/A</v>
      </c>
      <c r="FM38" t="e">
        <f t="shared" si="65"/>
        <v>#N/A</v>
      </c>
      <c r="FN38" t="e">
        <f t="shared" si="65"/>
        <v>#N/A</v>
      </c>
      <c r="FO38" t="e">
        <f t="shared" si="65"/>
        <v>#N/A</v>
      </c>
      <c r="FP38" t="e">
        <f t="shared" si="65"/>
        <v>#N/A</v>
      </c>
      <c r="FQ38" t="e">
        <f t="shared" si="65"/>
        <v>#N/A</v>
      </c>
      <c r="FR38" t="e">
        <f t="shared" si="65"/>
        <v>#N/A</v>
      </c>
      <c r="FS38" t="e">
        <f t="shared" si="65"/>
        <v>#N/A</v>
      </c>
      <c r="FT38" t="e">
        <f t="shared" si="65"/>
        <v>#N/A</v>
      </c>
      <c r="FU38" t="e">
        <f t="shared" si="65"/>
        <v>#N/A</v>
      </c>
      <c r="FV38" t="e">
        <f t="shared" si="65"/>
        <v>#N/A</v>
      </c>
      <c r="FW38" t="e">
        <f t="shared" si="65"/>
        <v>#N/A</v>
      </c>
      <c r="FX38" t="e">
        <f t="shared" si="65"/>
        <v>#N/A</v>
      </c>
      <c r="FY38" t="e">
        <f t="shared" si="65"/>
        <v>#N/A</v>
      </c>
      <c r="FZ38" t="e">
        <f t="shared" si="65"/>
        <v>#N/A</v>
      </c>
      <c r="GA38" t="e">
        <f t="shared" si="65"/>
        <v>#N/A</v>
      </c>
    </row>
    <row r="39" spans="1:183" x14ac:dyDescent="0.45">
      <c r="A39">
        <f t="shared" ref="A39:A44" si="66">A27</f>
        <v>10</v>
      </c>
      <c r="B39" t="s">
        <v>22</v>
      </c>
      <c r="C39" cm="1">
        <f t="array" ref="C39">LOOKUP(2,1/(I39:GA39&lt;&gt;""),I39:GA39)</f>
        <v>75.699999999999989</v>
      </c>
      <c r="D39">
        <f t="shared" si="60"/>
        <v>45</v>
      </c>
      <c r="F39" s="4">
        <f t="shared" ref="F39:F44" si="67">(C39-I39)/I39</f>
        <v>1.566101694915254</v>
      </c>
      <c r="G39" s="3" cm="1">
        <f t="array" ref="G39">(C39-IF(ISNA(INDEX(I39:GA39,D39-22)),INDEX(I39:GA39,D39-23),INDEX(I39:GA39,D39-22)))/IF(ISNA(INDEX(I39:GA39,D39-22)),INDEX(I39:GA39,D39-23),INDEX(I39:GA39,D39-22))</f>
        <v>-9.232613908872922E-2</v>
      </c>
      <c r="I39">
        <f t="shared" si="62"/>
        <v>29.499999999999996</v>
      </c>
      <c r="J39">
        <f t="shared" ref="J39:BU39" si="68">IF(ISNA(J16),NA(),$A39*J16)</f>
        <v>29.8</v>
      </c>
      <c r="K39" t="e">
        <f t="shared" si="68"/>
        <v>#N/A</v>
      </c>
      <c r="L39">
        <f t="shared" si="68"/>
        <v>33.299999999999997</v>
      </c>
      <c r="M39" t="e">
        <f t="shared" si="68"/>
        <v>#N/A</v>
      </c>
      <c r="N39">
        <f t="shared" si="68"/>
        <v>36.299999999999997</v>
      </c>
      <c r="O39">
        <f t="shared" si="68"/>
        <v>38.199999999999996</v>
      </c>
      <c r="P39">
        <f t="shared" si="68"/>
        <v>49.3</v>
      </c>
      <c r="Q39">
        <f t="shared" si="68"/>
        <v>48.4</v>
      </c>
      <c r="R39">
        <f t="shared" si="68"/>
        <v>53.5</v>
      </c>
      <c r="S39">
        <f t="shared" si="68"/>
        <v>53.099999999999994</v>
      </c>
      <c r="T39">
        <f t="shared" si="68"/>
        <v>62.1</v>
      </c>
      <c r="U39">
        <f t="shared" si="68"/>
        <v>67.900000000000006</v>
      </c>
      <c r="V39">
        <f t="shared" si="68"/>
        <v>71.599999999999994</v>
      </c>
      <c r="W39">
        <f t="shared" si="68"/>
        <v>69.099999999999994</v>
      </c>
      <c r="X39">
        <f t="shared" si="68"/>
        <v>61.1</v>
      </c>
      <c r="Y39">
        <f t="shared" si="68"/>
        <v>54.1</v>
      </c>
      <c r="Z39">
        <f t="shared" si="68"/>
        <v>58.2</v>
      </c>
      <c r="AA39">
        <f t="shared" si="68"/>
        <v>68.3</v>
      </c>
      <c r="AB39">
        <f t="shared" si="68"/>
        <v>75.099999999999994</v>
      </c>
      <c r="AC39">
        <f t="shared" si="68"/>
        <v>76.5</v>
      </c>
      <c r="AD39">
        <f t="shared" si="68"/>
        <v>82.8</v>
      </c>
      <c r="AE39">
        <f t="shared" si="68"/>
        <v>83.4</v>
      </c>
      <c r="AF39">
        <f t="shared" si="68"/>
        <v>74.7</v>
      </c>
      <c r="AG39">
        <f t="shared" si="68"/>
        <v>76.599999999999994</v>
      </c>
      <c r="AH39">
        <f t="shared" si="68"/>
        <v>78.8</v>
      </c>
      <c r="AI39">
        <f t="shared" si="68"/>
        <v>77.500000000000014</v>
      </c>
      <c r="AJ39">
        <f t="shared" si="68"/>
        <v>78.300000000000011</v>
      </c>
      <c r="AK39">
        <f t="shared" si="68"/>
        <v>76.399999999999991</v>
      </c>
      <c r="AL39">
        <f t="shared" si="68"/>
        <v>84</v>
      </c>
      <c r="AM39">
        <f t="shared" si="68"/>
        <v>82.299999999999983</v>
      </c>
      <c r="AN39" t="e">
        <f t="shared" si="68"/>
        <v>#N/A</v>
      </c>
      <c r="AO39">
        <f t="shared" si="68"/>
        <v>79.100000000000009</v>
      </c>
      <c r="AP39">
        <f t="shared" si="68"/>
        <v>75.5</v>
      </c>
      <c r="AQ39">
        <f t="shared" si="68"/>
        <v>75.5</v>
      </c>
      <c r="AR39">
        <f t="shared" si="68"/>
        <v>79.000000000000014</v>
      </c>
      <c r="AS39">
        <f t="shared" si="68"/>
        <v>75.699999999999989</v>
      </c>
      <c r="AT39" t="e">
        <f t="shared" si="68"/>
        <v>#N/A</v>
      </c>
      <c r="AU39" t="e">
        <f t="shared" si="68"/>
        <v>#N/A</v>
      </c>
      <c r="AV39" t="e">
        <f t="shared" si="68"/>
        <v>#N/A</v>
      </c>
      <c r="AW39" t="e">
        <f t="shared" si="68"/>
        <v>#N/A</v>
      </c>
      <c r="AX39" t="e">
        <f t="shared" si="68"/>
        <v>#N/A</v>
      </c>
      <c r="AY39" t="e">
        <f t="shared" si="68"/>
        <v>#N/A</v>
      </c>
      <c r="AZ39" t="e">
        <f t="shared" si="68"/>
        <v>#N/A</v>
      </c>
      <c r="BA39" t="e">
        <f t="shared" si="68"/>
        <v>#N/A</v>
      </c>
      <c r="BB39" t="e">
        <f t="shared" si="68"/>
        <v>#N/A</v>
      </c>
      <c r="BC39" t="e">
        <f t="shared" si="68"/>
        <v>#N/A</v>
      </c>
      <c r="BD39" t="e">
        <f t="shared" si="68"/>
        <v>#N/A</v>
      </c>
      <c r="BE39" t="e">
        <f t="shared" si="68"/>
        <v>#N/A</v>
      </c>
      <c r="BF39" t="e">
        <f t="shared" si="68"/>
        <v>#N/A</v>
      </c>
      <c r="BG39" t="e">
        <f t="shared" si="68"/>
        <v>#N/A</v>
      </c>
      <c r="BH39" t="e">
        <f t="shared" si="68"/>
        <v>#N/A</v>
      </c>
      <c r="BI39" t="e">
        <f t="shared" si="68"/>
        <v>#N/A</v>
      </c>
      <c r="BJ39" t="e">
        <f t="shared" si="68"/>
        <v>#N/A</v>
      </c>
      <c r="BK39" t="e">
        <f t="shared" si="68"/>
        <v>#N/A</v>
      </c>
      <c r="BL39" t="e">
        <f t="shared" si="68"/>
        <v>#N/A</v>
      </c>
      <c r="BM39" t="e">
        <f t="shared" si="68"/>
        <v>#N/A</v>
      </c>
      <c r="BN39" t="e">
        <f t="shared" si="68"/>
        <v>#N/A</v>
      </c>
      <c r="BO39" t="e">
        <f t="shared" si="68"/>
        <v>#N/A</v>
      </c>
      <c r="BP39" t="e">
        <f t="shared" si="68"/>
        <v>#N/A</v>
      </c>
      <c r="BQ39" t="e">
        <f t="shared" si="68"/>
        <v>#N/A</v>
      </c>
      <c r="BR39" t="e">
        <f t="shared" si="68"/>
        <v>#N/A</v>
      </c>
      <c r="BS39" t="e">
        <f t="shared" si="68"/>
        <v>#N/A</v>
      </c>
      <c r="BT39" t="e">
        <f t="shared" si="68"/>
        <v>#N/A</v>
      </c>
      <c r="BU39" t="e">
        <f t="shared" si="68"/>
        <v>#N/A</v>
      </c>
      <c r="BV39" t="e">
        <f t="shared" ref="BV39:EG39" si="69">IF(ISNA(BV16),NA(),$A39*BV16)</f>
        <v>#N/A</v>
      </c>
      <c r="BW39" t="e">
        <f t="shared" si="69"/>
        <v>#N/A</v>
      </c>
      <c r="BX39" t="e">
        <f t="shared" si="69"/>
        <v>#N/A</v>
      </c>
      <c r="BY39" t="e">
        <f t="shared" si="69"/>
        <v>#N/A</v>
      </c>
      <c r="BZ39" t="e">
        <f t="shared" si="69"/>
        <v>#N/A</v>
      </c>
      <c r="CA39" t="e">
        <f t="shared" si="69"/>
        <v>#N/A</v>
      </c>
      <c r="CB39" t="e">
        <f t="shared" si="69"/>
        <v>#N/A</v>
      </c>
      <c r="CC39" t="e">
        <f t="shared" si="69"/>
        <v>#N/A</v>
      </c>
      <c r="CD39" t="e">
        <f t="shared" si="69"/>
        <v>#N/A</v>
      </c>
      <c r="CE39" t="e">
        <f t="shared" si="69"/>
        <v>#N/A</v>
      </c>
      <c r="CF39" t="e">
        <f t="shared" si="69"/>
        <v>#N/A</v>
      </c>
      <c r="CG39" t="e">
        <f t="shared" si="69"/>
        <v>#N/A</v>
      </c>
      <c r="CH39" t="e">
        <f t="shared" si="69"/>
        <v>#N/A</v>
      </c>
      <c r="CI39" t="e">
        <f t="shared" si="69"/>
        <v>#N/A</v>
      </c>
      <c r="CJ39" t="e">
        <f t="shared" si="69"/>
        <v>#N/A</v>
      </c>
      <c r="CK39" t="e">
        <f t="shared" si="69"/>
        <v>#N/A</v>
      </c>
      <c r="CL39" t="e">
        <f t="shared" si="69"/>
        <v>#N/A</v>
      </c>
      <c r="CM39" t="e">
        <f t="shared" si="69"/>
        <v>#N/A</v>
      </c>
      <c r="CN39" t="e">
        <f t="shared" si="69"/>
        <v>#N/A</v>
      </c>
      <c r="CO39" t="e">
        <f t="shared" si="69"/>
        <v>#N/A</v>
      </c>
      <c r="CP39" t="e">
        <f t="shared" si="69"/>
        <v>#N/A</v>
      </c>
      <c r="CQ39" t="e">
        <f t="shared" si="69"/>
        <v>#N/A</v>
      </c>
      <c r="CR39" t="e">
        <f t="shared" si="69"/>
        <v>#N/A</v>
      </c>
      <c r="CS39" t="e">
        <f t="shared" si="69"/>
        <v>#N/A</v>
      </c>
      <c r="CT39" t="e">
        <f t="shared" si="69"/>
        <v>#N/A</v>
      </c>
      <c r="CU39" t="e">
        <f t="shared" si="69"/>
        <v>#N/A</v>
      </c>
      <c r="CV39" t="e">
        <f t="shared" si="69"/>
        <v>#N/A</v>
      </c>
      <c r="CW39" t="e">
        <f t="shared" si="69"/>
        <v>#N/A</v>
      </c>
      <c r="CX39" t="e">
        <f t="shared" si="69"/>
        <v>#N/A</v>
      </c>
      <c r="CY39" t="e">
        <f t="shared" si="69"/>
        <v>#N/A</v>
      </c>
      <c r="CZ39" t="e">
        <f t="shared" si="69"/>
        <v>#N/A</v>
      </c>
      <c r="DA39" t="e">
        <f t="shared" si="69"/>
        <v>#N/A</v>
      </c>
      <c r="DB39" t="e">
        <f t="shared" si="69"/>
        <v>#N/A</v>
      </c>
      <c r="DC39" t="e">
        <f t="shared" si="69"/>
        <v>#N/A</v>
      </c>
      <c r="DD39" t="e">
        <f t="shared" si="69"/>
        <v>#N/A</v>
      </c>
      <c r="DE39" t="e">
        <f t="shared" si="69"/>
        <v>#N/A</v>
      </c>
      <c r="DF39" t="e">
        <f t="shared" si="69"/>
        <v>#N/A</v>
      </c>
      <c r="DG39" t="e">
        <f t="shared" si="69"/>
        <v>#N/A</v>
      </c>
      <c r="DH39" t="e">
        <f t="shared" si="69"/>
        <v>#N/A</v>
      </c>
      <c r="DI39" t="e">
        <f t="shared" si="69"/>
        <v>#N/A</v>
      </c>
      <c r="DJ39" t="e">
        <f t="shared" si="69"/>
        <v>#N/A</v>
      </c>
      <c r="DK39" t="e">
        <f t="shared" si="69"/>
        <v>#N/A</v>
      </c>
      <c r="DL39" t="e">
        <f t="shared" si="69"/>
        <v>#N/A</v>
      </c>
      <c r="DM39" t="e">
        <f t="shared" si="69"/>
        <v>#N/A</v>
      </c>
      <c r="DN39" t="e">
        <f t="shared" si="69"/>
        <v>#N/A</v>
      </c>
      <c r="DO39" t="e">
        <f t="shared" si="69"/>
        <v>#N/A</v>
      </c>
      <c r="DP39" t="e">
        <f t="shared" si="69"/>
        <v>#N/A</v>
      </c>
      <c r="DQ39" t="e">
        <f t="shared" si="69"/>
        <v>#N/A</v>
      </c>
      <c r="DR39" t="e">
        <f t="shared" si="69"/>
        <v>#N/A</v>
      </c>
      <c r="DS39" t="e">
        <f t="shared" si="69"/>
        <v>#N/A</v>
      </c>
      <c r="DT39" t="e">
        <f t="shared" si="69"/>
        <v>#N/A</v>
      </c>
      <c r="DU39" t="e">
        <f t="shared" si="69"/>
        <v>#N/A</v>
      </c>
      <c r="DV39" t="e">
        <f t="shared" si="69"/>
        <v>#N/A</v>
      </c>
      <c r="DW39" t="e">
        <f t="shared" si="69"/>
        <v>#N/A</v>
      </c>
      <c r="DX39" t="e">
        <f t="shared" si="69"/>
        <v>#N/A</v>
      </c>
      <c r="DY39" t="e">
        <f t="shared" si="69"/>
        <v>#N/A</v>
      </c>
      <c r="DZ39" t="e">
        <f t="shared" si="69"/>
        <v>#N/A</v>
      </c>
      <c r="EA39" t="e">
        <f t="shared" si="69"/>
        <v>#N/A</v>
      </c>
      <c r="EB39" t="e">
        <f t="shared" si="69"/>
        <v>#N/A</v>
      </c>
      <c r="EC39" t="e">
        <f t="shared" si="69"/>
        <v>#N/A</v>
      </c>
      <c r="ED39" t="e">
        <f t="shared" si="69"/>
        <v>#N/A</v>
      </c>
      <c r="EE39" t="e">
        <f t="shared" si="69"/>
        <v>#N/A</v>
      </c>
      <c r="EF39" t="e">
        <f t="shared" si="69"/>
        <v>#N/A</v>
      </c>
      <c r="EG39" t="e">
        <f t="shared" si="69"/>
        <v>#N/A</v>
      </c>
      <c r="EH39" t="e">
        <f t="shared" ref="EH39:GA39" si="70">IF(ISNA(EH16),NA(),$A39*EH16)</f>
        <v>#N/A</v>
      </c>
      <c r="EI39" t="e">
        <f t="shared" si="70"/>
        <v>#N/A</v>
      </c>
      <c r="EJ39" t="e">
        <f t="shared" si="70"/>
        <v>#N/A</v>
      </c>
      <c r="EK39" t="e">
        <f t="shared" si="70"/>
        <v>#N/A</v>
      </c>
      <c r="EL39" t="e">
        <f t="shared" si="70"/>
        <v>#N/A</v>
      </c>
      <c r="EM39" t="e">
        <f t="shared" si="70"/>
        <v>#N/A</v>
      </c>
      <c r="EN39" t="e">
        <f t="shared" si="70"/>
        <v>#N/A</v>
      </c>
      <c r="EO39" t="e">
        <f t="shared" si="70"/>
        <v>#N/A</v>
      </c>
      <c r="EP39" t="e">
        <f t="shared" si="70"/>
        <v>#N/A</v>
      </c>
      <c r="EQ39" t="e">
        <f t="shared" si="70"/>
        <v>#N/A</v>
      </c>
      <c r="ER39" t="e">
        <f t="shared" si="70"/>
        <v>#N/A</v>
      </c>
      <c r="ES39" t="e">
        <f t="shared" si="70"/>
        <v>#N/A</v>
      </c>
      <c r="ET39" t="e">
        <f t="shared" si="70"/>
        <v>#N/A</v>
      </c>
      <c r="EU39" t="e">
        <f t="shared" si="70"/>
        <v>#N/A</v>
      </c>
      <c r="EV39" t="e">
        <f t="shared" si="70"/>
        <v>#N/A</v>
      </c>
      <c r="EW39" t="e">
        <f t="shared" si="70"/>
        <v>#N/A</v>
      </c>
      <c r="EX39" t="e">
        <f t="shared" si="70"/>
        <v>#N/A</v>
      </c>
      <c r="EY39" t="e">
        <f t="shared" si="70"/>
        <v>#N/A</v>
      </c>
      <c r="EZ39" t="e">
        <f t="shared" si="70"/>
        <v>#N/A</v>
      </c>
      <c r="FA39" t="e">
        <f t="shared" si="70"/>
        <v>#N/A</v>
      </c>
      <c r="FB39" t="e">
        <f t="shared" si="70"/>
        <v>#N/A</v>
      </c>
      <c r="FC39" t="e">
        <f t="shared" si="70"/>
        <v>#N/A</v>
      </c>
      <c r="FD39" t="e">
        <f t="shared" si="70"/>
        <v>#N/A</v>
      </c>
      <c r="FE39" t="e">
        <f t="shared" si="70"/>
        <v>#N/A</v>
      </c>
      <c r="FF39" t="e">
        <f t="shared" si="70"/>
        <v>#N/A</v>
      </c>
      <c r="FG39" t="e">
        <f t="shared" si="70"/>
        <v>#N/A</v>
      </c>
      <c r="FH39" t="e">
        <f t="shared" si="70"/>
        <v>#N/A</v>
      </c>
      <c r="FI39" t="e">
        <f t="shared" si="70"/>
        <v>#N/A</v>
      </c>
      <c r="FJ39" t="e">
        <f t="shared" si="70"/>
        <v>#N/A</v>
      </c>
      <c r="FK39" t="e">
        <f t="shared" si="70"/>
        <v>#N/A</v>
      </c>
      <c r="FL39" t="e">
        <f t="shared" si="70"/>
        <v>#N/A</v>
      </c>
      <c r="FM39" t="e">
        <f t="shared" si="70"/>
        <v>#N/A</v>
      </c>
      <c r="FN39" t="e">
        <f t="shared" si="70"/>
        <v>#N/A</v>
      </c>
      <c r="FO39" t="e">
        <f t="shared" si="70"/>
        <v>#N/A</v>
      </c>
      <c r="FP39" t="e">
        <f t="shared" si="70"/>
        <v>#N/A</v>
      </c>
      <c r="FQ39" t="e">
        <f t="shared" si="70"/>
        <v>#N/A</v>
      </c>
      <c r="FR39" t="e">
        <f t="shared" si="70"/>
        <v>#N/A</v>
      </c>
      <c r="FS39" t="e">
        <f t="shared" si="70"/>
        <v>#N/A</v>
      </c>
      <c r="FT39" t="e">
        <f t="shared" si="70"/>
        <v>#N/A</v>
      </c>
      <c r="FU39" t="e">
        <f t="shared" si="70"/>
        <v>#N/A</v>
      </c>
      <c r="FV39" t="e">
        <f t="shared" si="70"/>
        <v>#N/A</v>
      </c>
      <c r="FW39" t="e">
        <f t="shared" si="70"/>
        <v>#N/A</v>
      </c>
      <c r="FX39" t="e">
        <f t="shared" si="70"/>
        <v>#N/A</v>
      </c>
      <c r="FY39" t="e">
        <f t="shared" si="70"/>
        <v>#N/A</v>
      </c>
      <c r="FZ39" t="e">
        <f t="shared" si="70"/>
        <v>#N/A</v>
      </c>
      <c r="GA39" t="e">
        <f t="shared" si="70"/>
        <v>#N/A</v>
      </c>
    </row>
    <row r="40" spans="1:183" x14ac:dyDescent="0.45">
      <c r="A40">
        <f t="shared" si="66"/>
        <v>5</v>
      </c>
      <c r="B40" t="s">
        <v>23</v>
      </c>
      <c r="C40" cm="1">
        <f t="array" ref="C40">LOOKUP(2,1/(I40:GA40&lt;&gt;""),I40:GA40)</f>
        <v>41.75</v>
      </c>
      <c r="D40">
        <f t="shared" si="60"/>
        <v>45</v>
      </c>
      <c r="F40" s="4">
        <f t="shared" si="67"/>
        <v>1.8114478114478119</v>
      </c>
      <c r="G40" s="3" cm="1">
        <f t="array" ref="G40">(C40-IF(ISNA(INDEX(I40:GA40,D40-22)),INDEX(I40:GA40,D40-23),INDEX(I40:GA40,D40-22)))/IF(ISNA(INDEX(I40:GA40,D40-22)),INDEX(I40:GA40,D40-23),INDEX(I40:GA40,D40-22))</f>
        <v>-0.11919831223628675</v>
      </c>
      <c r="I40">
        <f t="shared" si="62"/>
        <v>14.849999999999998</v>
      </c>
      <c r="J40">
        <f t="shared" ref="J40:BU40" si="71">IF(ISNA(J17),NA(),$A40*J17)</f>
        <v>15.700000000000001</v>
      </c>
      <c r="K40" t="e">
        <f t="shared" si="71"/>
        <v>#N/A</v>
      </c>
      <c r="L40">
        <f t="shared" si="71"/>
        <v>16.549999999999997</v>
      </c>
      <c r="M40" t="e">
        <f t="shared" si="71"/>
        <v>#N/A</v>
      </c>
      <c r="N40">
        <f t="shared" si="71"/>
        <v>17.850000000000001</v>
      </c>
      <c r="O40">
        <f t="shared" si="71"/>
        <v>19.099999999999998</v>
      </c>
      <c r="P40">
        <f t="shared" si="71"/>
        <v>28.049999999999997</v>
      </c>
      <c r="Q40">
        <f t="shared" si="71"/>
        <v>27.15</v>
      </c>
      <c r="R40">
        <f t="shared" si="71"/>
        <v>27.15</v>
      </c>
      <c r="S40">
        <f t="shared" si="71"/>
        <v>27.849999999999998</v>
      </c>
      <c r="T40">
        <f t="shared" si="71"/>
        <v>37.450000000000003</v>
      </c>
      <c r="U40">
        <f t="shared" si="71"/>
        <v>40.749999999999993</v>
      </c>
      <c r="V40">
        <f t="shared" si="71"/>
        <v>38.25</v>
      </c>
      <c r="W40">
        <f t="shared" si="71"/>
        <v>36.899999999999991</v>
      </c>
      <c r="X40">
        <f t="shared" si="71"/>
        <v>34.799999999999997</v>
      </c>
      <c r="Y40">
        <f t="shared" si="71"/>
        <v>31.299999999999997</v>
      </c>
      <c r="Z40">
        <f t="shared" si="71"/>
        <v>32.35</v>
      </c>
      <c r="AA40">
        <f t="shared" si="71"/>
        <v>34.900000000000006</v>
      </c>
      <c r="AB40">
        <f t="shared" si="71"/>
        <v>38.9</v>
      </c>
      <c r="AC40">
        <f t="shared" si="71"/>
        <v>42</v>
      </c>
      <c r="AD40">
        <f t="shared" si="71"/>
        <v>47.399999999999991</v>
      </c>
      <c r="AE40">
        <f t="shared" si="71"/>
        <v>47.399999999999991</v>
      </c>
      <c r="AF40">
        <f t="shared" si="71"/>
        <v>42.55</v>
      </c>
      <c r="AG40">
        <f t="shared" si="71"/>
        <v>41.6</v>
      </c>
      <c r="AH40">
        <f t="shared" si="71"/>
        <v>40.399999999999991</v>
      </c>
      <c r="AI40">
        <f t="shared" si="71"/>
        <v>41.05</v>
      </c>
      <c r="AJ40">
        <f t="shared" si="71"/>
        <v>40.749999999999993</v>
      </c>
      <c r="AK40">
        <f t="shared" si="71"/>
        <v>48.9</v>
      </c>
      <c r="AL40">
        <f t="shared" si="71"/>
        <v>46.449999999999996</v>
      </c>
      <c r="AM40">
        <f t="shared" si="71"/>
        <v>44.3</v>
      </c>
      <c r="AN40" t="e">
        <f t="shared" si="71"/>
        <v>#N/A</v>
      </c>
      <c r="AO40">
        <f t="shared" si="71"/>
        <v>45.500000000000007</v>
      </c>
      <c r="AP40">
        <f t="shared" si="71"/>
        <v>42.55</v>
      </c>
      <c r="AQ40">
        <f t="shared" si="71"/>
        <v>42.650000000000006</v>
      </c>
      <c r="AR40">
        <f t="shared" si="71"/>
        <v>41.8</v>
      </c>
      <c r="AS40">
        <f t="shared" si="71"/>
        <v>41.75</v>
      </c>
      <c r="AT40" t="e">
        <f t="shared" si="71"/>
        <v>#N/A</v>
      </c>
      <c r="AU40" t="e">
        <f t="shared" si="71"/>
        <v>#N/A</v>
      </c>
      <c r="AV40" t="e">
        <f t="shared" si="71"/>
        <v>#N/A</v>
      </c>
      <c r="AW40" t="e">
        <f t="shared" si="71"/>
        <v>#N/A</v>
      </c>
      <c r="AX40" t="e">
        <f t="shared" si="71"/>
        <v>#N/A</v>
      </c>
      <c r="AY40" t="e">
        <f t="shared" si="71"/>
        <v>#N/A</v>
      </c>
      <c r="AZ40" t="e">
        <f t="shared" si="71"/>
        <v>#N/A</v>
      </c>
      <c r="BA40" t="e">
        <f t="shared" si="71"/>
        <v>#N/A</v>
      </c>
      <c r="BB40" t="e">
        <f t="shared" si="71"/>
        <v>#N/A</v>
      </c>
      <c r="BC40" t="e">
        <f t="shared" si="71"/>
        <v>#N/A</v>
      </c>
      <c r="BD40" t="e">
        <f t="shared" si="71"/>
        <v>#N/A</v>
      </c>
      <c r="BE40" t="e">
        <f t="shared" si="71"/>
        <v>#N/A</v>
      </c>
      <c r="BF40" t="e">
        <f t="shared" si="71"/>
        <v>#N/A</v>
      </c>
      <c r="BG40" t="e">
        <f t="shared" si="71"/>
        <v>#N/A</v>
      </c>
      <c r="BH40" t="e">
        <f t="shared" si="71"/>
        <v>#N/A</v>
      </c>
      <c r="BI40" t="e">
        <f t="shared" si="71"/>
        <v>#N/A</v>
      </c>
      <c r="BJ40" t="e">
        <f t="shared" si="71"/>
        <v>#N/A</v>
      </c>
      <c r="BK40" t="e">
        <f t="shared" si="71"/>
        <v>#N/A</v>
      </c>
      <c r="BL40" t="e">
        <f t="shared" si="71"/>
        <v>#N/A</v>
      </c>
      <c r="BM40" t="e">
        <f t="shared" si="71"/>
        <v>#N/A</v>
      </c>
      <c r="BN40" t="e">
        <f t="shared" si="71"/>
        <v>#N/A</v>
      </c>
      <c r="BO40" t="e">
        <f t="shared" si="71"/>
        <v>#N/A</v>
      </c>
      <c r="BP40" t="e">
        <f t="shared" si="71"/>
        <v>#N/A</v>
      </c>
      <c r="BQ40" t="e">
        <f t="shared" si="71"/>
        <v>#N/A</v>
      </c>
      <c r="BR40" t="e">
        <f t="shared" si="71"/>
        <v>#N/A</v>
      </c>
      <c r="BS40" t="e">
        <f t="shared" si="71"/>
        <v>#N/A</v>
      </c>
      <c r="BT40" t="e">
        <f t="shared" si="71"/>
        <v>#N/A</v>
      </c>
      <c r="BU40" t="e">
        <f t="shared" si="71"/>
        <v>#N/A</v>
      </c>
      <c r="BV40" t="e">
        <f t="shared" ref="BV40:EG40" si="72">IF(ISNA(BV17),NA(),$A40*BV17)</f>
        <v>#N/A</v>
      </c>
      <c r="BW40" t="e">
        <f t="shared" si="72"/>
        <v>#N/A</v>
      </c>
      <c r="BX40" t="e">
        <f t="shared" si="72"/>
        <v>#N/A</v>
      </c>
      <c r="BY40" t="e">
        <f t="shared" si="72"/>
        <v>#N/A</v>
      </c>
      <c r="BZ40" t="e">
        <f t="shared" si="72"/>
        <v>#N/A</v>
      </c>
      <c r="CA40" t="e">
        <f t="shared" si="72"/>
        <v>#N/A</v>
      </c>
      <c r="CB40" t="e">
        <f t="shared" si="72"/>
        <v>#N/A</v>
      </c>
      <c r="CC40" t="e">
        <f t="shared" si="72"/>
        <v>#N/A</v>
      </c>
      <c r="CD40" t="e">
        <f t="shared" si="72"/>
        <v>#N/A</v>
      </c>
      <c r="CE40" t="e">
        <f t="shared" si="72"/>
        <v>#N/A</v>
      </c>
      <c r="CF40" t="e">
        <f t="shared" si="72"/>
        <v>#N/A</v>
      </c>
      <c r="CG40" t="e">
        <f t="shared" si="72"/>
        <v>#N/A</v>
      </c>
      <c r="CH40" t="e">
        <f t="shared" si="72"/>
        <v>#N/A</v>
      </c>
      <c r="CI40" t="e">
        <f t="shared" si="72"/>
        <v>#N/A</v>
      </c>
      <c r="CJ40" t="e">
        <f t="shared" si="72"/>
        <v>#N/A</v>
      </c>
      <c r="CK40" t="e">
        <f t="shared" si="72"/>
        <v>#N/A</v>
      </c>
      <c r="CL40" t="e">
        <f t="shared" si="72"/>
        <v>#N/A</v>
      </c>
      <c r="CM40" t="e">
        <f t="shared" si="72"/>
        <v>#N/A</v>
      </c>
      <c r="CN40" t="e">
        <f t="shared" si="72"/>
        <v>#N/A</v>
      </c>
      <c r="CO40" t="e">
        <f t="shared" si="72"/>
        <v>#N/A</v>
      </c>
      <c r="CP40" t="e">
        <f t="shared" si="72"/>
        <v>#N/A</v>
      </c>
      <c r="CQ40" t="e">
        <f t="shared" si="72"/>
        <v>#N/A</v>
      </c>
      <c r="CR40" t="e">
        <f t="shared" si="72"/>
        <v>#N/A</v>
      </c>
      <c r="CS40" t="e">
        <f t="shared" si="72"/>
        <v>#N/A</v>
      </c>
      <c r="CT40" t="e">
        <f t="shared" si="72"/>
        <v>#N/A</v>
      </c>
      <c r="CU40" t="e">
        <f t="shared" si="72"/>
        <v>#N/A</v>
      </c>
      <c r="CV40" t="e">
        <f t="shared" si="72"/>
        <v>#N/A</v>
      </c>
      <c r="CW40" t="e">
        <f t="shared" si="72"/>
        <v>#N/A</v>
      </c>
      <c r="CX40" t="e">
        <f t="shared" si="72"/>
        <v>#N/A</v>
      </c>
      <c r="CY40" t="e">
        <f t="shared" si="72"/>
        <v>#N/A</v>
      </c>
      <c r="CZ40" t="e">
        <f t="shared" si="72"/>
        <v>#N/A</v>
      </c>
      <c r="DA40" t="e">
        <f t="shared" si="72"/>
        <v>#N/A</v>
      </c>
      <c r="DB40" t="e">
        <f t="shared" si="72"/>
        <v>#N/A</v>
      </c>
      <c r="DC40" t="e">
        <f t="shared" si="72"/>
        <v>#N/A</v>
      </c>
      <c r="DD40" t="e">
        <f t="shared" si="72"/>
        <v>#N/A</v>
      </c>
      <c r="DE40" t="e">
        <f t="shared" si="72"/>
        <v>#N/A</v>
      </c>
      <c r="DF40" t="e">
        <f t="shared" si="72"/>
        <v>#N/A</v>
      </c>
      <c r="DG40" t="e">
        <f t="shared" si="72"/>
        <v>#N/A</v>
      </c>
      <c r="DH40" t="e">
        <f t="shared" si="72"/>
        <v>#N/A</v>
      </c>
      <c r="DI40" t="e">
        <f t="shared" si="72"/>
        <v>#N/A</v>
      </c>
      <c r="DJ40" t="e">
        <f t="shared" si="72"/>
        <v>#N/A</v>
      </c>
      <c r="DK40" t="e">
        <f t="shared" si="72"/>
        <v>#N/A</v>
      </c>
      <c r="DL40" t="e">
        <f t="shared" si="72"/>
        <v>#N/A</v>
      </c>
      <c r="DM40" t="e">
        <f t="shared" si="72"/>
        <v>#N/A</v>
      </c>
      <c r="DN40" t="e">
        <f t="shared" si="72"/>
        <v>#N/A</v>
      </c>
      <c r="DO40" t="e">
        <f t="shared" si="72"/>
        <v>#N/A</v>
      </c>
      <c r="DP40" t="e">
        <f t="shared" si="72"/>
        <v>#N/A</v>
      </c>
      <c r="DQ40" t="e">
        <f t="shared" si="72"/>
        <v>#N/A</v>
      </c>
      <c r="DR40" t="e">
        <f t="shared" si="72"/>
        <v>#N/A</v>
      </c>
      <c r="DS40" t="e">
        <f t="shared" si="72"/>
        <v>#N/A</v>
      </c>
      <c r="DT40" t="e">
        <f t="shared" si="72"/>
        <v>#N/A</v>
      </c>
      <c r="DU40" t="e">
        <f t="shared" si="72"/>
        <v>#N/A</v>
      </c>
      <c r="DV40" t="e">
        <f t="shared" si="72"/>
        <v>#N/A</v>
      </c>
      <c r="DW40" t="e">
        <f t="shared" si="72"/>
        <v>#N/A</v>
      </c>
      <c r="DX40" t="e">
        <f t="shared" si="72"/>
        <v>#N/A</v>
      </c>
      <c r="DY40" t="e">
        <f t="shared" si="72"/>
        <v>#N/A</v>
      </c>
      <c r="DZ40" t="e">
        <f t="shared" si="72"/>
        <v>#N/A</v>
      </c>
      <c r="EA40" t="e">
        <f t="shared" si="72"/>
        <v>#N/A</v>
      </c>
      <c r="EB40" t="e">
        <f t="shared" si="72"/>
        <v>#N/A</v>
      </c>
      <c r="EC40" t="e">
        <f t="shared" si="72"/>
        <v>#N/A</v>
      </c>
      <c r="ED40" t="e">
        <f t="shared" si="72"/>
        <v>#N/A</v>
      </c>
      <c r="EE40" t="e">
        <f t="shared" si="72"/>
        <v>#N/A</v>
      </c>
      <c r="EF40" t="e">
        <f t="shared" si="72"/>
        <v>#N/A</v>
      </c>
      <c r="EG40" t="e">
        <f t="shared" si="72"/>
        <v>#N/A</v>
      </c>
      <c r="EH40" t="e">
        <f t="shared" ref="EH40:GA40" si="73">IF(ISNA(EH17),NA(),$A40*EH17)</f>
        <v>#N/A</v>
      </c>
      <c r="EI40" t="e">
        <f t="shared" si="73"/>
        <v>#N/A</v>
      </c>
      <c r="EJ40" t="e">
        <f t="shared" si="73"/>
        <v>#N/A</v>
      </c>
      <c r="EK40" t="e">
        <f t="shared" si="73"/>
        <v>#N/A</v>
      </c>
      <c r="EL40" t="e">
        <f t="shared" si="73"/>
        <v>#N/A</v>
      </c>
      <c r="EM40" t="e">
        <f t="shared" si="73"/>
        <v>#N/A</v>
      </c>
      <c r="EN40" t="e">
        <f t="shared" si="73"/>
        <v>#N/A</v>
      </c>
      <c r="EO40" t="e">
        <f t="shared" si="73"/>
        <v>#N/A</v>
      </c>
      <c r="EP40" t="e">
        <f t="shared" si="73"/>
        <v>#N/A</v>
      </c>
      <c r="EQ40" t="e">
        <f t="shared" si="73"/>
        <v>#N/A</v>
      </c>
      <c r="ER40" t="e">
        <f t="shared" si="73"/>
        <v>#N/A</v>
      </c>
      <c r="ES40" t="e">
        <f t="shared" si="73"/>
        <v>#N/A</v>
      </c>
      <c r="ET40" t="e">
        <f t="shared" si="73"/>
        <v>#N/A</v>
      </c>
      <c r="EU40" t="e">
        <f t="shared" si="73"/>
        <v>#N/A</v>
      </c>
      <c r="EV40" t="e">
        <f t="shared" si="73"/>
        <v>#N/A</v>
      </c>
      <c r="EW40" t="e">
        <f t="shared" si="73"/>
        <v>#N/A</v>
      </c>
      <c r="EX40" t="e">
        <f t="shared" si="73"/>
        <v>#N/A</v>
      </c>
      <c r="EY40" t="e">
        <f t="shared" si="73"/>
        <v>#N/A</v>
      </c>
      <c r="EZ40" t="e">
        <f t="shared" si="73"/>
        <v>#N/A</v>
      </c>
      <c r="FA40" t="e">
        <f t="shared" si="73"/>
        <v>#N/A</v>
      </c>
      <c r="FB40" t="e">
        <f t="shared" si="73"/>
        <v>#N/A</v>
      </c>
      <c r="FC40" t="e">
        <f t="shared" si="73"/>
        <v>#N/A</v>
      </c>
      <c r="FD40" t="e">
        <f t="shared" si="73"/>
        <v>#N/A</v>
      </c>
      <c r="FE40" t="e">
        <f t="shared" si="73"/>
        <v>#N/A</v>
      </c>
      <c r="FF40" t="e">
        <f t="shared" si="73"/>
        <v>#N/A</v>
      </c>
      <c r="FG40" t="e">
        <f t="shared" si="73"/>
        <v>#N/A</v>
      </c>
      <c r="FH40" t="e">
        <f t="shared" si="73"/>
        <v>#N/A</v>
      </c>
      <c r="FI40" t="e">
        <f t="shared" si="73"/>
        <v>#N/A</v>
      </c>
      <c r="FJ40" t="e">
        <f t="shared" si="73"/>
        <v>#N/A</v>
      </c>
      <c r="FK40" t="e">
        <f t="shared" si="73"/>
        <v>#N/A</v>
      </c>
      <c r="FL40" t="e">
        <f t="shared" si="73"/>
        <v>#N/A</v>
      </c>
      <c r="FM40" t="e">
        <f t="shared" si="73"/>
        <v>#N/A</v>
      </c>
      <c r="FN40" t="e">
        <f t="shared" si="73"/>
        <v>#N/A</v>
      </c>
      <c r="FO40" t="e">
        <f t="shared" si="73"/>
        <v>#N/A</v>
      </c>
      <c r="FP40" t="e">
        <f t="shared" si="73"/>
        <v>#N/A</v>
      </c>
      <c r="FQ40" t="e">
        <f t="shared" si="73"/>
        <v>#N/A</v>
      </c>
      <c r="FR40" t="e">
        <f t="shared" si="73"/>
        <v>#N/A</v>
      </c>
      <c r="FS40" t="e">
        <f t="shared" si="73"/>
        <v>#N/A</v>
      </c>
      <c r="FT40" t="e">
        <f t="shared" si="73"/>
        <v>#N/A</v>
      </c>
      <c r="FU40" t="e">
        <f t="shared" si="73"/>
        <v>#N/A</v>
      </c>
      <c r="FV40" t="e">
        <f t="shared" si="73"/>
        <v>#N/A</v>
      </c>
      <c r="FW40" t="e">
        <f t="shared" si="73"/>
        <v>#N/A</v>
      </c>
      <c r="FX40" t="e">
        <f t="shared" si="73"/>
        <v>#N/A</v>
      </c>
      <c r="FY40" t="e">
        <f t="shared" si="73"/>
        <v>#N/A</v>
      </c>
      <c r="FZ40" t="e">
        <f t="shared" si="73"/>
        <v>#N/A</v>
      </c>
      <c r="GA40" t="e">
        <f t="shared" si="73"/>
        <v>#N/A</v>
      </c>
    </row>
    <row r="41" spans="1:183" x14ac:dyDescent="0.45">
      <c r="A41">
        <f t="shared" si="66"/>
        <v>7</v>
      </c>
      <c r="B41" t="s">
        <v>24</v>
      </c>
      <c r="C41" cm="1">
        <f t="array" ref="C41">LOOKUP(2,1/(I41:GA41&lt;&gt;""),I41:GA41)</f>
        <v>58.519999999999996</v>
      </c>
      <c r="D41">
        <f t="shared" si="60"/>
        <v>45</v>
      </c>
      <c r="F41" s="4">
        <f t="shared" si="67"/>
        <v>1.8243243243243243</v>
      </c>
      <c r="G41" s="3" cm="1">
        <f t="array" ref="G41">(C41-IF(ISNA(INDEX(I41:GA41,D41-22)),INDEX(I41:GA41,D41-23),INDEX(I41:GA41,D41-22)))/IF(ISNA(INDEX(I41:GA41,D41-22)),INDEX(I41:GA41,D41-23),INDEX(I41:GA41,D41-22))</f>
        <v>-5.945303210463878E-3</v>
      </c>
      <c r="I41">
        <f t="shared" si="62"/>
        <v>20.72</v>
      </c>
      <c r="J41">
        <f t="shared" ref="J41:BU41" si="74">IF(ISNA(J18),NA(),$A41*J18)</f>
        <v>22.33</v>
      </c>
      <c r="K41" t="e">
        <f t="shared" si="74"/>
        <v>#N/A</v>
      </c>
      <c r="L41">
        <f t="shared" si="74"/>
        <v>23.87</v>
      </c>
      <c r="M41" t="e">
        <f t="shared" si="74"/>
        <v>#N/A</v>
      </c>
      <c r="N41">
        <f t="shared" si="74"/>
        <v>26.11</v>
      </c>
      <c r="O41">
        <f t="shared" si="74"/>
        <v>28.279999999999994</v>
      </c>
      <c r="P41">
        <f t="shared" si="74"/>
        <v>36.330000000000005</v>
      </c>
      <c r="Q41">
        <f t="shared" si="74"/>
        <v>39.129999999999995</v>
      </c>
      <c r="R41">
        <f t="shared" si="74"/>
        <v>39.129999999999995</v>
      </c>
      <c r="S41">
        <f t="shared" si="74"/>
        <v>39.06</v>
      </c>
      <c r="T41">
        <f t="shared" si="74"/>
        <v>45.71</v>
      </c>
      <c r="U41">
        <f t="shared" si="74"/>
        <v>50.679999999999993</v>
      </c>
      <c r="V41">
        <f t="shared" si="74"/>
        <v>50.260000000000012</v>
      </c>
      <c r="W41">
        <f t="shared" si="74"/>
        <v>50.400000000000006</v>
      </c>
      <c r="X41">
        <f t="shared" si="74"/>
        <v>47.39</v>
      </c>
      <c r="Y41">
        <f t="shared" si="74"/>
        <v>46.97</v>
      </c>
      <c r="Z41">
        <f t="shared" si="74"/>
        <v>46.899999999999991</v>
      </c>
      <c r="AA41">
        <f t="shared" si="74"/>
        <v>51.1</v>
      </c>
      <c r="AB41">
        <f t="shared" si="74"/>
        <v>55.72</v>
      </c>
      <c r="AC41">
        <f t="shared" si="74"/>
        <v>65.87</v>
      </c>
      <c r="AD41">
        <f t="shared" si="74"/>
        <v>65.03</v>
      </c>
      <c r="AE41">
        <f t="shared" si="74"/>
        <v>58.870000000000005</v>
      </c>
      <c r="AF41">
        <f t="shared" si="74"/>
        <v>55.860000000000007</v>
      </c>
      <c r="AG41">
        <f t="shared" si="74"/>
        <v>57.68</v>
      </c>
      <c r="AH41">
        <f t="shared" si="74"/>
        <v>55.790000000000013</v>
      </c>
      <c r="AI41">
        <f t="shared" si="74"/>
        <v>58.449999999999996</v>
      </c>
      <c r="AJ41">
        <f t="shared" si="74"/>
        <v>58.31</v>
      </c>
      <c r="AK41">
        <f t="shared" si="74"/>
        <v>74.47999999999999</v>
      </c>
      <c r="AL41">
        <f t="shared" si="74"/>
        <v>60.620000000000012</v>
      </c>
      <c r="AM41">
        <f t="shared" si="74"/>
        <v>59.5</v>
      </c>
      <c r="AN41" t="e">
        <f t="shared" si="74"/>
        <v>#N/A</v>
      </c>
      <c r="AO41">
        <f t="shared" si="74"/>
        <v>64.819999999999993</v>
      </c>
      <c r="AP41">
        <f t="shared" si="74"/>
        <v>61.11</v>
      </c>
      <c r="AQ41">
        <f t="shared" si="74"/>
        <v>59.850000000000009</v>
      </c>
      <c r="AR41">
        <f t="shared" si="74"/>
        <v>59.5</v>
      </c>
      <c r="AS41">
        <f t="shared" si="74"/>
        <v>58.519999999999996</v>
      </c>
      <c r="AT41" t="e">
        <f t="shared" si="74"/>
        <v>#N/A</v>
      </c>
      <c r="AU41" t="e">
        <f t="shared" si="74"/>
        <v>#N/A</v>
      </c>
      <c r="AV41" t="e">
        <f t="shared" si="74"/>
        <v>#N/A</v>
      </c>
      <c r="AW41" t="e">
        <f t="shared" si="74"/>
        <v>#N/A</v>
      </c>
      <c r="AX41" t="e">
        <f t="shared" si="74"/>
        <v>#N/A</v>
      </c>
      <c r="AY41" t="e">
        <f t="shared" si="74"/>
        <v>#N/A</v>
      </c>
      <c r="AZ41" t="e">
        <f t="shared" si="74"/>
        <v>#N/A</v>
      </c>
      <c r="BA41" t="e">
        <f t="shared" si="74"/>
        <v>#N/A</v>
      </c>
      <c r="BB41" t="e">
        <f t="shared" si="74"/>
        <v>#N/A</v>
      </c>
      <c r="BC41" t="e">
        <f t="shared" si="74"/>
        <v>#N/A</v>
      </c>
      <c r="BD41" t="e">
        <f t="shared" si="74"/>
        <v>#N/A</v>
      </c>
      <c r="BE41" t="e">
        <f t="shared" si="74"/>
        <v>#N/A</v>
      </c>
      <c r="BF41" t="e">
        <f t="shared" si="74"/>
        <v>#N/A</v>
      </c>
      <c r="BG41" t="e">
        <f t="shared" si="74"/>
        <v>#N/A</v>
      </c>
      <c r="BH41" t="e">
        <f t="shared" si="74"/>
        <v>#N/A</v>
      </c>
      <c r="BI41" t="e">
        <f t="shared" si="74"/>
        <v>#N/A</v>
      </c>
      <c r="BJ41" t="e">
        <f t="shared" si="74"/>
        <v>#N/A</v>
      </c>
      <c r="BK41" t="e">
        <f t="shared" si="74"/>
        <v>#N/A</v>
      </c>
      <c r="BL41" t="e">
        <f t="shared" si="74"/>
        <v>#N/A</v>
      </c>
      <c r="BM41" t="e">
        <f t="shared" si="74"/>
        <v>#N/A</v>
      </c>
      <c r="BN41" t="e">
        <f t="shared" si="74"/>
        <v>#N/A</v>
      </c>
      <c r="BO41" t="e">
        <f t="shared" si="74"/>
        <v>#N/A</v>
      </c>
      <c r="BP41" t="e">
        <f t="shared" si="74"/>
        <v>#N/A</v>
      </c>
      <c r="BQ41" t="e">
        <f t="shared" si="74"/>
        <v>#N/A</v>
      </c>
      <c r="BR41" t="e">
        <f t="shared" si="74"/>
        <v>#N/A</v>
      </c>
      <c r="BS41" t="e">
        <f t="shared" si="74"/>
        <v>#N/A</v>
      </c>
      <c r="BT41" t="e">
        <f t="shared" si="74"/>
        <v>#N/A</v>
      </c>
      <c r="BU41" t="e">
        <f t="shared" si="74"/>
        <v>#N/A</v>
      </c>
      <c r="BV41" t="e">
        <f t="shared" ref="BV41:EG41" si="75">IF(ISNA(BV18),NA(),$A41*BV18)</f>
        <v>#N/A</v>
      </c>
      <c r="BW41" t="e">
        <f t="shared" si="75"/>
        <v>#N/A</v>
      </c>
      <c r="BX41" t="e">
        <f t="shared" si="75"/>
        <v>#N/A</v>
      </c>
      <c r="BY41" t="e">
        <f t="shared" si="75"/>
        <v>#N/A</v>
      </c>
      <c r="BZ41" t="e">
        <f t="shared" si="75"/>
        <v>#N/A</v>
      </c>
      <c r="CA41" t="e">
        <f t="shared" si="75"/>
        <v>#N/A</v>
      </c>
      <c r="CB41" t="e">
        <f t="shared" si="75"/>
        <v>#N/A</v>
      </c>
      <c r="CC41" t="e">
        <f t="shared" si="75"/>
        <v>#N/A</v>
      </c>
      <c r="CD41" t="e">
        <f t="shared" si="75"/>
        <v>#N/A</v>
      </c>
      <c r="CE41" t="e">
        <f t="shared" si="75"/>
        <v>#N/A</v>
      </c>
      <c r="CF41" t="e">
        <f t="shared" si="75"/>
        <v>#N/A</v>
      </c>
      <c r="CG41" t="e">
        <f t="shared" si="75"/>
        <v>#N/A</v>
      </c>
      <c r="CH41" t="e">
        <f t="shared" si="75"/>
        <v>#N/A</v>
      </c>
      <c r="CI41" t="e">
        <f t="shared" si="75"/>
        <v>#N/A</v>
      </c>
      <c r="CJ41" t="e">
        <f t="shared" si="75"/>
        <v>#N/A</v>
      </c>
      <c r="CK41" t="e">
        <f t="shared" si="75"/>
        <v>#N/A</v>
      </c>
      <c r="CL41" t="e">
        <f t="shared" si="75"/>
        <v>#N/A</v>
      </c>
      <c r="CM41" t="e">
        <f t="shared" si="75"/>
        <v>#N/A</v>
      </c>
      <c r="CN41" t="e">
        <f t="shared" si="75"/>
        <v>#N/A</v>
      </c>
      <c r="CO41" t="e">
        <f t="shared" si="75"/>
        <v>#N/A</v>
      </c>
      <c r="CP41" t="e">
        <f t="shared" si="75"/>
        <v>#N/A</v>
      </c>
      <c r="CQ41" t="e">
        <f t="shared" si="75"/>
        <v>#N/A</v>
      </c>
      <c r="CR41" t="e">
        <f t="shared" si="75"/>
        <v>#N/A</v>
      </c>
      <c r="CS41" t="e">
        <f t="shared" si="75"/>
        <v>#N/A</v>
      </c>
      <c r="CT41" t="e">
        <f t="shared" si="75"/>
        <v>#N/A</v>
      </c>
      <c r="CU41" t="e">
        <f t="shared" si="75"/>
        <v>#N/A</v>
      </c>
      <c r="CV41" t="e">
        <f t="shared" si="75"/>
        <v>#N/A</v>
      </c>
      <c r="CW41" t="e">
        <f t="shared" si="75"/>
        <v>#N/A</v>
      </c>
      <c r="CX41" t="e">
        <f t="shared" si="75"/>
        <v>#N/A</v>
      </c>
      <c r="CY41" t="e">
        <f t="shared" si="75"/>
        <v>#N/A</v>
      </c>
      <c r="CZ41" t="e">
        <f t="shared" si="75"/>
        <v>#N/A</v>
      </c>
      <c r="DA41" t="e">
        <f t="shared" si="75"/>
        <v>#N/A</v>
      </c>
      <c r="DB41" t="e">
        <f t="shared" si="75"/>
        <v>#N/A</v>
      </c>
      <c r="DC41" t="e">
        <f t="shared" si="75"/>
        <v>#N/A</v>
      </c>
      <c r="DD41" t="e">
        <f t="shared" si="75"/>
        <v>#N/A</v>
      </c>
      <c r="DE41" t="e">
        <f t="shared" si="75"/>
        <v>#N/A</v>
      </c>
      <c r="DF41" t="e">
        <f t="shared" si="75"/>
        <v>#N/A</v>
      </c>
      <c r="DG41" t="e">
        <f t="shared" si="75"/>
        <v>#N/A</v>
      </c>
      <c r="DH41" t="e">
        <f t="shared" si="75"/>
        <v>#N/A</v>
      </c>
      <c r="DI41" t="e">
        <f t="shared" si="75"/>
        <v>#N/A</v>
      </c>
      <c r="DJ41" t="e">
        <f t="shared" si="75"/>
        <v>#N/A</v>
      </c>
      <c r="DK41" t="e">
        <f t="shared" si="75"/>
        <v>#N/A</v>
      </c>
      <c r="DL41" t="e">
        <f t="shared" si="75"/>
        <v>#N/A</v>
      </c>
      <c r="DM41" t="e">
        <f t="shared" si="75"/>
        <v>#N/A</v>
      </c>
      <c r="DN41" t="e">
        <f t="shared" si="75"/>
        <v>#N/A</v>
      </c>
      <c r="DO41" t="e">
        <f t="shared" si="75"/>
        <v>#N/A</v>
      </c>
      <c r="DP41" t="e">
        <f t="shared" si="75"/>
        <v>#N/A</v>
      </c>
      <c r="DQ41" t="e">
        <f t="shared" si="75"/>
        <v>#N/A</v>
      </c>
      <c r="DR41" t="e">
        <f t="shared" si="75"/>
        <v>#N/A</v>
      </c>
      <c r="DS41" t="e">
        <f t="shared" si="75"/>
        <v>#N/A</v>
      </c>
      <c r="DT41" t="e">
        <f t="shared" si="75"/>
        <v>#N/A</v>
      </c>
      <c r="DU41" t="e">
        <f t="shared" si="75"/>
        <v>#N/A</v>
      </c>
      <c r="DV41" t="e">
        <f t="shared" si="75"/>
        <v>#N/A</v>
      </c>
      <c r="DW41" t="e">
        <f t="shared" si="75"/>
        <v>#N/A</v>
      </c>
      <c r="DX41" t="e">
        <f t="shared" si="75"/>
        <v>#N/A</v>
      </c>
      <c r="DY41" t="e">
        <f t="shared" si="75"/>
        <v>#N/A</v>
      </c>
      <c r="DZ41" t="e">
        <f t="shared" si="75"/>
        <v>#N/A</v>
      </c>
      <c r="EA41" t="e">
        <f t="shared" si="75"/>
        <v>#N/A</v>
      </c>
      <c r="EB41" t="e">
        <f t="shared" si="75"/>
        <v>#N/A</v>
      </c>
      <c r="EC41" t="e">
        <f t="shared" si="75"/>
        <v>#N/A</v>
      </c>
      <c r="ED41" t="e">
        <f t="shared" si="75"/>
        <v>#N/A</v>
      </c>
      <c r="EE41" t="e">
        <f t="shared" si="75"/>
        <v>#N/A</v>
      </c>
      <c r="EF41" t="e">
        <f t="shared" si="75"/>
        <v>#N/A</v>
      </c>
      <c r="EG41" t="e">
        <f t="shared" si="75"/>
        <v>#N/A</v>
      </c>
      <c r="EH41" t="e">
        <f t="shared" ref="EH41:GA41" si="76">IF(ISNA(EH18),NA(),$A41*EH18)</f>
        <v>#N/A</v>
      </c>
      <c r="EI41" t="e">
        <f t="shared" si="76"/>
        <v>#N/A</v>
      </c>
      <c r="EJ41" t="e">
        <f t="shared" si="76"/>
        <v>#N/A</v>
      </c>
      <c r="EK41" t="e">
        <f t="shared" si="76"/>
        <v>#N/A</v>
      </c>
      <c r="EL41" t="e">
        <f t="shared" si="76"/>
        <v>#N/A</v>
      </c>
      <c r="EM41" t="e">
        <f t="shared" si="76"/>
        <v>#N/A</v>
      </c>
      <c r="EN41" t="e">
        <f t="shared" si="76"/>
        <v>#N/A</v>
      </c>
      <c r="EO41" t="e">
        <f t="shared" si="76"/>
        <v>#N/A</v>
      </c>
      <c r="EP41" t="e">
        <f t="shared" si="76"/>
        <v>#N/A</v>
      </c>
      <c r="EQ41" t="e">
        <f t="shared" si="76"/>
        <v>#N/A</v>
      </c>
      <c r="ER41" t="e">
        <f t="shared" si="76"/>
        <v>#N/A</v>
      </c>
      <c r="ES41" t="e">
        <f t="shared" si="76"/>
        <v>#N/A</v>
      </c>
      <c r="ET41" t="e">
        <f t="shared" si="76"/>
        <v>#N/A</v>
      </c>
      <c r="EU41" t="e">
        <f t="shared" si="76"/>
        <v>#N/A</v>
      </c>
      <c r="EV41" t="e">
        <f t="shared" si="76"/>
        <v>#N/A</v>
      </c>
      <c r="EW41" t="e">
        <f t="shared" si="76"/>
        <v>#N/A</v>
      </c>
      <c r="EX41" t="e">
        <f t="shared" si="76"/>
        <v>#N/A</v>
      </c>
      <c r="EY41" t="e">
        <f t="shared" si="76"/>
        <v>#N/A</v>
      </c>
      <c r="EZ41" t="e">
        <f t="shared" si="76"/>
        <v>#N/A</v>
      </c>
      <c r="FA41" t="e">
        <f t="shared" si="76"/>
        <v>#N/A</v>
      </c>
      <c r="FB41" t="e">
        <f t="shared" si="76"/>
        <v>#N/A</v>
      </c>
      <c r="FC41" t="e">
        <f t="shared" si="76"/>
        <v>#N/A</v>
      </c>
      <c r="FD41" t="e">
        <f t="shared" si="76"/>
        <v>#N/A</v>
      </c>
      <c r="FE41" t="e">
        <f t="shared" si="76"/>
        <v>#N/A</v>
      </c>
      <c r="FF41" t="e">
        <f t="shared" si="76"/>
        <v>#N/A</v>
      </c>
      <c r="FG41" t="e">
        <f t="shared" si="76"/>
        <v>#N/A</v>
      </c>
      <c r="FH41" t="e">
        <f t="shared" si="76"/>
        <v>#N/A</v>
      </c>
      <c r="FI41" t="e">
        <f t="shared" si="76"/>
        <v>#N/A</v>
      </c>
      <c r="FJ41" t="e">
        <f t="shared" si="76"/>
        <v>#N/A</v>
      </c>
      <c r="FK41" t="e">
        <f t="shared" si="76"/>
        <v>#N/A</v>
      </c>
      <c r="FL41" t="e">
        <f t="shared" si="76"/>
        <v>#N/A</v>
      </c>
      <c r="FM41" t="e">
        <f t="shared" si="76"/>
        <v>#N/A</v>
      </c>
      <c r="FN41" t="e">
        <f t="shared" si="76"/>
        <v>#N/A</v>
      </c>
      <c r="FO41" t="e">
        <f t="shared" si="76"/>
        <v>#N/A</v>
      </c>
      <c r="FP41" t="e">
        <f t="shared" si="76"/>
        <v>#N/A</v>
      </c>
      <c r="FQ41" t="e">
        <f t="shared" si="76"/>
        <v>#N/A</v>
      </c>
      <c r="FR41" t="e">
        <f t="shared" si="76"/>
        <v>#N/A</v>
      </c>
      <c r="FS41" t="e">
        <f t="shared" si="76"/>
        <v>#N/A</v>
      </c>
      <c r="FT41" t="e">
        <f t="shared" si="76"/>
        <v>#N/A</v>
      </c>
      <c r="FU41" t="e">
        <f t="shared" si="76"/>
        <v>#N/A</v>
      </c>
      <c r="FV41" t="e">
        <f t="shared" si="76"/>
        <v>#N/A</v>
      </c>
      <c r="FW41" t="e">
        <f t="shared" si="76"/>
        <v>#N/A</v>
      </c>
      <c r="FX41" t="e">
        <f t="shared" si="76"/>
        <v>#N/A</v>
      </c>
      <c r="FY41" t="e">
        <f t="shared" si="76"/>
        <v>#N/A</v>
      </c>
      <c r="FZ41" t="e">
        <f t="shared" si="76"/>
        <v>#N/A</v>
      </c>
      <c r="GA41" t="e">
        <f t="shared" si="76"/>
        <v>#N/A</v>
      </c>
    </row>
    <row r="42" spans="1:183" x14ac:dyDescent="0.45">
      <c r="A42">
        <f t="shared" si="66"/>
        <v>10</v>
      </c>
      <c r="B42" t="s">
        <v>25</v>
      </c>
      <c r="C42" cm="1">
        <f t="array" ref="C42">LOOKUP(2,1/(I42:GA42&lt;&gt;""),I42:GA42)</f>
        <v>77.3</v>
      </c>
      <c r="D42">
        <f t="shared" si="60"/>
        <v>45</v>
      </c>
      <c r="F42" s="4">
        <f t="shared" si="67"/>
        <v>1.5511551155115513</v>
      </c>
      <c r="G42" s="3" cm="1">
        <f t="array" ref="G42">(C42-IF(ISNA(INDEX(I42:GA42,D42-22)),INDEX(I42:GA42,D42-23),INDEX(I42:GA42,D42-22)))/IF(ISNA(INDEX(I42:GA42,D42-22)),INDEX(I42:GA42,D42-23),INDEX(I42:GA42,D42-22))</f>
        <v>-6.0753341433778696E-2</v>
      </c>
      <c r="I42">
        <f t="shared" si="62"/>
        <v>30.299999999999997</v>
      </c>
      <c r="J42">
        <f t="shared" ref="J42:BU42" si="77">IF(ISNA(J19),NA(),$A42*J19)</f>
        <v>30.2</v>
      </c>
      <c r="K42" t="e">
        <f t="shared" si="77"/>
        <v>#N/A</v>
      </c>
      <c r="L42">
        <f t="shared" si="77"/>
        <v>32.499999999999993</v>
      </c>
      <c r="M42" t="e">
        <f t="shared" si="77"/>
        <v>#N/A</v>
      </c>
      <c r="N42">
        <f t="shared" si="77"/>
        <v>36.4</v>
      </c>
      <c r="O42">
        <f t="shared" si="77"/>
        <v>37.400000000000006</v>
      </c>
      <c r="P42">
        <f t="shared" si="77"/>
        <v>48.099999999999994</v>
      </c>
      <c r="Q42">
        <f t="shared" si="77"/>
        <v>49.800000000000004</v>
      </c>
      <c r="R42">
        <f t="shared" si="77"/>
        <v>53.5</v>
      </c>
      <c r="S42">
        <f t="shared" si="77"/>
        <v>52.800000000000004</v>
      </c>
      <c r="T42">
        <f t="shared" si="77"/>
        <v>62.9</v>
      </c>
      <c r="U42">
        <f t="shared" si="77"/>
        <v>66.7</v>
      </c>
      <c r="V42">
        <f t="shared" si="77"/>
        <v>69.600000000000009</v>
      </c>
      <c r="W42">
        <f t="shared" si="77"/>
        <v>68.3</v>
      </c>
      <c r="X42">
        <f t="shared" si="77"/>
        <v>67.599999999999994</v>
      </c>
      <c r="Y42">
        <f t="shared" si="77"/>
        <v>61.4</v>
      </c>
      <c r="Z42">
        <f t="shared" si="77"/>
        <v>58.8</v>
      </c>
      <c r="AA42">
        <f t="shared" si="77"/>
        <v>67.699999999999989</v>
      </c>
      <c r="AB42">
        <f t="shared" si="77"/>
        <v>75.5</v>
      </c>
      <c r="AC42">
        <f t="shared" si="77"/>
        <v>82.299999999999983</v>
      </c>
      <c r="AD42">
        <f t="shared" si="77"/>
        <v>97.300000000000011</v>
      </c>
      <c r="AE42">
        <f t="shared" si="77"/>
        <v>82.299999999999983</v>
      </c>
      <c r="AF42">
        <f t="shared" si="77"/>
        <v>79.2</v>
      </c>
      <c r="AG42">
        <f t="shared" si="77"/>
        <v>78.8</v>
      </c>
      <c r="AH42">
        <f t="shared" si="77"/>
        <v>79.300000000000011</v>
      </c>
      <c r="AI42">
        <f t="shared" si="77"/>
        <v>78.600000000000009</v>
      </c>
      <c r="AJ42">
        <f t="shared" si="77"/>
        <v>77.7</v>
      </c>
      <c r="AK42">
        <f t="shared" si="77"/>
        <v>84</v>
      </c>
      <c r="AL42">
        <f t="shared" si="77"/>
        <v>89.2</v>
      </c>
      <c r="AM42">
        <f t="shared" si="77"/>
        <v>81.59999999999998</v>
      </c>
      <c r="AN42" t="e">
        <f t="shared" si="77"/>
        <v>#N/A</v>
      </c>
      <c r="AO42">
        <f t="shared" si="77"/>
        <v>78.7</v>
      </c>
      <c r="AP42">
        <f t="shared" si="77"/>
        <v>82.999999999999986</v>
      </c>
      <c r="AQ42">
        <f t="shared" si="77"/>
        <v>79.800000000000011</v>
      </c>
      <c r="AR42">
        <f t="shared" si="77"/>
        <v>76.399999999999991</v>
      </c>
      <c r="AS42">
        <f t="shared" si="77"/>
        <v>77.3</v>
      </c>
      <c r="AT42" t="e">
        <f t="shared" si="77"/>
        <v>#N/A</v>
      </c>
      <c r="AU42" t="e">
        <f t="shared" si="77"/>
        <v>#N/A</v>
      </c>
      <c r="AV42" t="e">
        <f t="shared" si="77"/>
        <v>#N/A</v>
      </c>
      <c r="AW42" t="e">
        <f t="shared" si="77"/>
        <v>#N/A</v>
      </c>
      <c r="AX42" t="e">
        <f t="shared" si="77"/>
        <v>#N/A</v>
      </c>
      <c r="AY42" t="e">
        <f t="shared" si="77"/>
        <v>#N/A</v>
      </c>
      <c r="AZ42" t="e">
        <f t="shared" si="77"/>
        <v>#N/A</v>
      </c>
      <c r="BA42" t="e">
        <f t="shared" si="77"/>
        <v>#N/A</v>
      </c>
      <c r="BB42" t="e">
        <f t="shared" si="77"/>
        <v>#N/A</v>
      </c>
      <c r="BC42" t="e">
        <f t="shared" si="77"/>
        <v>#N/A</v>
      </c>
      <c r="BD42" t="e">
        <f t="shared" si="77"/>
        <v>#N/A</v>
      </c>
      <c r="BE42" t="e">
        <f t="shared" si="77"/>
        <v>#N/A</v>
      </c>
      <c r="BF42" t="e">
        <f t="shared" si="77"/>
        <v>#N/A</v>
      </c>
      <c r="BG42" t="e">
        <f t="shared" si="77"/>
        <v>#N/A</v>
      </c>
      <c r="BH42" t="e">
        <f t="shared" si="77"/>
        <v>#N/A</v>
      </c>
      <c r="BI42" t="e">
        <f t="shared" si="77"/>
        <v>#N/A</v>
      </c>
      <c r="BJ42" t="e">
        <f t="shared" si="77"/>
        <v>#N/A</v>
      </c>
      <c r="BK42" t="e">
        <f t="shared" si="77"/>
        <v>#N/A</v>
      </c>
      <c r="BL42" t="e">
        <f t="shared" si="77"/>
        <v>#N/A</v>
      </c>
      <c r="BM42" t="e">
        <f t="shared" si="77"/>
        <v>#N/A</v>
      </c>
      <c r="BN42" t="e">
        <f t="shared" si="77"/>
        <v>#N/A</v>
      </c>
      <c r="BO42" t="e">
        <f t="shared" si="77"/>
        <v>#N/A</v>
      </c>
      <c r="BP42" t="e">
        <f t="shared" si="77"/>
        <v>#N/A</v>
      </c>
      <c r="BQ42" t="e">
        <f t="shared" si="77"/>
        <v>#N/A</v>
      </c>
      <c r="BR42" t="e">
        <f t="shared" si="77"/>
        <v>#N/A</v>
      </c>
      <c r="BS42" t="e">
        <f t="shared" si="77"/>
        <v>#N/A</v>
      </c>
      <c r="BT42" t="e">
        <f t="shared" si="77"/>
        <v>#N/A</v>
      </c>
      <c r="BU42" t="e">
        <f t="shared" si="77"/>
        <v>#N/A</v>
      </c>
      <c r="BV42" t="e">
        <f t="shared" ref="BV42:EG42" si="78">IF(ISNA(BV19),NA(),$A42*BV19)</f>
        <v>#N/A</v>
      </c>
      <c r="BW42" t="e">
        <f t="shared" si="78"/>
        <v>#N/A</v>
      </c>
      <c r="BX42" t="e">
        <f t="shared" si="78"/>
        <v>#N/A</v>
      </c>
      <c r="BY42" t="e">
        <f t="shared" si="78"/>
        <v>#N/A</v>
      </c>
      <c r="BZ42" t="e">
        <f t="shared" si="78"/>
        <v>#N/A</v>
      </c>
      <c r="CA42" t="e">
        <f t="shared" si="78"/>
        <v>#N/A</v>
      </c>
      <c r="CB42" t="e">
        <f t="shared" si="78"/>
        <v>#N/A</v>
      </c>
      <c r="CC42" t="e">
        <f t="shared" si="78"/>
        <v>#N/A</v>
      </c>
      <c r="CD42" t="e">
        <f t="shared" si="78"/>
        <v>#N/A</v>
      </c>
      <c r="CE42" t="e">
        <f t="shared" si="78"/>
        <v>#N/A</v>
      </c>
      <c r="CF42" t="e">
        <f t="shared" si="78"/>
        <v>#N/A</v>
      </c>
      <c r="CG42" t="e">
        <f t="shared" si="78"/>
        <v>#N/A</v>
      </c>
      <c r="CH42" t="e">
        <f t="shared" si="78"/>
        <v>#N/A</v>
      </c>
      <c r="CI42" t="e">
        <f t="shared" si="78"/>
        <v>#N/A</v>
      </c>
      <c r="CJ42" t="e">
        <f t="shared" si="78"/>
        <v>#N/A</v>
      </c>
      <c r="CK42" t="e">
        <f t="shared" si="78"/>
        <v>#N/A</v>
      </c>
      <c r="CL42" t="e">
        <f t="shared" si="78"/>
        <v>#N/A</v>
      </c>
      <c r="CM42" t="e">
        <f t="shared" si="78"/>
        <v>#N/A</v>
      </c>
      <c r="CN42" t="e">
        <f t="shared" si="78"/>
        <v>#N/A</v>
      </c>
      <c r="CO42" t="e">
        <f t="shared" si="78"/>
        <v>#N/A</v>
      </c>
      <c r="CP42" t="e">
        <f t="shared" si="78"/>
        <v>#N/A</v>
      </c>
      <c r="CQ42" t="e">
        <f t="shared" si="78"/>
        <v>#N/A</v>
      </c>
      <c r="CR42" t="e">
        <f t="shared" si="78"/>
        <v>#N/A</v>
      </c>
      <c r="CS42" t="e">
        <f t="shared" si="78"/>
        <v>#N/A</v>
      </c>
      <c r="CT42" t="e">
        <f t="shared" si="78"/>
        <v>#N/A</v>
      </c>
      <c r="CU42" t="e">
        <f t="shared" si="78"/>
        <v>#N/A</v>
      </c>
      <c r="CV42" t="e">
        <f t="shared" si="78"/>
        <v>#N/A</v>
      </c>
      <c r="CW42" t="e">
        <f t="shared" si="78"/>
        <v>#N/A</v>
      </c>
      <c r="CX42" t="e">
        <f t="shared" si="78"/>
        <v>#N/A</v>
      </c>
      <c r="CY42" t="e">
        <f t="shared" si="78"/>
        <v>#N/A</v>
      </c>
      <c r="CZ42" t="e">
        <f t="shared" si="78"/>
        <v>#N/A</v>
      </c>
      <c r="DA42" t="e">
        <f t="shared" si="78"/>
        <v>#N/A</v>
      </c>
      <c r="DB42" t="e">
        <f t="shared" si="78"/>
        <v>#N/A</v>
      </c>
      <c r="DC42" t="e">
        <f t="shared" si="78"/>
        <v>#N/A</v>
      </c>
      <c r="DD42" t="e">
        <f t="shared" si="78"/>
        <v>#N/A</v>
      </c>
      <c r="DE42" t="e">
        <f t="shared" si="78"/>
        <v>#N/A</v>
      </c>
      <c r="DF42" t="e">
        <f t="shared" si="78"/>
        <v>#N/A</v>
      </c>
      <c r="DG42" t="e">
        <f t="shared" si="78"/>
        <v>#N/A</v>
      </c>
      <c r="DH42" t="e">
        <f t="shared" si="78"/>
        <v>#N/A</v>
      </c>
      <c r="DI42" t="e">
        <f t="shared" si="78"/>
        <v>#N/A</v>
      </c>
      <c r="DJ42" t="e">
        <f t="shared" si="78"/>
        <v>#N/A</v>
      </c>
      <c r="DK42" t="e">
        <f t="shared" si="78"/>
        <v>#N/A</v>
      </c>
      <c r="DL42" t="e">
        <f t="shared" si="78"/>
        <v>#N/A</v>
      </c>
      <c r="DM42" t="e">
        <f t="shared" si="78"/>
        <v>#N/A</v>
      </c>
      <c r="DN42" t="e">
        <f t="shared" si="78"/>
        <v>#N/A</v>
      </c>
      <c r="DO42" t="e">
        <f t="shared" si="78"/>
        <v>#N/A</v>
      </c>
      <c r="DP42" t="e">
        <f t="shared" si="78"/>
        <v>#N/A</v>
      </c>
      <c r="DQ42" t="e">
        <f t="shared" si="78"/>
        <v>#N/A</v>
      </c>
      <c r="DR42" t="e">
        <f t="shared" si="78"/>
        <v>#N/A</v>
      </c>
      <c r="DS42" t="e">
        <f t="shared" si="78"/>
        <v>#N/A</v>
      </c>
      <c r="DT42" t="e">
        <f t="shared" si="78"/>
        <v>#N/A</v>
      </c>
      <c r="DU42" t="e">
        <f t="shared" si="78"/>
        <v>#N/A</v>
      </c>
      <c r="DV42" t="e">
        <f t="shared" si="78"/>
        <v>#N/A</v>
      </c>
      <c r="DW42" t="e">
        <f t="shared" si="78"/>
        <v>#N/A</v>
      </c>
      <c r="DX42" t="e">
        <f t="shared" si="78"/>
        <v>#N/A</v>
      </c>
      <c r="DY42" t="e">
        <f t="shared" si="78"/>
        <v>#N/A</v>
      </c>
      <c r="DZ42" t="e">
        <f t="shared" si="78"/>
        <v>#N/A</v>
      </c>
      <c r="EA42" t="e">
        <f t="shared" si="78"/>
        <v>#N/A</v>
      </c>
      <c r="EB42" t="e">
        <f t="shared" si="78"/>
        <v>#N/A</v>
      </c>
      <c r="EC42" t="e">
        <f t="shared" si="78"/>
        <v>#N/A</v>
      </c>
      <c r="ED42" t="e">
        <f t="shared" si="78"/>
        <v>#N/A</v>
      </c>
      <c r="EE42" t="e">
        <f t="shared" si="78"/>
        <v>#N/A</v>
      </c>
      <c r="EF42" t="e">
        <f t="shared" si="78"/>
        <v>#N/A</v>
      </c>
      <c r="EG42" t="e">
        <f t="shared" si="78"/>
        <v>#N/A</v>
      </c>
      <c r="EH42" t="e">
        <f t="shared" ref="EH42:GA42" si="79">IF(ISNA(EH19),NA(),$A42*EH19)</f>
        <v>#N/A</v>
      </c>
      <c r="EI42" t="e">
        <f t="shared" si="79"/>
        <v>#N/A</v>
      </c>
      <c r="EJ42" t="e">
        <f t="shared" si="79"/>
        <v>#N/A</v>
      </c>
      <c r="EK42" t="e">
        <f t="shared" si="79"/>
        <v>#N/A</v>
      </c>
      <c r="EL42" t="e">
        <f t="shared" si="79"/>
        <v>#N/A</v>
      </c>
      <c r="EM42" t="e">
        <f t="shared" si="79"/>
        <v>#N/A</v>
      </c>
      <c r="EN42" t="e">
        <f t="shared" si="79"/>
        <v>#N/A</v>
      </c>
      <c r="EO42" t="e">
        <f t="shared" si="79"/>
        <v>#N/A</v>
      </c>
      <c r="EP42" t="e">
        <f t="shared" si="79"/>
        <v>#N/A</v>
      </c>
      <c r="EQ42" t="e">
        <f t="shared" si="79"/>
        <v>#N/A</v>
      </c>
      <c r="ER42" t="e">
        <f t="shared" si="79"/>
        <v>#N/A</v>
      </c>
      <c r="ES42" t="e">
        <f t="shared" si="79"/>
        <v>#N/A</v>
      </c>
      <c r="ET42" t="e">
        <f t="shared" si="79"/>
        <v>#N/A</v>
      </c>
      <c r="EU42" t="e">
        <f t="shared" si="79"/>
        <v>#N/A</v>
      </c>
      <c r="EV42" t="e">
        <f t="shared" si="79"/>
        <v>#N/A</v>
      </c>
      <c r="EW42" t="e">
        <f t="shared" si="79"/>
        <v>#N/A</v>
      </c>
      <c r="EX42" t="e">
        <f t="shared" si="79"/>
        <v>#N/A</v>
      </c>
      <c r="EY42" t="e">
        <f t="shared" si="79"/>
        <v>#N/A</v>
      </c>
      <c r="EZ42" t="e">
        <f t="shared" si="79"/>
        <v>#N/A</v>
      </c>
      <c r="FA42" t="e">
        <f t="shared" si="79"/>
        <v>#N/A</v>
      </c>
      <c r="FB42" t="e">
        <f t="shared" si="79"/>
        <v>#N/A</v>
      </c>
      <c r="FC42" t="e">
        <f t="shared" si="79"/>
        <v>#N/A</v>
      </c>
      <c r="FD42" t="e">
        <f t="shared" si="79"/>
        <v>#N/A</v>
      </c>
      <c r="FE42" t="e">
        <f t="shared" si="79"/>
        <v>#N/A</v>
      </c>
      <c r="FF42" t="e">
        <f t="shared" si="79"/>
        <v>#N/A</v>
      </c>
      <c r="FG42" t="e">
        <f t="shared" si="79"/>
        <v>#N/A</v>
      </c>
      <c r="FH42" t="e">
        <f t="shared" si="79"/>
        <v>#N/A</v>
      </c>
      <c r="FI42" t="e">
        <f t="shared" si="79"/>
        <v>#N/A</v>
      </c>
      <c r="FJ42" t="e">
        <f t="shared" si="79"/>
        <v>#N/A</v>
      </c>
      <c r="FK42" t="e">
        <f t="shared" si="79"/>
        <v>#N/A</v>
      </c>
      <c r="FL42" t="e">
        <f t="shared" si="79"/>
        <v>#N/A</v>
      </c>
      <c r="FM42" t="e">
        <f t="shared" si="79"/>
        <v>#N/A</v>
      </c>
      <c r="FN42" t="e">
        <f t="shared" si="79"/>
        <v>#N/A</v>
      </c>
      <c r="FO42" t="e">
        <f t="shared" si="79"/>
        <v>#N/A</v>
      </c>
      <c r="FP42" t="e">
        <f t="shared" si="79"/>
        <v>#N/A</v>
      </c>
      <c r="FQ42" t="e">
        <f t="shared" si="79"/>
        <v>#N/A</v>
      </c>
      <c r="FR42" t="e">
        <f t="shared" si="79"/>
        <v>#N/A</v>
      </c>
      <c r="FS42" t="e">
        <f t="shared" si="79"/>
        <v>#N/A</v>
      </c>
      <c r="FT42" t="e">
        <f t="shared" si="79"/>
        <v>#N/A</v>
      </c>
      <c r="FU42" t="e">
        <f t="shared" si="79"/>
        <v>#N/A</v>
      </c>
      <c r="FV42" t="e">
        <f t="shared" si="79"/>
        <v>#N/A</v>
      </c>
      <c r="FW42" t="e">
        <f t="shared" si="79"/>
        <v>#N/A</v>
      </c>
      <c r="FX42" t="e">
        <f t="shared" si="79"/>
        <v>#N/A</v>
      </c>
      <c r="FY42" t="e">
        <f t="shared" si="79"/>
        <v>#N/A</v>
      </c>
      <c r="FZ42" t="e">
        <f t="shared" si="79"/>
        <v>#N/A</v>
      </c>
      <c r="GA42" t="e">
        <f t="shared" si="79"/>
        <v>#N/A</v>
      </c>
    </row>
    <row r="43" spans="1:183" x14ac:dyDescent="0.45">
      <c r="A43">
        <f t="shared" si="66"/>
        <v>10</v>
      </c>
      <c r="B43" t="s">
        <v>26</v>
      </c>
      <c r="C43" cm="1">
        <f t="array" ref="C43">LOOKUP(2,1/(I43:GA43&lt;&gt;""),I43:GA43)</f>
        <v>85</v>
      </c>
      <c r="D43">
        <f t="shared" si="60"/>
        <v>45</v>
      </c>
      <c r="F43" s="4">
        <f t="shared" si="67"/>
        <v>1.421652421652422</v>
      </c>
      <c r="G43" s="3" cm="1">
        <f t="array" ref="G43">(C43-IF(ISNA(INDEX(I43:GA43,D43-22)),INDEX(I43:GA43,D43-23),INDEX(I43:GA43,D43-22)))/IF(ISNA(INDEX(I43:GA43,D43-22)),INDEX(I43:GA43,D43-23),INDEX(I43:GA43,D43-22))</f>
        <v>-3.8461538461538526E-2</v>
      </c>
      <c r="I43">
        <f t="shared" si="62"/>
        <v>35.099999999999994</v>
      </c>
      <c r="J43">
        <f t="shared" ref="J43:BU43" si="80">IF(ISNA(J20),NA(),$A43*J20)</f>
        <v>33.099999999999994</v>
      </c>
      <c r="K43" t="e">
        <f t="shared" si="80"/>
        <v>#N/A</v>
      </c>
      <c r="L43">
        <f t="shared" si="80"/>
        <v>33.099999999999994</v>
      </c>
      <c r="M43" t="e">
        <f t="shared" si="80"/>
        <v>#N/A</v>
      </c>
      <c r="N43">
        <f t="shared" si="80"/>
        <v>40</v>
      </c>
      <c r="O43">
        <f t="shared" si="80"/>
        <v>43.3</v>
      </c>
      <c r="P43">
        <f t="shared" si="80"/>
        <v>50.100000000000009</v>
      </c>
      <c r="Q43">
        <f t="shared" si="80"/>
        <v>55.699999999999996</v>
      </c>
      <c r="R43">
        <f t="shared" si="80"/>
        <v>60.5</v>
      </c>
      <c r="S43">
        <f t="shared" si="80"/>
        <v>61.1</v>
      </c>
      <c r="T43">
        <f t="shared" si="80"/>
        <v>67.599999999999994</v>
      </c>
      <c r="U43">
        <f t="shared" si="80"/>
        <v>72.499999999999986</v>
      </c>
      <c r="V43">
        <f t="shared" si="80"/>
        <v>70.600000000000009</v>
      </c>
      <c r="W43">
        <f t="shared" si="80"/>
        <v>69.699999999999989</v>
      </c>
      <c r="X43">
        <f t="shared" si="80"/>
        <v>64.599999999999994</v>
      </c>
      <c r="Y43">
        <f t="shared" si="80"/>
        <v>64.099999999999994</v>
      </c>
      <c r="Z43">
        <f t="shared" si="80"/>
        <v>66.599999999999994</v>
      </c>
      <c r="AA43">
        <f t="shared" si="80"/>
        <v>74.599999999999994</v>
      </c>
      <c r="AB43">
        <f t="shared" si="80"/>
        <v>76.900000000000006</v>
      </c>
      <c r="AC43">
        <f t="shared" si="80"/>
        <v>85.600000000000009</v>
      </c>
      <c r="AD43">
        <f t="shared" si="80"/>
        <v>92</v>
      </c>
      <c r="AE43">
        <f t="shared" si="80"/>
        <v>88.4</v>
      </c>
      <c r="AF43">
        <f t="shared" si="80"/>
        <v>81.59999999999998</v>
      </c>
      <c r="AG43">
        <f t="shared" si="80"/>
        <v>86.5</v>
      </c>
      <c r="AH43">
        <f t="shared" si="80"/>
        <v>85.199999999999989</v>
      </c>
      <c r="AI43">
        <f t="shared" si="80"/>
        <v>85.199999999999989</v>
      </c>
      <c r="AJ43">
        <f t="shared" si="80"/>
        <v>83.3</v>
      </c>
      <c r="AK43">
        <f t="shared" si="80"/>
        <v>106.19999999999999</v>
      </c>
      <c r="AL43">
        <f t="shared" si="80"/>
        <v>104.1</v>
      </c>
      <c r="AM43">
        <f t="shared" si="80"/>
        <v>99.1</v>
      </c>
      <c r="AN43" t="e">
        <f t="shared" si="80"/>
        <v>#N/A</v>
      </c>
      <c r="AO43">
        <f t="shared" si="80"/>
        <v>94.399999999999991</v>
      </c>
      <c r="AP43">
        <f t="shared" si="80"/>
        <v>88.1</v>
      </c>
      <c r="AQ43">
        <f t="shared" si="80"/>
        <v>89.1</v>
      </c>
      <c r="AR43">
        <f t="shared" si="80"/>
        <v>89.9</v>
      </c>
      <c r="AS43">
        <f t="shared" si="80"/>
        <v>85</v>
      </c>
      <c r="AT43" t="e">
        <f t="shared" si="80"/>
        <v>#N/A</v>
      </c>
      <c r="AU43" t="e">
        <f t="shared" si="80"/>
        <v>#N/A</v>
      </c>
      <c r="AV43" t="e">
        <f t="shared" si="80"/>
        <v>#N/A</v>
      </c>
      <c r="AW43" t="e">
        <f t="shared" si="80"/>
        <v>#N/A</v>
      </c>
      <c r="AX43" t="e">
        <f t="shared" si="80"/>
        <v>#N/A</v>
      </c>
      <c r="AY43" t="e">
        <f t="shared" si="80"/>
        <v>#N/A</v>
      </c>
      <c r="AZ43" t="e">
        <f t="shared" si="80"/>
        <v>#N/A</v>
      </c>
      <c r="BA43" t="e">
        <f t="shared" si="80"/>
        <v>#N/A</v>
      </c>
      <c r="BB43" t="e">
        <f t="shared" si="80"/>
        <v>#N/A</v>
      </c>
      <c r="BC43" t="e">
        <f t="shared" si="80"/>
        <v>#N/A</v>
      </c>
      <c r="BD43" t="e">
        <f t="shared" si="80"/>
        <v>#N/A</v>
      </c>
      <c r="BE43" t="e">
        <f t="shared" si="80"/>
        <v>#N/A</v>
      </c>
      <c r="BF43" t="e">
        <f t="shared" si="80"/>
        <v>#N/A</v>
      </c>
      <c r="BG43" t="e">
        <f t="shared" si="80"/>
        <v>#N/A</v>
      </c>
      <c r="BH43" t="e">
        <f t="shared" si="80"/>
        <v>#N/A</v>
      </c>
      <c r="BI43" t="e">
        <f t="shared" si="80"/>
        <v>#N/A</v>
      </c>
      <c r="BJ43" t="e">
        <f t="shared" si="80"/>
        <v>#N/A</v>
      </c>
      <c r="BK43" t="e">
        <f t="shared" si="80"/>
        <v>#N/A</v>
      </c>
      <c r="BL43" t="e">
        <f t="shared" si="80"/>
        <v>#N/A</v>
      </c>
      <c r="BM43" t="e">
        <f t="shared" si="80"/>
        <v>#N/A</v>
      </c>
      <c r="BN43" t="e">
        <f t="shared" si="80"/>
        <v>#N/A</v>
      </c>
      <c r="BO43" t="e">
        <f t="shared" si="80"/>
        <v>#N/A</v>
      </c>
      <c r="BP43" t="e">
        <f t="shared" si="80"/>
        <v>#N/A</v>
      </c>
      <c r="BQ43" t="e">
        <f t="shared" si="80"/>
        <v>#N/A</v>
      </c>
      <c r="BR43" t="e">
        <f t="shared" si="80"/>
        <v>#N/A</v>
      </c>
      <c r="BS43" t="e">
        <f t="shared" si="80"/>
        <v>#N/A</v>
      </c>
      <c r="BT43" t="e">
        <f t="shared" si="80"/>
        <v>#N/A</v>
      </c>
      <c r="BU43" t="e">
        <f t="shared" si="80"/>
        <v>#N/A</v>
      </c>
      <c r="BV43" t="e">
        <f t="shared" ref="BV43:EG43" si="81">IF(ISNA(BV20),NA(),$A43*BV20)</f>
        <v>#N/A</v>
      </c>
      <c r="BW43" t="e">
        <f t="shared" si="81"/>
        <v>#N/A</v>
      </c>
      <c r="BX43" t="e">
        <f t="shared" si="81"/>
        <v>#N/A</v>
      </c>
      <c r="BY43" t="e">
        <f t="shared" si="81"/>
        <v>#N/A</v>
      </c>
      <c r="BZ43" t="e">
        <f t="shared" si="81"/>
        <v>#N/A</v>
      </c>
      <c r="CA43" t="e">
        <f t="shared" si="81"/>
        <v>#N/A</v>
      </c>
      <c r="CB43" t="e">
        <f t="shared" si="81"/>
        <v>#N/A</v>
      </c>
      <c r="CC43" t="e">
        <f t="shared" si="81"/>
        <v>#N/A</v>
      </c>
      <c r="CD43" t="e">
        <f t="shared" si="81"/>
        <v>#N/A</v>
      </c>
      <c r="CE43" t="e">
        <f t="shared" si="81"/>
        <v>#N/A</v>
      </c>
      <c r="CF43" t="e">
        <f t="shared" si="81"/>
        <v>#N/A</v>
      </c>
      <c r="CG43" t="e">
        <f t="shared" si="81"/>
        <v>#N/A</v>
      </c>
      <c r="CH43" t="e">
        <f t="shared" si="81"/>
        <v>#N/A</v>
      </c>
      <c r="CI43" t="e">
        <f t="shared" si="81"/>
        <v>#N/A</v>
      </c>
      <c r="CJ43" t="e">
        <f t="shared" si="81"/>
        <v>#N/A</v>
      </c>
      <c r="CK43" t="e">
        <f t="shared" si="81"/>
        <v>#N/A</v>
      </c>
      <c r="CL43" t="e">
        <f t="shared" si="81"/>
        <v>#N/A</v>
      </c>
      <c r="CM43" t="e">
        <f t="shared" si="81"/>
        <v>#N/A</v>
      </c>
      <c r="CN43" t="e">
        <f t="shared" si="81"/>
        <v>#N/A</v>
      </c>
      <c r="CO43" t="e">
        <f t="shared" si="81"/>
        <v>#N/A</v>
      </c>
      <c r="CP43" t="e">
        <f t="shared" si="81"/>
        <v>#N/A</v>
      </c>
      <c r="CQ43" t="e">
        <f t="shared" si="81"/>
        <v>#N/A</v>
      </c>
      <c r="CR43" t="e">
        <f t="shared" si="81"/>
        <v>#N/A</v>
      </c>
      <c r="CS43" t="e">
        <f t="shared" si="81"/>
        <v>#N/A</v>
      </c>
      <c r="CT43" t="e">
        <f t="shared" si="81"/>
        <v>#N/A</v>
      </c>
      <c r="CU43" t="e">
        <f t="shared" si="81"/>
        <v>#N/A</v>
      </c>
      <c r="CV43" t="e">
        <f t="shared" si="81"/>
        <v>#N/A</v>
      </c>
      <c r="CW43" t="e">
        <f t="shared" si="81"/>
        <v>#N/A</v>
      </c>
      <c r="CX43" t="e">
        <f t="shared" si="81"/>
        <v>#N/A</v>
      </c>
      <c r="CY43" t="e">
        <f t="shared" si="81"/>
        <v>#N/A</v>
      </c>
      <c r="CZ43" t="e">
        <f t="shared" si="81"/>
        <v>#N/A</v>
      </c>
      <c r="DA43" t="e">
        <f t="shared" si="81"/>
        <v>#N/A</v>
      </c>
      <c r="DB43" t="e">
        <f t="shared" si="81"/>
        <v>#N/A</v>
      </c>
      <c r="DC43" t="e">
        <f t="shared" si="81"/>
        <v>#N/A</v>
      </c>
      <c r="DD43" t="e">
        <f t="shared" si="81"/>
        <v>#N/A</v>
      </c>
      <c r="DE43" t="e">
        <f t="shared" si="81"/>
        <v>#N/A</v>
      </c>
      <c r="DF43" t="e">
        <f t="shared" si="81"/>
        <v>#N/A</v>
      </c>
      <c r="DG43" t="e">
        <f t="shared" si="81"/>
        <v>#N/A</v>
      </c>
      <c r="DH43" t="e">
        <f t="shared" si="81"/>
        <v>#N/A</v>
      </c>
      <c r="DI43" t="e">
        <f t="shared" si="81"/>
        <v>#N/A</v>
      </c>
      <c r="DJ43" t="e">
        <f t="shared" si="81"/>
        <v>#N/A</v>
      </c>
      <c r="DK43" t="e">
        <f t="shared" si="81"/>
        <v>#N/A</v>
      </c>
      <c r="DL43" t="e">
        <f t="shared" si="81"/>
        <v>#N/A</v>
      </c>
      <c r="DM43" t="e">
        <f t="shared" si="81"/>
        <v>#N/A</v>
      </c>
      <c r="DN43" t="e">
        <f t="shared" si="81"/>
        <v>#N/A</v>
      </c>
      <c r="DO43" t="e">
        <f t="shared" si="81"/>
        <v>#N/A</v>
      </c>
      <c r="DP43" t="e">
        <f t="shared" si="81"/>
        <v>#N/A</v>
      </c>
      <c r="DQ43" t="e">
        <f t="shared" si="81"/>
        <v>#N/A</v>
      </c>
      <c r="DR43" t="e">
        <f t="shared" si="81"/>
        <v>#N/A</v>
      </c>
      <c r="DS43" t="e">
        <f t="shared" si="81"/>
        <v>#N/A</v>
      </c>
      <c r="DT43" t="e">
        <f t="shared" si="81"/>
        <v>#N/A</v>
      </c>
      <c r="DU43" t="e">
        <f t="shared" si="81"/>
        <v>#N/A</v>
      </c>
      <c r="DV43" t="e">
        <f t="shared" si="81"/>
        <v>#N/A</v>
      </c>
      <c r="DW43" t="e">
        <f t="shared" si="81"/>
        <v>#N/A</v>
      </c>
      <c r="DX43" t="e">
        <f t="shared" si="81"/>
        <v>#N/A</v>
      </c>
      <c r="DY43" t="e">
        <f t="shared" si="81"/>
        <v>#N/A</v>
      </c>
      <c r="DZ43" t="e">
        <f t="shared" si="81"/>
        <v>#N/A</v>
      </c>
      <c r="EA43" t="e">
        <f t="shared" si="81"/>
        <v>#N/A</v>
      </c>
      <c r="EB43" t="e">
        <f t="shared" si="81"/>
        <v>#N/A</v>
      </c>
      <c r="EC43" t="e">
        <f t="shared" si="81"/>
        <v>#N/A</v>
      </c>
      <c r="ED43" t="e">
        <f t="shared" si="81"/>
        <v>#N/A</v>
      </c>
      <c r="EE43" t="e">
        <f t="shared" si="81"/>
        <v>#N/A</v>
      </c>
      <c r="EF43" t="e">
        <f t="shared" si="81"/>
        <v>#N/A</v>
      </c>
      <c r="EG43" t="e">
        <f t="shared" si="81"/>
        <v>#N/A</v>
      </c>
      <c r="EH43" t="e">
        <f t="shared" ref="EH43:GA43" si="82">IF(ISNA(EH20),NA(),$A43*EH20)</f>
        <v>#N/A</v>
      </c>
      <c r="EI43" t="e">
        <f t="shared" si="82"/>
        <v>#N/A</v>
      </c>
      <c r="EJ43" t="e">
        <f t="shared" si="82"/>
        <v>#N/A</v>
      </c>
      <c r="EK43" t="e">
        <f t="shared" si="82"/>
        <v>#N/A</v>
      </c>
      <c r="EL43" t="e">
        <f t="shared" si="82"/>
        <v>#N/A</v>
      </c>
      <c r="EM43" t="e">
        <f t="shared" si="82"/>
        <v>#N/A</v>
      </c>
      <c r="EN43" t="e">
        <f t="shared" si="82"/>
        <v>#N/A</v>
      </c>
      <c r="EO43" t="e">
        <f t="shared" si="82"/>
        <v>#N/A</v>
      </c>
      <c r="EP43" t="e">
        <f t="shared" si="82"/>
        <v>#N/A</v>
      </c>
      <c r="EQ43" t="e">
        <f t="shared" si="82"/>
        <v>#N/A</v>
      </c>
      <c r="ER43" t="e">
        <f t="shared" si="82"/>
        <v>#N/A</v>
      </c>
      <c r="ES43" t="e">
        <f t="shared" si="82"/>
        <v>#N/A</v>
      </c>
      <c r="ET43" t="e">
        <f t="shared" si="82"/>
        <v>#N/A</v>
      </c>
      <c r="EU43" t="e">
        <f t="shared" si="82"/>
        <v>#N/A</v>
      </c>
      <c r="EV43" t="e">
        <f t="shared" si="82"/>
        <v>#N/A</v>
      </c>
      <c r="EW43" t="e">
        <f t="shared" si="82"/>
        <v>#N/A</v>
      </c>
      <c r="EX43" t="e">
        <f t="shared" si="82"/>
        <v>#N/A</v>
      </c>
      <c r="EY43" t="e">
        <f t="shared" si="82"/>
        <v>#N/A</v>
      </c>
      <c r="EZ43" t="e">
        <f t="shared" si="82"/>
        <v>#N/A</v>
      </c>
      <c r="FA43" t="e">
        <f t="shared" si="82"/>
        <v>#N/A</v>
      </c>
      <c r="FB43" t="e">
        <f t="shared" si="82"/>
        <v>#N/A</v>
      </c>
      <c r="FC43" t="e">
        <f t="shared" si="82"/>
        <v>#N/A</v>
      </c>
      <c r="FD43" t="e">
        <f t="shared" si="82"/>
        <v>#N/A</v>
      </c>
      <c r="FE43" t="e">
        <f t="shared" si="82"/>
        <v>#N/A</v>
      </c>
      <c r="FF43" t="e">
        <f t="shared" si="82"/>
        <v>#N/A</v>
      </c>
      <c r="FG43" t="e">
        <f t="shared" si="82"/>
        <v>#N/A</v>
      </c>
      <c r="FH43" t="e">
        <f t="shared" si="82"/>
        <v>#N/A</v>
      </c>
      <c r="FI43" t="e">
        <f t="shared" si="82"/>
        <v>#N/A</v>
      </c>
      <c r="FJ43" t="e">
        <f t="shared" si="82"/>
        <v>#N/A</v>
      </c>
      <c r="FK43" t="e">
        <f t="shared" si="82"/>
        <v>#N/A</v>
      </c>
      <c r="FL43" t="e">
        <f t="shared" si="82"/>
        <v>#N/A</v>
      </c>
      <c r="FM43" t="e">
        <f t="shared" si="82"/>
        <v>#N/A</v>
      </c>
      <c r="FN43" t="e">
        <f t="shared" si="82"/>
        <v>#N/A</v>
      </c>
      <c r="FO43" t="e">
        <f t="shared" si="82"/>
        <v>#N/A</v>
      </c>
      <c r="FP43" t="e">
        <f t="shared" si="82"/>
        <v>#N/A</v>
      </c>
      <c r="FQ43" t="e">
        <f t="shared" si="82"/>
        <v>#N/A</v>
      </c>
      <c r="FR43" t="e">
        <f t="shared" si="82"/>
        <v>#N/A</v>
      </c>
      <c r="FS43" t="e">
        <f t="shared" si="82"/>
        <v>#N/A</v>
      </c>
      <c r="FT43" t="e">
        <f t="shared" si="82"/>
        <v>#N/A</v>
      </c>
      <c r="FU43" t="e">
        <f t="shared" si="82"/>
        <v>#N/A</v>
      </c>
      <c r="FV43" t="e">
        <f t="shared" si="82"/>
        <v>#N/A</v>
      </c>
      <c r="FW43" t="e">
        <f t="shared" si="82"/>
        <v>#N/A</v>
      </c>
      <c r="FX43" t="e">
        <f t="shared" si="82"/>
        <v>#N/A</v>
      </c>
      <c r="FY43" t="e">
        <f t="shared" si="82"/>
        <v>#N/A</v>
      </c>
      <c r="FZ43" t="e">
        <f t="shared" si="82"/>
        <v>#N/A</v>
      </c>
      <c r="GA43" t="e">
        <f t="shared" si="82"/>
        <v>#N/A</v>
      </c>
    </row>
    <row r="44" spans="1:183" x14ac:dyDescent="0.45">
      <c r="A44">
        <f t="shared" si="66"/>
        <v>6</v>
      </c>
      <c r="B44" t="s">
        <v>27</v>
      </c>
      <c r="C44" cm="1">
        <f t="array" ref="C44">LOOKUP(2,1/(I44:GA44&lt;&gt;""),I44:GA44)</f>
        <v>46.920000000000009</v>
      </c>
      <c r="D44">
        <f t="shared" si="60"/>
        <v>45</v>
      </c>
      <c r="F44" s="4">
        <f t="shared" si="67"/>
        <v>1.598006644518273</v>
      </c>
      <c r="G44" s="3" cm="1">
        <f t="array" ref="G44">(C44-IF(ISNA(INDEX(I44:GA44,D44-22)),INDEX(I44:GA44,D44-23),INDEX(I44:GA44,D44-22)))/IF(ISNA(INDEX(I44:GA44,D44-22)),INDEX(I44:GA44,D44-23),INDEX(I44:GA44,D44-22))</f>
        <v>-3.4567901234567468E-2</v>
      </c>
      <c r="I44">
        <f t="shared" si="62"/>
        <v>18.059999999999999</v>
      </c>
      <c r="J44">
        <f t="shared" ref="J44:BU44" si="83">IF(ISNA(J21),NA(),$A44*J21)</f>
        <v>17.459999999999997</v>
      </c>
      <c r="K44" t="e">
        <f t="shared" si="83"/>
        <v>#N/A</v>
      </c>
      <c r="L44">
        <f t="shared" si="83"/>
        <v>20.16</v>
      </c>
      <c r="M44" t="e">
        <f t="shared" si="83"/>
        <v>#N/A</v>
      </c>
      <c r="N44">
        <f t="shared" si="83"/>
        <v>22.499999999999996</v>
      </c>
      <c r="O44">
        <f t="shared" si="83"/>
        <v>22.919999999999998</v>
      </c>
      <c r="P44">
        <f t="shared" si="83"/>
        <v>34.14</v>
      </c>
      <c r="Q44">
        <f t="shared" si="83"/>
        <v>36.72</v>
      </c>
      <c r="R44">
        <f t="shared" si="83"/>
        <v>30.900000000000002</v>
      </c>
      <c r="S44">
        <f t="shared" si="83"/>
        <v>33.54</v>
      </c>
      <c r="T44">
        <f t="shared" si="83"/>
        <v>38.160000000000004</v>
      </c>
      <c r="U44">
        <f t="shared" si="83"/>
        <v>41.400000000000006</v>
      </c>
      <c r="V44">
        <f t="shared" si="83"/>
        <v>43.32</v>
      </c>
      <c r="W44">
        <f t="shared" si="83"/>
        <v>40.08</v>
      </c>
      <c r="X44">
        <f t="shared" si="83"/>
        <v>38.519999999999996</v>
      </c>
      <c r="Y44">
        <f t="shared" si="83"/>
        <v>35.340000000000003</v>
      </c>
      <c r="Z44">
        <f t="shared" si="83"/>
        <v>35.82</v>
      </c>
      <c r="AA44">
        <f t="shared" si="83"/>
        <v>40.26</v>
      </c>
      <c r="AB44">
        <f t="shared" si="83"/>
        <v>49.379999999999995</v>
      </c>
      <c r="AC44">
        <f t="shared" si="83"/>
        <v>49.5</v>
      </c>
      <c r="AD44">
        <f t="shared" si="83"/>
        <v>56.58</v>
      </c>
      <c r="AE44">
        <f t="shared" si="83"/>
        <v>48.599999999999987</v>
      </c>
      <c r="AF44">
        <f t="shared" si="83"/>
        <v>47.28</v>
      </c>
      <c r="AG44">
        <f t="shared" si="83"/>
        <v>46.379999999999995</v>
      </c>
      <c r="AH44">
        <f t="shared" si="83"/>
        <v>48.06</v>
      </c>
      <c r="AI44">
        <f t="shared" si="83"/>
        <v>48.66</v>
      </c>
      <c r="AJ44">
        <f t="shared" si="83"/>
        <v>48.779999999999994</v>
      </c>
      <c r="AK44">
        <f t="shared" si="83"/>
        <v>49.259999999999991</v>
      </c>
      <c r="AL44">
        <f t="shared" si="83"/>
        <v>53.04</v>
      </c>
      <c r="AM44">
        <f t="shared" si="83"/>
        <v>48.47999999999999</v>
      </c>
      <c r="AN44" t="e">
        <f t="shared" si="83"/>
        <v>#N/A</v>
      </c>
      <c r="AO44">
        <f t="shared" si="83"/>
        <v>48.720000000000006</v>
      </c>
      <c r="AP44">
        <f t="shared" si="83"/>
        <v>46.500000000000007</v>
      </c>
      <c r="AQ44">
        <f t="shared" si="83"/>
        <v>47.22</v>
      </c>
      <c r="AR44">
        <f t="shared" si="83"/>
        <v>48.42</v>
      </c>
      <c r="AS44">
        <f t="shared" si="83"/>
        <v>46.920000000000009</v>
      </c>
      <c r="AT44" t="e">
        <f t="shared" si="83"/>
        <v>#N/A</v>
      </c>
      <c r="AU44" t="e">
        <f t="shared" si="83"/>
        <v>#N/A</v>
      </c>
      <c r="AV44" t="e">
        <f t="shared" si="83"/>
        <v>#N/A</v>
      </c>
      <c r="AW44" t="e">
        <f t="shared" si="83"/>
        <v>#N/A</v>
      </c>
      <c r="AX44" t="e">
        <f t="shared" si="83"/>
        <v>#N/A</v>
      </c>
      <c r="AY44" t="e">
        <f t="shared" si="83"/>
        <v>#N/A</v>
      </c>
      <c r="AZ44" t="e">
        <f t="shared" si="83"/>
        <v>#N/A</v>
      </c>
      <c r="BA44" t="e">
        <f t="shared" si="83"/>
        <v>#N/A</v>
      </c>
      <c r="BB44" t="e">
        <f t="shared" si="83"/>
        <v>#N/A</v>
      </c>
      <c r="BC44" t="e">
        <f t="shared" si="83"/>
        <v>#N/A</v>
      </c>
      <c r="BD44" t="e">
        <f t="shared" si="83"/>
        <v>#N/A</v>
      </c>
      <c r="BE44" t="e">
        <f t="shared" si="83"/>
        <v>#N/A</v>
      </c>
      <c r="BF44" t="e">
        <f t="shared" si="83"/>
        <v>#N/A</v>
      </c>
      <c r="BG44" t="e">
        <f t="shared" si="83"/>
        <v>#N/A</v>
      </c>
      <c r="BH44" t="e">
        <f t="shared" si="83"/>
        <v>#N/A</v>
      </c>
      <c r="BI44" t="e">
        <f t="shared" si="83"/>
        <v>#N/A</v>
      </c>
      <c r="BJ44" t="e">
        <f t="shared" si="83"/>
        <v>#N/A</v>
      </c>
      <c r="BK44" t="e">
        <f t="shared" si="83"/>
        <v>#N/A</v>
      </c>
      <c r="BL44" t="e">
        <f t="shared" si="83"/>
        <v>#N/A</v>
      </c>
      <c r="BM44" t="e">
        <f t="shared" si="83"/>
        <v>#N/A</v>
      </c>
      <c r="BN44" t="e">
        <f t="shared" si="83"/>
        <v>#N/A</v>
      </c>
      <c r="BO44" t="e">
        <f t="shared" si="83"/>
        <v>#N/A</v>
      </c>
      <c r="BP44" t="e">
        <f t="shared" si="83"/>
        <v>#N/A</v>
      </c>
      <c r="BQ44" t="e">
        <f t="shared" si="83"/>
        <v>#N/A</v>
      </c>
      <c r="BR44" t="e">
        <f t="shared" si="83"/>
        <v>#N/A</v>
      </c>
      <c r="BS44" t="e">
        <f t="shared" si="83"/>
        <v>#N/A</v>
      </c>
      <c r="BT44" t="e">
        <f t="shared" si="83"/>
        <v>#N/A</v>
      </c>
      <c r="BU44" t="e">
        <f t="shared" si="83"/>
        <v>#N/A</v>
      </c>
      <c r="BV44" t="e">
        <f t="shared" ref="BV44:EG44" si="84">IF(ISNA(BV21),NA(),$A44*BV21)</f>
        <v>#N/A</v>
      </c>
      <c r="BW44" t="e">
        <f t="shared" si="84"/>
        <v>#N/A</v>
      </c>
      <c r="BX44" t="e">
        <f t="shared" si="84"/>
        <v>#N/A</v>
      </c>
      <c r="BY44" t="e">
        <f t="shared" si="84"/>
        <v>#N/A</v>
      </c>
      <c r="BZ44" t="e">
        <f t="shared" si="84"/>
        <v>#N/A</v>
      </c>
      <c r="CA44" t="e">
        <f t="shared" si="84"/>
        <v>#N/A</v>
      </c>
      <c r="CB44" t="e">
        <f t="shared" si="84"/>
        <v>#N/A</v>
      </c>
      <c r="CC44" t="e">
        <f t="shared" si="84"/>
        <v>#N/A</v>
      </c>
      <c r="CD44" t="e">
        <f t="shared" si="84"/>
        <v>#N/A</v>
      </c>
      <c r="CE44" t="e">
        <f t="shared" si="84"/>
        <v>#N/A</v>
      </c>
      <c r="CF44" t="e">
        <f t="shared" si="84"/>
        <v>#N/A</v>
      </c>
      <c r="CG44" t="e">
        <f t="shared" si="84"/>
        <v>#N/A</v>
      </c>
      <c r="CH44" t="e">
        <f t="shared" si="84"/>
        <v>#N/A</v>
      </c>
      <c r="CI44" t="e">
        <f t="shared" si="84"/>
        <v>#N/A</v>
      </c>
      <c r="CJ44" t="e">
        <f t="shared" si="84"/>
        <v>#N/A</v>
      </c>
      <c r="CK44" t="e">
        <f t="shared" si="84"/>
        <v>#N/A</v>
      </c>
      <c r="CL44" t="e">
        <f t="shared" si="84"/>
        <v>#N/A</v>
      </c>
      <c r="CM44" t="e">
        <f t="shared" si="84"/>
        <v>#N/A</v>
      </c>
      <c r="CN44" t="e">
        <f t="shared" si="84"/>
        <v>#N/A</v>
      </c>
      <c r="CO44" t="e">
        <f t="shared" si="84"/>
        <v>#N/A</v>
      </c>
      <c r="CP44" t="e">
        <f t="shared" si="84"/>
        <v>#N/A</v>
      </c>
      <c r="CQ44" t="e">
        <f t="shared" si="84"/>
        <v>#N/A</v>
      </c>
      <c r="CR44" t="e">
        <f t="shared" si="84"/>
        <v>#N/A</v>
      </c>
      <c r="CS44" t="e">
        <f t="shared" si="84"/>
        <v>#N/A</v>
      </c>
      <c r="CT44" t="e">
        <f t="shared" si="84"/>
        <v>#N/A</v>
      </c>
      <c r="CU44" t="e">
        <f t="shared" si="84"/>
        <v>#N/A</v>
      </c>
      <c r="CV44" t="e">
        <f t="shared" si="84"/>
        <v>#N/A</v>
      </c>
      <c r="CW44" t="e">
        <f t="shared" si="84"/>
        <v>#N/A</v>
      </c>
      <c r="CX44" t="e">
        <f t="shared" si="84"/>
        <v>#N/A</v>
      </c>
      <c r="CY44" t="e">
        <f t="shared" si="84"/>
        <v>#N/A</v>
      </c>
      <c r="CZ44" t="e">
        <f t="shared" si="84"/>
        <v>#N/A</v>
      </c>
      <c r="DA44" t="e">
        <f t="shared" si="84"/>
        <v>#N/A</v>
      </c>
      <c r="DB44" t="e">
        <f t="shared" si="84"/>
        <v>#N/A</v>
      </c>
      <c r="DC44" t="e">
        <f t="shared" si="84"/>
        <v>#N/A</v>
      </c>
      <c r="DD44" t="e">
        <f t="shared" si="84"/>
        <v>#N/A</v>
      </c>
      <c r="DE44" t="e">
        <f t="shared" si="84"/>
        <v>#N/A</v>
      </c>
      <c r="DF44" t="e">
        <f t="shared" si="84"/>
        <v>#N/A</v>
      </c>
      <c r="DG44" t="e">
        <f t="shared" si="84"/>
        <v>#N/A</v>
      </c>
      <c r="DH44" t="e">
        <f t="shared" si="84"/>
        <v>#N/A</v>
      </c>
      <c r="DI44" t="e">
        <f t="shared" si="84"/>
        <v>#N/A</v>
      </c>
      <c r="DJ44" t="e">
        <f t="shared" si="84"/>
        <v>#N/A</v>
      </c>
      <c r="DK44" t="e">
        <f t="shared" si="84"/>
        <v>#N/A</v>
      </c>
      <c r="DL44" t="e">
        <f t="shared" si="84"/>
        <v>#N/A</v>
      </c>
      <c r="DM44" t="e">
        <f t="shared" si="84"/>
        <v>#N/A</v>
      </c>
      <c r="DN44" t="e">
        <f t="shared" si="84"/>
        <v>#N/A</v>
      </c>
      <c r="DO44" t="e">
        <f t="shared" si="84"/>
        <v>#N/A</v>
      </c>
      <c r="DP44" t="e">
        <f t="shared" si="84"/>
        <v>#N/A</v>
      </c>
      <c r="DQ44" t="e">
        <f t="shared" si="84"/>
        <v>#N/A</v>
      </c>
      <c r="DR44" t="e">
        <f t="shared" si="84"/>
        <v>#N/A</v>
      </c>
      <c r="DS44" t="e">
        <f t="shared" si="84"/>
        <v>#N/A</v>
      </c>
      <c r="DT44" t="e">
        <f t="shared" si="84"/>
        <v>#N/A</v>
      </c>
      <c r="DU44" t="e">
        <f t="shared" si="84"/>
        <v>#N/A</v>
      </c>
      <c r="DV44" t="e">
        <f t="shared" si="84"/>
        <v>#N/A</v>
      </c>
      <c r="DW44" t="e">
        <f t="shared" si="84"/>
        <v>#N/A</v>
      </c>
      <c r="DX44" t="e">
        <f t="shared" si="84"/>
        <v>#N/A</v>
      </c>
      <c r="DY44" t="e">
        <f t="shared" si="84"/>
        <v>#N/A</v>
      </c>
      <c r="DZ44" t="e">
        <f t="shared" si="84"/>
        <v>#N/A</v>
      </c>
      <c r="EA44" t="e">
        <f t="shared" si="84"/>
        <v>#N/A</v>
      </c>
      <c r="EB44" t="e">
        <f t="shared" si="84"/>
        <v>#N/A</v>
      </c>
      <c r="EC44" t="e">
        <f t="shared" si="84"/>
        <v>#N/A</v>
      </c>
      <c r="ED44" t="e">
        <f t="shared" si="84"/>
        <v>#N/A</v>
      </c>
      <c r="EE44" t="e">
        <f t="shared" si="84"/>
        <v>#N/A</v>
      </c>
      <c r="EF44" t="e">
        <f t="shared" si="84"/>
        <v>#N/A</v>
      </c>
      <c r="EG44" t="e">
        <f t="shared" si="84"/>
        <v>#N/A</v>
      </c>
      <c r="EH44" t="e">
        <f t="shared" ref="EH44:GA44" si="85">IF(ISNA(EH21),NA(),$A44*EH21)</f>
        <v>#N/A</v>
      </c>
      <c r="EI44" t="e">
        <f t="shared" si="85"/>
        <v>#N/A</v>
      </c>
      <c r="EJ44" t="e">
        <f t="shared" si="85"/>
        <v>#N/A</v>
      </c>
      <c r="EK44" t="e">
        <f t="shared" si="85"/>
        <v>#N/A</v>
      </c>
      <c r="EL44" t="e">
        <f t="shared" si="85"/>
        <v>#N/A</v>
      </c>
      <c r="EM44" t="e">
        <f t="shared" si="85"/>
        <v>#N/A</v>
      </c>
      <c r="EN44" t="e">
        <f t="shared" si="85"/>
        <v>#N/A</v>
      </c>
      <c r="EO44" t="e">
        <f t="shared" si="85"/>
        <v>#N/A</v>
      </c>
      <c r="EP44" t="e">
        <f t="shared" si="85"/>
        <v>#N/A</v>
      </c>
      <c r="EQ44" t="e">
        <f t="shared" si="85"/>
        <v>#N/A</v>
      </c>
      <c r="ER44" t="e">
        <f t="shared" si="85"/>
        <v>#N/A</v>
      </c>
      <c r="ES44" t="e">
        <f t="shared" si="85"/>
        <v>#N/A</v>
      </c>
      <c r="ET44" t="e">
        <f t="shared" si="85"/>
        <v>#N/A</v>
      </c>
      <c r="EU44" t="e">
        <f t="shared" si="85"/>
        <v>#N/A</v>
      </c>
      <c r="EV44" t="e">
        <f t="shared" si="85"/>
        <v>#N/A</v>
      </c>
      <c r="EW44" t="e">
        <f t="shared" si="85"/>
        <v>#N/A</v>
      </c>
      <c r="EX44" t="e">
        <f t="shared" si="85"/>
        <v>#N/A</v>
      </c>
      <c r="EY44" t="e">
        <f t="shared" si="85"/>
        <v>#N/A</v>
      </c>
      <c r="EZ44" t="e">
        <f t="shared" si="85"/>
        <v>#N/A</v>
      </c>
      <c r="FA44" t="e">
        <f t="shared" si="85"/>
        <v>#N/A</v>
      </c>
      <c r="FB44" t="e">
        <f t="shared" si="85"/>
        <v>#N/A</v>
      </c>
      <c r="FC44" t="e">
        <f t="shared" si="85"/>
        <v>#N/A</v>
      </c>
      <c r="FD44" t="e">
        <f t="shared" si="85"/>
        <v>#N/A</v>
      </c>
      <c r="FE44" t="e">
        <f t="shared" si="85"/>
        <v>#N/A</v>
      </c>
      <c r="FF44" t="e">
        <f t="shared" si="85"/>
        <v>#N/A</v>
      </c>
      <c r="FG44" t="e">
        <f t="shared" si="85"/>
        <v>#N/A</v>
      </c>
      <c r="FH44" t="e">
        <f t="shared" si="85"/>
        <v>#N/A</v>
      </c>
      <c r="FI44" t="e">
        <f t="shared" si="85"/>
        <v>#N/A</v>
      </c>
      <c r="FJ44" t="e">
        <f t="shared" si="85"/>
        <v>#N/A</v>
      </c>
      <c r="FK44" t="e">
        <f t="shared" si="85"/>
        <v>#N/A</v>
      </c>
      <c r="FL44" t="e">
        <f t="shared" si="85"/>
        <v>#N/A</v>
      </c>
      <c r="FM44" t="e">
        <f t="shared" si="85"/>
        <v>#N/A</v>
      </c>
      <c r="FN44" t="e">
        <f t="shared" si="85"/>
        <v>#N/A</v>
      </c>
      <c r="FO44" t="e">
        <f t="shared" si="85"/>
        <v>#N/A</v>
      </c>
      <c r="FP44" t="e">
        <f t="shared" si="85"/>
        <v>#N/A</v>
      </c>
      <c r="FQ44" t="e">
        <f t="shared" si="85"/>
        <v>#N/A</v>
      </c>
      <c r="FR44" t="e">
        <f t="shared" si="85"/>
        <v>#N/A</v>
      </c>
      <c r="FS44" t="e">
        <f t="shared" si="85"/>
        <v>#N/A</v>
      </c>
      <c r="FT44" t="e">
        <f t="shared" si="85"/>
        <v>#N/A</v>
      </c>
      <c r="FU44" t="e">
        <f t="shared" si="85"/>
        <v>#N/A</v>
      </c>
      <c r="FV44" t="e">
        <f t="shared" si="85"/>
        <v>#N/A</v>
      </c>
      <c r="FW44" t="e">
        <f t="shared" si="85"/>
        <v>#N/A</v>
      </c>
      <c r="FX44" t="e">
        <f t="shared" si="85"/>
        <v>#N/A</v>
      </c>
      <c r="FY44" t="e">
        <f t="shared" si="85"/>
        <v>#N/A</v>
      </c>
      <c r="FZ44" t="e">
        <f t="shared" si="85"/>
        <v>#N/A</v>
      </c>
      <c r="GA44" t="e">
        <f t="shared" si="85"/>
        <v>#N/A</v>
      </c>
    </row>
    <row r="47" spans="1:183" x14ac:dyDescent="0.45">
      <c r="A47" s="2" t="s">
        <v>30</v>
      </c>
    </row>
    <row r="48" spans="1:183" x14ac:dyDescent="0.45">
      <c r="I48" s="1">
        <f>I37</f>
        <v>44331</v>
      </c>
      <c r="J48" s="1">
        <f t="shared" ref="J48:BU48" si="86">J37</f>
        <v>44332</v>
      </c>
      <c r="K48" s="1">
        <f t="shared" si="86"/>
        <v>44333</v>
      </c>
      <c r="L48" s="1">
        <f t="shared" si="86"/>
        <v>44334</v>
      </c>
      <c r="M48" s="1">
        <f t="shared" si="86"/>
        <v>44335</v>
      </c>
      <c r="N48" s="1">
        <f t="shared" si="86"/>
        <v>44336</v>
      </c>
      <c r="O48" s="1">
        <f t="shared" si="86"/>
        <v>44337</v>
      </c>
      <c r="P48" s="1">
        <f t="shared" si="86"/>
        <v>44338</v>
      </c>
      <c r="Q48" s="1">
        <f t="shared" si="86"/>
        <v>44339</v>
      </c>
      <c r="R48" s="1">
        <f t="shared" si="86"/>
        <v>44340</v>
      </c>
      <c r="S48" s="1">
        <f t="shared" si="86"/>
        <v>44341</v>
      </c>
      <c r="T48" s="1">
        <f t="shared" si="86"/>
        <v>44342</v>
      </c>
      <c r="U48" s="1">
        <f t="shared" si="86"/>
        <v>44343</v>
      </c>
      <c r="V48" s="1">
        <f t="shared" si="86"/>
        <v>44344</v>
      </c>
      <c r="W48" s="1">
        <f t="shared" si="86"/>
        <v>44345</v>
      </c>
      <c r="X48" s="1">
        <f t="shared" si="86"/>
        <v>44346</v>
      </c>
      <c r="Y48" s="1">
        <f t="shared" si="86"/>
        <v>44347</v>
      </c>
      <c r="Z48" s="1">
        <f t="shared" si="86"/>
        <v>44348</v>
      </c>
      <c r="AA48" s="1">
        <f t="shared" si="86"/>
        <v>44349</v>
      </c>
      <c r="AB48" s="1">
        <f t="shared" si="86"/>
        <v>44350</v>
      </c>
      <c r="AC48" s="1">
        <f t="shared" si="86"/>
        <v>44351</v>
      </c>
      <c r="AD48" s="1">
        <f t="shared" si="86"/>
        <v>44352</v>
      </c>
      <c r="AE48" s="1">
        <f t="shared" si="86"/>
        <v>44353</v>
      </c>
      <c r="AF48" s="1">
        <f t="shared" si="86"/>
        <v>44354</v>
      </c>
      <c r="AG48" s="1">
        <f t="shared" si="86"/>
        <v>44355</v>
      </c>
      <c r="AH48" s="1">
        <f t="shared" si="86"/>
        <v>44356</v>
      </c>
      <c r="AI48" s="1">
        <f t="shared" si="86"/>
        <v>44357</v>
      </c>
      <c r="AJ48" s="1">
        <f t="shared" si="86"/>
        <v>44358</v>
      </c>
      <c r="AK48" s="1">
        <f t="shared" si="86"/>
        <v>44359</v>
      </c>
      <c r="AL48" s="1">
        <f t="shared" si="86"/>
        <v>44360</v>
      </c>
      <c r="AM48" s="1">
        <f t="shared" si="86"/>
        <v>44361</v>
      </c>
      <c r="AN48" s="1">
        <f t="shared" si="86"/>
        <v>44362</v>
      </c>
      <c r="AO48" s="1">
        <f t="shared" si="86"/>
        <v>44363</v>
      </c>
      <c r="AP48" s="1">
        <f t="shared" si="86"/>
        <v>44364</v>
      </c>
      <c r="AQ48" s="1">
        <f t="shared" si="86"/>
        <v>44365</v>
      </c>
      <c r="AR48" s="1">
        <f t="shared" si="86"/>
        <v>44366</v>
      </c>
      <c r="AS48" s="1">
        <f t="shared" si="86"/>
        <v>44367</v>
      </c>
      <c r="AT48" s="1">
        <f t="shared" si="86"/>
        <v>44368</v>
      </c>
      <c r="AU48" s="1">
        <f t="shared" si="86"/>
        <v>44369</v>
      </c>
      <c r="AV48" s="1">
        <f t="shared" si="86"/>
        <v>44370</v>
      </c>
      <c r="AW48" s="1">
        <f t="shared" si="86"/>
        <v>44371</v>
      </c>
      <c r="AX48" s="1">
        <f t="shared" si="86"/>
        <v>44372</v>
      </c>
      <c r="AY48" s="1">
        <f t="shared" si="86"/>
        <v>44373</v>
      </c>
      <c r="AZ48" s="1">
        <f t="shared" si="86"/>
        <v>44374</v>
      </c>
      <c r="BA48" s="1">
        <f t="shared" si="86"/>
        <v>44375</v>
      </c>
      <c r="BB48" s="1">
        <f t="shared" si="86"/>
        <v>44376</v>
      </c>
      <c r="BC48" s="1">
        <f t="shared" si="86"/>
        <v>44377</v>
      </c>
      <c r="BD48" s="1">
        <f t="shared" si="86"/>
        <v>44378</v>
      </c>
      <c r="BE48" s="1">
        <f t="shared" si="86"/>
        <v>44379</v>
      </c>
      <c r="BF48" s="1">
        <f t="shared" si="86"/>
        <v>44380</v>
      </c>
      <c r="BG48" s="1">
        <f t="shared" si="86"/>
        <v>44381</v>
      </c>
      <c r="BH48" s="1">
        <f t="shared" si="86"/>
        <v>44382</v>
      </c>
      <c r="BI48" s="1">
        <f t="shared" si="86"/>
        <v>44383</v>
      </c>
      <c r="BJ48" s="1">
        <f t="shared" si="86"/>
        <v>44384</v>
      </c>
      <c r="BK48" s="1">
        <f t="shared" si="86"/>
        <v>44385</v>
      </c>
      <c r="BL48" s="1">
        <f t="shared" si="86"/>
        <v>44386</v>
      </c>
      <c r="BM48" s="1">
        <f t="shared" si="86"/>
        <v>44387</v>
      </c>
      <c r="BN48" s="1">
        <f t="shared" si="86"/>
        <v>44388</v>
      </c>
      <c r="BO48" s="1">
        <f t="shared" si="86"/>
        <v>44389</v>
      </c>
      <c r="BP48" s="1">
        <f t="shared" si="86"/>
        <v>44390</v>
      </c>
      <c r="BQ48" s="1">
        <f t="shared" si="86"/>
        <v>44391</v>
      </c>
      <c r="BR48" s="1">
        <f t="shared" si="86"/>
        <v>44392</v>
      </c>
      <c r="BS48" s="1">
        <f t="shared" si="86"/>
        <v>44393</v>
      </c>
      <c r="BT48" s="1">
        <f t="shared" si="86"/>
        <v>44394</v>
      </c>
      <c r="BU48" s="1">
        <f t="shared" si="86"/>
        <v>44395</v>
      </c>
      <c r="BV48" s="1">
        <f t="shared" ref="BV48:EG48" si="87">BV37</f>
        <v>44396</v>
      </c>
      <c r="BW48" s="1">
        <f t="shared" si="87"/>
        <v>44397</v>
      </c>
      <c r="BX48" s="1">
        <f t="shared" si="87"/>
        <v>44398</v>
      </c>
      <c r="BY48" s="1">
        <f t="shared" si="87"/>
        <v>44399</v>
      </c>
      <c r="BZ48" s="1">
        <f t="shared" si="87"/>
        <v>44400</v>
      </c>
      <c r="CA48" s="1">
        <f t="shared" si="87"/>
        <v>44401</v>
      </c>
      <c r="CB48" s="1">
        <f t="shared" si="87"/>
        <v>44402</v>
      </c>
      <c r="CC48" s="1">
        <f t="shared" si="87"/>
        <v>44403</v>
      </c>
      <c r="CD48" s="1">
        <f t="shared" si="87"/>
        <v>44404</v>
      </c>
      <c r="CE48" s="1">
        <f t="shared" si="87"/>
        <v>44405</v>
      </c>
      <c r="CF48" s="1">
        <f t="shared" si="87"/>
        <v>44406</v>
      </c>
      <c r="CG48" s="1">
        <f t="shared" si="87"/>
        <v>44407</v>
      </c>
      <c r="CH48" s="1">
        <f t="shared" si="87"/>
        <v>44408</v>
      </c>
      <c r="CI48" s="1">
        <f t="shared" si="87"/>
        <v>44409</v>
      </c>
      <c r="CJ48" s="1">
        <f t="shared" si="87"/>
        <v>44410</v>
      </c>
      <c r="CK48" s="1">
        <f t="shared" si="87"/>
        <v>44411</v>
      </c>
      <c r="CL48" s="1">
        <f t="shared" si="87"/>
        <v>44412</v>
      </c>
      <c r="CM48" s="1">
        <f t="shared" si="87"/>
        <v>44413</v>
      </c>
      <c r="CN48" s="1">
        <f t="shared" si="87"/>
        <v>44414</v>
      </c>
      <c r="CO48" s="1">
        <f t="shared" si="87"/>
        <v>44415</v>
      </c>
      <c r="CP48" s="1">
        <f t="shared" si="87"/>
        <v>44416</v>
      </c>
      <c r="CQ48" s="1">
        <f t="shared" si="87"/>
        <v>44417</v>
      </c>
      <c r="CR48" s="1">
        <f t="shared" si="87"/>
        <v>44418</v>
      </c>
      <c r="CS48" s="1">
        <f t="shared" si="87"/>
        <v>44419</v>
      </c>
      <c r="CT48" s="1">
        <f t="shared" si="87"/>
        <v>44420</v>
      </c>
      <c r="CU48" s="1">
        <f t="shared" si="87"/>
        <v>44421</v>
      </c>
      <c r="CV48" s="1">
        <f t="shared" si="87"/>
        <v>44422</v>
      </c>
      <c r="CW48" s="1">
        <f t="shared" si="87"/>
        <v>44423</v>
      </c>
      <c r="CX48" s="1">
        <f t="shared" si="87"/>
        <v>44424</v>
      </c>
      <c r="CY48" s="1">
        <f t="shared" si="87"/>
        <v>44425</v>
      </c>
      <c r="CZ48" s="1">
        <f t="shared" si="87"/>
        <v>44426</v>
      </c>
      <c r="DA48" s="1">
        <f t="shared" si="87"/>
        <v>44427</v>
      </c>
      <c r="DB48" s="1">
        <f t="shared" si="87"/>
        <v>44428</v>
      </c>
      <c r="DC48" s="1">
        <f t="shared" si="87"/>
        <v>44429</v>
      </c>
      <c r="DD48" s="1">
        <f t="shared" si="87"/>
        <v>44430</v>
      </c>
      <c r="DE48" s="1">
        <f t="shared" si="87"/>
        <v>44431</v>
      </c>
      <c r="DF48" s="1">
        <f t="shared" si="87"/>
        <v>44432</v>
      </c>
      <c r="DG48" s="1">
        <f t="shared" si="87"/>
        <v>44433</v>
      </c>
      <c r="DH48" s="1">
        <f t="shared" si="87"/>
        <v>44434</v>
      </c>
      <c r="DI48" s="1">
        <f t="shared" si="87"/>
        <v>44435</v>
      </c>
      <c r="DJ48" s="1">
        <f t="shared" si="87"/>
        <v>44436</v>
      </c>
      <c r="DK48" s="1">
        <f t="shared" si="87"/>
        <v>44437</v>
      </c>
      <c r="DL48" s="1">
        <f t="shared" si="87"/>
        <v>44438</v>
      </c>
      <c r="DM48" s="1">
        <f t="shared" si="87"/>
        <v>44439</v>
      </c>
      <c r="DN48" s="1">
        <f t="shared" si="87"/>
        <v>44440</v>
      </c>
      <c r="DO48" s="1">
        <f t="shared" si="87"/>
        <v>44441</v>
      </c>
      <c r="DP48" s="1">
        <f t="shared" si="87"/>
        <v>44442</v>
      </c>
      <c r="DQ48" s="1">
        <f t="shared" si="87"/>
        <v>44443</v>
      </c>
      <c r="DR48" s="1">
        <f t="shared" si="87"/>
        <v>44444</v>
      </c>
      <c r="DS48" s="1">
        <f t="shared" si="87"/>
        <v>44445</v>
      </c>
      <c r="DT48" s="1">
        <f t="shared" si="87"/>
        <v>44446</v>
      </c>
      <c r="DU48" s="1">
        <f t="shared" si="87"/>
        <v>44447</v>
      </c>
      <c r="DV48" s="1">
        <f t="shared" si="87"/>
        <v>44448</v>
      </c>
      <c r="DW48" s="1">
        <f t="shared" si="87"/>
        <v>44449</v>
      </c>
      <c r="DX48" s="1">
        <f t="shared" si="87"/>
        <v>44450</v>
      </c>
      <c r="DY48" s="1">
        <f t="shared" si="87"/>
        <v>44451</v>
      </c>
      <c r="DZ48" s="1">
        <f t="shared" si="87"/>
        <v>44452</v>
      </c>
      <c r="EA48" s="1">
        <f t="shared" si="87"/>
        <v>44453</v>
      </c>
      <c r="EB48" s="1">
        <f t="shared" si="87"/>
        <v>44454</v>
      </c>
      <c r="EC48" s="1">
        <f t="shared" si="87"/>
        <v>44455</v>
      </c>
      <c r="ED48" s="1">
        <f t="shared" si="87"/>
        <v>44456</v>
      </c>
      <c r="EE48" s="1">
        <f t="shared" si="87"/>
        <v>44457</v>
      </c>
      <c r="EF48" s="1">
        <f t="shared" si="87"/>
        <v>44458</v>
      </c>
      <c r="EG48" s="1">
        <f t="shared" si="87"/>
        <v>44459</v>
      </c>
      <c r="EH48" s="1">
        <f t="shared" ref="EH48:GA48" si="88">EH37</f>
        <v>44460</v>
      </c>
      <c r="EI48" s="1">
        <f t="shared" si="88"/>
        <v>44461</v>
      </c>
      <c r="EJ48" s="1">
        <f t="shared" si="88"/>
        <v>44462</v>
      </c>
      <c r="EK48" s="1">
        <f t="shared" si="88"/>
        <v>44463</v>
      </c>
      <c r="EL48" s="1">
        <f t="shared" si="88"/>
        <v>44464</v>
      </c>
      <c r="EM48" s="1">
        <f t="shared" si="88"/>
        <v>44465</v>
      </c>
      <c r="EN48" s="1">
        <f t="shared" si="88"/>
        <v>44466</v>
      </c>
      <c r="EO48" s="1">
        <f t="shared" si="88"/>
        <v>44467</v>
      </c>
      <c r="EP48" s="1">
        <f t="shared" si="88"/>
        <v>44468</v>
      </c>
      <c r="EQ48" s="1">
        <f t="shared" si="88"/>
        <v>44469</v>
      </c>
      <c r="ER48" s="1">
        <f t="shared" si="88"/>
        <v>44470</v>
      </c>
      <c r="ES48" s="1">
        <f t="shared" si="88"/>
        <v>44471</v>
      </c>
      <c r="ET48" s="1">
        <f t="shared" si="88"/>
        <v>44472</v>
      </c>
      <c r="EU48" s="1">
        <f t="shared" si="88"/>
        <v>44473</v>
      </c>
      <c r="EV48" s="1">
        <f t="shared" si="88"/>
        <v>44474</v>
      </c>
      <c r="EW48" s="1">
        <f t="shared" si="88"/>
        <v>44475</v>
      </c>
      <c r="EX48" s="1">
        <f t="shared" si="88"/>
        <v>44476</v>
      </c>
      <c r="EY48" s="1">
        <f t="shared" si="88"/>
        <v>44477</v>
      </c>
      <c r="EZ48" s="1">
        <f t="shared" si="88"/>
        <v>44478</v>
      </c>
      <c r="FA48" s="1">
        <f t="shared" si="88"/>
        <v>44479</v>
      </c>
      <c r="FB48" s="1">
        <f t="shared" si="88"/>
        <v>44480</v>
      </c>
      <c r="FC48" s="1">
        <f t="shared" si="88"/>
        <v>44481</v>
      </c>
      <c r="FD48" s="1">
        <f t="shared" si="88"/>
        <v>44482</v>
      </c>
      <c r="FE48" s="1">
        <f t="shared" si="88"/>
        <v>44483</v>
      </c>
      <c r="FF48" s="1">
        <f t="shared" si="88"/>
        <v>44484</v>
      </c>
      <c r="FG48" s="1">
        <f t="shared" si="88"/>
        <v>44485</v>
      </c>
      <c r="FH48" s="1">
        <f t="shared" si="88"/>
        <v>44486</v>
      </c>
      <c r="FI48" s="1">
        <f t="shared" si="88"/>
        <v>44487</v>
      </c>
      <c r="FJ48" s="1">
        <f t="shared" si="88"/>
        <v>44488</v>
      </c>
      <c r="FK48" s="1">
        <f t="shared" si="88"/>
        <v>44489</v>
      </c>
      <c r="FL48" s="1">
        <f t="shared" si="88"/>
        <v>44490</v>
      </c>
      <c r="FM48" s="1">
        <f t="shared" si="88"/>
        <v>44491</v>
      </c>
      <c r="FN48" s="1">
        <f t="shared" si="88"/>
        <v>44492</v>
      </c>
      <c r="FO48" s="1">
        <f t="shared" si="88"/>
        <v>44493</v>
      </c>
      <c r="FP48" s="1">
        <f t="shared" si="88"/>
        <v>44494</v>
      </c>
      <c r="FQ48" s="1">
        <f t="shared" si="88"/>
        <v>44495</v>
      </c>
      <c r="FR48" s="1">
        <f t="shared" si="88"/>
        <v>44496</v>
      </c>
      <c r="FS48" s="1">
        <f t="shared" si="88"/>
        <v>44497</v>
      </c>
      <c r="FT48" s="1">
        <f t="shared" si="88"/>
        <v>44498</v>
      </c>
      <c r="FU48" s="1">
        <f t="shared" si="88"/>
        <v>44499</v>
      </c>
      <c r="FV48" s="1">
        <f t="shared" si="88"/>
        <v>44500</v>
      </c>
      <c r="FW48" s="1">
        <f t="shared" si="88"/>
        <v>44501</v>
      </c>
      <c r="FX48" s="1">
        <f t="shared" si="88"/>
        <v>44502</v>
      </c>
      <c r="FY48" s="1">
        <f t="shared" si="88"/>
        <v>44503</v>
      </c>
      <c r="FZ48" s="1">
        <f t="shared" si="88"/>
        <v>44504</v>
      </c>
      <c r="GA48" s="1">
        <f t="shared" si="88"/>
        <v>44505</v>
      </c>
    </row>
    <row r="49" spans="1:183" x14ac:dyDescent="0.45">
      <c r="A49">
        <f>A38</f>
        <v>48</v>
      </c>
      <c r="B49" t="s">
        <v>21</v>
      </c>
      <c r="C49" cm="1">
        <f t="array" ref="C49">LOOKUP(2,1/(I49:GA49&lt;&gt;""),I49:GA49)</f>
        <v>6.6</v>
      </c>
      <c r="D49">
        <f t="shared" ref="D49:D55" si="89">D$9</f>
        <v>45</v>
      </c>
      <c r="F49" s="4">
        <f t="shared" ref="F49" si="90">(C49-I49)/I49</f>
        <v>1.2680412371134018</v>
      </c>
      <c r="G49" s="3" cm="1">
        <f t="array" ref="G49">(C49-IF(ISNA(INDEX(I49:GA49,D49-22)),INDEX(I49:GA49,D49-23),INDEX(I49:GA49,D49-22)))/IF(ISNA(INDEX(I49:GA49,D49-22)),INDEX(I49:GA49,D49-23),INDEX(I49:GA49,D49-22))</f>
        <v>-7.9497907949790836E-2</v>
      </c>
      <c r="I49">
        <f>IF(ISBLANK(I3),NA(),ROUNDDOWN(I3*0.75,2))</f>
        <v>2.91</v>
      </c>
      <c r="J49">
        <f t="shared" ref="J49:BU49" si="91">IF(ISBLANK(J3),NA(),ROUNDDOWN(J3*0.75,2))</f>
        <v>2.76</v>
      </c>
      <c r="K49" t="e">
        <f t="shared" si="91"/>
        <v>#N/A</v>
      </c>
      <c r="L49">
        <f t="shared" si="91"/>
        <v>2.96</v>
      </c>
      <c r="M49" t="e">
        <f t="shared" si="91"/>
        <v>#N/A</v>
      </c>
      <c r="N49">
        <f t="shared" si="91"/>
        <v>3.33</v>
      </c>
      <c r="O49">
        <f t="shared" si="91"/>
        <v>3.3</v>
      </c>
      <c r="P49">
        <f t="shared" si="91"/>
        <v>4.49</v>
      </c>
      <c r="Q49">
        <f t="shared" si="91"/>
        <v>4.41</v>
      </c>
      <c r="R49">
        <f t="shared" si="91"/>
        <v>4.88</v>
      </c>
      <c r="S49">
        <f t="shared" si="91"/>
        <v>4.8899999999999997</v>
      </c>
      <c r="T49">
        <f t="shared" si="91"/>
        <v>5.76</v>
      </c>
      <c r="U49">
        <f t="shared" si="91"/>
        <v>6.51</v>
      </c>
      <c r="V49">
        <f t="shared" si="91"/>
        <v>6.44</v>
      </c>
      <c r="W49">
        <f t="shared" si="91"/>
        <v>5.79</v>
      </c>
      <c r="X49">
        <f t="shared" si="91"/>
        <v>5.43</v>
      </c>
      <c r="Y49">
        <f t="shared" si="91"/>
        <v>5.14</v>
      </c>
      <c r="Z49">
        <f t="shared" si="91"/>
        <v>5.79</v>
      </c>
      <c r="AA49">
        <f t="shared" si="91"/>
        <v>6.43</v>
      </c>
      <c r="AB49">
        <f t="shared" si="91"/>
        <v>6.78</v>
      </c>
      <c r="AC49">
        <f t="shared" si="91"/>
        <v>6.99</v>
      </c>
      <c r="AD49">
        <f t="shared" si="91"/>
        <v>8.2100000000000009</v>
      </c>
      <c r="AE49">
        <f t="shared" si="91"/>
        <v>7.17</v>
      </c>
      <c r="AF49">
        <f t="shared" si="91"/>
        <v>7.11</v>
      </c>
      <c r="AG49">
        <f t="shared" si="91"/>
        <v>7.17</v>
      </c>
      <c r="AH49">
        <f t="shared" si="91"/>
        <v>7.14</v>
      </c>
      <c r="AI49">
        <f t="shared" si="91"/>
        <v>7.13</v>
      </c>
      <c r="AJ49">
        <f t="shared" si="91"/>
        <v>6.93</v>
      </c>
      <c r="AK49">
        <f t="shared" si="91"/>
        <v>7.27</v>
      </c>
      <c r="AL49">
        <f t="shared" si="91"/>
        <v>7.47</v>
      </c>
      <c r="AM49">
        <f t="shared" si="91"/>
        <v>7.27</v>
      </c>
      <c r="AN49" t="e">
        <f t="shared" si="91"/>
        <v>#N/A</v>
      </c>
      <c r="AO49">
        <f t="shared" si="91"/>
        <v>7.3</v>
      </c>
      <c r="AP49">
        <f t="shared" si="91"/>
        <v>7.19</v>
      </c>
      <c r="AQ49">
        <f t="shared" si="91"/>
        <v>6.85</v>
      </c>
      <c r="AR49">
        <f t="shared" si="91"/>
        <v>6.92</v>
      </c>
      <c r="AS49">
        <f t="shared" si="91"/>
        <v>6.6</v>
      </c>
      <c r="AT49" t="e">
        <f t="shared" si="91"/>
        <v>#N/A</v>
      </c>
      <c r="AU49" t="e">
        <f t="shared" si="91"/>
        <v>#N/A</v>
      </c>
      <c r="AV49" t="e">
        <f t="shared" si="91"/>
        <v>#N/A</v>
      </c>
      <c r="AW49" t="e">
        <f t="shared" si="91"/>
        <v>#N/A</v>
      </c>
      <c r="AX49" t="e">
        <f t="shared" si="91"/>
        <v>#N/A</v>
      </c>
      <c r="AY49" t="e">
        <f t="shared" si="91"/>
        <v>#N/A</v>
      </c>
      <c r="AZ49" t="e">
        <f t="shared" si="91"/>
        <v>#N/A</v>
      </c>
      <c r="BA49" t="e">
        <f t="shared" si="91"/>
        <v>#N/A</v>
      </c>
      <c r="BB49" t="e">
        <f t="shared" si="91"/>
        <v>#N/A</v>
      </c>
      <c r="BC49" t="e">
        <f t="shared" si="91"/>
        <v>#N/A</v>
      </c>
      <c r="BD49" t="e">
        <f t="shared" si="91"/>
        <v>#N/A</v>
      </c>
      <c r="BE49" t="e">
        <f t="shared" si="91"/>
        <v>#N/A</v>
      </c>
      <c r="BF49" t="e">
        <f t="shared" si="91"/>
        <v>#N/A</v>
      </c>
      <c r="BG49" t="e">
        <f t="shared" si="91"/>
        <v>#N/A</v>
      </c>
      <c r="BH49" t="e">
        <f t="shared" si="91"/>
        <v>#N/A</v>
      </c>
      <c r="BI49" t="e">
        <f t="shared" si="91"/>
        <v>#N/A</v>
      </c>
      <c r="BJ49" t="e">
        <f t="shared" si="91"/>
        <v>#N/A</v>
      </c>
      <c r="BK49" t="e">
        <f t="shared" si="91"/>
        <v>#N/A</v>
      </c>
      <c r="BL49" t="e">
        <f t="shared" si="91"/>
        <v>#N/A</v>
      </c>
      <c r="BM49" t="e">
        <f t="shared" si="91"/>
        <v>#N/A</v>
      </c>
      <c r="BN49" t="e">
        <f t="shared" si="91"/>
        <v>#N/A</v>
      </c>
      <c r="BO49" t="e">
        <f t="shared" si="91"/>
        <v>#N/A</v>
      </c>
      <c r="BP49" t="e">
        <f t="shared" si="91"/>
        <v>#N/A</v>
      </c>
      <c r="BQ49" t="e">
        <f t="shared" si="91"/>
        <v>#N/A</v>
      </c>
      <c r="BR49" t="e">
        <f t="shared" si="91"/>
        <v>#N/A</v>
      </c>
      <c r="BS49" t="e">
        <f t="shared" si="91"/>
        <v>#N/A</v>
      </c>
      <c r="BT49" t="e">
        <f t="shared" si="91"/>
        <v>#N/A</v>
      </c>
      <c r="BU49" t="e">
        <f t="shared" si="91"/>
        <v>#N/A</v>
      </c>
      <c r="BV49" t="e">
        <f t="shared" ref="BV49:EG49" si="92">IF(ISBLANK(BV3),NA(),ROUNDDOWN(BV3*0.75,2))</f>
        <v>#N/A</v>
      </c>
      <c r="BW49" t="e">
        <f t="shared" si="92"/>
        <v>#N/A</v>
      </c>
      <c r="BX49" t="e">
        <f t="shared" si="92"/>
        <v>#N/A</v>
      </c>
      <c r="BY49" t="e">
        <f t="shared" si="92"/>
        <v>#N/A</v>
      </c>
      <c r="BZ49" t="e">
        <f t="shared" si="92"/>
        <v>#N/A</v>
      </c>
      <c r="CA49" t="e">
        <f t="shared" si="92"/>
        <v>#N/A</v>
      </c>
      <c r="CB49" t="e">
        <f t="shared" si="92"/>
        <v>#N/A</v>
      </c>
      <c r="CC49" t="e">
        <f t="shared" si="92"/>
        <v>#N/A</v>
      </c>
      <c r="CD49" t="e">
        <f t="shared" si="92"/>
        <v>#N/A</v>
      </c>
      <c r="CE49" t="e">
        <f t="shared" si="92"/>
        <v>#N/A</v>
      </c>
      <c r="CF49" t="e">
        <f t="shared" si="92"/>
        <v>#N/A</v>
      </c>
      <c r="CG49" t="e">
        <f t="shared" si="92"/>
        <v>#N/A</v>
      </c>
      <c r="CH49" t="e">
        <f t="shared" si="92"/>
        <v>#N/A</v>
      </c>
      <c r="CI49" t="e">
        <f t="shared" si="92"/>
        <v>#N/A</v>
      </c>
      <c r="CJ49" t="e">
        <f t="shared" si="92"/>
        <v>#N/A</v>
      </c>
      <c r="CK49" t="e">
        <f t="shared" si="92"/>
        <v>#N/A</v>
      </c>
      <c r="CL49" t="e">
        <f t="shared" si="92"/>
        <v>#N/A</v>
      </c>
      <c r="CM49" t="e">
        <f t="shared" si="92"/>
        <v>#N/A</v>
      </c>
      <c r="CN49" t="e">
        <f t="shared" si="92"/>
        <v>#N/A</v>
      </c>
      <c r="CO49" t="e">
        <f t="shared" si="92"/>
        <v>#N/A</v>
      </c>
      <c r="CP49" t="e">
        <f t="shared" si="92"/>
        <v>#N/A</v>
      </c>
      <c r="CQ49" t="e">
        <f t="shared" si="92"/>
        <v>#N/A</v>
      </c>
      <c r="CR49" t="e">
        <f t="shared" si="92"/>
        <v>#N/A</v>
      </c>
      <c r="CS49" t="e">
        <f t="shared" si="92"/>
        <v>#N/A</v>
      </c>
      <c r="CT49" t="e">
        <f t="shared" si="92"/>
        <v>#N/A</v>
      </c>
      <c r="CU49" t="e">
        <f t="shared" si="92"/>
        <v>#N/A</v>
      </c>
      <c r="CV49" t="e">
        <f t="shared" si="92"/>
        <v>#N/A</v>
      </c>
      <c r="CW49" t="e">
        <f t="shared" si="92"/>
        <v>#N/A</v>
      </c>
      <c r="CX49" t="e">
        <f t="shared" si="92"/>
        <v>#N/A</v>
      </c>
      <c r="CY49" t="e">
        <f t="shared" si="92"/>
        <v>#N/A</v>
      </c>
      <c r="CZ49" t="e">
        <f t="shared" si="92"/>
        <v>#N/A</v>
      </c>
      <c r="DA49" t="e">
        <f t="shared" si="92"/>
        <v>#N/A</v>
      </c>
      <c r="DB49" t="e">
        <f t="shared" si="92"/>
        <v>#N/A</v>
      </c>
      <c r="DC49" t="e">
        <f t="shared" si="92"/>
        <v>#N/A</v>
      </c>
      <c r="DD49" t="e">
        <f t="shared" si="92"/>
        <v>#N/A</v>
      </c>
      <c r="DE49" t="e">
        <f t="shared" si="92"/>
        <v>#N/A</v>
      </c>
      <c r="DF49" t="e">
        <f t="shared" si="92"/>
        <v>#N/A</v>
      </c>
      <c r="DG49" t="e">
        <f t="shared" si="92"/>
        <v>#N/A</v>
      </c>
      <c r="DH49" t="e">
        <f t="shared" si="92"/>
        <v>#N/A</v>
      </c>
      <c r="DI49" t="e">
        <f t="shared" si="92"/>
        <v>#N/A</v>
      </c>
      <c r="DJ49" t="e">
        <f t="shared" si="92"/>
        <v>#N/A</v>
      </c>
      <c r="DK49" t="e">
        <f t="shared" si="92"/>
        <v>#N/A</v>
      </c>
      <c r="DL49" t="e">
        <f t="shared" si="92"/>
        <v>#N/A</v>
      </c>
      <c r="DM49" t="e">
        <f t="shared" si="92"/>
        <v>#N/A</v>
      </c>
      <c r="DN49" t="e">
        <f t="shared" si="92"/>
        <v>#N/A</v>
      </c>
      <c r="DO49" t="e">
        <f t="shared" si="92"/>
        <v>#N/A</v>
      </c>
      <c r="DP49" t="e">
        <f t="shared" si="92"/>
        <v>#N/A</v>
      </c>
      <c r="DQ49" t="e">
        <f t="shared" si="92"/>
        <v>#N/A</v>
      </c>
      <c r="DR49" t="e">
        <f t="shared" si="92"/>
        <v>#N/A</v>
      </c>
      <c r="DS49" t="e">
        <f t="shared" si="92"/>
        <v>#N/A</v>
      </c>
      <c r="DT49" t="e">
        <f t="shared" si="92"/>
        <v>#N/A</v>
      </c>
      <c r="DU49" t="e">
        <f t="shared" si="92"/>
        <v>#N/A</v>
      </c>
      <c r="DV49" t="e">
        <f t="shared" si="92"/>
        <v>#N/A</v>
      </c>
      <c r="DW49" t="e">
        <f t="shared" si="92"/>
        <v>#N/A</v>
      </c>
      <c r="DX49" t="e">
        <f t="shared" si="92"/>
        <v>#N/A</v>
      </c>
      <c r="DY49" t="e">
        <f t="shared" si="92"/>
        <v>#N/A</v>
      </c>
      <c r="DZ49" t="e">
        <f t="shared" si="92"/>
        <v>#N/A</v>
      </c>
      <c r="EA49" t="e">
        <f t="shared" si="92"/>
        <v>#N/A</v>
      </c>
      <c r="EB49" t="e">
        <f t="shared" si="92"/>
        <v>#N/A</v>
      </c>
      <c r="EC49" t="e">
        <f t="shared" si="92"/>
        <v>#N/A</v>
      </c>
      <c r="ED49" t="e">
        <f t="shared" si="92"/>
        <v>#N/A</v>
      </c>
      <c r="EE49" t="e">
        <f t="shared" si="92"/>
        <v>#N/A</v>
      </c>
      <c r="EF49" t="e">
        <f t="shared" si="92"/>
        <v>#N/A</v>
      </c>
      <c r="EG49" t="e">
        <f t="shared" si="92"/>
        <v>#N/A</v>
      </c>
      <c r="EH49" t="e">
        <f t="shared" ref="EH49:GA49" si="93">IF(ISBLANK(EH3),NA(),ROUNDDOWN(EH3*0.75,2))</f>
        <v>#N/A</v>
      </c>
      <c r="EI49" t="e">
        <f t="shared" si="93"/>
        <v>#N/A</v>
      </c>
      <c r="EJ49" t="e">
        <f t="shared" si="93"/>
        <v>#N/A</v>
      </c>
      <c r="EK49" t="e">
        <f t="shared" si="93"/>
        <v>#N/A</v>
      </c>
      <c r="EL49" t="e">
        <f t="shared" si="93"/>
        <v>#N/A</v>
      </c>
      <c r="EM49" t="e">
        <f t="shared" si="93"/>
        <v>#N/A</v>
      </c>
      <c r="EN49" t="e">
        <f t="shared" si="93"/>
        <v>#N/A</v>
      </c>
      <c r="EO49" t="e">
        <f t="shared" si="93"/>
        <v>#N/A</v>
      </c>
      <c r="EP49" t="e">
        <f t="shared" si="93"/>
        <v>#N/A</v>
      </c>
      <c r="EQ49" t="e">
        <f t="shared" si="93"/>
        <v>#N/A</v>
      </c>
      <c r="ER49" t="e">
        <f t="shared" si="93"/>
        <v>#N/A</v>
      </c>
      <c r="ES49" t="e">
        <f t="shared" si="93"/>
        <v>#N/A</v>
      </c>
      <c r="ET49" t="e">
        <f t="shared" si="93"/>
        <v>#N/A</v>
      </c>
      <c r="EU49" t="e">
        <f t="shared" si="93"/>
        <v>#N/A</v>
      </c>
      <c r="EV49" t="e">
        <f t="shared" si="93"/>
        <v>#N/A</v>
      </c>
      <c r="EW49" t="e">
        <f t="shared" si="93"/>
        <v>#N/A</v>
      </c>
      <c r="EX49" t="e">
        <f t="shared" si="93"/>
        <v>#N/A</v>
      </c>
      <c r="EY49" t="e">
        <f t="shared" si="93"/>
        <v>#N/A</v>
      </c>
      <c r="EZ49" t="e">
        <f t="shared" si="93"/>
        <v>#N/A</v>
      </c>
      <c r="FA49" t="e">
        <f t="shared" si="93"/>
        <v>#N/A</v>
      </c>
      <c r="FB49" t="e">
        <f t="shared" si="93"/>
        <v>#N/A</v>
      </c>
      <c r="FC49" t="e">
        <f t="shared" si="93"/>
        <v>#N/A</v>
      </c>
      <c r="FD49" t="e">
        <f t="shared" si="93"/>
        <v>#N/A</v>
      </c>
      <c r="FE49" t="e">
        <f t="shared" si="93"/>
        <v>#N/A</v>
      </c>
      <c r="FF49" t="e">
        <f t="shared" si="93"/>
        <v>#N/A</v>
      </c>
      <c r="FG49" t="e">
        <f t="shared" si="93"/>
        <v>#N/A</v>
      </c>
      <c r="FH49" t="e">
        <f t="shared" si="93"/>
        <v>#N/A</v>
      </c>
      <c r="FI49" t="e">
        <f t="shared" si="93"/>
        <v>#N/A</v>
      </c>
      <c r="FJ49" t="e">
        <f t="shared" si="93"/>
        <v>#N/A</v>
      </c>
      <c r="FK49" t="e">
        <f t="shared" si="93"/>
        <v>#N/A</v>
      </c>
      <c r="FL49" t="e">
        <f t="shared" si="93"/>
        <v>#N/A</v>
      </c>
      <c r="FM49" t="e">
        <f t="shared" si="93"/>
        <v>#N/A</v>
      </c>
      <c r="FN49" t="e">
        <f t="shared" si="93"/>
        <v>#N/A</v>
      </c>
      <c r="FO49" t="e">
        <f t="shared" si="93"/>
        <v>#N/A</v>
      </c>
      <c r="FP49" t="e">
        <f t="shared" si="93"/>
        <v>#N/A</v>
      </c>
      <c r="FQ49" t="e">
        <f t="shared" si="93"/>
        <v>#N/A</v>
      </c>
      <c r="FR49" t="e">
        <f t="shared" si="93"/>
        <v>#N/A</v>
      </c>
      <c r="FS49" t="e">
        <f t="shared" si="93"/>
        <v>#N/A</v>
      </c>
      <c r="FT49" t="e">
        <f t="shared" si="93"/>
        <v>#N/A</v>
      </c>
      <c r="FU49" t="e">
        <f t="shared" si="93"/>
        <v>#N/A</v>
      </c>
      <c r="FV49" t="e">
        <f t="shared" si="93"/>
        <v>#N/A</v>
      </c>
      <c r="FW49" t="e">
        <f t="shared" si="93"/>
        <v>#N/A</v>
      </c>
      <c r="FX49" t="e">
        <f t="shared" si="93"/>
        <v>#N/A</v>
      </c>
      <c r="FY49" t="e">
        <f t="shared" si="93"/>
        <v>#N/A</v>
      </c>
      <c r="FZ49" t="e">
        <f t="shared" si="93"/>
        <v>#N/A</v>
      </c>
      <c r="GA49" t="e">
        <f t="shared" si="93"/>
        <v>#N/A</v>
      </c>
    </row>
    <row r="50" spans="1:183" x14ac:dyDescent="0.45">
      <c r="A50">
        <f t="shared" ref="A50:A55" si="94">A39</f>
        <v>10</v>
      </c>
      <c r="B50" t="s">
        <v>22</v>
      </c>
      <c r="C50" cm="1">
        <f t="array" ref="C50">LOOKUP(2,1/(I50:GA50&lt;&gt;""),I50:GA50)</f>
        <v>6.69</v>
      </c>
      <c r="D50">
        <f t="shared" si="89"/>
        <v>45</v>
      </c>
      <c r="F50" s="4">
        <f t="shared" ref="F50:F55" si="95">(C50-I50)/I50</f>
        <v>1.5632183908045978</v>
      </c>
      <c r="G50" s="3" cm="1">
        <f t="array" ref="G50">(C50-IF(ISNA(INDEX(I50:GA50,D50-22)),INDEX(I50:GA50,D50-23),INDEX(I50:GA50,D50-22)))/IF(ISNA(INDEX(I50:GA50,D50-22)),INDEX(I50:GA50,D50-23),INDEX(I50:GA50,D50-22))</f>
        <v>-9.2265943012211624E-2</v>
      </c>
      <c r="I50">
        <f t="shared" ref="I50:I55" si="96">IF(ISBLANK(I4),NA(),ROUNDDOWN(I4*0.75,2))</f>
        <v>2.61</v>
      </c>
      <c r="J50">
        <f t="shared" ref="J50:BU50" si="97">IF(ISBLANK(J4),NA(),ROUNDDOWN(J4*0.75,2))</f>
        <v>2.64</v>
      </c>
      <c r="K50" t="e">
        <f t="shared" si="97"/>
        <v>#N/A</v>
      </c>
      <c r="L50">
        <f t="shared" si="97"/>
        <v>2.94</v>
      </c>
      <c r="M50" t="e">
        <f t="shared" si="97"/>
        <v>#N/A</v>
      </c>
      <c r="N50">
        <f t="shared" si="97"/>
        <v>3.21</v>
      </c>
      <c r="O50">
        <f t="shared" si="97"/>
        <v>3.37</v>
      </c>
      <c r="P50">
        <f t="shared" si="97"/>
        <v>4.3499999999999996</v>
      </c>
      <c r="Q50">
        <f t="shared" si="97"/>
        <v>4.2699999999999996</v>
      </c>
      <c r="R50">
        <f t="shared" si="97"/>
        <v>4.72</v>
      </c>
      <c r="S50">
        <f t="shared" si="97"/>
        <v>4.6900000000000004</v>
      </c>
      <c r="T50">
        <f t="shared" si="97"/>
        <v>5.49</v>
      </c>
      <c r="U50">
        <f t="shared" si="97"/>
        <v>5.99</v>
      </c>
      <c r="V50">
        <f t="shared" si="97"/>
        <v>6.33</v>
      </c>
      <c r="W50">
        <f t="shared" si="97"/>
        <v>6.1</v>
      </c>
      <c r="X50">
        <f t="shared" si="97"/>
        <v>5.39</v>
      </c>
      <c r="Y50">
        <f t="shared" si="97"/>
        <v>4.7699999999999996</v>
      </c>
      <c r="Z50">
        <f t="shared" si="97"/>
        <v>5.14</v>
      </c>
      <c r="AA50">
        <f t="shared" si="97"/>
        <v>6.03</v>
      </c>
      <c r="AB50">
        <f t="shared" si="97"/>
        <v>6.63</v>
      </c>
      <c r="AC50">
        <f t="shared" si="97"/>
        <v>6.76</v>
      </c>
      <c r="AD50">
        <f t="shared" si="97"/>
        <v>7.31</v>
      </c>
      <c r="AE50">
        <f t="shared" si="97"/>
        <v>7.37</v>
      </c>
      <c r="AF50">
        <f t="shared" si="97"/>
        <v>6.6</v>
      </c>
      <c r="AG50">
        <f t="shared" si="97"/>
        <v>6.77</v>
      </c>
      <c r="AH50">
        <f t="shared" si="97"/>
        <v>6.96</v>
      </c>
      <c r="AI50">
        <f t="shared" si="97"/>
        <v>6.84</v>
      </c>
      <c r="AJ50">
        <f t="shared" si="97"/>
        <v>6.92</v>
      </c>
      <c r="AK50">
        <f t="shared" si="97"/>
        <v>6.75</v>
      </c>
      <c r="AL50">
        <f t="shared" si="97"/>
        <v>7.41</v>
      </c>
      <c r="AM50">
        <f t="shared" si="97"/>
        <v>7.26</v>
      </c>
      <c r="AN50" t="e">
        <f t="shared" si="97"/>
        <v>#N/A</v>
      </c>
      <c r="AO50">
        <f t="shared" si="97"/>
        <v>6.99</v>
      </c>
      <c r="AP50">
        <f t="shared" si="97"/>
        <v>6.66</v>
      </c>
      <c r="AQ50">
        <f t="shared" si="97"/>
        <v>6.66</v>
      </c>
      <c r="AR50">
        <f t="shared" si="97"/>
        <v>6.98</v>
      </c>
      <c r="AS50">
        <f t="shared" si="97"/>
        <v>6.69</v>
      </c>
      <c r="AT50" t="e">
        <f t="shared" si="97"/>
        <v>#N/A</v>
      </c>
      <c r="AU50" t="e">
        <f t="shared" si="97"/>
        <v>#N/A</v>
      </c>
      <c r="AV50" t="e">
        <f t="shared" si="97"/>
        <v>#N/A</v>
      </c>
      <c r="AW50" t="e">
        <f t="shared" si="97"/>
        <v>#N/A</v>
      </c>
      <c r="AX50" t="e">
        <f t="shared" si="97"/>
        <v>#N/A</v>
      </c>
      <c r="AY50" t="e">
        <f t="shared" si="97"/>
        <v>#N/A</v>
      </c>
      <c r="AZ50" t="e">
        <f t="shared" si="97"/>
        <v>#N/A</v>
      </c>
      <c r="BA50" t="e">
        <f t="shared" si="97"/>
        <v>#N/A</v>
      </c>
      <c r="BB50" t="e">
        <f t="shared" si="97"/>
        <v>#N/A</v>
      </c>
      <c r="BC50" t="e">
        <f t="shared" si="97"/>
        <v>#N/A</v>
      </c>
      <c r="BD50" t="e">
        <f t="shared" si="97"/>
        <v>#N/A</v>
      </c>
      <c r="BE50" t="e">
        <f t="shared" si="97"/>
        <v>#N/A</v>
      </c>
      <c r="BF50" t="e">
        <f t="shared" si="97"/>
        <v>#N/A</v>
      </c>
      <c r="BG50" t="e">
        <f t="shared" si="97"/>
        <v>#N/A</v>
      </c>
      <c r="BH50" t="e">
        <f t="shared" si="97"/>
        <v>#N/A</v>
      </c>
      <c r="BI50" t="e">
        <f t="shared" si="97"/>
        <v>#N/A</v>
      </c>
      <c r="BJ50" t="e">
        <f t="shared" si="97"/>
        <v>#N/A</v>
      </c>
      <c r="BK50" t="e">
        <f t="shared" si="97"/>
        <v>#N/A</v>
      </c>
      <c r="BL50" t="e">
        <f t="shared" si="97"/>
        <v>#N/A</v>
      </c>
      <c r="BM50" t="e">
        <f t="shared" si="97"/>
        <v>#N/A</v>
      </c>
      <c r="BN50" t="e">
        <f t="shared" si="97"/>
        <v>#N/A</v>
      </c>
      <c r="BO50" t="e">
        <f t="shared" si="97"/>
        <v>#N/A</v>
      </c>
      <c r="BP50" t="e">
        <f t="shared" si="97"/>
        <v>#N/A</v>
      </c>
      <c r="BQ50" t="e">
        <f t="shared" si="97"/>
        <v>#N/A</v>
      </c>
      <c r="BR50" t="e">
        <f t="shared" si="97"/>
        <v>#N/A</v>
      </c>
      <c r="BS50" t="e">
        <f t="shared" si="97"/>
        <v>#N/A</v>
      </c>
      <c r="BT50" t="e">
        <f t="shared" si="97"/>
        <v>#N/A</v>
      </c>
      <c r="BU50" t="e">
        <f t="shared" si="97"/>
        <v>#N/A</v>
      </c>
      <c r="BV50" t="e">
        <f t="shared" ref="BV50:EG50" si="98">IF(ISBLANK(BV4),NA(),ROUNDDOWN(BV4*0.75,2))</f>
        <v>#N/A</v>
      </c>
      <c r="BW50" t="e">
        <f t="shared" si="98"/>
        <v>#N/A</v>
      </c>
      <c r="BX50" t="e">
        <f t="shared" si="98"/>
        <v>#N/A</v>
      </c>
      <c r="BY50" t="e">
        <f t="shared" si="98"/>
        <v>#N/A</v>
      </c>
      <c r="BZ50" t="e">
        <f t="shared" si="98"/>
        <v>#N/A</v>
      </c>
      <c r="CA50" t="e">
        <f t="shared" si="98"/>
        <v>#N/A</v>
      </c>
      <c r="CB50" t="e">
        <f t="shared" si="98"/>
        <v>#N/A</v>
      </c>
      <c r="CC50" t="e">
        <f t="shared" si="98"/>
        <v>#N/A</v>
      </c>
      <c r="CD50" t="e">
        <f t="shared" si="98"/>
        <v>#N/A</v>
      </c>
      <c r="CE50" t="e">
        <f t="shared" si="98"/>
        <v>#N/A</v>
      </c>
      <c r="CF50" t="e">
        <f t="shared" si="98"/>
        <v>#N/A</v>
      </c>
      <c r="CG50" t="e">
        <f t="shared" si="98"/>
        <v>#N/A</v>
      </c>
      <c r="CH50" t="e">
        <f t="shared" si="98"/>
        <v>#N/A</v>
      </c>
      <c r="CI50" t="e">
        <f t="shared" si="98"/>
        <v>#N/A</v>
      </c>
      <c r="CJ50" t="e">
        <f t="shared" si="98"/>
        <v>#N/A</v>
      </c>
      <c r="CK50" t="e">
        <f t="shared" si="98"/>
        <v>#N/A</v>
      </c>
      <c r="CL50" t="e">
        <f t="shared" si="98"/>
        <v>#N/A</v>
      </c>
      <c r="CM50" t="e">
        <f t="shared" si="98"/>
        <v>#N/A</v>
      </c>
      <c r="CN50" t="e">
        <f t="shared" si="98"/>
        <v>#N/A</v>
      </c>
      <c r="CO50" t="e">
        <f t="shared" si="98"/>
        <v>#N/A</v>
      </c>
      <c r="CP50" t="e">
        <f t="shared" si="98"/>
        <v>#N/A</v>
      </c>
      <c r="CQ50" t="e">
        <f t="shared" si="98"/>
        <v>#N/A</v>
      </c>
      <c r="CR50" t="e">
        <f t="shared" si="98"/>
        <v>#N/A</v>
      </c>
      <c r="CS50" t="e">
        <f t="shared" si="98"/>
        <v>#N/A</v>
      </c>
      <c r="CT50" t="e">
        <f t="shared" si="98"/>
        <v>#N/A</v>
      </c>
      <c r="CU50" t="e">
        <f t="shared" si="98"/>
        <v>#N/A</v>
      </c>
      <c r="CV50" t="e">
        <f t="shared" si="98"/>
        <v>#N/A</v>
      </c>
      <c r="CW50" t="e">
        <f t="shared" si="98"/>
        <v>#N/A</v>
      </c>
      <c r="CX50" t="e">
        <f t="shared" si="98"/>
        <v>#N/A</v>
      </c>
      <c r="CY50" t="e">
        <f t="shared" si="98"/>
        <v>#N/A</v>
      </c>
      <c r="CZ50" t="e">
        <f t="shared" si="98"/>
        <v>#N/A</v>
      </c>
      <c r="DA50" t="e">
        <f t="shared" si="98"/>
        <v>#N/A</v>
      </c>
      <c r="DB50" t="e">
        <f t="shared" si="98"/>
        <v>#N/A</v>
      </c>
      <c r="DC50" t="e">
        <f t="shared" si="98"/>
        <v>#N/A</v>
      </c>
      <c r="DD50" t="e">
        <f t="shared" si="98"/>
        <v>#N/A</v>
      </c>
      <c r="DE50" t="e">
        <f t="shared" si="98"/>
        <v>#N/A</v>
      </c>
      <c r="DF50" t="e">
        <f t="shared" si="98"/>
        <v>#N/A</v>
      </c>
      <c r="DG50" t="e">
        <f t="shared" si="98"/>
        <v>#N/A</v>
      </c>
      <c r="DH50" t="e">
        <f t="shared" si="98"/>
        <v>#N/A</v>
      </c>
      <c r="DI50" t="e">
        <f t="shared" si="98"/>
        <v>#N/A</v>
      </c>
      <c r="DJ50" t="e">
        <f t="shared" si="98"/>
        <v>#N/A</v>
      </c>
      <c r="DK50" t="e">
        <f t="shared" si="98"/>
        <v>#N/A</v>
      </c>
      <c r="DL50" t="e">
        <f t="shared" si="98"/>
        <v>#N/A</v>
      </c>
      <c r="DM50" t="e">
        <f t="shared" si="98"/>
        <v>#N/A</v>
      </c>
      <c r="DN50" t="e">
        <f t="shared" si="98"/>
        <v>#N/A</v>
      </c>
      <c r="DO50" t="e">
        <f t="shared" si="98"/>
        <v>#N/A</v>
      </c>
      <c r="DP50" t="e">
        <f t="shared" si="98"/>
        <v>#N/A</v>
      </c>
      <c r="DQ50" t="e">
        <f t="shared" si="98"/>
        <v>#N/A</v>
      </c>
      <c r="DR50" t="e">
        <f t="shared" si="98"/>
        <v>#N/A</v>
      </c>
      <c r="DS50" t="e">
        <f t="shared" si="98"/>
        <v>#N/A</v>
      </c>
      <c r="DT50" t="e">
        <f t="shared" si="98"/>
        <v>#N/A</v>
      </c>
      <c r="DU50" t="e">
        <f t="shared" si="98"/>
        <v>#N/A</v>
      </c>
      <c r="DV50" t="e">
        <f t="shared" si="98"/>
        <v>#N/A</v>
      </c>
      <c r="DW50" t="e">
        <f t="shared" si="98"/>
        <v>#N/A</v>
      </c>
      <c r="DX50" t="e">
        <f t="shared" si="98"/>
        <v>#N/A</v>
      </c>
      <c r="DY50" t="e">
        <f t="shared" si="98"/>
        <v>#N/A</v>
      </c>
      <c r="DZ50" t="e">
        <f t="shared" si="98"/>
        <v>#N/A</v>
      </c>
      <c r="EA50" t="e">
        <f t="shared" si="98"/>
        <v>#N/A</v>
      </c>
      <c r="EB50" t="e">
        <f t="shared" si="98"/>
        <v>#N/A</v>
      </c>
      <c r="EC50" t="e">
        <f t="shared" si="98"/>
        <v>#N/A</v>
      </c>
      <c r="ED50" t="e">
        <f t="shared" si="98"/>
        <v>#N/A</v>
      </c>
      <c r="EE50" t="e">
        <f t="shared" si="98"/>
        <v>#N/A</v>
      </c>
      <c r="EF50" t="e">
        <f t="shared" si="98"/>
        <v>#N/A</v>
      </c>
      <c r="EG50" t="e">
        <f t="shared" si="98"/>
        <v>#N/A</v>
      </c>
      <c r="EH50" t="e">
        <f t="shared" ref="EH50:GA50" si="99">IF(ISBLANK(EH4),NA(),ROUNDDOWN(EH4*0.75,2))</f>
        <v>#N/A</v>
      </c>
      <c r="EI50" t="e">
        <f t="shared" si="99"/>
        <v>#N/A</v>
      </c>
      <c r="EJ50" t="e">
        <f t="shared" si="99"/>
        <v>#N/A</v>
      </c>
      <c r="EK50" t="e">
        <f t="shared" si="99"/>
        <v>#N/A</v>
      </c>
      <c r="EL50" t="e">
        <f t="shared" si="99"/>
        <v>#N/A</v>
      </c>
      <c r="EM50" t="e">
        <f t="shared" si="99"/>
        <v>#N/A</v>
      </c>
      <c r="EN50" t="e">
        <f t="shared" si="99"/>
        <v>#N/A</v>
      </c>
      <c r="EO50" t="e">
        <f t="shared" si="99"/>
        <v>#N/A</v>
      </c>
      <c r="EP50" t="e">
        <f t="shared" si="99"/>
        <v>#N/A</v>
      </c>
      <c r="EQ50" t="e">
        <f t="shared" si="99"/>
        <v>#N/A</v>
      </c>
      <c r="ER50" t="e">
        <f t="shared" si="99"/>
        <v>#N/A</v>
      </c>
      <c r="ES50" t="e">
        <f t="shared" si="99"/>
        <v>#N/A</v>
      </c>
      <c r="ET50" t="e">
        <f t="shared" si="99"/>
        <v>#N/A</v>
      </c>
      <c r="EU50" t="e">
        <f t="shared" si="99"/>
        <v>#N/A</v>
      </c>
      <c r="EV50" t="e">
        <f t="shared" si="99"/>
        <v>#N/A</v>
      </c>
      <c r="EW50" t="e">
        <f t="shared" si="99"/>
        <v>#N/A</v>
      </c>
      <c r="EX50" t="e">
        <f t="shared" si="99"/>
        <v>#N/A</v>
      </c>
      <c r="EY50" t="e">
        <f t="shared" si="99"/>
        <v>#N/A</v>
      </c>
      <c r="EZ50" t="e">
        <f t="shared" si="99"/>
        <v>#N/A</v>
      </c>
      <c r="FA50" t="e">
        <f t="shared" si="99"/>
        <v>#N/A</v>
      </c>
      <c r="FB50" t="e">
        <f t="shared" si="99"/>
        <v>#N/A</v>
      </c>
      <c r="FC50" t="e">
        <f t="shared" si="99"/>
        <v>#N/A</v>
      </c>
      <c r="FD50" t="e">
        <f t="shared" si="99"/>
        <v>#N/A</v>
      </c>
      <c r="FE50" t="e">
        <f t="shared" si="99"/>
        <v>#N/A</v>
      </c>
      <c r="FF50" t="e">
        <f t="shared" si="99"/>
        <v>#N/A</v>
      </c>
      <c r="FG50" t="e">
        <f t="shared" si="99"/>
        <v>#N/A</v>
      </c>
      <c r="FH50" t="e">
        <f t="shared" si="99"/>
        <v>#N/A</v>
      </c>
      <c r="FI50" t="e">
        <f t="shared" si="99"/>
        <v>#N/A</v>
      </c>
      <c r="FJ50" t="e">
        <f t="shared" si="99"/>
        <v>#N/A</v>
      </c>
      <c r="FK50" t="e">
        <f t="shared" si="99"/>
        <v>#N/A</v>
      </c>
      <c r="FL50" t="e">
        <f t="shared" si="99"/>
        <v>#N/A</v>
      </c>
      <c r="FM50" t="e">
        <f t="shared" si="99"/>
        <v>#N/A</v>
      </c>
      <c r="FN50" t="e">
        <f t="shared" si="99"/>
        <v>#N/A</v>
      </c>
      <c r="FO50" t="e">
        <f t="shared" si="99"/>
        <v>#N/A</v>
      </c>
      <c r="FP50" t="e">
        <f t="shared" si="99"/>
        <v>#N/A</v>
      </c>
      <c r="FQ50" t="e">
        <f t="shared" si="99"/>
        <v>#N/A</v>
      </c>
      <c r="FR50" t="e">
        <f t="shared" si="99"/>
        <v>#N/A</v>
      </c>
      <c r="FS50" t="e">
        <f t="shared" si="99"/>
        <v>#N/A</v>
      </c>
      <c r="FT50" t="e">
        <f t="shared" si="99"/>
        <v>#N/A</v>
      </c>
      <c r="FU50" t="e">
        <f t="shared" si="99"/>
        <v>#N/A</v>
      </c>
      <c r="FV50" t="e">
        <f t="shared" si="99"/>
        <v>#N/A</v>
      </c>
      <c r="FW50" t="e">
        <f t="shared" si="99"/>
        <v>#N/A</v>
      </c>
      <c r="FX50" t="e">
        <f t="shared" si="99"/>
        <v>#N/A</v>
      </c>
      <c r="FY50" t="e">
        <f t="shared" si="99"/>
        <v>#N/A</v>
      </c>
      <c r="FZ50" t="e">
        <f t="shared" si="99"/>
        <v>#N/A</v>
      </c>
      <c r="GA50" t="e">
        <f t="shared" si="99"/>
        <v>#N/A</v>
      </c>
    </row>
    <row r="51" spans="1:183" x14ac:dyDescent="0.45">
      <c r="A51">
        <f t="shared" si="94"/>
        <v>5</v>
      </c>
      <c r="B51" t="s">
        <v>23</v>
      </c>
      <c r="C51" cm="1">
        <f t="array" ref="C51">LOOKUP(2,1/(I51:GA51&lt;&gt;""),I51:GA51)</f>
        <v>7.38</v>
      </c>
      <c r="D51">
        <f t="shared" si="89"/>
        <v>45</v>
      </c>
      <c r="F51" s="4">
        <f t="shared" si="95"/>
        <v>1.8167938931297709</v>
      </c>
      <c r="G51" s="3" cm="1">
        <f t="array" ref="G51">(C51-IF(ISNA(INDEX(I51:GA51,D51-22)),INDEX(I51:GA51,D51-23),INDEX(I51:GA51,D51-22)))/IF(ISNA(INDEX(I51:GA51,D51-22)),INDEX(I51:GA51,D51-23),INDEX(I51:GA51,D51-22))</f>
        <v>-0.11827956989247305</v>
      </c>
      <c r="I51">
        <f t="shared" si="96"/>
        <v>2.62</v>
      </c>
      <c r="J51">
        <f t="shared" ref="J51:BU51" si="100">IF(ISBLANK(J5),NA(),ROUNDDOWN(J5*0.75,2))</f>
        <v>2.77</v>
      </c>
      <c r="K51" t="e">
        <f t="shared" si="100"/>
        <v>#N/A</v>
      </c>
      <c r="L51">
        <f t="shared" si="100"/>
        <v>2.92</v>
      </c>
      <c r="M51" t="e">
        <f t="shared" si="100"/>
        <v>#N/A</v>
      </c>
      <c r="N51">
        <f t="shared" si="100"/>
        <v>3.15</v>
      </c>
      <c r="O51">
        <f t="shared" si="100"/>
        <v>3.37</v>
      </c>
      <c r="P51">
        <f t="shared" si="100"/>
        <v>4.95</v>
      </c>
      <c r="Q51">
        <f t="shared" si="100"/>
        <v>4.8</v>
      </c>
      <c r="R51">
        <f t="shared" si="100"/>
        <v>4.8</v>
      </c>
      <c r="S51">
        <f t="shared" si="100"/>
        <v>4.92</v>
      </c>
      <c r="T51">
        <f t="shared" si="100"/>
        <v>6.62</v>
      </c>
      <c r="U51">
        <f t="shared" si="100"/>
        <v>7.2</v>
      </c>
      <c r="V51">
        <f t="shared" si="100"/>
        <v>6.76</v>
      </c>
      <c r="W51">
        <f t="shared" si="100"/>
        <v>6.51</v>
      </c>
      <c r="X51">
        <f t="shared" si="100"/>
        <v>6.14</v>
      </c>
      <c r="Y51">
        <f t="shared" si="100"/>
        <v>5.52</v>
      </c>
      <c r="Z51">
        <f t="shared" si="100"/>
        <v>5.72</v>
      </c>
      <c r="AA51">
        <f t="shared" si="100"/>
        <v>6.17</v>
      </c>
      <c r="AB51">
        <f t="shared" si="100"/>
        <v>6.87</v>
      </c>
      <c r="AC51">
        <f t="shared" si="100"/>
        <v>7.41</v>
      </c>
      <c r="AD51">
        <f t="shared" si="100"/>
        <v>8.3699999999999992</v>
      </c>
      <c r="AE51">
        <f t="shared" si="100"/>
        <v>8.3699999999999992</v>
      </c>
      <c r="AF51">
        <f t="shared" si="100"/>
        <v>7.52</v>
      </c>
      <c r="AG51">
        <f t="shared" si="100"/>
        <v>7.35</v>
      </c>
      <c r="AH51">
        <f t="shared" si="100"/>
        <v>7.14</v>
      </c>
      <c r="AI51">
        <f t="shared" si="100"/>
        <v>7.25</v>
      </c>
      <c r="AJ51">
        <f t="shared" si="100"/>
        <v>7.2</v>
      </c>
      <c r="AK51">
        <f t="shared" si="100"/>
        <v>8.64</v>
      </c>
      <c r="AL51">
        <f t="shared" si="100"/>
        <v>8.1999999999999993</v>
      </c>
      <c r="AM51">
        <f t="shared" si="100"/>
        <v>7.83</v>
      </c>
      <c r="AN51" t="e">
        <f t="shared" si="100"/>
        <v>#N/A</v>
      </c>
      <c r="AO51">
        <f t="shared" si="100"/>
        <v>8.0399999999999991</v>
      </c>
      <c r="AP51">
        <f t="shared" si="100"/>
        <v>7.52</v>
      </c>
      <c r="AQ51">
        <f t="shared" si="100"/>
        <v>7.53</v>
      </c>
      <c r="AR51">
        <f t="shared" si="100"/>
        <v>7.38</v>
      </c>
      <c r="AS51">
        <f t="shared" si="100"/>
        <v>7.38</v>
      </c>
      <c r="AT51" t="e">
        <f t="shared" si="100"/>
        <v>#N/A</v>
      </c>
      <c r="AU51" t="e">
        <f t="shared" si="100"/>
        <v>#N/A</v>
      </c>
      <c r="AV51" t="e">
        <f t="shared" si="100"/>
        <v>#N/A</v>
      </c>
      <c r="AW51" t="e">
        <f t="shared" si="100"/>
        <v>#N/A</v>
      </c>
      <c r="AX51" t="e">
        <f t="shared" si="100"/>
        <v>#N/A</v>
      </c>
      <c r="AY51" t="e">
        <f t="shared" si="100"/>
        <v>#N/A</v>
      </c>
      <c r="AZ51" t="e">
        <f t="shared" si="100"/>
        <v>#N/A</v>
      </c>
      <c r="BA51" t="e">
        <f t="shared" si="100"/>
        <v>#N/A</v>
      </c>
      <c r="BB51" t="e">
        <f t="shared" si="100"/>
        <v>#N/A</v>
      </c>
      <c r="BC51" t="e">
        <f t="shared" si="100"/>
        <v>#N/A</v>
      </c>
      <c r="BD51" t="e">
        <f t="shared" si="100"/>
        <v>#N/A</v>
      </c>
      <c r="BE51" t="e">
        <f t="shared" si="100"/>
        <v>#N/A</v>
      </c>
      <c r="BF51" t="e">
        <f t="shared" si="100"/>
        <v>#N/A</v>
      </c>
      <c r="BG51" t="e">
        <f t="shared" si="100"/>
        <v>#N/A</v>
      </c>
      <c r="BH51" t="e">
        <f t="shared" si="100"/>
        <v>#N/A</v>
      </c>
      <c r="BI51" t="e">
        <f t="shared" si="100"/>
        <v>#N/A</v>
      </c>
      <c r="BJ51" t="e">
        <f t="shared" si="100"/>
        <v>#N/A</v>
      </c>
      <c r="BK51" t="e">
        <f t="shared" si="100"/>
        <v>#N/A</v>
      </c>
      <c r="BL51" t="e">
        <f t="shared" si="100"/>
        <v>#N/A</v>
      </c>
      <c r="BM51" t="e">
        <f t="shared" si="100"/>
        <v>#N/A</v>
      </c>
      <c r="BN51" t="e">
        <f t="shared" si="100"/>
        <v>#N/A</v>
      </c>
      <c r="BO51" t="e">
        <f t="shared" si="100"/>
        <v>#N/A</v>
      </c>
      <c r="BP51" t="e">
        <f t="shared" si="100"/>
        <v>#N/A</v>
      </c>
      <c r="BQ51" t="e">
        <f t="shared" si="100"/>
        <v>#N/A</v>
      </c>
      <c r="BR51" t="e">
        <f t="shared" si="100"/>
        <v>#N/A</v>
      </c>
      <c r="BS51" t="e">
        <f t="shared" si="100"/>
        <v>#N/A</v>
      </c>
      <c r="BT51" t="e">
        <f t="shared" si="100"/>
        <v>#N/A</v>
      </c>
      <c r="BU51" t="e">
        <f t="shared" si="100"/>
        <v>#N/A</v>
      </c>
      <c r="BV51" t="e">
        <f t="shared" ref="BV51:EG51" si="101">IF(ISBLANK(BV5),NA(),ROUNDDOWN(BV5*0.75,2))</f>
        <v>#N/A</v>
      </c>
      <c r="BW51" t="e">
        <f t="shared" si="101"/>
        <v>#N/A</v>
      </c>
      <c r="BX51" t="e">
        <f t="shared" si="101"/>
        <v>#N/A</v>
      </c>
      <c r="BY51" t="e">
        <f t="shared" si="101"/>
        <v>#N/A</v>
      </c>
      <c r="BZ51" t="e">
        <f t="shared" si="101"/>
        <v>#N/A</v>
      </c>
      <c r="CA51" t="e">
        <f t="shared" si="101"/>
        <v>#N/A</v>
      </c>
      <c r="CB51" t="e">
        <f t="shared" si="101"/>
        <v>#N/A</v>
      </c>
      <c r="CC51" t="e">
        <f t="shared" si="101"/>
        <v>#N/A</v>
      </c>
      <c r="CD51" t="e">
        <f t="shared" si="101"/>
        <v>#N/A</v>
      </c>
      <c r="CE51" t="e">
        <f t="shared" si="101"/>
        <v>#N/A</v>
      </c>
      <c r="CF51" t="e">
        <f t="shared" si="101"/>
        <v>#N/A</v>
      </c>
      <c r="CG51" t="e">
        <f t="shared" si="101"/>
        <v>#N/A</v>
      </c>
      <c r="CH51" t="e">
        <f t="shared" si="101"/>
        <v>#N/A</v>
      </c>
      <c r="CI51" t="e">
        <f t="shared" si="101"/>
        <v>#N/A</v>
      </c>
      <c r="CJ51" t="e">
        <f t="shared" si="101"/>
        <v>#N/A</v>
      </c>
      <c r="CK51" t="e">
        <f t="shared" si="101"/>
        <v>#N/A</v>
      </c>
      <c r="CL51" t="e">
        <f t="shared" si="101"/>
        <v>#N/A</v>
      </c>
      <c r="CM51" t="e">
        <f t="shared" si="101"/>
        <v>#N/A</v>
      </c>
      <c r="CN51" t="e">
        <f t="shared" si="101"/>
        <v>#N/A</v>
      </c>
      <c r="CO51" t="e">
        <f t="shared" si="101"/>
        <v>#N/A</v>
      </c>
      <c r="CP51" t="e">
        <f t="shared" si="101"/>
        <v>#N/A</v>
      </c>
      <c r="CQ51" t="e">
        <f t="shared" si="101"/>
        <v>#N/A</v>
      </c>
      <c r="CR51" t="e">
        <f t="shared" si="101"/>
        <v>#N/A</v>
      </c>
      <c r="CS51" t="e">
        <f t="shared" si="101"/>
        <v>#N/A</v>
      </c>
      <c r="CT51" t="e">
        <f t="shared" si="101"/>
        <v>#N/A</v>
      </c>
      <c r="CU51" t="e">
        <f t="shared" si="101"/>
        <v>#N/A</v>
      </c>
      <c r="CV51" t="e">
        <f t="shared" si="101"/>
        <v>#N/A</v>
      </c>
      <c r="CW51" t="e">
        <f t="shared" si="101"/>
        <v>#N/A</v>
      </c>
      <c r="CX51" t="e">
        <f t="shared" si="101"/>
        <v>#N/A</v>
      </c>
      <c r="CY51" t="e">
        <f t="shared" si="101"/>
        <v>#N/A</v>
      </c>
      <c r="CZ51" t="e">
        <f t="shared" si="101"/>
        <v>#N/A</v>
      </c>
      <c r="DA51" t="e">
        <f t="shared" si="101"/>
        <v>#N/A</v>
      </c>
      <c r="DB51" t="e">
        <f t="shared" si="101"/>
        <v>#N/A</v>
      </c>
      <c r="DC51" t="e">
        <f t="shared" si="101"/>
        <v>#N/A</v>
      </c>
      <c r="DD51" t="e">
        <f t="shared" si="101"/>
        <v>#N/A</v>
      </c>
      <c r="DE51" t="e">
        <f t="shared" si="101"/>
        <v>#N/A</v>
      </c>
      <c r="DF51" t="e">
        <f t="shared" si="101"/>
        <v>#N/A</v>
      </c>
      <c r="DG51" t="e">
        <f t="shared" si="101"/>
        <v>#N/A</v>
      </c>
      <c r="DH51" t="e">
        <f t="shared" si="101"/>
        <v>#N/A</v>
      </c>
      <c r="DI51" t="e">
        <f t="shared" si="101"/>
        <v>#N/A</v>
      </c>
      <c r="DJ51" t="e">
        <f t="shared" si="101"/>
        <v>#N/A</v>
      </c>
      <c r="DK51" t="e">
        <f t="shared" si="101"/>
        <v>#N/A</v>
      </c>
      <c r="DL51" t="e">
        <f t="shared" si="101"/>
        <v>#N/A</v>
      </c>
      <c r="DM51" t="e">
        <f t="shared" si="101"/>
        <v>#N/A</v>
      </c>
      <c r="DN51" t="e">
        <f t="shared" si="101"/>
        <v>#N/A</v>
      </c>
      <c r="DO51" t="e">
        <f t="shared" si="101"/>
        <v>#N/A</v>
      </c>
      <c r="DP51" t="e">
        <f t="shared" si="101"/>
        <v>#N/A</v>
      </c>
      <c r="DQ51" t="e">
        <f t="shared" si="101"/>
        <v>#N/A</v>
      </c>
      <c r="DR51" t="e">
        <f t="shared" si="101"/>
        <v>#N/A</v>
      </c>
      <c r="DS51" t="e">
        <f t="shared" si="101"/>
        <v>#N/A</v>
      </c>
      <c r="DT51" t="e">
        <f t="shared" si="101"/>
        <v>#N/A</v>
      </c>
      <c r="DU51" t="e">
        <f t="shared" si="101"/>
        <v>#N/A</v>
      </c>
      <c r="DV51" t="e">
        <f t="shared" si="101"/>
        <v>#N/A</v>
      </c>
      <c r="DW51" t="e">
        <f t="shared" si="101"/>
        <v>#N/A</v>
      </c>
      <c r="DX51" t="e">
        <f t="shared" si="101"/>
        <v>#N/A</v>
      </c>
      <c r="DY51" t="e">
        <f t="shared" si="101"/>
        <v>#N/A</v>
      </c>
      <c r="DZ51" t="e">
        <f t="shared" si="101"/>
        <v>#N/A</v>
      </c>
      <c r="EA51" t="e">
        <f t="shared" si="101"/>
        <v>#N/A</v>
      </c>
      <c r="EB51" t="e">
        <f t="shared" si="101"/>
        <v>#N/A</v>
      </c>
      <c r="EC51" t="e">
        <f t="shared" si="101"/>
        <v>#N/A</v>
      </c>
      <c r="ED51" t="e">
        <f t="shared" si="101"/>
        <v>#N/A</v>
      </c>
      <c r="EE51" t="e">
        <f t="shared" si="101"/>
        <v>#N/A</v>
      </c>
      <c r="EF51" t="e">
        <f t="shared" si="101"/>
        <v>#N/A</v>
      </c>
      <c r="EG51" t="e">
        <f t="shared" si="101"/>
        <v>#N/A</v>
      </c>
      <c r="EH51" t="e">
        <f t="shared" ref="EH51:GA51" si="102">IF(ISBLANK(EH5),NA(),ROUNDDOWN(EH5*0.75,2))</f>
        <v>#N/A</v>
      </c>
      <c r="EI51" t="e">
        <f t="shared" si="102"/>
        <v>#N/A</v>
      </c>
      <c r="EJ51" t="e">
        <f t="shared" si="102"/>
        <v>#N/A</v>
      </c>
      <c r="EK51" t="e">
        <f t="shared" si="102"/>
        <v>#N/A</v>
      </c>
      <c r="EL51" t="e">
        <f t="shared" si="102"/>
        <v>#N/A</v>
      </c>
      <c r="EM51" t="e">
        <f t="shared" si="102"/>
        <v>#N/A</v>
      </c>
      <c r="EN51" t="e">
        <f t="shared" si="102"/>
        <v>#N/A</v>
      </c>
      <c r="EO51" t="e">
        <f t="shared" si="102"/>
        <v>#N/A</v>
      </c>
      <c r="EP51" t="e">
        <f t="shared" si="102"/>
        <v>#N/A</v>
      </c>
      <c r="EQ51" t="e">
        <f t="shared" si="102"/>
        <v>#N/A</v>
      </c>
      <c r="ER51" t="e">
        <f t="shared" si="102"/>
        <v>#N/A</v>
      </c>
      <c r="ES51" t="e">
        <f t="shared" si="102"/>
        <v>#N/A</v>
      </c>
      <c r="ET51" t="e">
        <f t="shared" si="102"/>
        <v>#N/A</v>
      </c>
      <c r="EU51" t="e">
        <f t="shared" si="102"/>
        <v>#N/A</v>
      </c>
      <c r="EV51" t="e">
        <f t="shared" si="102"/>
        <v>#N/A</v>
      </c>
      <c r="EW51" t="e">
        <f t="shared" si="102"/>
        <v>#N/A</v>
      </c>
      <c r="EX51" t="e">
        <f t="shared" si="102"/>
        <v>#N/A</v>
      </c>
      <c r="EY51" t="e">
        <f t="shared" si="102"/>
        <v>#N/A</v>
      </c>
      <c r="EZ51" t="e">
        <f t="shared" si="102"/>
        <v>#N/A</v>
      </c>
      <c r="FA51" t="e">
        <f t="shared" si="102"/>
        <v>#N/A</v>
      </c>
      <c r="FB51" t="e">
        <f t="shared" si="102"/>
        <v>#N/A</v>
      </c>
      <c r="FC51" t="e">
        <f t="shared" si="102"/>
        <v>#N/A</v>
      </c>
      <c r="FD51" t="e">
        <f t="shared" si="102"/>
        <v>#N/A</v>
      </c>
      <c r="FE51" t="e">
        <f t="shared" si="102"/>
        <v>#N/A</v>
      </c>
      <c r="FF51" t="e">
        <f t="shared" si="102"/>
        <v>#N/A</v>
      </c>
      <c r="FG51" t="e">
        <f t="shared" si="102"/>
        <v>#N/A</v>
      </c>
      <c r="FH51" t="e">
        <f t="shared" si="102"/>
        <v>#N/A</v>
      </c>
      <c r="FI51" t="e">
        <f t="shared" si="102"/>
        <v>#N/A</v>
      </c>
      <c r="FJ51" t="e">
        <f t="shared" si="102"/>
        <v>#N/A</v>
      </c>
      <c r="FK51" t="e">
        <f t="shared" si="102"/>
        <v>#N/A</v>
      </c>
      <c r="FL51" t="e">
        <f t="shared" si="102"/>
        <v>#N/A</v>
      </c>
      <c r="FM51" t="e">
        <f t="shared" si="102"/>
        <v>#N/A</v>
      </c>
      <c r="FN51" t="e">
        <f t="shared" si="102"/>
        <v>#N/A</v>
      </c>
      <c r="FO51" t="e">
        <f t="shared" si="102"/>
        <v>#N/A</v>
      </c>
      <c r="FP51" t="e">
        <f t="shared" si="102"/>
        <v>#N/A</v>
      </c>
      <c r="FQ51" t="e">
        <f t="shared" si="102"/>
        <v>#N/A</v>
      </c>
      <c r="FR51" t="e">
        <f t="shared" si="102"/>
        <v>#N/A</v>
      </c>
      <c r="FS51" t="e">
        <f t="shared" si="102"/>
        <v>#N/A</v>
      </c>
      <c r="FT51" t="e">
        <f t="shared" si="102"/>
        <v>#N/A</v>
      </c>
      <c r="FU51" t="e">
        <f t="shared" si="102"/>
        <v>#N/A</v>
      </c>
      <c r="FV51" t="e">
        <f t="shared" si="102"/>
        <v>#N/A</v>
      </c>
      <c r="FW51" t="e">
        <f t="shared" si="102"/>
        <v>#N/A</v>
      </c>
      <c r="FX51" t="e">
        <f t="shared" si="102"/>
        <v>#N/A</v>
      </c>
      <c r="FY51" t="e">
        <f t="shared" si="102"/>
        <v>#N/A</v>
      </c>
      <c r="FZ51" t="e">
        <f t="shared" si="102"/>
        <v>#N/A</v>
      </c>
      <c r="GA51" t="e">
        <f t="shared" si="102"/>
        <v>#N/A</v>
      </c>
    </row>
    <row r="52" spans="1:183" x14ac:dyDescent="0.45">
      <c r="A52">
        <f t="shared" si="94"/>
        <v>7</v>
      </c>
      <c r="B52" t="s">
        <v>24</v>
      </c>
      <c r="C52" cm="1">
        <f t="array" ref="C52">LOOKUP(2,1/(I52:GA52&lt;&gt;""),I52:GA52)</f>
        <v>7.38</v>
      </c>
      <c r="D52">
        <f t="shared" si="89"/>
        <v>45</v>
      </c>
      <c r="F52" s="4">
        <f t="shared" si="95"/>
        <v>1.8275862068965516</v>
      </c>
      <c r="G52" s="3" cm="1">
        <f t="array" ref="G52">(C52-IF(ISNA(INDEX(I52:GA52,D52-22)),INDEX(I52:GA52,D52-23),INDEX(I52:GA52,D52-22)))/IF(ISNA(INDEX(I52:GA52,D52-22)),INDEX(I52:GA52,D52-23),INDEX(I52:GA52,D52-22))</f>
        <v>-6.7294751009421032E-3</v>
      </c>
      <c r="I52">
        <f t="shared" si="96"/>
        <v>2.61</v>
      </c>
      <c r="J52">
        <f t="shared" ref="J52:BU52" si="103">IF(ISBLANK(J6),NA(),ROUNDDOWN(J6*0.75,2))</f>
        <v>2.82</v>
      </c>
      <c r="K52" t="e">
        <f t="shared" si="103"/>
        <v>#N/A</v>
      </c>
      <c r="L52">
        <f t="shared" si="103"/>
        <v>3.02</v>
      </c>
      <c r="M52" t="e">
        <f t="shared" si="103"/>
        <v>#N/A</v>
      </c>
      <c r="N52">
        <f t="shared" si="103"/>
        <v>3.3</v>
      </c>
      <c r="O52">
        <f t="shared" si="103"/>
        <v>3.57</v>
      </c>
      <c r="P52">
        <f t="shared" si="103"/>
        <v>4.59</v>
      </c>
      <c r="Q52">
        <f t="shared" si="103"/>
        <v>4.93</v>
      </c>
      <c r="R52">
        <f t="shared" si="103"/>
        <v>4.93</v>
      </c>
      <c r="S52">
        <f t="shared" si="103"/>
        <v>4.92</v>
      </c>
      <c r="T52">
        <f t="shared" si="103"/>
        <v>5.76</v>
      </c>
      <c r="U52">
        <f t="shared" si="103"/>
        <v>6.39</v>
      </c>
      <c r="V52">
        <f t="shared" si="103"/>
        <v>6.34</v>
      </c>
      <c r="W52">
        <f t="shared" si="103"/>
        <v>6.36</v>
      </c>
      <c r="X52">
        <f t="shared" si="103"/>
        <v>5.97</v>
      </c>
      <c r="Y52">
        <f t="shared" si="103"/>
        <v>5.92</v>
      </c>
      <c r="Z52">
        <f t="shared" si="103"/>
        <v>5.91</v>
      </c>
      <c r="AA52">
        <f t="shared" si="103"/>
        <v>6.44</v>
      </c>
      <c r="AB52">
        <f t="shared" si="103"/>
        <v>7.02</v>
      </c>
      <c r="AC52">
        <f t="shared" si="103"/>
        <v>8.31</v>
      </c>
      <c r="AD52">
        <f t="shared" si="103"/>
        <v>8.1999999999999993</v>
      </c>
      <c r="AE52">
        <f t="shared" si="103"/>
        <v>7.43</v>
      </c>
      <c r="AF52">
        <f t="shared" si="103"/>
        <v>7.04</v>
      </c>
      <c r="AG52">
        <f t="shared" si="103"/>
        <v>7.28</v>
      </c>
      <c r="AH52">
        <f t="shared" si="103"/>
        <v>7.03</v>
      </c>
      <c r="AI52">
        <f t="shared" si="103"/>
        <v>7.38</v>
      </c>
      <c r="AJ52">
        <f t="shared" si="103"/>
        <v>7.36</v>
      </c>
      <c r="AK52">
        <f t="shared" si="103"/>
        <v>9.39</v>
      </c>
      <c r="AL52">
        <f t="shared" si="103"/>
        <v>7.65</v>
      </c>
      <c r="AM52">
        <f t="shared" si="103"/>
        <v>7.51</v>
      </c>
      <c r="AN52" t="e">
        <f t="shared" si="103"/>
        <v>#N/A</v>
      </c>
      <c r="AO52">
        <f t="shared" si="103"/>
        <v>8.17</v>
      </c>
      <c r="AP52">
        <f t="shared" si="103"/>
        <v>7.71</v>
      </c>
      <c r="AQ52">
        <f t="shared" si="103"/>
        <v>7.55</v>
      </c>
      <c r="AR52">
        <f t="shared" si="103"/>
        <v>7.51</v>
      </c>
      <c r="AS52">
        <f t="shared" si="103"/>
        <v>7.38</v>
      </c>
      <c r="AT52" t="e">
        <f t="shared" si="103"/>
        <v>#N/A</v>
      </c>
      <c r="AU52" t="e">
        <f t="shared" si="103"/>
        <v>#N/A</v>
      </c>
      <c r="AV52" t="e">
        <f t="shared" si="103"/>
        <v>#N/A</v>
      </c>
      <c r="AW52" t="e">
        <f t="shared" si="103"/>
        <v>#N/A</v>
      </c>
      <c r="AX52" t="e">
        <f t="shared" si="103"/>
        <v>#N/A</v>
      </c>
      <c r="AY52" t="e">
        <f t="shared" si="103"/>
        <v>#N/A</v>
      </c>
      <c r="AZ52" t="e">
        <f t="shared" si="103"/>
        <v>#N/A</v>
      </c>
      <c r="BA52" t="e">
        <f t="shared" si="103"/>
        <v>#N/A</v>
      </c>
      <c r="BB52" t="e">
        <f t="shared" si="103"/>
        <v>#N/A</v>
      </c>
      <c r="BC52" t="e">
        <f t="shared" si="103"/>
        <v>#N/A</v>
      </c>
      <c r="BD52" t="e">
        <f t="shared" si="103"/>
        <v>#N/A</v>
      </c>
      <c r="BE52" t="e">
        <f t="shared" si="103"/>
        <v>#N/A</v>
      </c>
      <c r="BF52" t="e">
        <f t="shared" si="103"/>
        <v>#N/A</v>
      </c>
      <c r="BG52" t="e">
        <f t="shared" si="103"/>
        <v>#N/A</v>
      </c>
      <c r="BH52" t="e">
        <f t="shared" si="103"/>
        <v>#N/A</v>
      </c>
      <c r="BI52" t="e">
        <f t="shared" si="103"/>
        <v>#N/A</v>
      </c>
      <c r="BJ52" t="e">
        <f t="shared" si="103"/>
        <v>#N/A</v>
      </c>
      <c r="BK52" t="e">
        <f t="shared" si="103"/>
        <v>#N/A</v>
      </c>
      <c r="BL52" t="e">
        <f t="shared" si="103"/>
        <v>#N/A</v>
      </c>
      <c r="BM52" t="e">
        <f t="shared" si="103"/>
        <v>#N/A</v>
      </c>
      <c r="BN52" t="e">
        <f t="shared" si="103"/>
        <v>#N/A</v>
      </c>
      <c r="BO52" t="e">
        <f t="shared" si="103"/>
        <v>#N/A</v>
      </c>
      <c r="BP52" t="e">
        <f t="shared" si="103"/>
        <v>#N/A</v>
      </c>
      <c r="BQ52" t="e">
        <f t="shared" si="103"/>
        <v>#N/A</v>
      </c>
      <c r="BR52" t="e">
        <f t="shared" si="103"/>
        <v>#N/A</v>
      </c>
      <c r="BS52" t="e">
        <f t="shared" si="103"/>
        <v>#N/A</v>
      </c>
      <c r="BT52" t="e">
        <f t="shared" si="103"/>
        <v>#N/A</v>
      </c>
      <c r="BU52" t="e">
        <f t="shared" si="103"/>
        <v>#N/A</v>
      </c>
      <c r="BV52" t="e">
        <f t="shared" ref="BV52:EG52" si="104">IF(ISBLANK(BV6),NA(),ROUNDDOWN(BV6*0.75,2))</f>
        <v>#N/A</v>
      </c>
      <c r="BW52" t="e">
        <f t="shared" si="104"/>
        <v>#N/A</v>
      </c>
      <c r="BX52" t="e">
        <f t="shared" si="104"/>
        <v>#N/A</v>
      </c>
      <c r="BY52" t="e">
        <f t="shared" si="104"/>
        <v>#N/A</v>
      </c>
      <c r="BZ52" t="e">
        <f t="shared" si="104"/>
        <v>#N/A</v>
      </c>
      <c r="CA52" t="e">
        <f t="shared" si="104"/>
        <v>#N/A</v>
      </c>
      <c r="CB52" t="e">
        <f t="shared" si="104"/>
        <v>#N/A</v>
      </c>
      <c r="CC52" t="e">
        <f t="shared" si="104"/>
        <v>#N/A</v>
      </c>
      <c r="CD52" t="e">
        <f t="shared" si="104"/>
        <v>#N/A</v>
      </c>
      <c r="CE52" t="e">
        <f t="shared" si="104"/>
        <v>#N/A</v>
      </c>
      <c r="CF52" t="e">
        <f t="shared" si="104"/>
        <v>#N/A</v>
      </c>
      <c r="CG52" t="e">
        <f t="shared" si="104"/>
        <v>#N/A</v>
      </c>
      <c r="CH52" t="e">
        <f t="shared" si="104"/>
        <v>#N/A</v>
      </c>
      <c r="CI52" t="e">
        <f t="shared" si="104"/>
        <v>#N/A</v>
      </c>
      <c r="CJ52" t="e">
        <f t="shared" si="104"/>
        <v>#N/A</v>
      </c>
      <c r="CK52" t="e">
        <f t="shared" si="104"/>
        <v>#N/A</v>
      </c>
      <c r="CL52" t="e">
        <f t="shared" si="104"/>
        <v>#N/A</v>
      </c>
      <c r="CM52" t="e">
        <f t="shared" si="104"/>
        <v>#N/A</v>
      </c>
      <c r="CN52" t="e">
        <f t="shared" si="104"/>
        <v>#N/A</v>
      </c>
      <c r="CO52" t="e">
        <f t="shared" si="104"/>
        <v>#N/A</v>
      </c>
      <c r="CP52" t="e">
        <f t="shared" si="104"/>
        <v>#N/A</v>
      </c>
      <c r="CQ52" t="e">
        <f t="shared" si="104"/>
        <v>#N/A</v>
      </c>
      <c r="CR52" t="e">
        <f t="shared" si="104"/>
        <v>#N/A</v>
      </c>
      <c r="CS52" t="e">
        <f t="shared" si="104"/>
        <v>#N/A</v>
      </c>
      <c r="CT52" t="e">
        <f t="shared" si="104"/>
        <v>#N/A</v>
      </c>
      <c r="CU52" t="e">
        <f t="shared" si="104"/>
        <v>#N/A</v>
      </c>
      <c r="CV52" t="e">
        <f t="shared" si="104"/>
        <v>#N/A</v>
      </c>
      <c r="CW52" t="e">
        <f t="shared" si="104"/>
        <v>#N/A</v>
      </c>
      <c r="CX52" t="e">
        <f t="shared" si="104"/>
        <v>#N/A</v>
      </c>
      <c r="CY52" t="e">
        <f t="shared" si="104"/>
        <v>#N/A</v>
      </c>
      <c r="CZ52" t="e">
        <f t="shared" si="104"/>
        <v>#N/A</v>
      </c>
      <c r="DA52" t="e">
        <f t="shared" si="104"/>
        <v>#N/A</v>
      </c>
      <c r="DB52" t="e">
        <f t="shared" si="104"/>
        <v>#N/A</v>
      </c>
      <c r="DC52" t="e">
        <f t="shared" si="104"/>
        <v>#N/A</v>
      </c>
      <c r="DD52" t="e">
        <f t="shared" si="104"/>
        <v>#N/A</v>
      </c>
      <c r="DE52" t="e">
        <f t="shared" si="104"/>
        <v>#N/A</v>
      </c>
      <c r="DF52" t="e">
        <f t="shared" si="104"/>
        <v>#N/A</v>
      </c>
      <c r="DG52" t="e">
        <f t="shared" si="104"/>
        <v>#N/A</v>
      </c>
      <c r="DH52" t="e">
        <f t="shared" si="104"/>
        <v>#N/A</v>
      </c>
      <c r="DI52" t="e">
        <f t="shared" si="104"/>
        <v>#N/A</v>
      </c>
      <c r="DJ52" t="e">
        <f t="shared" si="104"/>
        <v>#N/A</v>
      </c>
      <c r="DK52" t="e">
        <f t="shared" si="104"/>
        <v>#N/A</v>
      </c>
      <c r="DL52" t="e">
        <f t="shared" si="104"/>
        <v>#N/A</v>
      </c>
      <c r="DM52" t="e">
        <f t="shared" si="104"/>
        <v>#N/A</v>
      </c>
      <c r="DN52" t="e">
        <f t="shared" si="104"/>
        <v>#N/A</v>
      </c>
      <c r="DO52" t="e">
        <f t="shared" si="104"/>
        <v>#N/A</v>
      </c>
      <c r="DP52" t="e">
        <f t="shared" si="104"/>
        <v>#N/A</v>
      </c>
      <c r="DQ52" t="e">
        <f t="shared" si="104"/>
        <v>#N/A</v>
      </c>
      <c r="DR52" t="e">
        <f t="shared" si="104"/>
        <v>#N/A</v>
      </c>
      <c r="DS52" t="e">
        <f t="shared" si="104"/>
        <v>#N/A</v>
      </c>
      <c r="DT52" t="e">
        <f t="shared" si="104"/>
        <v>#N/A</v>
      </c>
      <c r="DU52" t="e">
        <f t="shared" si="104"/>
        <v>#N/A</v>
      </c>
      <c r="DV52" t="e">
        <f t="shared" si="104"/>
        <v>#N/A</v>
      </c>
      <c r="DW52" t="e">
        <f t="shared" si="104"/>
        <v>#N/A</v>
      </c>
      <c r="DX52" t="e">
        <f t="shared" si="104"/>
        <v>#N/A</v>
      </c>
      <c r="DY52" t="e">
        <f t="shared" si="104"/>
        <v>#N/A</v>
      </c>
      <c r="DZ52" t="e">
        <f t="shared" si="104"/>
        <v>#N/A</v>
      </c>
      <c r="EA52" t="e">
        <f t="shared" si="104"/>
        <v>#N/A</v>
      </c>
      <c r="EB52" t="e">
        <f t="shared" si="104"/>
        <v>#N/A</v>
      </c>
      <c r="EC52" t="e">
        <f t="shared" si="104"/>
        <v>#N/A</v>
      </c>
      <c r="ED52" t="e">
        <f t="shared" si="104"/>
        <v>#N/A</v>
      </c>
      <c r="EE52" t="e">
        <f t="shared" si="104"/>
        <v>#N/A</v>
      </c>
      <c r="EF52" t="e">
        <f t="shared" si="104"/>
        <v>#N/A</v>
      </c>
      <c r="EG52" t="e">
        <f t="shared" si="104"/>
        <v>#N/A</v>
      </c>
      <c r="EH52" t="e">
        <f t="shared" ref="EH52:GA52" si="105">IF(ISBLANK(EH6),NA(),ROUNDDOWN(EH6*0.75,2))</f>
        <v>#N/A</v>
      </c>
      <c r="EI52" t="e">
        <f t="shared" si="105"/>
        <v>#N/A</v>
      </c>
      <c r="EJ52" t="e">
        <f t="shared" si="105"/>
        <v>#N/A</v>
      </c>
      <c r="EK52" t="e">
        <f t="shared" si="105"/>
        <v>#N/A</v>
      </c>
      <c r="EL52" t="e">
        <f t="shared" si="105"/>
        <v>#N/A</v>
      </c>
      <c r="EM52" t="e">
        <f t="shared" si="105"/>
        <v>#N/A</v>
      </c>
      <c r="EN52" t="e">
        <f t="shared" si="105"/>
        <v>#N/A</v>
      </c>
      <c r="EO52" t="e">
        <f t="shared" si="105"/>
        <v>#N/A</v>
      </c>
      <c r="EP52" t="e">
        <f t="shared" si="105"/>
        <v>#N/A</v>
      </c>
      <c r="EQ52" t="e">
        <f t="shared" si="105"/>
        <v>#N/A</v>
      </c>
      <c r="ER52" t="e">
        <f t="shared" si="105"/>
        <v>#N/A</v>
      </c>
      <c r="ES52" t="e">
        <f t="shared" si="105"/>
        <v>#N/A</v>
      </c>
      <c r="ET52" t="e">
        <f t="shared" si="105"/>
        <v>#N/A</v>
      </c>
      <c r="EU52" t="e">
        <f t="shared" si="105"/>
        <v>#N/A</v>
      </c>
      <c r="EV52" t="e">
        <f t="shared" si="105"/>
        <v>#N/A</v>
      </c>
      <c r="EW52" t="e">
        <f t="shared" si="105"/>
        <v>#N/A</v>
      </c>
      <c r="EX52" t="e">
        <f t="shared" si="105"/>
        <v>#N/A</v>
      </c>
      <c r="EY52" t="e">
        <f t="shared" si="105"/>
        <v>#N/A</v>
      </c>
      <c r="EZ52" t="e">
        <f t="shared" si="105"/>
        <v>#N/A</v>
      </c>
      <c r="FA52" t="e">
        <f t="shared" si="105"/>
        <v>#N/A</v>
      </c>
      <c r="FB52" t="e">
        <f t="shared" si="105"/>
        <v>#N/A</v>
      </c>
      <c r="FC52" t="e">
        <f t="shared" si="105"/>
        <v>#N/A</v>
      </c>
      <c r="FD52" t="e">
        <f t="shared" si="105"/>
        <v>#N/A</v>
      </c>
      <c r="FE52" t="e">
        <f t="shared" si="105"/>
        <v>#N/A</v>
      </c>
      <c r="FF52" t="e">
        <f t="shared" si="105"/>
        <v>#N/A</v>
      </c>
      <c r="FG52" t="e">
        <f t="shared" si="105"/>
        <v>#N/A</v>
      </c>
      <c r="FH52" t="e">
        <f t="shared" si="105"/>
        <v>#N/A</v>
      </c>
      <c r="FI52" t="e">
        <f t="shared" si="105"/>
        <v>#N/A</v>
      </c>
      <c r="FJ52" t="e">
        <f t="shared" si="105"/>
        <v>#N/A</v>
      </c>
      <c r="FK52" t="e">
        <f t="shared" si="105"/>
        <v>#N/A</v>
      </c>
      <c r="FL52" t="e">
        <f t="shared" si="105"/>
        <v>#N/A</v>
      </c>
      <c r="FM52" t="e">
        <f t="shared" si="105"/>
        <v>#N/A</v>
      </c>
      <c r="FN52" t="e">
        <f t="shared" si="105"/>
        <v>#N/A</v>
      </c>
      <c r="FO52" t="e">
        <f t="shared" si="105"/>
        <v>#N/A</v>
      </c>
      <c r="FP52" t="e">
        <f t="shared" si="105"/>
        <v>#N/A</v>
      </c>
      <c r="FQ52" t="e">
        <f t="shared" si="105"/>
        <v>#N/A</v>
      </c>
      <c r="FR52" t="e">
        <f t="shared" si="105"/>
        <v>#N/A</v>
      </c>
      <c r="FS52" t="e">
        <f t="shared" si="105"/>
        <v>#N/A</v>
      </c>
      <c r="FT52" t="e">
        <f t="shared" si="105"/>
        <v>#N/A</v>
      </c>
      <c r="FU52" t="e">
        <f t="shared" si="105"/>
        <v>#N/A</v>
      </c>
      <c r="FV52" t="e">
        <f t="shared" si="105"/>
        <v>#N/A</v>
      </c>
      <c r="FW52" t="e">
        <f t="shared" si="105"/>
        <v>#N/A</v>
      </c>
      <c r="FX52" t="e">
        <f t="shared" si="105"/>
        <v>#N/A</v>
      </c>
      <c r="FY52" t="e">
        <f t="shared" si="105"/>
        <v>#N/A</v>
      </c>
      <c r="FZ52" t="e">
        <f t="shared" si="105"/>
        <v>#N/A</v>
      </c>
      <c r="GA52" t="e">
        <f t="shared" si="105"/>
        <v>#N/A</v>
      </c>
    </row>
    <row r="53" spans="1:183" x14ac:dyDescent="0.45">
      <c r="A53">
        <f t="shared" si="94"/>
        <v>10</v>
      </c>
      <c r="B53" t="s">
        <v>25</v>
      </c>
      <c r="C53" cm="1">
        <f t="array" ref="C53">LOOKUP(2,1/(I53:GA53&lt;&gt;""),I53:GA53)</f>
        <v>6.83</v>
      </c>
      <c r="D53">
        <f t="shared" si="89"/>
        <v>45</v>
      </c>
      <c r="F53" s="4">
        <f t="shared" si="95"/>
        <v>1.5580524344569289</v>
      </c>
      <c r="G53" s="3" cm="1">
        <f t="array" ref="G53">(C53-IF(ISNA(INDEX(I53:GA53,D53-22)),INDEX(I53:GA53,D53-23),INDEX(I53:GA53,D53-22)))/IF(ISNA(INDEX(I53:GA53,D53-22)),INDEX(I53:GA53,D53-23),INDEX(I53:GA53,D53-22))</f>
        <v>-5.9228650137741007E-2</v>
      </c>
      <c r="I53">
        <f t="shared" si="96"/>
        <v>2.67</v>
      </c>
      <c r="J53">
        <f t="shared" ref="J53:BU53" si="106">IF(ISBLANK(J7),NA(),ROUNDDOWN(J7*0.75,2))</f>
        <v>2.67</v>
      </c>
      <c r="K53" t="e">
        <f t="shared" si="106"/>
        <v>#N/A</v>
      </c>
      <c r="L53">
        <f t="shared" si="106"/>
        <v>2.88</v>
      </c>
      <c r="M53" t="e">
        <f t="shared" si="106"/>
        <v>#N/A</v>
      </c>
      <c r="N53">
        <f t="shared" si="106"/>
        <v>3.21</v>
      </c>
      <c r="O53">
        <f t="shared" si="106"/>
        <v>3.3</v>
      </c>
      <c r="P53">
        <f t="shared" si="106"/>
        <v>4.25</v>
      </c>
      <c r="Q53">
        <f t="shared" si="106"/>
        <v>4.4000000000000004</v>
      </c>
      <c r="R53">
        <f t="shared" si="106"/>
        <v>4.72</v>
      </c>
      <c r="S53">
        <f t="shared" si="106"/>
        <v>4.67</v>
      </c>
      <c r="T53">
        <f t="shared" si="106"/>
        <v>5.56</v>
      </c>
      <c r="U53">
        <f t="shared" si="106"/>
        <v>5.89</v>
      </c>
      <c r="V53">
        <f t="shared" si="106"/>
        <v>6.15</v>
      </c>
      <c r="W53">
        <f t="shared" si="106"/>
        <v>6.03</v>
      </c>
      <c r="X53">
        <f t="shared" si="106"/>
        <v>5.97</v>
      </c>
      <c r="Y53">
        <f t="shared" si="106"/>
        <v>5.43</v>
      </c>
      <c r="Z53">
        <f t="shared" si="106"/>
        <v>5.19</v>
      </c>
      <c r="AA53">
        <f t="shared" si="106"/>
        <v>5.97</v>
      </c>
      <c r="AB53">
        <f t="shared" si="106"/>
        <v>6.66</v>
      </c>
      <c r="AC53">
        <f t="shared" si="106"/>
        <v>7.26</v>
      </c>
      <c r="AD53">
        <f t="shared" si="106"/>
        <v>8.59</v>
      </c>
      <c r="AE53">
        <f t="shared" si="106"/>
        <v>7.26</v>
      </c>
      <c r="AF53">
        <f t="shared" si="106"/>
        <v>6.99</v>
      </c>
      <c r="AG53">
        <f t="shared" si="106"/>
        <v>6.96</v>
      </c>
      <c r="AH53">
        <f t="shared" si="106"/>
        <v>7</v>
      </c>
      <c r="AI53">
        <f t="shared" si="106"/>
        <v>6.94</v>
      </c>
      <c r="AJ53">
        <f t="shared" si="106"/>
        <v>6.86</v>
      </c>
      <c r="AK53">
        <f t="shared" si="106"/>
        <v>7.41</v>
      </c>
      <c r="AL53">
        <f t="shared" si="106"/>
        <v>7.88</v>
      </c>
      <c r="AM53">
        <f t="shared" si="106"/>
        <v>7.21</v>
      </c>
      <c r="AN53" t="e">
        <f t="shared" si="106"/>
        <v>#N/A</v>
      </c>
      <c r="AO53">
        <f t="shared" si="106"/>
        <v>6.95</v>
      </c>
      <c r="AP53">
        <f t="shared" si="106"/>
        <v>7.32</v>
      </c>
      <c r="AQ53">
        <f t="shared" si="106"/>
        <v>7.04</v>
      </c>
      <c r="AR53">
        <f t="shared" si="106"/>
        <v>6.75</v>
      </c>
      <c r="AS53">
        <f t="shared" si="106"/>
        <v>6.83</v>
      </c>
      <c r="AT53" t="e">
        <f t="shared" si="106"/>
        <v>#N/A</v>
      </c>
      <c r="AU53" t="e">
        <f t="shared" si="106"/>
        <v>#N/A</v>
      </c>
      <c r="AV53" t="e">
        <f t="shared" si="106"/>
        <v>#N/A</v>
      </c>
      <c r="AW53" t="e">
        <f t="shared" si="106"/>
        <v>#N/A</v>
      </c>
      <c r="AX53" t="e">
        <f t="shared" si="106"/>
        <v>#N/A</v>
      </c>
      <c r="AY53" t="e">
        <f t="shared" si="106"/>
        <v>#N/A</v>
      </c>
      <c r="AZ53" t="e">
        <f t="shared" si="106"/>
        <v>#N/A</v>
      </c>
      <c r="BA53" t="e">
        <f t="shared" si="106"/>
        <v>#N/A</v>
      </c>
      <c r="BB53" t="e">
        <f t="shared" si="106"/>
        <v>#N/A</v>
      </c>
      <c r="BC53" t="e">
        <f t="shared" si="106"/>
        <v>#N/A</v>
      </c>
      <c r="BD53" t="e">
        <f t="shared" si="106"/>
        <v>#N/A</v>
      </c>
      <c r="BE53" t="e">
        <f t="shared" si="106"/>
        <v>#N/A</v>
      </c>
      <c r="BF53" t="e">
        <f t="shared" si="106"/>
        <v>#N/A</v>
      </c>
      <c r="BG53" t="e">
        <f t="shared" si="106"/>
        <v>#N/A</v>
      </c>
      <c r="BH53" t="e">
        <f t="shared" si="106"/>
        <v>#N/A</v>
      </c>
      <c r="BI53" t="e">
        <f t="shared" si="106"/>
        <v>#N/A</v>
      </c>
      <c r="BJ53" t="e">
        <f t="shared" si="106"/>
        <v>#N/A</v>
      </c>
      <c r="BK53" t="e">
        <f t="shared" si="106"/>
        <v>#N/A</v>
      </c>
      <c r="BL53" t="e">
        <f t="shared" si="106"/>
        <v>#N/A</v>
      </c>
      <c r="BM53" t="e">
        <f t="shared" si="106"/>
        <v>#N/A</v>
      </c>
      <c r="BN53" t="e">
        <f t="shared" si="106"/>
        <v>#N/A</v>
      </c>
      <c r="BO53" t="e">
        <f t="shared" si="106"/>
        <v>#N/A</v>
      </c>
      <c r="BP53" t="e">
        <f t="shared" si="106"/>
        <v>#N/A</v>
      </c>
      <c r="BQ53" t="e">
        <f t="shared" si="106"/>
        <v>#N/A</v>
      </c>
      <c r="BR53" t="e">
        <f t="shared" si="106"/>
        <v>#N/A</v>
      </c>
      <c r="BS53" t="e">
        <f t="shared" si="106"/>
        <v>#N/A</v>
      </c>
      <c r="BT53" t="e">
        <f t="shared" si="106"/>
        <v>#N/A</v>
      </c>
      <c r="BU53" t="e">
        <f t="shared" si="106"/>
        <v>#N/A</v>
      </c>
      <c r="BV53" t="e">
        <f t="shared" ref="BV53:EG53" si="107">IF(ISBLANK(BV7),NA(),ROUNDDOWN(BV7*0.75,2))</f>
        <v>#N/A</v>
      </c>
      <c r="BW53" t="e">
        <f t="shared" si="107"/>
        <v>#N/A</v>
      </c>
      <c r="BX53" t="e">
        <f t="shared" si="107"/>
        <v>#N/A</v>
      </c>
      <c r="BY53" t="e">
        <f t="shared" si="107"/>
        <v>#N/A</v>
      </c>
      <c r="BZ53" t="e">
        <f t="shared" si="107"/>
        <v>#N/A</v>
      </c>
      <c r="CA53" t="e">
        <f t="shared" si="107"/>
        <v>#N/A</v>
      </c>
      <c r="CB53" t="e">
        <f t="shared" si="107"/>
        <v>#N/A</v>
      </c>
      <c r="CC53" t="e">
        <f t="shared" si="107"/>
        <v>#N/A</v>
      </c>
      <c r="CD53" t="e">
        <f t="shared" si="107"/>
        <v>#N/A</v>
      </c>
      <c r="CE53" t="e">
        <f t="shared" si="107"/>
        <v>#N/A</v>
      </c>
      <c r="CF53" t="e">
        <f t="shared" si="107"/>
        <v>#N/A</v>
      </c>
      <c r="CG53" t="e">
        <f t="shared" si="107"/>
        <v>#N/A</v>
      </c>
      <c r="CH53" t="e">
        <f t="shared" si="107"/>
        <v>#N/A</v>
      </c>
      <c r="CI53" t="e">
        <f t="shared" si="107"/>
        <v>#N/A</v>
      </c>
      <c r="CJ53" t="e">
        <f t="shared" si="107"/>
        <v>#N/A</v>
      </c>
      <c r="CK53" t="e">
        <f t="shared" si="107"/>
        <v>#N/A</v>
      </c>
      <c r="CL53" t="e">
        <f t="shared" si="107"/>
        <v>#N/A</v>
      </c>
      <c r="CM53" t="e">
        <f t="shared" si="107"/>
        <v>#N/A</v>
      </c>
      <c r="CN53" t="e">
        <f t="shared" si="107"/>
        <v>#N/A</v>
      </c>
      <c r="CO53" t="e">
        <f t="shared" si="107"/>
        <v>#N/A</v>
      </c>
      <c r="CP53" t="e">
        <f t="shared" si="107"/>
        <v>#N/A</v>
      </c>
      <c r="CQ53" t="e">
        <f t="shared" si="107"/>
        <v>#N/A</v>
      </c>
      <c r="CR53" t="e">
        <f t="shared" si="107"/>
        <v>#N/A</v>
      </c>
      <c r="CS53" t="e">
        <f t="shared" si="107"/>
        <v>#N/A</v>
      </c>
      <c r="CT53" t="e">
        <f t="shared" si="107"/>
        <v>#N/A</v>
      </c>
      <c r="CU53" t="e">
        <f t="shared" si="107"/>
        <v>#N/A</v>
      </c>
      <c r="CV53" t="e">
        <f t="shared" si="107"/>
        <v>#N/A</v>
      </c>
      <c r="CW53" t="e">
        <f t="shared" si="107"/>
        <v>#N/A</v>
      </c>
      <c r="CX53" t="e">
        <f t="shared" si="107"/>
        <v>#N/A</v>
      </c>
      <c r="CY53" t="e">
        <f t="shared" si="107"/>
        <v>#N/A</v>
      </c>
      <c r="CZ53" t="e">
        <f t="shared" si="107"/>
        <v>#N/A</v>
      </c>
      <c r="DA53" t="e">
        <f t="shared" si="107"/>
        <v>#N/A</v>
      </c>
      <c r="DB53" t="e">
        <f t="shared" si="107"/>
        <v>#N/A</v>
      </c>
      <c r="DC53" t="e">
        <f t="shared" si="107"/>
        <v>#N/A</v>
      </c>
      <c r="DD53" t="e">
        <f t="shared" si="107"/>
        <v>#N/A</v>
      </c>
      <c r="DE53" t="e">
        <f t="shared" si="107"/>
        <v>#N/A</v>
      </c>
      <c r="DF53" t="e">
        <f t="shared" si="107"/>
        <v>#N/A</v>
      </c>
      <c r="DG53" t="e">
        <f t="shared" si="107"/>
        <v>#N/A</v>
      </c>
      <c r="DH53" t="e">
        <f t="shared" si="107"/>
        <v>#N/A</v>
      </c>
      <c r="DI53" t="e">
        <f t="shared" si="107"/>
        <v>#N/A</v>
      </c>
      <c r="DJ53" t="e">
        <f t="shared" si="107"/>
        <v>#N/A</v>
      </c>
      <c r="DK53" t="e">
        <f t="shared" si="107"/>
        <v>#N/A</v>
      </c>
      <c r="DL53" t="e">
        <f t="shared" si="107"/>
        <v>#N/A</v>
      </c>
      <c r="DM53" t="e">
        <f t="shared" si="107"/>
        <v>#N/A</v>
      </c>
      <c r="DN53" t="e">
        <f t="shared" si="107"/>
        <v>#N/A</v>
      </c>
      <c r="DO53" t="e">
        <f t="shared" si="107"/>
        <v>#N/A</v>
      </c>
      <c r="DP53" t="e">
        <f t="shared" si="107"/>
        <v>#N/A</v>
      </c>
      <c r="DQ53" t="e">
        <f t="shared" si="107"/>
        <v>#N/A</v>
      </c>
      <c r="DR53" t="e">
        <f t="shared" si="107"/>
        <v>#N/A</v>
      </c>
      <c r="DS53" t="e">
        <f t="shared" si="107"/>
        <v>#N/A</v>
      </c>
      <c r="DT53" t="e">
        <f t="shared" si="107"/>
        <v>#N/A</v>
      </c>
      <c r="DU53" t="e">
        <f t="shared" si="107"/>
        <v>#N/A</v>
      </c>
      <c r="DV53" t="e">
        <f t="shared" si="107"/>
        <v>#N/A</v>
      </c>
      <c r="DW53" t="e">
        <f t="shared" si="107"/>
        <v>#N/A</v>
      </c>
      <c r="DX53" t="e">
        <f t="shared" si="107"/>
        <v>#N/A</v>
      </c>
      <c r="DY53" t="e">
        <f t="shared" si="107"/>
        <v>#N/A</v>
      </c>
      <c r="DZ53" t="e">
        <f t="shared" si="107"/>
        <v>#N/A</v>
      </c>
      <c r="EA53" t="e">
        <f t="shared" si="107"/>
        <v>#N/A</v>
      </c>
      <c r="EB53" t="e">
        <f t="shared" si="107"/>
        <v>#N/A</v>
      </c>
      <c r="EC53" t="e">
        <f t="shared" si="107"/>
        <v>#N/A</v>
      </c>
      <c r="ED53" t="e">
        <f t="shared" si="107"/>
        <v>#N/A</v>
      </c>
      <c r="EE53" t="e">
        <f t="shared" si="107"/>
        <v>#N/A</v>
      </c>
      <c r="EF53" t="e">
        <f t="shared" si="107"/>
        <v>#N/A</v>
      </c>
      <c r="EG53" t="e">
        <f t="shared" si="107"/>
        <v>#N/A</v>
      </c>
      <c r="EH53" t="e">
        <f t="shared" ref="EH53:GA53" si="108">IF(ISBLANK(EH7),NA(),ROUNDDOWN(EH7*0.75,2))</f>
        <v>#N/A</v>
      </c>
      <c r="EI53" t="e">
        <f t="shared" si="108"/>
        <v>#N/A</v>
      </c>
      <c r="EJ53" t="e">
        <f t="shared" si="108"/>
        <v>#N/A</v>
      </c>
      <c r="EK53" t="e">
        <f t="shared" si="108"/>
        <v>#N/A</v>
      </c>
      <c r="EL53" t="e">
        <f t="shared" si="108"/>
        <v>#N/A</v>
      </c>
      <c r="EM53" t="e">
        <f t="shared" si="108"/>
        <v>#N/A</v>
      </c>
      <c r="EN53" t="e">
        <f t="shared" si="108"/>
        <v>#N/A</v>
      </c>
      <c r="EO53" t="e">
        <f t="shared" si="108"/>
        <v>#N/A</v>
      </c>
      <c r="EP53" t="e">
        <f t="shared" si="108"/>
        <v>#N/A</v>
      </c>
      <c r="EQ53" t="e">
        <f t="shared" si="108"/>
        <v>#N/A</v>
      </c>
      <c r="ER53" t="e">
        <f t="shared" si="108"/>
        <v>#N/A</v>
      </c>
      <c r="ES53" t="e">
        <f t="shared" si="108"/>
        <v>#N/A</v>
      </c>
      <c r="ET53" t="e">
        <f t="shared" si="108"/>
        <v>#N/A</v>
      </c>
      <c r="EU53" t="e">
        <f t="shared" si="108"/>
        <v>#N/A</v>
      </c>
      <c r="EV53" t="e">
        <f t="shared" si="108"/>
        <v>#N/A</v>
      </c>
      <c r="EW53" t="e">
        <f t="shared" si="108"/>
        <v>#N/A</v>
      </c>
      <c r="EX53" t="e">
        <f t="shared" si="108"/>
        <v>#N/A</v>
      </c>
      <c r="EY53" t="e">
        <f t="shared" si="108"/>
        <v>#N/A</v>
      </c>
      <c r="EZ53" t="e">
        <f t="shared" si="108"/>
        <v>#N/A</v>
      </c>
      <c r="FA53" t="e">
        <f t="shared" si="108"/>
        <v>#N/A</v>
      </c>
      <c r="FB53" t="e">
        <f t="shared" si="108"/>
        <v>#N/A</v>
      </c>
      <c r="FC53" t="e">
        <f t="shared" si="108"/>
        <v>#N/A</v>
      </c>
      <c r="FD53" t="e">
        <f t="shared" si="108"/>
        <v>#N/A</v>
      </c>
      <c r="FE53" t="e">
        <f t="shared" si="108"/>
        <v>#N/A</v>
      </c>
      <c r="FF53" t="e">
        <f t="shared" si="108"/>
        <v>#N/A</v>
      </c>
      <c r="FG53" t="e">
        <f t="shared" si="108"/>
        <v>#N/A</v>
      </c>
      <c r="FH53" t="e">
        <f t="shared" si="108"/>
        <v>#N/A</v>
      </c>
      <c r="FI53" t="e">
        <f t="shared" si="108"/>
        <v>#N/A</v>
      </c>
      <c r="FJ53" t="e">
        <f t="shared" si="108"/>
        <v>#N/A</v>
      </c>
      <c r="FK53" t="e">
        <f t="shared" si="108"/>
        <v>#N/A</v>
      </c>
      <c r="FL53" t="e">
        <f t="shared" si="108"/>
        <v>#N/A</v>
      </c>
      <c r="FM53" t="e">
        <f t="shared" si="108"/>
        <v>#N/A</v>
      </c>
      <c r="FN53" t="e">
        <f t="shared" si="108"/>
        <v>#N/A</v>
      </c>
      <c r="FO53" t="e">
        <f t="shared" si="108"/>
        <v>#N/A</v>
      </c>
      <c r="FP53" t="e">
        <f t="shared" si="108"/>
        <v>#N/A</v>
      </c>
      <c r="FQ53" t="e">
        <f t="shared" si="108"/>
        <v>#N/A</v>
      </c>
      <c r="FR53" t="e">
        <f t="shared" si="108"/>
        <v>#N/A</v>
      </c>
      <c r="FS53" t="e">
        <f t="shared" si="108"/>
        <v>#N/A</v>
      </c>
      <c r="FT53" t="e">
        <f t="shared" si="108"/>
        <v>#N/A</v>
      </c>
      <c r="FU53" t="e">
        <f t="shared" si="108"/>
        <v>#N/A</v>
      </c>
      <c r="FV53" t="e">
        <f t="shared" si="108"/>
        <v>#N/A</v>
      </c>
      <c r="FW53" t="e">
        <f t="shared" si="108"/>
        <v>#N/A</v>
      </c>
      <c r="FX53" t="e">
        <f t="shared" si="108"/>
        <v>#N/A</v>
      </c>
      <c r="FY53" t="e">
        <f t="shared" si="108"/>
        <v>#N/A</v>
      </c>
      <c r="FZ53" t="e">
        <f t="shared" si="108"/>
        <v>#N/A</v>
      </c>
      <c r="GA53" t="e">
        <f t="shared" si="108"/>
        <v>#N/A</v>
      </c>
    </row>
    <row r="54" spans="1:183" x14ac:dyDescent="0.45">
      <c r="A54">
        <f t="shared" si="94"/>
        <v>10</v>
      </c>
      <c r="B54" t="s">
        <v>26</v>
      </c>
      <c r="C54" cm="1">
        <f t="array" ref="C54">LOOKUP(2,1/(I54:GA54&lt;&gt;""),I54:GA54)</f>
        <v>7.51</v>
      </c>
      <c r="D54">
        <f t="shared" si="89"/>
        <v>45</v>
      </c>
      <c r="F54" s="4">
        <f t="shared" si="95"/>
        <v>1.4225806451612903</v>
      </c>
      <c r="G54" s="3" cm="1">
        <f t="array" ref="G54">(C54-IF(ISNA(INDEX(I54:GA54,D54-22)),INDEX(I54:GA54,D54-23),INDEX(I54:GA54,D54-22)))/IF(ISNA(INDEX(I54:GA54,D54-22)),INDEX(I54:GA54,D54-23),INDEX(I54:GA54,D54-22))</f>
        <v>-3.7179487179487186E-2</v>
      </c>
      <c r="I54">
        <f t="shared" si="96"/>
        <v>3.1</v>
      </c>
      <c r="J54">
        <f t="shared" ref="J54:BU54" si="109">IF(ISBLANK(J8),NA(),ROUNDDOWN(J8*0.75,2))</f>
        <v>2.92</v>
      </c>
      <c r="K54" t="e">
        <f t="shared" si="109"/>
        <v>#N/A</v>
      </c>
      <c r="L54">
        <f t="shared" si="109"/>
        <v>2.92</v>
      </c>
      <c r="M54" t="e">
        <f t="shared" si="109"/>
        <v>#N/A</v>
      </c>
      <c r="N54">
        <f t="shared" si="109"/>
        <v>3.54</v>
      </c>
      <c r="O54">
        <f t="shared" si="109"/>
        <v>3.82</v>
      </c>
      <c r="P54">
        <f t="shared" si="109"/>
        <v>4.42</v>
      </c>
      <c r="Q54">
        <f t="shared" si="109"/>
        <v>4.92</v>
      </c>
      <c r="R54">
        <f t="shared" si="109"/>
        <v>5.34</v>
      </c>
      <c r="S54">
        <f t="shared" si="109"/>
        <v>5.39</v>
      </c>
      <c r="T54">
        <f t="shared" si="109"/>
        <v>5.97</v>
      </c>
      <c r="U54">
        <f t="shared" si="109"/>
        <v>6.4</v>
      </c>
      <c r="V54">
        <f t="shared" si="109"/>
        <v>6.24</v>
      </c>
      <c r="W54">
        <f t="shared" si="109"/>
        <v>6.15</v>
      </c>
      <c r="X54">
        <f t="shared" si="109"/>
        <v>5.7</v>
      </c>
      <c r="Y54">
        <f t="shared" si="109"/>
        <v>5.66</v>
      </c>
      <c r="Z54">
        <f t="shared" si="109"/>
        <v>5.88</v>
      </c>
      <c r="AA54">
        <f t="shared" si="109"/>
        <v>6.58</v>
      </c>
      <c r="AB54">
        <f t="shared" si="109"/>
        <v>6.79</v>
      </c>
      <c r="AC54">
        <f t="shared" si="109"/>
        <v>7.56</v>
      </c>
      <c r="AD54">
        <f t="shared" si="109"/>
        <v>8.1300000000000008</v>
      </c>
      <c r="AE54">
        <f t="shared" si="109"/>
        <v>7.8</v>
      </c>
      <c r="AF54">
        <f t="shared" si="109"/>
        <v>7.21</v>
      </c>
      <c r="AG54">
        <f t="shared" si="109"/>
        <v>7.63</v>
      </c>
      <c r="AH54">
        <f t="shared" si="109"/>
        <v>7.53</v>
      </c>
      <c r="AI54">
        <f t="shared" si="109"/>
        <v>7.53</v>
      </c>
      <c r="AJ54">
        <f t="shared" si="109"/>
        <v>7.36</v>
      </c>
      <c r="AK54">
        <f t="shared" si="109"/>
        <v>9.3800000000000008</v>
      </c>
      <c r="AL54">
        <f t="shared" si="109"/>
        <v>9.19</v>
      </c>
      <c r="AM54">
        <f t="shared" si="109"/>
        <v>8.75</v>
      </c>
      <c r="AN54" t="e">
        <f t="shared" si="109"/>
        <v>#N/A</v>
      </c>
      <c r="AO54">
        <f t="shared" si="109"/>
        <v>8.34</v>
      </c>
      <c r="AP54">
        <f t="shared" si="109"/>
        <v>7.77</v>
      </c>
      <c r="AQ54">
        <f t="shared" si="109"/>
        <v>7.86</v>
      </c>
      <c r="AR54">
        <f t="shared" si="109"/>
        <v>7.93</v>
      </c>
      <c r="AS54">
        <f t="shared" si="109"/>
        <v>7.51</v>
      </c>
      <c r="AT54" t="e">
        <f t="shared" si="109"/>
        <v>#N/A</v>
      </c>
      <c r="AU54" t="e">
        <f t="shared" si="109"/>
        <v>#N/A</v>
      </c>
      <c r="AV54" t="e">
        <f t="shared" si="109"/>
        <v>#N/A</v>
      </c>
      <c r="AW54" t="e">
        <f t="shared" si="109"/>
        <v>#N/A</v>
      </c>
      <c r="AX54" t="e">
        <f t="shared" si="109"/>
        <v>#N/A</v>
      </c>
      <c r="AY54" t="e">
        <f t="shared" si="109"/>
        <v>#N/A</v>
      </c>
      <c r="AZ54" t="e">
        <f t="shared" si="109"/>
        <v>#N/A</v>
      </c>
      <c r="BA54" t="e">
        <f t="shared" si="109"/>
        <v>#N/A</v>
      </c>
      <c r="BB54" t="e">
        <f t="shared" si="109"/>
        <v>#N/A</v>
      </c>
      <c r="BC54" t="e">
        <f t="shared" si="109"/>
        <v>#N/A</v>
      </c>
      <c r="BD54" t="e">
        <f t="shared" si="109"/>
        <v>#N/A</v>
      </c>
      <c r="BE54" t="e">
        <f t="shared" si="109"/>
        <v>#N/A</v>
      </c>
      <c r="BF54" t="e">
        <f t="shared" si="109"/>
        <v>#N/A</v>
      </c>
      <c r="BG54" t="e">
        <f t="shared" si="109"/>
        <v>#N/A</v>
      </c>
      <c r="BH54" t="e">
        <f t="shared" si="109"/>
        <v>#N/A</v>
      </c>
      <c r="BI54" t="e">
        <f t="shared" si="109"/>
        <v>#N/A</v>
      </c>
      <c r="BJ54" t="e">
        <f t="shared" si="109"/>
        <v>#N/A</v>
      </c>
      <c r="BK54" t="e">
        <f t="shared" si="109"/>
        <v>#N/A</v>
      </c>
      <c r="BL54" t="e">
        <f t="shared" si="109"/>
        <v>#N/A</v>
      </c>
      <c r="BM54" t="e">
        <f t="shared" si="109"/>
        <v>#N/A</v>
      </c>
      <c r="BN54" t="e">
        <f t="shared" si="109"/>
        <v>#N/A</v>
      </c>
      <c r="BO54" t="e">
        <f t="shared" si="109"/>
        <v>#N/A</v>
      </c>
      <c r="BP54" t="e">
        <f t="shared" si="109"/>
        <v>#N/A</v>
      </c>
      <c r="BQ54" t="e">
        <f t="shared" si="109"/>
        <v>#N/A</v>
      </c>
      <c r="BR54" t="e">
        <f t="shared" si="109"/>
        <v>#N/A</v>
      </c>
      <c r="BS54" t="e">
        <f t="shared" si="109"/>
        <v>#N/A</v>
      </c>
      <c r="BT54" t="e">
        <f t="shared" si="109"/>
        <v>#N/A</v>
      </c>
      <c r="BU54" t="e">
        <f t="shared" si="109"/>
        <v>#N/A</v>
      </c>
      <c r="BV54" t="e">
        <f t="shared" ref="BV54:EG54" si="110">IF(ISBLANK(BV8),NA(),ROUNDDOWN(BV8*0.75,2))</f>
        <v>#N/A</v>
      </c>
      <c r="BW54" t="e">
        <f t="shared" si="110"/>
        <v>#N/A</v>
      </c>
      <c r="BX54" t="e">
        <f t="shared" si="110"/>
        <v>#N/A</v>
      </c>
      <c r="BY54" t="e">
        <f t="shared" si="110"/>
        <v>#N/A</v>
      </c>
      <c r="BZ54" t="e">
        <f t="shared" si="110"/>
        <v>#N/A</v>
      </c>
      <c r="CA54" t="e">
        <f t="shared" si="110"/>
        <v>#N/A</v>
      </c>
      <c r="CB54" t="e">
        <f t="shared" si="110"/>
        <v>#N/A</v>
      </c>
      <c r="CC54" t="e">
        <f t="shared" si="110"/>
        <v>#N/A</v>
      </c>
      <c r="CD54" t="e">
        <f t="shared" si="110"/>
        <v>#N/A</v>
      </c>
      <c r="CE54" t="e">
        <f t="shared" si="110"/>
        <v>#N/A</v>
      </c>
      <c r="CF54" t="e">
        <f t="shared" si="110"/>
        <v>#N/A</v>
      </c>
      <c r="CG54" t="e">
        <f t="shared" si="110"/>
        <v>#N/A</v>
      </c>
      <c r="CH54" t="e">
        <f t="shared" si="110"/>
        <v>#N/A</v>
      </c>
      <c r="CI54" t="e">
        <f t="shared" si="110"/>
        <v>#N/A</v>
      </c>
      <c r="CJ54" t="e">
        <f t="shared" si="110"/>
        <v>#N/A</v>
      </c>
      <c r="CK54" t="e">
        <f t="shared" si="110"/>
        <v>#N/A</v>
      </c>
      <c r="CL54" t="e">
        <f t="shared" si="110"/>
        <v>#N/A</v>
      </c>
      <c r="CM54" t="e">
        <f t="shared" si="110"/>
        <v>#N/A</v>
      </c>
      <c r="CN54" t="e">
        <f t="shared" si="110"/>
        <v>#N/A</v>
      </c>
      <c r="CO54" t="e">
        <f t="shared" si="110"/>
        <v>#N/A</v>
      </c>
      <c r="CP54" t="e">
        <f t="shared" si="110"/>
        <v>#N/A</v>
      </c>
      <c r="CQ54" t="e">
        <f t="shared" si="110"/>
        <v>#N/A</v>
      </c>
      <c r="CR54" t="e">
        <f t="shared" si="110"/>
        <v>#N/A</v>
      </c>
      <c r="CS54" t="e">
        <f t="shared" si="110"/>
        <v>#N/A</v>
      </c>
      <c r="CT54" t="e">
        <f t="shared" si="110"/>
        <v>#N/A</v>
      </c>
      <c r="CU54" t="e">
        <f t="shared" si="110"/>
        <v>#N/A</v>
      </c>
      <c r="CV54" t="e">
        <f t="shared" si="110"/>
        <v>#N/A</v>
      </c>
      <c r="CW54" t="e">
        <f t="shared" si="110"/>
        <v>#N/A</v>
      </c>
      <c r="CX54" t="e">
        <f t="shared" si="110"/>
        <v>#N/A</v>
      </c>
      <c r="CY54" t="e">
        <f t="shared" si="110"/>
        <v>#N/A</v>
      </c>
      <c r="CZ54" t="e">
        <f t="shared" si="110"/>
        <v>#N/A</v>
      </c>
      <c r="DA54" t="e">
        <f t="shared" si="110"/>
        <v>#N/A</v>
      </c>
      <c r="DB54" t="e">
        <f t="shared" si="110"/>
        <v>#N/A</v>
      </c>
      <c r="DC54" t="e">
        <f t="shared" si="110"/>
        <v>#N/A</v>
      </c>
      <c r="DD54" t="e">
        <f t="shared" si="110"/>
        <v>#N/A</v>
      </c>
      <c r="DE54" t="e">
        <f t="shared" si="110"/>
        <v>#N/A</v>
      </c>
      <c r="DF54" t="e">
        <f t="shared" si="110"/>
        <v>#N/A</v>
      </c>
      <c r="DG54" t="e">
        <f t="shared" si="110"/>
        <v>#N/A</v>
      </c>
      <c r="DH54" t="e">
        <f t="shared" si="110"/>
        <v>#N/A</v>
      </c>
      <c r="DI54" t="e">
        <f t="shared" si="110"/>
        <v>#N/A</v>
      </c>
      <c r="DJ54" t="e">
        <f t="shared" si="110"/>
        <v>#N/A</v>
      </c>
      <c r="DK54" t="e">
        <f t="shared" si="110"/>
        <v>#N/A</v>
      </c>
      <c r="DL54" t="e">
        <f t="shared" si="110"/>
        <v>#N/A</v>
      </c>
      <c r="DM54" t="e">
        <f t="shared" si="110"/>
        <v>#N/A</v>
      </c>
      <c r="DN54" t="e">
        <f t="shared" si="110"/>
        <v>#N/A</v>
      </c>
      <c r="DO54" t="e">
        <f t="shared" si="110"/>
        <v>#N/A</v>
      </c>
      <c r="DP54" t="e">
        <f t="shared" si="110"/>
        <v>#N/A</v>
      </c>
      <c r="DQ54" t="e">
        <f t="shared" si="110"/>
        <v>#N/A</v>
      </c>
      <c r="DR54" t="e">
        <f t="shared" si="110"/>
        <v>#N/A</v>
      </c>
      <c r="DS54" t="e">
        <f t="shared" si="110"/>
        <v>#N/A</v>
      </c>
      <c r="DT54" t="e">
        <f t="shared" si="110"/>
        <v>#N/A</v>
      </c>
      <c r="DU54" t="e">
        <f t="shared" si="110"/>
        <v>#N/A</v>
      </c>
      <c r="DV54" t="e">
        <f t="shared" si="110"/>
        <v>#N/A</v>
      </c>
      <c r="DW54" t="e">
        <f t="shared" si="110"/>
        <v>#N/A</v>
      </c>
      <c r="DX54" t="e">
        <f t="shared" si="110"/>
        <v>#N/A</v>
      </c>
      <c r="DY54" t="e">
        <f t="shared" si="110"/>
        <v>#N/A</v>
      </c>
      <c r="DZ54" t="e">
        <f t="shared" si="110"/>
        <v>#N/A</v>
      </c>
      <c r="EA54" t="e">
        <f t="shared" si="110"/>
        <v>#N/A</v>
      </c>
      <c r="EB54" t="e">
        <f t="shared" si="110"/>
        <v>#N/A</v>
      </c>
      <c r="EC54" t="e">
        <f t="shared" si="110"/>
        <v>#N/A</v>
      </c>
      <c r="ED54" t="e">
        <f t="shared" si="110"/>
        <v>#N/A</v>
      </c>
      <c r="EE54" t="e">
        <f t="shared" si="110"/>
        <v>#N/A</v>
      </c>
      <c r="EF54" t="e">
        <f t="shared" si="110"/>
        <v>#N/A</v>
      </c>
      <c r="EG54" t="e">
        <f t="shared" si="110"/>
        <v>#N/A</v>
      </c>
      <c r="EH54" t="e">
        <f t="shared" ref="EH54:GA54" si="111">IF(ISBLANK(EH8),NA(),ROUNDDOWN(EH8*0.75,2))</f>
        <v>#N/A</v>
      </c>
      <c r="EI54" t="e">
        <f t="shared" si="111"/>
        <v>#N/A</v>
      </c>
      <c r="EJ54" t="e">
        <f t="shared" si="111"/>
        <v>#N/A</v>
      </c>
      <c r="EK54" t="e">
        <f t="shared" si="111"/>
        <v>#N/A</v>
      </c>
      <c r="EL54" t="e">
        <f t="shared" si="111"/>
        <v>#N/A</v>
      </c>
      <c r="EM54" t="e">
        <f t="shared" si="111"/>
        <v>#N/A</v>
      </c>
      <c r="EN54" t="e">
        <f t="shared" si="111"/>
        <v>#N/A</v>
      </c>
      <c r="EO54" t="e">
        <f t="shared" si="111"/>
        <v>#N/A</v>
      </c>
      <c r="EP54" t="e">
        <f t="shared" si="111"/>
        <v>#N/A</v>
      </c>
      <c r="EQ54" t="e">
        <f t="shared" si="111"/>
        <v>#N/A</v>
      </c>
      <c r="ER54" t="e">
        <f t="shared" si="111"/>
        <v>#N/A</v>
      </c>
      <c r="ES54" t="e">
        <f t="shared" si="111"/>
        <v>#N/A</v>
      </c>
      <c r="ET54" t="e">
        <f t="shared" si="111"/>
        <v>#N/A</v>
      </c>
      <c r="EU54" t="e">
        <f t="shared" si="111"/>
        <v>#N/A</v>
      </c>
      <c r="EV54" t="e">
        <f t="shared" si="111"/>
        <v>#N/A</v>
      </c>
      <c r="EW54" t="e">
        <f t="shared" si="111"/>
        <v>#N/A</v>
      </c>
      <c r="EX54" t="e">
        <f t="shared" si="111"/>
        <v>#N/A</v>
      </c>
      <c r="EY54" t="e">
        <f t="shared" si="111"/>
        <v>#N/A</v>
      </c>
      <c r="EZ54" t="e">
        <f t="shared" si="111"/>
        <v>#N/A</v>
      </c>
      <c r="FA54" t="e">
        <f t="shared" si="111"/>
        <v>#N/A</v>
      </c>
      <c r="FB54" t="e">
        <f t="shared" si="111"/>
        <v>#N/A</v>
      </c>
      <c r="FC54" t="e">
        <f t="shared" si="111"/>
        <v>#N/A</v>
      </c>
      <c r="FD54" t="e">
        <f t="shared" si="111"/>
        <v>#N/A</v>
      </c>
      <c r="FE54" t="e">
        <f t="shared" si="111"/>
        <v>#N/A</v>
      </c>
      <c r="FF54" t="e">
        <f t="shared" si="111"/>
        <v>#N/A</v>
      </c>
      <c r="FG54" t="e">
        <f t="shared" si="111"/>
        <v>#N/A</v>
      </c>
      <c r="FH54" t="e">
        <f t="shared" si="111"/>
        <v>#N/A</v>
      </c>
      <c r="FI54" t="e">
        <f t="shared" si="111"/>
        <v>#N/A</v>
      </c>
      <c r="FJ54" t="e">
        <f t="shared" si="111"/>
        <v>#N/A</v>
      </c>
      <c r="FK54" t="e">
        <f t="shared" si="111"/>
        <v>#N/A</v>
      </c>
      <c r="FL54" t="e">
        <f t="shared" si="111"/>
        <v>#N/A</v>
      </c>
      <c r="FM54" t="e">
        <f t="shared" si="111"/>
        <v>#N/A</v>
      </c>
      <c r="FN54" t="e">
        <f t="shared" si="111"/>
        <v>#N/A</v>
      </c>
      <c r="FO54" t="e">
        <f t="shared" si="111"/>
        <v>#N/A</v>
      </c>
      <c r="FP54" t="e">
        <f t="shared" si="111"/>
        <v>#N/A</v>
      </c>
      <c r="FQ54" t="e">
        <f t="shared" si="111"/>
        <v>#N/A</v>
      </c>
      <c r="FR54" t="e">
        <f t="shared" si="111"/>
        <v>#N/A</v>
      </c>
      <c r="FS54" t="e">
        <f t="shared" si="111"/>
        <v>#N/A</v>
      </c>
      <c r="FT54" t="e">
        <f t="shared" si="111"/>
        <v>#N/A</v>
      </c>
      <c r="FU54" t="e">
        <f t="shared" si="111"/>
        <v>#N/A</v>
      </c>
      <c r="FV54" t="e">
        <f t="shared" si="111"/>
        <v>#N/A</v>
      </c>
      <c r="FW54" t="e">
        <f t="shared" si="111"/>
        <v>#N/A</v>
      </c>
      <c r="FX54" t="e">
        <f t="shared" si="111"/>
        <v>#N/A</v>
      </c>
      <c r="FY54" t="e">
        <f t="shared" si="111"/>
        <v>#N/A</v>
      </c>
      <c r="FZ54" t="e">
        <f t="shared" si="111"/>
        <v>#N/A</v>
      </c>
      <c r="GA54" t="e">
        <f t="shared" si="111"/>
        <v>#N/A</v>
      </c>
    </row>
    <row r="55" spans="1:183" x14ac:dyDescent="0.45">
      <c r="A55">
        <f t="shared" si="94"/>
        <v>6</v>
      </c>
      <c r="B55" t="s">
        <v>27</v>
      </c>
      <c r="C55" cm="1">
        <f t="array" ref="C55">LOOKUP(2,1/(I55:GA55&lt;&gt;""),I55:GA55)</f>
        <v>6.91</v>
      </c>
      <c r="D55">
        <f t="shared" si="89"/>
        <v>45</v>
      </c>
      <c r="F55" s="4">
        <f t="shared" si="95"/>
        <v>1.5977443609022555</v>
      </c>
      <c r="G55" s="3" cm="1">
        <f t="array" ref="G55">(C55-IF(ISNA(INDEX(I55:GA55,D55-22)),INDEX(I55:GA55,D55-23),INDEX(I55:GA55,D55-22)))/IF(ISNA(INDEX(I55:GA55,D55-22)),INDEX(I55:GA55,D55-23),INDEX(I55:GA55,D55-22))</f>
        <v>-3.3566433566433594E-2</v>
      </c>
      <c r="I55">
        <f t="shared" si="96"/>
        <v>2.66</v>
      </c>
      <c r="J55">
        <f t="shared" ref="J55:BU55" si="112">IF(ISBLANK(J9),NA(),ROUNDDOWN(J9*0.75,2))</f>
        <v>2.58</v>
      </c>
      <c r="K55" t="e">
        <f t="shared" si="112"/>
        <v>#N/A</v>
      </c>
      <c r="L55">
        <f t="shared" si="112"/>
        <v>2.97</v>
      </c>
      <c r="M55" t="e">
        <f t="shared" si="112"/>
        <v>#N/A</v>
      </c>
      <c r="N55">
        <f t="shared" si="112"/>
        <v>3.32</v>
      </c>
      <c r="O55">
        <f t="shared" si="112"/>
        <v>3.38</v>
      </c>
      <c r="P55">
        <f t="shared" si="112"/>
        <v>5.03</v>
      </c>
      <c r="Q55">
        <f t="shared" si="112"/>
        <v>5.41</v>
      </c>
      <c r="R55">
        <f t="shared" si="112"/>
        <v>4.55</v>
      </c>
      <c r="S55">
        <f t="shared" si="112"/>
        <v>4.93</v>
      </c>
      <c r="T55">
        <f t="shared" si="112"/>
        <v>5.61</v>
      </c>
      <c r="U55">
        <f t="shared" si="112"/>
        <v>6.09</v>
      </c>
      <c r="V55">
        <f t="shared" si="112"/>
        <v>6.38</v>
      </c>
      <c r="W55">
        <f t="shared" si="112"/>
        <v>5.9</v>
      </c>
      <c r="X55">
        <f t="shared" si="112"/>
        <v>5.67</v>
      </c>
      <c r="Y55">
        <f t="shared" si="112"/>
        <v>5.2</v>
      </c>
      <c r="Z55">
        <f t="shared" si="112"/>
        <v>5.28</v>
      </c>
      <c r="AA55">
        <f t="shared" si="112"/>
        <v>5.92</v>
      </c>
      <c r="AB55">
        <f t="shared" si="112"/>
        <v>7.26</v>
      </c>
      <c r="AC55">
        <f t="shared" si="112"/>
        <v>7.29</v>
      </c>
      <c r="AD55">
        <f t="shared" si="112"/>
        <v>8.32</v>
      </c>
      <c r="AE55">
        <f t="shared" si="112"/>
        <v>7.15</v>
      </c>
      <c r="AF55">
        <f t="shared" si="112"/>
        <v>6.96</v>
      </c>
      <c r="AG55">
        <f t="shared" si="112"/>
        <v>6.83</v>
      </c>
      <c r="AH55">
        <f t="shared" si="112"/>
        <v>7.08</v>
      </c>
      <c r="AI55">
        <f t="shared" si="112"/>
        <v>7.16</v>
      </c>
      <c r="AJ55">
        <f t="shared" si="112"/>
        <v>7.17</v>
      </c>
      <c r="AK55">
        <f t="shared" si="112"/>
        <v>7.25</v>
      </c>
      <c r="AL55">
        <f t="shared" si="112"/>
        <v>7.81</v>
      </c>
      <c r="AM55">
        <f t="shared" si="112"/>
        <v>7.14</v>
      </c>
      <c r="AN55" t="e">
        <f t="shared" si="112"/>
        <v>#N/A</v>
      </c>
      <c r="AO55">
        <f t="shared" si="112"/>
        <v>7.17</v>
      </c>
      <c r="AP55">
        <f t="shared" si="112"/>
        <v>6.84</v>
      </c>
      <c r="AQ55">
        <f t="shared" si="112"/>
        <v>6.95</v>
      </c>
      <c r="AR55">
        <f t="shared" si="112"/>
        <v>7.13</v>
      </c>
      <c r="AS55">
        <f t="shared" si="112"/>
        <v>6.91</v>
      </c>
      <c r="AT55" t="e">
        <f t="shared" si="112"/>
        <v>#N/A</v>
      </c>
      <c r="AU55" t="e">
        <f t="shared" si="112"/>
        <v>#N/A</v>
      </c>
      <c r="AV55" t="e">
        <f t="shared" si="112"/>
        <v>#N/A</v>
      </c>
      <c r="AW55" t="e">
        <f t="shared" si="112"/>
        <v>#N/A</v>
      </c>
      <c r="AX55" t="e">
        <f t="shared" si="112"/>
        <v>#N/A</v>
      </c>
      <c r="AY55" t="e">
        <f t="shared" si="112"/>
        <v>#N/A</v>
      </c>
      <c r="AZ55" t="e">
        <f t="shared" si="112"/>
        <v>#N/A</v>
      </c>
      <c r="BA55" t="e">
        <f t="shared" si="112"/>
        <v>#N/A</v>
      </c>
      <c r="BB55" t="e">
        <f t="shared" si="112"/>
        <v>#N/A</v>
      </c>
      <c r="BC55" t="e">
        <f t="shared" si="112"/>
        <v>#N/A</v>
      </c>
      <c r="BD55" t="e">
        <f t="shared" si="112"/>
        <v>#N/A</v>
      </c>
      <c r="BE55" t="e">
        <f t="shared" si="112"/>
        <v>#N/A</v>
      </c>
      <c r="BF55" t="e">
        <f t="shared" si="112"/>
        <v>#N/A</v>
      </c>
      <c r="BG55" t="e">
        <f t="shared" si="112"/>
        <v>#N/A</v>
      </c>
      <c r="BH55" t="e">
        <f t="shared" si="112"/>
        <v>#N/A</v>
      </c>
      <c r="BI55" t="e">
        <f t="shared" si="112"/>
        <v>#N/A</v>
      </c>
      <c r="BJ55" t="e">
        <f t="shared" si="112"/>
        <v>#N/A</v>
      </c>
      <c r="BK55" t="e">
        <f t="shared" si="112"/>
        <v>#N/A</v>
      </c>
      <c r="BL55" t="e">
        <f t="shared" si="112"/>
        <v>#N/A</v>
      </c>
      <c r="BM55" t="e">
        <f t="shared" si="112"/>
        <v>#N/A</v>
      </c>
      <c r="BN55" t="e">
        <f t="shared" si="112"/>
        <v>#N/A</v>
      </c>
      <c r="BO55" t="e">
        <f t="shared" si="112"/>
        <v>#N/A</v>
      </c>
      <c r="BP55" t="e">
        <f t="shared" si="112"/>
        <v>#N/A</v>
      </c>
      <c r="BQ55" t="e">
        <f t="shared" si="112"/>
        <v>#N/A</v>
      </c>
      <c r="BR55" t="e">
        <f t="shared" si="112"/>
        <v>#N/A</v>
      </c>
      <c r="BS55" t="e">
        <f t="shared" si="112"/>
        <v>#N/A</v>
      </c>
      <c r="BT55" t="e">
        <f t="shared" si="112"/>
        <v>#N/A</v>
      </c>
      <c r="BU55" t="e">
        <f t="shared" si="112"/>
        <v>#N/A</v>
      </c>
      <c r="BV55" t="e">
        <f t="shared" ref="BV55:EG55" si="113">IF(ISBLANK(BV9),NA(),ROUNDDOWN(BV9*0.75,2))</f>
        <v>#N/A</v>
      </c>
      <c r="BW55" t="e">
        <f t="shared" si="113"/>
        <v>#N/A</v>
      </c>
      <c r="BX55" t="e">
        <f t="shared" si="113"/>
        <v>#N/A</v>
      </c>
      <c r="BY55" t="e">
        <f t="shared" si="113"/>
        <v>#N/A</v>
      </c>
      <c r="BZ55" t="e">
        <f t="shared" si="113"/>
        <v>#N/A</v>
      </c>
      <c r="CA55" t="e">
        <f t="shared" si="113"/>
        <v>#N/A</v>
      </c>
      <c r="CB55" t="e">
        <f t="shared" si="113"/>
        <v>#N/A</v>
      </c>
      <c r="CC55" t="e">
        <f t="shared" si="113"/>
        <v>#N/A</v>
      </c>
      <c r="CD55" t="e">
        <f t="shared" si="113"/>
        <v>#N/A</v>
      </c>
      <c r="CE55" t="e">
        <f t="shared" si="113"/>
        <v>#N/A</v>
      </c>
      <c r="CF55" t="e">
        <f t="shared" si="113"/>
        <v>#N/A</v>
      </c>
      <c r="CG55" t="e">
        <f t="shared" si="113"/>
        <v>#N/A</v>
      </c>
      <c r="CH55" t="e">
        <f t="shared" si="113"/>
        <v>#N/A</v>
      </c>
      <c r="CI55" t="e">
        <f t="shared" si="113"/>
        <v>#N/A</v>
      </c>
      <c r="CJ55" t="e">
        <f t="shared" si="113"/>
        <v>#N/A</v>
      </c>
      <c r="CK55" t="e">
        <f t="shared" si="113"/>
        <v>#N/A</v>
      </c>
      <c r="CL55" t="e">
        <f t="shared" si="113"/>
        <v>#N/A</v>
      </c>
      <c r="CM55" t="e">
        <f t="shared" si="113"/>
        <v>#N/A</v>
      </c>
      <c r="CN55" t="e">
        <f t="shared" si="113"/>
        <v>#N/A</v>
      </c>
      <c r="CO55" t="e">
        <f t="shared" si="113"/>
        <v>#N/A</v>
      </c>
      <c r="CP55" t="e">
        <f t="shared" si="113"/>
        <v>#N/A</v>
      </c>
      <c r="CQ55" t="e">
        <f t="shared" si="113"/>
        <v>#N/A</v>
      </c>
      <c r="CR55" t="e">
        <f t="shared" si="113"/>
        <v>#N/A</v>
      </c>
      <c r="CS55" t="e">
        <f t="shared" si="113"/>
        <v>#N/A</v>
      </c>
      <c r="CT55" t="e">
        <f t="shared" si="113"/>
        <v>#N/A</v>
      </c>
      <c r="CU55" t="e">
        <f t="shared" si="113"/>
        <v>#N/A</v>
      </c>
      <c r="CV55" t="e">
        <f t="shared" si="113"/>
        <v>#N/A</v>
      </c>
      <c r="CW55" t="e">
        <f t="shared" si="113"/>
        <v>#N/A</v>
      </c>
      <c r="CX55" t="e">
        <f t="shared" si="113"/>
        <v>#N/A</v>
      </c>
      <c r="CY55" t="e">
        <f t="shared" si="113"/>
        <v>#N/A</v>
      </c>
      <c r="CZ55" t="e">
        <f t="shared" si="113"/>
        <v>#N/A</v>
      </c>
      <c r="DA55" t="e">
        <f t="shared" si="113"/>
        <v>#N/A</v>
      </c>
      <c r="DB55" t="e">
        <f t="shared" si="113"/>
        <v>#N/A</v>
      </c>
      <c r="DC55" t="e">
        <f t="shared" si="113"/>
        <v>#N/A</v>
      </c>
      <c r="DD55" t="e">
        <f t="shared" si="113"/>
        <v>#N/A</v>
      </c>
      <c r="DE55" t="e">
        <f t="shared" si="113"/>
        <v>#N/A</v>
      </c>
      <c r="DF55" t="e">
        <f t="shared" si="113"/>
        <v>#N/A</v>
      </c>
      <c r="DG55" t="e">
        <f t="shared" si="113"/>
        <v>#N/A</v>
      </c>
      <c r="DH55" t="e">
        <f t="shared" si="113"/>
        <v>#N/A</v>
      </c>
      <c r="DI55" t="e">
        <f t="shared" si="113"/>
        <v>#N/A</v>
      </c>
      <c r="DJ55" t="e">
        <f t="shared" si="113"/>
        <v>#N/A</v>
      </c>
      <c r="DK55" t="e">
        <f t="shared" si="113"/>
        <v>#N/A</v>
      </c>
      <c r="DL55" t="e">
        <f t="shared" si="113"/>
        <v>#N/A</v>
      </c>
      <c r="DM55" t="e">
        <f t="shared" si="113"/>
        <v>#N/A</v>
      </c>
      <c r="DN55" t="e">
        <f t="shared" si="113"/>
        <v>#N/A</v>
      </c>
      <c r="DO55" t="e">
        <f t="shared" si="113"/>
        <v>#N/A</v>
      </c>
      <c r="DP55" t="e">
        <f t="shared" si="113"/>
        <v>#N/A</v>
      </c>
      <c r="DQ55" t="e">
        <f t="shared" si="113"/>
        <v>#N/A</v>
      </c>
      <c r="DR55" t="e">
        <f t="shared" si="113"/>
        <v>#N/A</v>
      </c>
      <c r="DS55" t="e">
        <f t="shared" si="113"/>
        <v>#N/A</v>
      </c>
      <c r="DT55" t="e">
        <f t="shared" si="113"/>
        <v>#N/A</v>
      </c>
      <c r="DU55" t="e">
        <f t="shared" si="113"/>
        <v>#N/A</v>
      </c>
      <c r="DV55" t="e">
        <f t="shared" si="113"/>
        <v>#N/A</v>
      </c>
      <c r="DW55" t="e">
        <f t="shared" si="113"/>
        <v>#N/A</v>
      </c>
      <c r="DX55" t="e">
        <f t="shared" si="113"/>
        <v>#N/A</v>
      </c>
      <c r="DY55" t="e">
        <f t="shared" si="113"/>
        <v>#N/A</v>
      </c>
      <c r="DZ55" t="e">
        <f t="shared" si="113"/>
        <v>#N/A</v>
      </c>
      <c r="EA55" t="e">
        <f t="shared" si="113"/>
        <v>#N/A</v>
      </c>
      <c r="EB55" t="e">
        <f t="shared" si="113"/>
        <v>#N/A</v>
      </c>
      <c r="EC55" t="e">
        <f t="shared" si="113"/>
        <v>#N/A</v>
      </c>
      <c r="ED55" t="e">
        <f t="shared" si="113"/>
        <v>#N/A</v>
      </c>
      <c r="EE55" t="e">
        <f t="shared" si="113"/>
        <v>#N/A</v>
      </c>
      <c r="EF55" t="e">
        <f t="shared" si="113"/>
        <v>#N/A</v>
      </c>
      <c r="EG55" t="e">
        <f t="shared" si="113"/>
        <v>#N/A</v>
      </c>
      <c r="EH55" t="e">
        <f t="shared" ref="EH55:GA55" si="114">IF(ISBLANK(EH9),NA(),ROUNDDOWN(EH9*0.75,2))</f>
        <v>#N/A</v>
      </c>
      <c r="EI55" t="e">
        <f t="shared" si="114"/>
        <v>#N/A</v>
      </c>
      <c r="EJ55" t="e">
        <f t="shared" si="114"/>
        <v>#N/A</v>
      </c>
      <c r="EK55" t="e">
        <f t="shared" si="114"/>
        <v>#N/A</v>
      </c>
      <c r="EL55" t="e">
        <f t="shared" si="114"/>
        <v>#N/A</v>
      </c>
      <c r="EM55" t="e">
        <f t="shared" si="114"/>
        <v>#N/A</v>
      </c>
      <c r="EN55" t="e">
        <f t="shared" si="114"/>
        <v>#N/A</v>
      </c>
      <c r="EO55" t="e">
        <f t="shared" si="114"/>
        <v>#N/A</v>
      </c>
      <c r="EP55" t="e">
        <f t="shared" si="114"/>
        <v>#N/A</v>
      </c>
      <c r="EQ55" t="e">
        <f t="shared" si="114"/>
        <v>#N/A</v>
      </c>
      <c r="ER55" t="e">
        <f t="shared" si="114"/>
        <v>#N/A</v>
      </c>
      <c r="ES55" t="e">
        <f t="shared" si="114"/>
        <v>#N/A</v>
      </c>
      <c r="ET55" t="e">
        <f t="shared" si="114"/>
        <v>#N/A</v>
      </c>
      <c r="EU55" t="e">
        <f t="shared" si="114"/>
        <v>#N/A</v>
      </c>
      <c r="EV55" t="e">
        <f t="shared" si="114"/>
        <v>#N/A</v>
      </c>
      <c r="EW55" t="e">
        <f t="shared" si="114"/>
        <v>#N/A</v>
      </c>
      <c r="EX55" t="e">
        <f t="shared" si="114"/>
        <v>#N/A</v>
      </c>
      <c r="EY55" t="e">
        <f t="shared" si="114"/>
        <v>#N/A</v>
      </c>
      <c r="EZ55" t="e">
        <f t="shared" si="114"/>
        <v>#N/A</v>
      </c>
      <c r="FA55" t="e">
        <f t="shared" si="114"/>
        <v>#N/A</v>
      </c>
      <c r="FB55" t="e">
        <f t="shared" si="114"/>
        <v>#N/A</v>
      </c>
      <c r="FC55" t="e">
        <f t="shared" si="114"/>
        <v>#N/A</v>
      </c>
      <c r="FD55" t="e">
        <f t="shared" si="114"/>
        <v>#N/A</v>
      </c>
      <c r="FE55" t="e">
        <f t="shared" si="114"/>
        <v>#N/A</v>
      </c>
      <c r="FF55" t="e">
        <f t="shared" si="114"/>
        <v>#N/A</v>
      </c>
      <c r="FG55" t="e">
        <f t="shared" si="114"/>
        <v>#N/A</v>
      </c>
      <c r="FH55" t="e">
        <f t="shared" si="114"/>
        <v>#N/A</v>
      </c>
      <c r="FI55" t="e">
        <f t="shared" si="114"/>
        <v>#N/A</v>
      </c>
      <c r="FJ55" t="e">
        <f t="shared" si="114"/>
        <v>#N/A</v>
      </c>
      <c r="FK55" t="e">
        <f t="shared" si="114"/>
        <v>#N/A</v>
      </c>
      <c r="FL55" t="e">
        <f t="shared" si="114"/>
        <v>#N/A</v>
      </c>
      <c r="FM55" t="e">
        <f t="shared" si="114"/>
        <v>#N/A</v>
      </c>
      <c r="FN55" t="e">
        <f t="shared" si="114"/>
        <v>#N/A</v>
      </c>
      <c r="FO55" t="e">
        <f t="shared" si="114"/>
        <v>#N/A</v>
      </c>
      <c r="FP55" t="e">
        <f t="shared" si="114"/>
        <v>#N/A</v>
      </c>
      <c r="FQ55" t="e">
        <f t="shared" si="114"/>
        <v>#N/A</v>
      </c>
      <c r="FR55" t="e">
        <f t="shared" si="114"/>
        <v>#N/A</v>
      </c>
      <c r="FS55" t="e">
        <f t="shared" si="114"/>
        <v>#N/A</v>
      </c>
      <c r="FT55" t="e">
        <f t="shared" si="114"/>
        <v>#N/A</v>
      </c>
      <c r="FU55" t="e">
        <f t="shared" si="114"/>
        <v>#N/A</v>
      </c>
      <c r="FV55" t="e">
        <f t="shared" si="114"/>
        <v>#N/A</v>
      </c>
      <c r="FW55" t="e">
        <f t="shared" si="114"/>
        <v>#N/A</v>
      </c>
      <c r="FX55" t="e">
        <f t="shared" si="114"/>
        <v>#N/A</v>
      </c>
      <c r="FY55" t="e">
        <f t="shared" si="114"/>
        <v>#N/A</v>
      </c>
      <c r="FZ55" t="e">
        <f t="shared" si="114"/>
        <v>#N/A</v>
      </c>
      <c r="GA55" t="e">
        <f t="shared" si="114"/>
        <v>#N/A</v>
      </c>
    </row>
    <row r="57" spans="1:183" x14ac:dyDescent="0.45">
      <c r="A57" s="2" t="s">
        <v>31</v>
      </c>
    </row>
    <row r="58" spans="1:183" x14ac:dyDescent="0.45">
      <c r="I58" s="1">
        <f>I48</f>
        <v>44331</v>
      </c>
      <c r="J58" s="1">
        <f t="shared" ref="J58:BU58" si="115">J48</f>
        <v>44332</v>
      </c>
      <c r="K58" s="1">
        <f t="shared" si="115"/>
        <v>44333</v>
      </c>
      <c r="L58" s="1">
        <f t="shared" si="115"/>
        <v>44334</v>
      </c>
      <c r="M58" s="1">
        <f t="shared" si="115"/>
        <v>44335</v>
      </c>
      <c r="N58" s="1">
        <f t="shared" si="115"/>
        <v>44336</v>
      </c>
      <c r="O58" s="1">
        <f t="shared" si="115"/>
        <v>44337</v>
      </c>
      <c r="P58" s="1">
        <f t="shared" si="115"/>
        <v>44338</v>
      </c>
      <c r="Q58" s="1">
        <f t="shared" si="115"/>
        <v>44339</v>
      </c>
      <c r="R58" s="1">
        <f t="shared" si="115"/>
        <v>44340</v>
      </c>
      <c r="S58" s="1">
        <f t="shared" si="115"/>
        <v>44341</v>
      </c>
      <c r="T58" s="1">
        <f t="shared" si="115"/>
        <v>44342</v>
      </c>
      <c r="U58" s="1">
        <f t="shared" si="115"/>
        <v>44343</v>
      </c>
      <c r="V58" s="1">
        <f t="shared" si="115"/>
        <v>44344</v>
      </c>
      <c r="W58" s="1">
        <f t="shared" si="115"/>
        <v>44345</v>
      </c>
      <c r="X58" s="1">
        <f t="shared" si="115"/>
        <v>44346</v>
      </c>
      <c r="Y58" s="1">
        <f t="shared" si="115"/>
        <v>44347</v>
      </c>
      <c r="Z58" s="1">
        <f t="shared" si="115"/>
        <v>44348</v>
      </c>
      <c r="AA58" s="1">
        <f t="shared" si="115"/>
        <v>44349</v>
      </c>
      <c r="AB58" s="1">
        <f t="shared" si="115"/>
        <v>44350</v>
      </c>
      <c r="AC58" s="1">
        <f t="shared" si="115"/>
        <v>44351</v>
      </c>
      <c r="AD58" s="1">
        <f t="shared" si="115"/>
        <v>44352</v>
      </c>
      <c r="AE58" s="1">
        <f t="shared" si="115"/>
        <v>44353</v>
      </c>
      <c r="AF58" s="1">
        <f t="shared" si="115"/>
        <v>44354</v>
      </c>
      <c r="AG58" s="1">
        <f t="shared" si="115"/>
        <v>44355</v>
      </c>
      <c r="AH58" s="1">
        <f t="shared" si="115"/>
        <v>44356</v>
      </c>
      <c r="AI58" s="1">
        <f t="shared" si="115"/>
        <v>44357</v>
      </c>
      <c r="AJ58" s="1">
        <f t="shared" si="115"/>
        <v>44358</v>
      </c>
      <c r="AK58" s="1">
        <f t="shared" si="115"/>
        <v>44359</v>
      </c>
      <c r="AL58" s="1">
        <f t="shared" si="115"/>
        <v>44360</v>
      </c>
      <c r="AM58" s="1">
        <f t="shared" si="115"/>
        <v>44361</v>
      </c>
      <c r="AN58" s="1">
        <f t="shared" si="115"/>
        <v>44362</v>
      </c>
      <c r="AO58" s="1">
        <f t="shared" si="115"/>
        <v>44363</v>
      </c>
      <c r="AP58" s="1">
        <f t="shared" si="115"/>
        <v>44364</v>
      </c>
      <c r="AQ58" s="1">
        <f t="shared" si="115"/>
        <v>44365</v>
      </c>
      <c r="AR58" s="1">
        <f t="shared" si="115"/>
        <v>44366</v>
      </c>
      <c r="AS58" s="1">
        <f t="shared" si="115"/>
        <v>44367</v>
      </c>
      <c r="AT58" s="1">
        <f t="shared" si="115"/>
        <v>44368</v>
      </c>
      <c r="AU58" s="1">
        <f t="shared" si="115"/>
        <v>44369</v>
      </c>
      <c r="AV58" s="1">
        <f t="shared" si="115"/>
        <v>44370</v>
      </c>
      <c r="AW58" s="1">
        <f t="shared" si="115"/>
        <v>44371</v>
      </c>
      <c r="AX58" s="1">
        <f t="shared" si="115"/>
        <v>44372</v>
      </c>
      <c r="AY58" s="1">
        <f t="shared" si="115"/>
        <v>44373</v>
      </c>
      <c r="AZ58" s="1">
        <f t="shared" si="115"/>
        <v>44374</v>
      </c>
      <c r="BA58" s="1">
        <f t="shared" si="115"/>
        <v>44375</v>
      </c>
      <c r="BB58" s="1">
        <f t="shared" si="115"/>
        <v>44376</v>
      </c>
      <c r="BC58" s="1">
        <f t="shared" si="115"/>
        <v>44377</v>
      </c>
      <c r="BD58" s="1">
        <f t="shared" si="115"/>
        <v>44378</v>
      </c>
      <c r="BE58" s="1">
        <f t="shared" si="115"/>
        <v>44379</v>
      </c>
      <c r="BF58" s="1">
        <f t="shared" si="115"/>
        <v>44380</v>
      </c>
      <c r="BG58" s="1">
        <f t="shared" si="115"/>
        <v>44381</v>
      </c>
      <c r="BH58" s="1">
        <f t="shared" si="115"/>
        <v>44382</v>
      </c>
      <c r="BI58" s="1">
        <f t="shared" si="115"/>
        <v>44383</v>
      </c>
      <c r="BJ58" s="1">
        <f t="shared" si="115"/>
        <v>44384</v>
      </c>
      <c r="BK58" s="1">
        <f t="shared" si="115"/>
        <v>44385</v>
      </c>
      <c r="BL58" s="1">
        <f t="shared" si="115"/>
        <v>44386</v>
      </c>
      <c r="BM58" s="1">
        <f t="shared" si="115"/>
        <v>44387</v>
      </c>
      <c r="BN58" s="1">
        <f t="shared" si="115"/>
        <v>44388</v>
      </c>
      <c r="BO58" s="1">
        <f t="shared" si="115"/>
        <v>44389</v>
      </c>
      <c r="BP58" s="1">
        <f t="shared" si="115"/>
        <v>44390</v>
      </c>
      <c r="BQ58" s="1">
        <f t="shared" si="115"/>
        <v>44391</v>
      </c>
      <c r="BR58" s="1">
        <f t="shared" si="115"/>
        <v>44392</v>
      </c>
      <c r="BS58" s="1">
        <f t="shared" si="115"/>
        <v>44393</v>
      </c>
      <c r="BT58" s="1">
        <f t="shared" si="115"/>
        <v>44394</v>
      </c>
      <c r="BU58" s="1">
        <f t="shared" si="115"/>
        <v>44395</v>
      </c>
      <c r="BV58" s="1">
        <f t="shared" ref="BV58:EG58" si="116">BV48</f>
        <v>44396</v>
      </c>
      <c r="BW58" s="1">
        <f t="shared" si="116"/>
        <v>44397</v>
      </c>
      <c r="BX58" s="1">
        <f t="shared" si="116"/>
        <v>44398</v>
      </c>
      <c r="BY58" s="1">
        <f t="shared" si="116"/>
        <v>44399</v>
      </c>
      <c r="BZ58" s="1">
        <f t="shared" si="116"/>
        <v>44400</v>
      </c>
      <c r="CA58" s="1">
        <f t="shared" si="116"/>
        <v>44401</v>
      </c>
      <c r="CB58" s="1">
        <f t="shared" si="116"/>
        <v>44402</v>
      </c>
      <c r="CC58" s="1">
        <f t="shared" si="116"/>
        <v>44403</v>
      </c>
      <c r="CD58" s="1">
        <f t="shared" si="116"/>
        <v>44404</v>
      </c>
      <c r="CE58" s="1">
        <f t="shared" si="116"/>
        <v>44405</v>
      </c>
      <c r="CF58" s="1">
        <f t="shared" si="116"/>
        <v>44406</v>
      </c>
      <c r="CG58" s="1">
        <f t="shared" si="116"/>
        <v>44407</v>
      </c>
      <c r="CH58" s="1">
        <f t="shared" si="116"/>
        <v>44408</v>
      </c>
      <c r="CI58" s="1">
        <f t="shared" si="116"/>
        <v>44409</v>
      </c>
      <c r="CJ58" s="1">
        <f t="shared" si="116"/>
        <v>44410</v>
      </c>
      <c r="CK58" s="1">
        <f t="shared" si="116"/>
        <v>44411</v>
      </c>
      <c r="CL58" s="1">
        <f t="shared" si="116"/>
        <v>44412</v>
      </c>
      <c r="CM58" s="1">
        <f t="shared" si="116"/>
        <v>44413</v>
      </c>
      <c r="CN58" s="1">
        <f t="shared" si="116"/>
        <v>44414</v>
      </c>
      <c r="CO58" s="1">
        <f t="shared" si="116"/>
        <v>44415</v>
      </c>
      <c r="CP58" s="1">
        <f t="shared" si="116"/>
        <v>44416</v>
      </c>
      <c r="CQ58" s="1">
        <f t="shared" si="116"/>
        <v>44417</v>
      </c>
      <c r="CR58" s="1">
        <f t="shared" si="116"/>
        <v>44418</v>
      </c>
      <c r="CS58" s="1">
        <f t="shared" si="116"/>
        <v>44419</v>
      </c>
      <c r="CT58" s="1">
        <f t="shared" si="116"/>
        <v>44420</v>
      </c>
      <c r="CU58" s="1">
        <f t="shared" si="116"/>
        <v>44421</v>
      </c>
      <c r="CV58" s="1">
        <f t="shared" si="116"/>
        <v>44422</v>
      </c>
      <c r="CW58" s="1">
        <f t="shared" si="116"/>
        <v>44423</v>
      </c>
      <c r="CX58" s="1">
        <f t="shared" si="116"/>
        <v>44424</v>
      </c>
      <c r="CY58" s="1">
        <f t="shared" si="116"/>
        <v>44425</v>
      </c>
      <c r="CZ58" s="1">
        <f t="shared" si="116"/>
        <v>44426</v>
      </c>
      <c r="DA58" s="1">
        <f t="shared" si="116"/>
        <v>44427</v>
      </c>
      <c r="DB58" s="1">
        <f t="shared" si="116"/>
        <v>44428</v>
      </c>
      <c r="DC58" s="1">
        <f t="shared" si="116"/>
        <v>44429</v>
      </c>
      <c r="DD58" s="1">
        <f t="shared" si="116"/>
        <v>44430</v>
      </c>
      <c r="DE58" s="1">
        <f t="shared" si="116"/>
        <v>44431</v>
      </c>
      <c r="DF58" s="1">
        <f t="shared" si="116"/>
        <v>44432</v>
      </c>
      <c r="DG58" s="1">
        <f t="shared" si="116"/>
        <v>44433</v>
      </c>
      <c r="DH58" s="1">
        <f t="shared" si="116"/>
        <v>44434</v>
      </c>
      <c r="DI58" s="1">
        <f t="shared" si="116"/>
        <v>44435</v>
      </c>
      <c r="DJ58" s="1">
        <f t="shared" si="116"/>
        <v>44436</v>
      </c>
      <c r="DK58" s="1">
        <f t="shared" si="116"/>
        <v>44437</v>
      </c>
      <c r="DL58" s="1">
        <f t="shared" si="116"/>
        <v>44438</v>
      </c>
      <c r="DM58" s="1">
        <f t="shared" si="116"/>
        <v>44439</v>
      </c>
      <c r="DN58" s="1">
        <f t="shared" si="116"/>
        <v>44440</v>
      </c>
      <c r="DO58" s="1">
        <f t="shared" si="116"/>
        <v>44441</v>
      </c>
      <c r="DP58" s="1">
        <f t="shared" si="116"/>
        <v>44442</v>
      </c>
      <c r="DQ58" s="1">
        <f t="shared" si="116"/>
        <v>44443</v>
      </c>
      <c r="DR58" s="1">
        <f t="shared" si="116"/>
        <v>44444</v>
      </c>
      <c r="DS58" s="1">
        <f t="shared" si="116"/>
        <v>44445</v>
      </c>
      <c r="DT58" s="1">
        <f t="shared" si="116"/>
        <v>44446</v>
      </c>
      <c r="DU58" s="1">
        <f t="shared" si="116"/>
        <v>44447</v>
      </c>
      <c r="DV58" s="1">
        <f t="shared" si="116"/>
        <v>44448</v>
      </c>
      <c r="DW58" s="1">
        <f t="shared" si="116"/>
        <v>44449</v>
      </c>
      <c r="DX58" s="1">
        <f t="shared" si="116"/>
        <v>44450</v>
      </c>
      <c r="DY58" s="1">
        <f t="shared" si="116"/>
        <v>44451</v>
      </c>
      <c r="DZ58" s="1">
        <f t="shared" si="116"/>
        <v>44452</v>
      </c>
      <c r="EA58" s="1">
        <f t="shared" si="116"/>
        <v>44453</v>
      </c>
      <c r="EB58" s="1">
        <f t="shared" si="116"/>
        <v>44454</v>
      </c>
      <c r="EC58" s="1">
        <f t="shared" si="116"/>
        <v>44455</v>
      </c>
      <c r="ED58" s="1">
        <f t="shared" si="116"/>
        <v>44456</v>
      </c>
      <c r="EE58" s="1">
        <f t="shared" si="116"/>
        <v>44457</v>
      </c>
      <c r="EF58" s="1">
        <f t="shared" si="116"/>
        <v>44458</v>
      </c>
      <c r="EG58" s="1">
        <f t="shared" si="116"/>
        <v>44459</v>
      </c>
      <c r="EH58" s="1">
        <f t="shared" ref="EH58:GA58" si="117">EH48</f>
        <v>44460</v>
      </c>
      <c r="EI58" s="1">
        <f t="shared" si="117"/>
        <v>44461</v>
      </c>
      <c r="EJ58" s="1">
        <f t="shared" si="117"/>
        <v>44462</v>
      </c>
      <c r="EK58" s="1">
        <f t="shared" si="117"/>
        <v>44463</v>
      </c>
      <c r="EL58" s="1">
        <f t="shared" si="117"/>
        <v>44464</v>
      </c>
      <c r="EM58" s="1">
        <f t="shared" si="117"/>
        <v>44465</v>
      </c>
      <c r="EN58" s="1">
        <f t="shared" si="117"/>
        <v>44466</v>
      </c>
      <c r="EO58" s="1">
        <f t="shared" si="117"/>
        <v>44467</v>
      </c>
      <c r="EP58" s="1">
        <f t="shared" si="117"/>
        <v>44468</v>
      </c>
      <c r="EQ58" s="1">
        <f t="shared" si="117"/>
        <v>44469</v>
      </c>
      <c r="ER58" s="1">
        <f t="shared" si="117"/>
        <v>44470</v>
      </c>
      <c r="ES58" s="1">
        <f t="shared" si="117"/>
        <v>44471</v>
      </c>
      <c r="ET58" s="1">
        <f t="shared" si="117"/>
        <v>44472</v>
      </c>
      <c r="EU58" s="1">
        <f t="shared" si="117"/>
        <v>44473</v>
      </c>
      <c r="EV58" s="1">
        <f t="shared" si="117"/>
        <v>44474</v>
      </c>
      <c r="EW58" s="1">
        <f t="shared" si="117"/>
        <v>44475</v>
      </c>
      <c r="EX58" s="1">
        <f t="shared" si="117"/>
        <v>44476</v>
      </c>
      <c r="EY58" s="1">
        <f t="shared" si="117"/>
        <v>44477</v>
      </c>
      <c r="EZ58" s="1">
        <f t="shared" si="117"/>
        <v>44478</v>
      </c>
      <c r="FA58" s="1">
        <f t="shared" si="117"/>
        <v>44479</v>
      </c>
      <c r="FB58" s="1">
        <f t="shared" si="117"/>
        <v>44480</v>
      </c>
      <c r="FC58" s="1">
        <f t="shared" si="117"/>
        <v>44481</v>
      </c>
      <c r="FD58" s="1">
        <f t="shared" si="117"/>
        <v>44482</v>
      </c>
      <c r="FE58" s="1">
        <f t="shared" si="117"/>
        <v>44483</v>
      </c>
      <c r="FF58" s="1">
        <f t="shared" si="117"/>
        <v>44484</v>
      </c>
      <c r="FG58" s="1">
        <f t="shared" si="117"/>
        <v>44485</v>
      </c>
      <c r="FH58" s="1">
        <f t="shared" si="117"/>
        <v>44486</v>
      </c>
      <c r="FI58" s="1">
        <f t="shared" si="117"/>
        <v>44487</v>
      </c>
      <c r="FJ58" s="1">
        <f t="shared" si="117"/>
        <v>44488</v>
      </c>
      <c r="FK58" s="1">
        <f t="shared" si="117"/>
        <v>44489</v>
      </c>
      <c r="FL58" s="1">
        <f t="shared" si="117"/>
        <v>44490</v>
      </c>
      <c r="FM58" s="1">
        <f t="shared" si="117"/>
        <v>44491</v>
      </c>
      <c r="FN58" s="1">
        <f t="shared" si="117"/>
        <v>44492</v>
      </c>
      <c r="FO58" s="1">
        <f t="shared" si="117"/>
        <v>44493</v>
      </c>
      <c r="FP58" s="1">
        <f t="shared" si="117"/>
        <v>44494</v>
      </c>
      <c r="FQ58" s="1">
        <f t="shared" si="117"/>
        <v>44495</v>
      </c>
      <c r="FR58" s="1">
        <f t="shared" si="117"/>
        <v>44496</v>
      </c>
      <c r="FS58" s="1">
        <f t="shared" si="117"/>
        <v>44497</v>
      </c>
      <c r="FT58" s="1">
        <f t="shared" si="117"/>
        <v>44498</v>
      </c>
      <c r="FU58" s="1">
        <f t="shared" si="117"/>
        <v>44499</v>
      </c>
      <c r="FV58" s="1">
        <f t="shared" si="117"/>
        <v>44500</v>
      </c>
      <c r="FW58" s="1">
        <f t="shared" si="117"/>
        <v>44501</v>
      </c>
      <c r="FX58" s="1">
        <f t="shared" si="117"/>
        <v>44502</v>
      </c>
      <c r="FY58" s="1">
        <f t="shared" si="117"/>
        <v>44503</v>
      </c>
      <c r="FZ58" s="1">
        <f t="shared" si="117"/>
        <v>44504</v>
      </c>
      <c r="GA58" s="1">
        <f t="shared" si="117"/>
        <v>44505</v>
      </c>
    </row>
    <row r="59" spans="1:183" x14ac:dyDescent="0.45">
      <c r="A59">
        <f>A49</f>
        <v>48</v>
      </c>
      <c r="B59" t="s">
        <v>21</v>
      </c>
      <c r="C59" cm="1">
        <f t="array" ref="C59">LOOKUP(2,1/(I59:GA59&lt;&gt;""),I59:GA59)</f>
        <v>316.79999999999995</v>
      </c>
      <c r="D59">
        <f t="shared" ref="D59:D65" si="118">D$9</f>
        <v>45</v>
      </c>
      <c r="F59" s="4">
        <f t="shared" ref="F59" si="119">(C59-I59)/I59</f>
        <v>1.2680412371134016</v>
      </c>
      <c r="G59" s="3" cm="1">
        <f t="array" ref="G59">(C59-IF(ISNA(INDEX(I59:GA59,D59-22)),INDEX(I59:GA59,D59-23),INDEX(I59:GA59,D59-22)))/IF(ISNA(INDEX(I59:GA59,D59-22)),INDEX(I59:GA59,D59-23),INDEX(I59:GA59,D59-22))</f>
        <v>-7.9497907949790836E-2</v>
      </c>
      <c r="I59">
        <f t="shared" ref="I59:I65" si="120">IF(ISNA(I49),NA(),I49*$A59)</f>
        <v>139.68</v>
      </c>
      <c r="J59">
        <f t="shared" ref="J59:BU59" si="121">IF(ISNA(J49),NA(),J49*$A59)</f>
        <v>132.47999999999999</v>
      </c>
      <c r="K59" t="e">
        <f t="shared" si="121"/>
        <v>#N/A</v>
      </c>
      <c r="L59">
        <f t="shared" si="121"/>
        <v>142.07999999999998</v>
      </c>
      <c r="M59" t="e">
        <f t="shared" si="121"/>
        <v>#N/A</v>
      </c>
      <c r="N59">
        <f t="shared" si="121"/>
        <v>159.84</v>
      </c>
      <c r="O59">
        <f t="shared" si="121"/>
        <v>158.39999999999998</v>
      </c>
      <c r="P59">
        <f t="shared" si="121"/>
        <v>215.52</v>
      </c>
      <c r="Q59">
        <f t="shared" si="121"/>
        <v>211.68</v>
      </c>
      <c r="R59">
        <f t="shared" si="121"/>
        <v>234.24</v>
      </c>
      <c r="S59">
        <f t="shared" si="121"/>
        <v>234.71999999999997</v>
      </c>
      <c r="T59">
        <f t="shared" si="121"/>
        <v>276.48</v>
      </c>
      <c r="U59">
        <f t="shared" si="121"/>
        <v>312.48</v>
      </c>
      <c r="V59">
        <f t="shared" si="121"/>
        <v>309.12</v>
      </c>
      <c r="W59">
        <f t="shared" si="121"/>
        <v>277.92</v>
      </c>
      <c r="X59">
        <f t="shared" si="121"/>
        <v>260.64</v>
      </c>
      <c r="Y59">
        <f t="shared" si="121"/>
        <v>246.71999999999997</v>
      </c>
      <c r="Z59">
        <f t="shared" si="121"/>
        <v>277.92</v>
      </c>
      <c r="AA59">
        <f t="shared" si="121"/>
        <v>308.64</v>
      </c>
      <c r="AB59">
        <f t="shared" si="121"/>
        <v>325.44</v>
      </c>
      <c r="AC59">
        <f t="shared" si="121"/>
        <v>335.52</v>
      </c>
      <c r="AD59">
        <f t="shared" si="121"/>
        <v>394.08000000000004</v>
      </c>
      <c r="AE59">
        <f t="shared" si="121"/>
        <v>344.15999999999997</v>
      </c>
      <c r="AF59">
        <f t="shared" si="121"/>
        <v>341.28000000000003</v>
      </c>
      <c r="AG59">
        <f t="shared" si="121"/>
        <v>344.15999999999997</v>
      </c>
      <c r="AH59">
        <f t="shared" si="121"/>
        <v>342.71999999999997</v>
      </c>
      <c r="AI59">
        <f t="shared" si="121"/>
        <v>342.24</v>
      </c>
      <c r="AJ59">
        <f t="shared" si="121"/>
        <v>332.64</v>
      </c>
      <c r="AK59">
        <f t="shared" si="121"/>
        <v>348.96</v>
      </c>
      <c r="AL59">
        <f t="shared" si="121"/>
        <v>358.56</v>
      </c>
      <c r="AM59">
        <f t="shared" si="121"/>
        <v>348.96</v>
      </c>
      <c r="AN59" t="e">
        <f t="shared" si="121"/>
        <v>#N/A</v>
      </c>
      <c r="AO59">
        <f t="shared" si="121"/>
        <v>350.4</v>
      </c>
      <c r="AP59">
        <f t="shared" si="121"/>
        <v>345.12</v>
      </c>
      <c r="AQ59">
        <f t="shared" si="121"/>
        <v>328.79999999999995</v>
      </c>
      <c r="AR59">
        <f t="shared" si="121"/>
        <v>332.15999999999997</v>
      </c>
      <c r="AS59">
        <f t="shared" si="121"/>
        <v>316.79999999999995</v>
      </c>
      <c r="AT59" t="e">
        <f t="shared" si="121"/>
        <v>#N/A</v>
      </c>
      <c r="AU59" t="e">
        <f t="shared" si="121"/>
        <v>#N/A</v>
      </c>
      <c r="AV59" t="e">
        <f t="shared" si="121"/>
        <v>#N/A</v>
      </c>
      <c r="AW59" t="e">
        <f t="shared" si="121"/>
        <v>#N/A</v>
      </c>
      <c r="AX59" t="e">
        <f t="shared" si="121"/>
        <v>#N/A</v>
      </c>
      <c r="AY59" t="e">
        <f t="shared" si="121"/>
        <v>#N/A</v>
      </c>
      <c r="AZ59" t="e">
        <f t="shared" si="121"/>
        <v>#N/A</v>
      </c>
      <c r="BA59" t="e">
        <f t="shared" si="121"/>
        <v>#N/A</v>
      </c>
      <c r="BB59" t="e">
        <f t="shared" si="121"/>
        <v>#N/A</v>
      </c>
      <c r="BC59" t="e">
        <f t="shared" si="121"/>
        <v>#N/A</v>
      </c>
      <c r="BD59" t="e">
        <f t="shared" si="121"/>
        <v>#N/A</v>
      </c>
      <c r="BE59" t="e">
        <f t="shared" si="121"/>
        <v>#N/A</v>
      </c>
      <c r="BF59" t="e">
        <f t="shared" si="121"/>
        <v>#N/A</v>
      </c>
      <c r="BG59" t="e">
        <f t="shared" si="121"/>
        <v>#N/A</v>
      </c>
      <c r="BH59" t="e">
        <f t="shared" si="121"/>
        <v>#N/A</v>
      </c>
      <c r="BI59" t="e">
        <f t="shared" si="121"/>
        <v>#N/A</v>
      </c>
      <c r="BJ59" t="e">
        <f t="shared" si="121"/>
        <v>#N/A</v>
      </c>
      <c r="BK59" t="e">
        <f t="shared" si="121"/>
        <v>#N/A</v>
      </c>
      <c r="BL59" t="e">
        <f t="shared" si="121"/>
        <v>#N/A</v>
      </c>
      <c r="BM59" t="e">
        <f t="shared" si="121"/>
        <v>#N/A</v>
      </c>
      <c r="BN59" t="e">
        <f t="shared" si="121"/>
        <v>#N/A</v>
      </c>
      <c r="BO59" t="e">
        <f t="shared" si="121"/>
        <v>#N/A</v>
      </c>
      <c r="BP59" t="e">
        <f t="shared" si="121"/>
        <v>#N/A</v>
      </c>
      <c r="BQ59" t="e">
        <f t="shared" si="121"/>
        <v>#N/A</v>
      </c>
      <c r="BR59" t="e">
        <f t="shared" si="121"/>
        <v>#N/A</v>
      </c>
      <c r="BS59" t="e">
        <f t="shared" si="121"/>
        <v>#N/A</v>
      </c>
      <c r="BT59" t="e">
        <f t="shared" si="121"/>
        <v>#N/A</v>
      </c>
      <c r="BU59" t="e">
        <f t="shared" si="121"/>
        <v>#N/A</v>
      </c>
      <c r="BV59" t="e">
        <f t="shared" ref="BV59:EG59" si="122">IF(ISNA(BV49),NA(),BV49*$A59)</f>
        <v>#N/A</v>
      </c>
      <c r="BW59" t="e">
        <f t="shared" si="122"/>
        <v>#N/A</v>
      </c>
      <c r="BX59" t="e">
        <f t="shared" si="122"/>
        <v>#N/A</v>
      </c>
      <c r="BY59" t="e">
        <f t="shared" si="122"/>
        <v>#N/A</v>
      </c>
      <c r="BZ59" t="e">
        <f t="shared" si="122"/>
        <v>#N/A</v>
      </c>
      <c r="CA59" t="e">
        <f t="shared" si="122"/>
        <v>#N/A</v>
      </c>
      <c r="CB59" t="e">
        <f t="shared" si="122"/>
        <v>#N/A</v>
      </c>
      <c r="CC59" t="e">
        <f t="shared" si="122"/>
        <v>#N/A</v>
      </c>
      <c r="CD59" t="e">
        <f t="shared" si="122"/>
        <v>#N/A</v>
      </c>
      <c r="CE59" t="e">
        <f t="shared" si="122"/>
        <v>#N/A</v>
      </c>
      <c r="CF59" t="e">
        <f t="shared" si="122"/>
        <v>#N/A</v>
      </c>
      <c r="CG59" t="e">
        <f t="shared" si="122"/>
        <v>#N/A</v>
      </c>
      <c r="CH59" t="e">
        <f t="shared" si="122"/>
        <v>#N/A</v>
      </c>
      <c r="CI59" t="e">
        <f t="shared" si="122"/>
        <v>#N/A</v>
      </c>
      <c r="CJ59" t="e">
        <f t="shared" si="122"/>
        <v>#N/A</v>
      </c>
      <c r="CK59" t="e">
        <f t="shared" si="122"/>
        <v>#N/A</v>
      </c>
      <c r="CL59" t="e">
        <f t="shared" si="122"/>
        <v>#N/A</v>
      </c>
      <c r="CM59" t="e">
        <f t="shared" si="122"/>
        <v>#N/A</v>
      </c>
      <c r="CN59" t="e">
        <f t="shared" si="122"/>
        <v>#N/A</v>
      </c>
      <c r="CO59" t="e">
        <f t="shared" si="122"/>
        <v>#N/A</v>
      </c>
      <c r="CP59" t="e">
        <f t="shared" si="122"/>
        <v>#N/A</v>
      </c>
      <c r="CQ59" t="e">
        <f t="shared" si="122"/>
        <v>#N/A</v>
      </c>
      <c r="CR59" t="e">
        <f t="shared" si="122"/>
        <v>#N/A</v>
      </c>
      <c r="CS59" t="e">
        <f t="shared" si="122"/>
        <v>#N/A</v>
      </c>
      <c r="CT59" t="e">
        <f t="shared" si="122"/>
        <v>#N/A</v>
      </c>
      <c r="CU59" t="e">
        <f t="shared" si="122"/>
        <v>#N/A</v>
      </c>
      <c r="CV59" t="e">
        <f t="shared" si="122"/>
        <v>#N/A</v>
      </c>
      <c r="CW59" t="e">
        <f t="shared" si="122"/>
        <v>#N/A</v>
      </c>
      <c r="CX59" t="e">
        <f t="shared" si="122"/>
        <v>#N/A</v>
      </c>
      <c r="CY59" t="e">
        <f t="shared" si="122"/>
        <v>#N/A</v>
      </c>
      <c r="CZ59" t="e">
        <f t="shared" si="122"/>
        <v>#N/A</v>
      </c>
      <c r="DA59" t="e">
        <f t="shared" si="122"/>
        <v>#N/A</v>
      </c>
      <c r="DB59" t="e">
        <f t="shared" si="122"/>
        <v>#N/A</v>
      </c>
      <c r="DC59" t="e">
        <f t="shared" si="122"/>
        <v>#N/A</v>
      </c>
      <c r="DD59" t="e">
        <f t="shared" si="122"/>
        <v>#N/A</v>
      </c>
      <c r="DE59" t="e">
        <f t="shared" si="122"/>
        <v>#N/A</v>
      </c>
      <c r="DF59" t="e">
        <f t="shared" si="122"/>
        <v>#N/A</v>
      </c>
      <c r="DG59" t="e">
        <f t="shared" si="122"/>
        <v>#N/A</v>
      </c>
      <c r="DH59" t="e">
        <f t="shared" si="122"/>
        <v>#N/A</v>
      </c>
      <c r="DI59" t="e">
        <f t="shared" si="122"/>
        <v>#N/A</v>
      </c>
      <c r="DJ59" t="e">
        <f t="shared" si="122"/>
        <v>#N/A</v>
      </c>
      <c r="DK59" t="e">
        <f t="shared" si="122"/>
        <v>#N/A</v>
      </c>
      <c r="DL59" t="e">
        <f t="shared" si="122"/>
        <v>#N/A</v>
      </c>
      <c r="DM59" t="e">
        <f t="shared" si="122"/>
        <v>#N/A</v>
      </c>
      <c r="DN59" t="e">
        <f t="shared" si="122"/>
        <v>#N/A</v>
      </c>
      <c r="DO59" t="e">
        <f t="shared" si="122"/>
        <v>#N/A</v>
      </c>
      <c r="DP59" t="e">
        <f t="shared" si="122"/>
        <v>#N/A</v>
      </c>
      <c r="DQ59" t="e">
        <f t="shared" si="122"/>
        <v>#N/A</v>
      </c>
      <c r="DR59" t="e">
        <f t="shared" si="122"/>
        <v>#N/A</v>
      </c>
      <c r="DS59" t="e">
        <f t="shared" si="122"/>
        <v>#N/A</v>
      </c>
      <c r="DT59" t="e">
        <f t="shared" si="122"/>
        <v>#N/A</v>
      </c>
      <c r="DU59" t="e">
        <f t="shared" si="122"/>
        <v>#N/A</v>
      </c>
      <c r="DV59" t="e">
        <f t="shared" si="122"/>
        <v>#N/A</v>
      </c>
      <c r="DW59" t="e">
        <f t="shared" si="122"/>
        <v>#N/A</v>
      </c>
      <c r="DX59" t="e">
        <f t="shared" si="122"/>
        <v>#N/A</v>
      </c>
      <c r="DY59" t="e">
        <f t="shared" si="122"/>
        <v>#N/A</v>
      </c>
      <c r="DZ59" t="e">
        <f t="shared" si="122"/>
        <v>#N/A</v>
      </c>
      <c r="EA59" t="e">
        <f t="shared" si="122"/>
        <v>#N/A</v>
      </c>
      <c r="EB59" t="e">
        <f t="shared" si="122"/>
        <v>#N/A</v>
      </c>
      <c r="EC59" t="e">
        <f t="shared" si="122"/>
        <v>#N/A</v>
      </c>
      <c r="ED59" t="e">
        <f t="shared" si="122"/>
        <v>#N/A</v>
      </c>
      <c r="EE59" t="e">
        <f t="shared" si="122"/>
        <v>#N/A</v>
      </c>
      <c r="EF59" t="e">
        <f t="shared" si="122"/>
        <v>#N/A</v>
      </c>
      <c r="EG59" t="e">
        <f t="shared" si="122"/>
        <v>#N/A</v>
      </c>
      <c r="EH59" t="e">
        <f t="shared" ref="EH59:GA59" si="123">IF(ISNA(EH49),NA(),EH49*$A59)</f>
        <v>#N/A</v>
      </c>
      <c r="EI59" t="e">
        <f t="shared" si="123"/>
        <v>#N/A</v>
      </c>
      <c r="EJ59" t="e">
        <f t="shared" si="123"/>
        <v>#N/A</v>
      </c>
      <c r="EK59" t="e">
        <f t="shared" si="123"/>
        <v>#N/A</v>
      </c>
      <c r="EL59" t="e">
        <f t="shared" si="123"/>
        <v>#N/A</v>
      </c>
      <c r="EM59" t="e">
        <f t="shared" si="123"/>
        <v>#N/A</v>
      </c>
      <c r="EN59" t="e">
        <f t="shared" si="123"/>
        <v>#N/A</v>
      </c>
      <c r="EO59" t="e">
        <f t="shared" si="123"/>
        <v>#N/A</v>
      </c>
      <c r="EP59" t="e">
        <f t="shared" si="123"/>
        <v>#N/A</v>
      </c>
      <c r="EQ59" t="e">
        <f t="shared" si="123"/>
        <v>#N/A</v>
      </c>
      <c r="ER59" t="e">
        <f t="shared" si="123"/>
        <v>#N/A</v>
      </c>
      <c r="ES59" t="e">
        <f t="shared" si="123"/>
        <v>#N/A</v>
      </c>
      <c r="ET59" t="e">
        <f t="shared" si="123"/>
        <v>#N/A</v>
      </c>
      <c r="EU59" t="e">
        <f t="shared" si="123"/>
        <v>#N/A</v>
      </c>
      <c r="EV59" t="e">
        <f t="shared" si="123"/>
        <v>#N/A</v>
      </c>
      <c r="EW59" t="e">
        <f t="shared" si="123"/>
        <v>#N/A</v>
      </c>
      <c r="EX59" t="e">
        <f t="shared" si="123"/>
        <v>#N/A</v>
      </c>
      <c r="EY59" t="e">
        <f t="shared" si="123"/>
        <v>#N/A</v>
      </c>
      <c r="EZ59" t="e">
        <f t="shared" si="123"/>
        <v>#N/A</v>
      </c>
      <c r="FA59" t="e">
        <f t="shared" si="123"/>
        <v>#N/A</v>
      </c>
      <c r="FB59" t="e">
        <f t="shared" si="123"/>
        <v>#N/A</v>
      </c>
      <c r="FC59" t="e">
        <f t="shared" si="123"/>
        <v>#N/A</v>
      </c>
      <c r="FD59" t="e">
        <f t="shared" si="123"/>
        <v>#N/A</v>
      </c>
      <c r="FE59" t="e">
        <f t="shared" si="123"/>
        <v>#N/A</v>
      </c>
      <c r="FF59" t="e">
        <f t="shared" si="123"/>
        <v>#N/A</v>
      </c>
      <c r="FG59" t="e">
        <f t="shared" si="123"/>
        <v>#N/A</v>
      </c>
      <c r="FH59" t="e">
        <f t="shared" si="123"/>
        <v>#N/A</v>
      </c>
      <c r="FI59" t="e">
        <f t="shared" si="123"/>
        <v>#N/A</v>
      </c>
      <c r="FJ59" t="e">
        <f t="shared" si="123"/>
        <v>#N/A</v>
      </c>
      <c r="FK59" t="e">
        <f t="shared" si="123"/>
        <v>#N/A</v>
      </c>
      <c r="FL59" t="e">
        <f t="shared" si="123"/>
        <v>#N/A</v>
      </c>
      <c r="FM59" t="e">
        <f t="shared" si="123"/>
        <v>#N/A</v>
      </c>
      <c r="FN59" t="e">
        <f t="shared" si="123"/>
        <v>#N/A</v>
      </c>
      <c r="FO59" t="e">
        <f t="shared" si="123"/>
        <v>#N/A</v>
      </c>
      <c r="FP59" t="e">
        <f t="shared" si="123"/>
        <v>#N/A</v>
      </c>
      <c r="FQ59" t="e">
        <f t="shared" si="123"/>
        <v>#N/A</v>
      </c>
      <c r="FR59" t="e">
        <f t="shared" si="123"/>
        <v>#N/A</v>
      </c>
      <c r="FS59" t="e">
        <f t="shared" si="123"/>
        <v>#N/A</v>
      </c>
      <c r="FT59" t="e">
        <f t="shared" si="123"/>
        <v>#N/A</v>
      </c>
      <c r="FU59" t="e">
        <f t="shared" si="123"/>
        <v>#N/A</v>
      </c>
      <c r="FV59" t="e">
        <f t="shared" si="123"/>
        <v>#N/A</v>
      </c>
      <c r="FW59" t="e">
        <f t="shared" si="123"/>
        <v>#N/A</v>
      </c>
      <c r="FX59" t="e">
        <f t="shared" si="123"/>
        <v>#N/A</v>
      </c>
      <c r="FY59" t="e">
        <f t="shared" si="123"/>
        <v>#N/A</v>
      </c>
      <c r="FZ59" t="e">
        <f t="shared" si="123"/>
        <v>#N/A</v>
      </c>
      <c r="GA59" t="e">
        <f t="shared" si="123"/>
        <v>#N/A</v>
      </c>
    </row>
    <row r="60" spans="1:183" x14ac:dyDescent="0.45">
      <c r="A60">
        <f t="shared" ref="A60:A65" si="124">A50</f>
        <v>10</v>
      </c>
      <c r="B60" t="s">
        <v>22</v>
      </c>
      <c r="C60" cm="1">
        <f t="array" ref="C60">LOOKUP(2,1/(I60:GA60&lt;&gt;""),I60:GA60)</f>
        <v>66.900000000000006</v>
      </c>
      <c r="D60">
        <f t="shared" si="118"/>
        <v>45</v>
      </c>
      <c r="F60" s="4">
        <f t="shared" ref="F60:F65" si="125">(C60-I60)/I60</f>
        <v>1.5632183908045982</v>
      </c>
      <c r="G60" s="3" cm="1">
        <f t="array" ref="G60">(C60-IF(ISNA(INDEX(I60:GA60,D60-22)),INDEX(I60:GA60,D60-23),INDEX(I60:GA60,D60-22)))/IF(ISNA(INDEX(I60:GA60,D60-22)),INDEX(I60:GA60,D60-23),INDEX(I60:GA60,D60-22))</f>
        <v>-9.2265943012211624E-2</v>
      </c>
      <c r="I60">
        <f t="shared" si="120"/>
        <v>26.099999999999998</v>
      </c>
      <c r="J60">
        <f t="shared" ref="J60:BU60" si="126">IF(ISNA(J50),NA(),J50*$A60)</f>
        <v>26.400000000000002</v>
      </c>
      <c r="K60" t="e">
        <f t="shared" si="126"/>
        <v>#N/A</v>
      </c>
      <c r="L60">
        <f t="shared" si="126"/>
        <v>29.4</v>
      </c>
      <c r="M60" t="e">
        <f t="shared" si="126"/>
        <v>#N/A</v>
      </c>
      <c r="N60">
        <f t="shared" si="126"/>
        <v>32.1</v>
      </c>
      <c r="O60">
        <f t="shared" si="126"/>
        <v>33.700000000000003</v>
      </c>
      <c r="P60">
        <f t="shared" si="126"/>
        <v>43.5</v>
      </c>
      <c r="Q60">
        <f t="shared" si="126"/>
        <v>42.699999999999996</v>
      </c>
      <c r="R60">
        <f t="shared" si="126"/>
        <v>47.199999999999996</v>
      </c>
      <c r="S60">
        <f t="shared" si="126"/>
        <v>46.900000000000006</v>
      </c>
      <c r="T60">
        <f t="shared" si="126"/>
        <v>54.900000000000006</v>
      </c>
      <c r="U60">
        <f t="shared" si="126"/>
        <v>59.900000000000006</v>
      </c>
      <c r="V60">
        <f t="shared" si="126"/>
        <v>63.3</v>
      </c>
      <c r="W60">
        <f t="shared" si="126"/>
        <v>61</v>
      </c>
      <c r="X60">
        <f t="shared" si="126"/>
        <v>53.9</v>
      </c>
      <c r="Y60">
        <f t="shared" si="126"/>
        <v>47.699999999999996</v>
      </c>
      <c r="Z60">
        <f t="shared" si="126"/>
        <v>51.4</v>
      </c>
      <c r="AA60">
        <f t="shared" si="126"/>
        <v>60.300000000000004</v>
      </c>
      <c r="AB60">
        <f t="shared" si="126"/>
        <v>66.3</v>
      </c>
      <c r="AC60">
        <f t="shared" si="126"/>
        <v>67.599999999999994</v>
      </c>
      <c r="AD60">
        <f t="shared" si="126"/>
        <v>73.099999999999994</v>
      </c>
      <c r="AE60">
        <f t="shared" si="126"/>
        <v>73.7</v>
      </c>
      <c r="AF60">
        <f t="shared" si="126"/>
        <v>66</v>
      </c>
      <c r="AG60">
        <f t="shared" si="126"/>
        <v>67.699999999999989</v>
      </c>
      <c r="AH60">
        <f t="shared" si="126"/>
        <v>69.599999999999994</v>
      </c>
      <c r="AI60">
        <f t="shared" si="126"/>
        <v>68.400000000000006</v>
      </c>
      <c r="AJ60">
        <f t="shared" si="126"/>
        <v>69.2</v>
      </c>
      <c r="AK60">
        <f t="shared" si="126"/>
        <v>67.5</v>
      </c>
      <c r="AL60">
        <f t="shared" si="126"/>
        <v>74.099999999999994</v>
      </c>
      <c r="AM60">
        <f t="shared" si="126"/>
        <v>72.599999999999994</v>
      </c>
      <c r="AN60" t="e">
        <f t="shared" si="126"/>
        <v>#N/A</v>
      </c>
      <c r="AO60">
        <f t="shared" si="126"/>
        <v>69.900000000000006</v>
      </c>
      <c r="AP60">
        <f t="shared" si="126"/>
        <v>66.599999999999994</v>
      </c>
      <c r="AQ60">
        <f t="shared" si="126"/>
        <v>66.599999999999994</v>
      </c>
      <c r="AR60">
        <f t="shared" si="126"/>
        <v>69.800000000000011</v>
      </c>
      <c r="AS60">
        <f t="shared" si="126"/>
        <v>66.900000000000006</v>
      </c>
      <c r="AT60" t="e">
        <f t="shared" si="126"/>
        <v>#N/A</v>
      </c>
      <c r="AU60" t="e">
        <f t="shared" si="126"/>
        <v>#N/A</v>
      </c>
      <c r="AV60" t="e">
        <f t="shared" si="126"/>
        <v>#N/A</v>
      </c>
      <c r="AW60" t="e">
        <f t="shared" si="126"/>
        <v>#N/A</v>
      </c>
      <c r="AX60" t="e">
        <f t="shared" si="126"/>
        <v>#N/A</v>
      </c>
      <c r="AY60" t="e">
        <f t="shared" si="126"/>
        <v>#N/A</v>
      </c>
      <c r="AZ60" t="e">
        <f t="shared" si="126"/>
        <v>#N/A</v>
      </c>
      <c r="BA60" t="e">
        <f t="shared" si="126"/>
        <v>#N/A</v>
      </c>
      <c r="BB60" t="e">
        <f t="shared" si="126"/>
        <v>#N/A</v>
      </c>
      <c r="BC60" t="e">
        <f t="shared" si="126"/>
        <v>#N/A</v>
      </c>
      <c r="BD60" t="e">
        <f t="shared" si="126"/>
        <v>#N/A</v>
      </c>
      <c r="BE60" t="e">
        <f t="shared" si="126"/>
        <v>#N/A</v>
      </c>
      <c r="BF60" t="e">
        <f t="shared" si="126"/>
        <v>#N/A</v>
      </c>
      <c r="BG60" t="e">
        <f t="shared" si="126"/>
        <v>#N/A</v>
      </c>
      <c r="BH60" t="e">
        <f t="shared" si="126"/>
        <v>#N/A</v>
      </c>
      <c r="BI60" t="e">
        <f t="shared" si="126"/>
        <v>#N/A</v>
      </c>
      <c r="BJ60" t="e">
        <f t="shared" si="126"/>
        <v>#N/A</v>
      </c>
      <c r="BK60" t="e">
        <f t="shared" si="126"/>
        <v>#N/A</v>
      </c>
      <c r="BL60" t="e">
        <f t="shared" si="126"/>
        <v>#N/A</v>
      </c>
      <c r="BM60" t="e">
        <f t="shared" si="126"/>
        <v>#N/A</v>
      </c>
      <c r="BN60" t="e">
        <f t="shared" si="126"/>
        <v>#N/A</v>
      </c>
      <c r="BO60" t="e">
        <f t="shared" si="126"/>
        <v>#N/A</v>
      </c>
      <c r="BP60" t="e">
        <f t="shared" si="126"/>
        <v>#N/A</v>
      </c>
      <c r="BQ60" t="e">
        <f t="shared" si="126"/>
        <v>#N/A</v>
      </c>
      <c r="BR60" t="e">
        <f t="shared" si="126"/>
        <v>#N/A</v>
      </c>
      <c r="BS60" t="e">
        <f t="shared" si="126"/>
        <v>#N/A</v>
      </c>
      <c r="BT60" t="e">
        <f t="shared" si="126"/>
        <v>#N/A</v>
      </c>
      <c r="BU60" t="e">
        <f t="shared" si="126"/>
        <v>#N/A</v>
      </c>
      <c r="BV60" t="e">
        <f t="shared" ref="BV60:EG60" si="127">IF(ISNA(BV50),NA(),BV50*$A60)</f>
        <v>#N/A</v>
      </c>
      <c r="BW60" t="e">
        <f t="shared" si="127"/>
        <v>#N/A</v>
      </c>
      <c r="BX60" t="e">
        <f t="shared" si="127"/>
        <v>#N/A</v>
      </c>
      <c r="BY60" t="e">
        <f t="shared" si="127"/>
        <v>#N/A</v>
      </c>
      <c r="BZ60" t="e">
        <f t="shared" si="127"/>
        <v>#N/A</v>
      </c>
      <c r="CA60" t="e">
        <f t="shared" si="127"/>
        <v>#N/A</v>
      </c>
      <c r="CB60" t="e">
        <f t="shared" si="127"/>
        <v>#N/A</v>
      </c>
      <c r="CC60" t="e">
        <f t="shared" si="127"/>
        <v>#N/A</v>
      </c>
      <c r="CD60" t="e">
        <f t="shared" si="127"/>
        <v>#N/A</v>
      </c>
      <c r="CE60" t="e">
        <f t="shared" si="127"/>
        <v>#N/A</v>
      </c>
      <c r="CF60" t="e">
        <f t="shared" si="127"/>
        <v>#N/A</v>
      </c>
      <c r="CG60" t="e">
        <f t="shared" si="127"/>
        <v>#N/A</v>
      </c>
      <c r="CH60" t="e">
        <f t="shared" si="127"/>
        <v>#N/A</v>
      </c>
      <c r="CI60" t="e">
        <f t="shared" si="127"/>
        <v>#N/A</v>
      </c>
      <c r="CJ60" t="e">
        <f t="shared" si="127"/>
        <v>#N/A</v>
      </c>
      <c r="CK60" t="e">
        <f t="shared" si="127"/>
        <v>#N/A</v>
      </c>
      <c r="CL60" t="e">
        <f t="shared" si="127"/>
        <v>#N/A</v>
      </c>
      <c r="CM60" t="e">
        <f t="shared" si="127"/>
        <v>#N/A</v>
      </c>
      <c r="CN60" t="e">
        <f t="shared" si="127"/>
        <v>#N/A</v>
      </c>
      <c r="CO60" t="e">
        <f t="shared" si="127"/>
        <v>#N/A</v>
      </c>
      <c r="CP60" t="e">
        <f t="shared" si="127"/>
        <v>#N/A</v>
      </c>
      <c r="CQ60" t="e">
        <f t="shared" si="127"/>
        <v>#N/A</v>
      </c>
      <c r="CR60" t="e">
        <f t="shared" si="127"/>
        <v>#N/A</v>
      </c>
      <c r="CS60" t="e">
        <f t="shared" si="127"/>
        <v>#N/A</v>
      </c>
      <c r="CT60" t="e">
        <f t="shared" si="127"/>
        <v>#N/A</v>
      </c>
      <c r="CU60" t="e">
        <f t="shared" si="127"/>
        <v>#N/A</v>
      </c>
      <c r="CV60" t="e">
        <f t="shared" si="127"/>
        <v>#N/A</v>
      </c>
      <c r="CW60" t="e">
        <f t="shared" si="127"/>
        <v>#N/A</v>
      </c>
      <c r="CX60" t="e">
        <f t="shared" si="127"/>
        <v>#N/A</v>
      </c>
      <c r="CY60" t="e">
        <f t="shared" si="127"/>
        <v>#N/A</v>
      </c>
      <c r="CZ60" t="e">
        <f t="shared" si="127"/>
        <v>#N/A</v>
      </c>
      <c r="DA60" t="e">
        <f t="shared" si="127"/>
        <v>#N/A</v>
      </c>
      <c r="DB60" t="e">
        <f t="shared" si="127"/>
        <v>#N/A</v>
      </c>
      <c r="DC60" t="e">
        <f t="shared" si="127"/>
        <v>#N/A</v>
      </c>
      <c r="DD60" t="e">
        <f t="shared" si="127"/>
        <v>#N/A</v>
      </c>
      <c r="DE60" t="e">
        <f t="shared" si="127"/>
        <v>#N/A</v>
      </c>
      <c r="DF60" t="e">
        <f t="shared" si="127"/>
        <v>#N/A</v>
      </c>
      <c r="DG60" t="e">
        <f t="shared" si="127"/>
        <v>#N/A</v>
      </c>
      <c r="DH60" t="e">
        <f t="shared" si="127"/>
        <v>#N/A</v>
      </c>
      <c r="DI60" t="e">
        <f t="shared" si="127"/>
        <v>#N/A</v>
      </c>
      <c r="DJ60" t="e">
        <f t="shared" si="127"/>
        <v>#N/A</v>
      </c>
      <c r="DK60" t="e">
        <f t="shared" si="127"/>
        <v>#N/A</v>
      </c>
      <c r="DL60" t="e">
        <f t="shared" si="127"/>
        <v>#N/A</v>
      </c>
      <c r="DM60" t="e">
        <f t="shared" si="127"/>
        <v>#N/A</v>
      </c>
      <c r="DN60" t="e">
        <f t="shared" si="127"/>
        <v>#N/A</v>
      </c>
      <c r="DO60" t="e">
        <f t="shared" si="127"/>
        <v>#N/A</v>
      </c>
      <c r="DP60" t="e">
        <f t="shared" si="127"/>
        <v>#N/A</v>
      </c>
      <c r="DQ60" t="e">
        <f t="shared" si="127"/>
        <v>#N/A</v>
      </c>
      <c r="DR60" t="e">
        <f t="shared" si="127"/>
        <v>#N/A</v>
      </c>
      <c r="DS60" t="e">
        <f t="shared" si="127"/>
        <v>#N/A</v>
      </c>
      <c r="DT60" t="e">
        <f t="shared" si="127"/>
        <v>#N/A</v>
      </c>
      <c r="DU60" t="e">
        <f t="shared" si="127"/>
        <v>#N/A</v>
      </c>
      <c r="DV60" t="e">
        <f t="shared" si="127"/>
        <v>#N/A</v>
      </c>
      <c r="DW60" t="e">
        <f t="shared" si="127"/>
        <v>#N/A</v>
      </c>
      <c r="DX60" t="e">
        <f t="shared" si="127"/>
        <v>#N/A</v>
      </c>
      <c r="DY60" t="e">
        <f t="shared" si="127"/>
        <v>#N/A</v>
      </c>
      <c r="DZ60" t="e">
        <f t="shared" si="127"/>
        <v>#N/A</v>
      </c>
      <c r="EA60" t="e">
        <f t="shared" si="127"/>
        <v>#N/A</v>
      </c>
      <c r="EB60" t="e">
        <f t="shared" si="127"/>
        <v>#N/A</v>
      </c>
      <c r="EC60" t="e">
        <f t="shared" si="127"/>
        <v>#N/A</v>
      </c>
      <c r="ED60" t="e">
        <f t="shared" si="127"/>
        <v>#N/A</v>
      </c>
      <c r="EE60" t="e">
        <f t="shared" si="127"/>
        <v>#N/A</v>
      </c>
      <c r="EF60" t="e">
        <f t="shared" si="127"/>
        <v>#N/A</v>
      </c>
      <c r="EG60" t="e">
        <f t="shared" si="127"/>
        <v>#N/A</v>
      </c>
      <c r="EH60" t="e">
        <f t="shared" ref="EH60:GA60" si="128">IF(ISNA(EH50),NA(),EH50*$A60)</f>
        <v>#N/A</v>
      </c>
      <c r="EI60" t="e">
        <f t="shared" si="128"/>
        <v>#N/A</v>
      </c>
      <c r="EJ60" t="e">
        <f t="shared" si="128"/>
        <v>#N/A</v>
      </c>
      <c r="EK60" t="e">
        <f t="shared" si="128"/>
        <v>#N/A</v>
      </c>
      <c r="EL60" t="e">
        <f t="shared" si="128"/>
        <v>#N/A</v>
      </c>
      <c r="EM60" t="e">
        <f t="shared" si="128"/>
        <v>#N/A</v>
      </c>
      <c r="EN60" t="e">
        <f t="shared" si="128"/>
        <v>#N/A</v>
      </c>
      <c r="EO60" t="e">
        <f t="shared" si="128"/>
        <v>#N/A</v>
      </c>
      <c r="EP60" t="e">
        <f t="shared" si="128"/>
        <v>#N/A</v>
      </c>
      <c r="EQ60" t="e">
        <f t="shared" si="128"/>
        <v>#N/A</v>
      </c>
      <c r="ER60" t="e">
        <f t="shared" si="128"/>
        <v>#N/A</v>
      </c>
      <c r="ES60" t="e">
        <f t="shared" si="128"/>
        <v>#N/A</v>
      </c>
      <c r="ET60" t="e">
        <f t="shared" si="128"/>
        <v>#N/A</v>
      </c>
      <c r="EU60" t="e">
        <f t="shared" si="128"/>
        <v>#N/A</v>
      </c>
      <c r="EV60" t="e">
        <f t="shared" si="128"/>
        <v>#N/A</v>
      </c>
      <c r="EW60" t="e">
        <f t="shared" si="128"/>
        <v>#N/A</v>
      </c>
      <c r="EX60" t="e">
        <f t="shared" si="128"/>
        <v>#N/A</v>
      </c>
      <c r="EY60" t="e">
        <f t="shared" si="128"/>
        <v>#N/A</v>
      </c>
      <c r="EZ60" t="e">
        <f t="shared" si="128"/>
        <v>#N/A</v>
      </c>
      <c r="FA60" t="e">
        <f t="shared" si="128"/>
        <v>#N/A</v>
      </c>
      <c r="FB60" t="e">
        <f t="shared" si="128"/>
        <v>#N/A</v>
      </c>
      <c r="FC60" t="e">
        <f t="shared" si="128"/>
        <v>#N/A</v>
      </c>
      <c r="FD60" t="e">
        <f t="shared" si="128"/>
        <v>#N/A</v>
      </c>
      <c r="FE60" t="e">
        <f t="shared" si="128"/>
        <v>#N/A</v>
      </c>
      <c r="FF60" t="e">
        <f t="shared" si="128"/>
        <v>#N/A</v>
      </c>
      <c r="FG60" t="e">
        <f t="shared" si="128"/>
        <v>#N/A</v>
      </c>
      <c r="FH60" t="e">
        <f t="shared" si="128"/>
        <v>#N/A</v>
      </c>
      <c r="FI60" t="e">
        <f t="shared" si="128"/>
        <v>#N/A</v>
      </c>
      <c r="FJ60" t="e">
        <f t="shared" si="128"/>
        <v>#N/A</v>
      </c>
      <c r="FK60" t="e">
        <f t="shared" si="128"/>
        <v>#N/A</v>
      </c>
      <c r="FL60" t="e">
        <f t="shared" si="128"/>
        <v>#N/A</v>
      </c>
      <c r="FM60" t="e">
        <f t="shared" si="128"/>
        <v>#N/A</v>
      </c>
      <c r="FN60" t="e">
        <f t="shared" si="128"/>
        <v>#N/A</v>
      </c>
      <c r="FO60" t="e">
        <f t="shared" si="128"/>
        <v>#N/A</v>
      </c>
      <c r="FP60" t="e">
        <f t="shared" si="128"/>
        <v>#N/A</v>
      </c>
      <c r="FQ60" t="e">
        <f t="shared" si="128"/>
        <v>#N/A</v>
      </c>
      <c r="FR60" t="e">
        <f t="shared" si="128"/>
        <v>#N/A</v>
      </c>
      <c r="FS60" t="e">
        <f t="shared" si="128"/>
        <v>#N/A</v>
      </c>
      <c r="FT60" t="e">
        <f t="shared" si="128"/>
        <v>#N/A</v>
      </c>
      <c r="FU60" t="e">
        <f t="shared" si="128"/>
        <v>#N/A</v>
      </c>
      <c r="FV60" t="e">
        <f t="shared" si="128"/>
        <v>#N/A</v>
      </c>
      <c r="FW60" t="e">
        <f t="shared" si="128"/>
        <v>#N/A</v>
      </c>
      <c r="FX60" t="e">
        <f t="shared" si="128"/>
        <v>#N/A</v>
      </c>
      <c r="FY60" t="e">
        <f t="shared" si="128"/>
        <v>#N/A</v>
      </c>
      <c r="FZ60" t="e">
        <f t="shared" si="128"/>
        <v>#N/A</v>
      </c>
      <c r="GA60" t="e">
        <f t="shared" si="128"/>
        <v>#N/A</v>
      </c>
    </row>
    <row r="61" spans="1:183" x14ac:dyDescent="0.45">
      <c r="A61">
        <f t="shared" si="124"/>
        <v>5</v>
      </c>
      <c r="B61" t="s">
        <v>23</v>
      </c>
      <c r="C61" cm="1">
        <f t="array" ref="C61">LOOKUP(2,1/(I61:GA61&lt;&gt;""),I61:GA61)</f>
        <v>36.9</v>
      </c>
      <c r="D61">
        <f t="shared" si="118"/>
        <v>45</v>
      </c>
      <c r="F61" s="4">
        <f t="shared" si="125"/>
        <v>1.8167938931297707</v>
      </c>
      <c r="G61" s="3" cm="1">
        <f t="array" ref="G61">(C61-IF(ISNA(INDEX(I61:GA61,D61-22)),INDEX(I61:GA61,D61-23),INDEX(I61:GA61,D61-22)))/IF(ISNA(INDEX(I61:GA61,D61-22)),INDEX(I61:GA61,D61-23),INDEX(I61:GA61,D61-22))</f>
        <v>-0.11827956989247303</v>
      </c>
      <c r="I61">
        <f t="shared" si="120"/>
        <v>13.100000000000001</v>
      </c>
      <c r="J61">
        <f t="shared" ref="J61:BU61" si="129">IF(ISNA(J51),NA(),J51*$A61)</f>
        <v>13.85</v>
      </c>
      <c r="K61" t="e">
        <f t="shared" si="129"/>
        <v>#N/A</v>
      </c>
      <c r="L61">
        <f t="shared" si="129"/>
        <v>14.6</v>
      </c>
      <c r="M61" t="e">
        <f t="shared" si="129"/>
        <v>#N/A</v>
      </c>
      <c r="N61">
        <f t="shared" si="129"/>
        <v>15.75</v>
      </c>
      <c r="O61">
        <f t="shared" si="129"/>
        <v>16.850000000000001</v>
      </c>
      <c r="P61">
        <f t="shared" si="129"/>
        <v>24.75</v>
      </c>
      <c r="Q61">
        <f t="shared" si="129"/>
        <v>24</v>
      </c>
      <c r="R61">
        <f t="shared" si="129"/>
        <v>24</v>
      </c>
      <c r="S61">
        <f t="shared" si="129"/>
        <v>24.6</v>
      </c>
      <c r="T61">
        <f t="shared" si="129"/>
        <v>33.1</v>
      </c>
      <c r="U61">
        <f t="shared" si="129"/>
        <v>36</v>
      </c>
      <c r="V61">
        <f t="shared" si="129"/>
        <v>33.799999999999997</v>
      </c>
      <c r="W61">
        <f t="shared" si="129"/>
        <v>32.549999999999997</v>
      </c>
      <c r="X61">
        <f t="shared" si="129"/>
        <v>30.7</v>
      </c>
      <c r="Y61">
        <f t="shared" si="129"/>
        <v>27.599999999999998</v>
      </c>
      <c r="Z61">
        <f t="shared" si="129"/>
        <v>28.599999999999998</v>
      </c>
      <c r="AA61">
        <f t="shared" si="129"/>
        <v>30.85</v>
      </c>
      <c r="AB61">
        <f t="shared" si="129"/>
        <v>34.35</v>
      </c>
      <c r="AC61">
        <f t="shared" si="129"/>
        <v>37.049999999999997</v>
      </c>
      <c r="AD61">
        <f t="shared" si="129"/>
        <v>41.849999999999994</v>
      </c>
      <c r="AE61">
        <f t="shared" si="129"/>
        <v>41.849999999999994</v>
      </c>
      <c r="AF61">
        <f t="shared" si="129"/>
        <v>37.599999999999994</v>
      </c>
      <c r="AG61">
        <f t="shared" si="129"/>
        <v>36.75</v>
      </c>
      <c r="AH61">
        <f t="shared" si="129"/>
        <v>35.699999999999996</v>
      </c>
      <c r="AI61">
        <f t="shared" si="129"/>
        <v>36.25</v>
      </c>
      <c r="AJ61">
        <f t="shared" si="129"/>
        <v>36</v>
      </c>
      <c r="AK61">
        <f t="shared" si="129"/>
        <v>43.2</v>
      </c>
      <c r="AL61">
        <f t="shared" si="129"/>
        <v>41</v>
      </c>
      <c r="AM61">
        <f t="shared" si="129"/>
        <v>39.15</v>
      </c>
      <c r="AN61" t="e">
        <f t="shared" si="129"/>
        <v>#N/A</v>
      </c>
      <c r="AO61">
        <f t="shared" si="129"/>
        <v>40.199999999999996</v>
      </c>
      <c r="AP61">
        <f t="shared" si="129"/>
        <v>37.599999999999994</v>
      </c>
      <c r="AQ61">
        <f t="shared" si="129"/>
        <v>37.65</v>
      </c>
      <c r="AR61">
        <f t="shared" si="129"/>
        <v>36.9</v>
      </c>
      <c r="AS61">
        <f t="shared" si="129"/>
        <v>36.9</v>
      </c>
      <c r="AT61" t="e">
        <f t="shared" si="129"/>
        <v>#N/A</v>
      </c>
      <c r="AU61" t="e">
        <f t="shared" si="129"/>
        <v>#N/A</v>
      </c>
      <c r="AV61" t="e">
        <f t="shared" si="129"/>
        <v>#N/A</v>
      </c>
      <c r="AW61" t="e">
        <f t="shared" si="129"/>
        <v>#N/A</v>
      </c>
      <c r="AX61" t="e">
        <f t="shared" si="129"/>
        <v>#N/A</v>
      </c>
      <c r="AY61" t="e">
        <f t="shared" si="129"/>
        <v>#N/A</v>
      </c>
      <c r="AZ61" t="e">
        <f t="shared" si="129"/>
        <v>#N/A</v>
      </c>
      <c r="BA61" t="e">
        <f t="shared" si="129"/>
        <v>#N/A</v>
      </c>
      <c r="BB61" t="e">
        <f t="shared" si="129"/>
        <v>#N/A</v>
      </c>
      <c r="BC61" t="e">
        <f t="shared" si="129"/>
        <v>#N/A</v>
      </c>
      <c r="BD61" t="e">
        <f t="shared" si="129"/>
        <v>#N/A</v>
      </c>
      <c r="BE61" t="e">
        <f t="shared" si="129"/>
        <v>#N/A</v>
      </c>
      <c r="BF61" t="e">
        <f t="shared" si="129"/>
        <v>#N/A</v>
      </c>
      <c r="BG61" t="e">
        <f t="shared" si="129"/>
        <v>#N/A</v>
      </c>
      <c r="BH61" t="e">
        <f t="shared" si="129"/>
        <v>#N/A</v>
      </c>
      <c r="BI61" t="e">
        <f t="shared" si="129"/>
        <v>#N/A</v>
      </c>
      <c r="BJ61" t="e">
        <f t="shared" si="129"/>
        <v>#N/A</v>
      </c>
      <c r="BK61" t="e">
        <f t="shared" si="129"/>
        <v>#N/A</v>
      </c>
      <c r="BL61" t="e">
        <f t="shared" si="129"/>
        <v>#N/A</v>
      </c>
      <c r="BM61" t="e">
        <f t="shared" si="129"/>
        <v>#N/A</v>
      </c>
      <c r="BN61" t="e">
        <f t="shared" si="129"/>
        <v>#N/A</v>
      </c>
      <c r="BO61" t="e">
        <f t="shared" si="129"/>
        <v>#N/A</v>
      </c>
      <c r="BP61" t="e">
        <f t="shared" si="129"/>
        <v>#N/A</v>
      </c>
      <c r="BQ61" t="e">
        <f t="shared" si="129"/>
        <v>#N/A</v>
      </c>
      <c r="BR61" t="e">
        <f t="shared" si="129"/>
        <v>#N/A</v>
      </c>
      <c r="BS61" t="e">
        <f t="shared" si="129"/>
        <v>#N/A</v>
      </c>
      <c r="BT61" t="e">
        <f t="shared" si="129"/>
        <v>#N/A</v>
      </c>
      <c r="BU61" t="e">
        <f t="shared" si="129"/>
        <v>#N/A</v>
      </c>
      <c r="BV61" t="e">
        <f t="shared" ref="BV61:EG61" si="130">IF(ISNA(BV51),NA(),BV51*$A61)</f>
        <v>#N/A</v>
      </c>
      <c r="BW61" t="e">
        <f t="shared" si="130"/>
        <v>#N/A</v>
      </c>
      <c r="BX61" t="e">
        <f t="shared" si="130"/>
        <v>#N/A</v>
      </c>
      <c r="BY61" t="e">
        <f t="shared" si="130"/>
        <v>#N/A</v>
      </c>
      <c r="BZ61" t="e">
        <f t="shared" si="130"/>
        <v>#N/A</v>
      </c>
      <c r="CA61" t="e">
        <f t="shared" si="130"/>
        <v>#N/A</v>
      </c>
      <c r="CB61" t="e">
        <f t="shared" si="130"/>
        <v>#N/A</v>
      </c>
      <c r="CC61" t="e">
        <f t="shared" si="130"/>
        <v>#N/A</v>
      </c>
      <c r="CD61" t="e">
        <f t="shared" si="130"/>
        <v>#N/A</v>
      </c>
      <c r="CE61" t="e">
        <f t="shared" si="130"/>
        <v>#N/A</v>
      </c>
      <c r="CF61" t="e">
        <f t="shared" si="130"/>
        <v>#N/A</v>
      </c>
      <c r="CG61" t="e">
        <f t="shared" si="130"/>
        <v>#N/A</v>
      </c>
      <c r="CH61" t="e">
        <f t="shared" si="130"/>
        <v>#N/A</v>
      </c>
      <c r="CI61" t="e">
        <f t="shared" si="130"/>
        <v>#N/A</v>
      </c>
      <c r="CJ61" t="e">
        <f t="shared" si="130"/>
        <v>#N/A</v>
      </c>
      <c r="CK61" t="e">
        <f t="shared" si="130"/>
        <v>#N/A</v>
      </c>
      <c r="CL61" t="e">
        <f t="shared" si="130"/>
        <v>#N/A</v>
      </c>
      <c r="CM61" t="e">
        <f t="shared" si="130"/>
        <v>#N/A</v>
      </c>
      <c r="CN61" t="e">
        <f t="shared" si="130"/>
        <v>#N/A</v>
      </c>
      <c r="CO61" t="e">
        <f t="shared" si="130"/>
        <v>#N/A</v>
      </c>
      <c r="CP61" t="e">
        <f t="shared" si="130"/>
        <v>#N/A</v>
      </c>
      <c r="CQ61" t="e">
        <f t="shared" si="130"/>
        <v>#N/A</v>
      </c>
      <c r="CR61" t="e">
        <f t="shared" si="130"/>
        <v>#N/A</v>
      </c>
      <c r="CS61" t="e">
        <f t="shared" si="130"/>
        <v>#N/A</v>
      </c>
      <c r="CT61" t="e">
        <f t="shared" si="130"/>
        <v>#N/A</v>
      </c>
      <c r="CU61" t="e">
        <f t="shared" si="130"/>
        <v>#N/A</v>
      </c>
      <c r="CV61" t="e">
        <f t="shared" si="130"/>
        <v>#N/A</v>
      </c>
      <c r="CW61" t="e">
        <f t="shared" si="130"/>
        <v>#N/A</v>
      </c>
      <c r="CX61" t="e">
        <f t="shared" si="130"/>
        <v>#N/A</v>
      </c>
      <c r="CY61" t="e">
        <f t="shared" si="130"/>
        <v>#N/A</v>
      </c>
      <c r="CZ61" t="e">
        <f t="shared" si="130"/>
        <v>#N/A</v>
      </c>
      <c r="DA61" t="e">
        <f t="shared" si="130"/>
        <v>#N/A</v>
      </c>
      <c r="DB61" t="e">
        <f t="shared" si="130"/>
        <v>#N/A</v>
      </c>
      <c r="DC61" t="e">
        <f t="shared" si="130"/>
        <v>#N/A</v>
      </c>
      <c r="DD61" t="e">
        <f t="shared" si="130"/>
        <v>#N/A</v>
      </c>
      <c r="DE61" t="e">
        <f t="shared" si="130"/>
        <v>#N/A</v>
      </c>
      <c r="DF61" t="e">
        <f t="shared" si="130"/>
        <v>#N/A</v>
      </c>
      <c r="DG61" t="e">
        <f t="shared" si="130"/>
        <v>#N/A</v>
      </c>
      <c r="DH61" t="e">
        <f t="shared" si="130"/>
        <v>#N/A</v>
      </c>
      <c r="DI61" t="e">
        <f t="shared" si="130"/>
        <v>#N/A</v>
      </c>
      <c r="DJ61" t="e">
        <f t="shared" si="130"/>
        <v>#N/A</v>
      </c>
      <c r="DK61" t="e">
        <f t="shared" si="130"/>
        <v>#N/A</v>
      </c>
      <c r="DL61" t="e">
        <f t="shared" si="130"/>
        <v>#N/A</v>
      </c>
      <c r="DM61" t="e">
        <f t="shared" si="130"/>
        <v>#N/A</v>
      </c>
      <c r="DN61" t="e">
        <f t="shared" si="130"/>
        <v>#N/A</v>
      </c>
      <c r="DO61" t="e">
        <f t="shared" si="130"/>
        <v>#N/A</v>
      </c>
      <c r="DP61" t="e">
        <f t="shared" si="130"/>
        <v>#N/A</v>
      </c>
      <c r="DQ61" t="e">
        <f t="shared" si="130"/>
        <v>#N/A</v>
      </c>
      <c r="DR61" t="e">
        <f t="shared" si="130"/>
        <v>#N/A</v>
      </c>
      <c r="DS61" t="e">
        <f t="shared" si="130"/>
        <v>#N/A</v>
      </c>
      <c r="DT61" t="e">
        <f t="shared" si="130"/>
        <v>#N/A</v>
      </c>
      <c r="DU61" t="e">
        <f t="shared" si="130"/>
        <v>#N/A</v>
      </c>
      <c r="DV61" t="e">
        <f t="shared" si="130"/>
        <v>#N/A</v>
      </c>
      <c r="DW61" t="e">
        <f t="shared" si="130"/>
        <v>#N/A</v>
      </c>
      <c r="DX61" t="e">
        <f t="shared" si="130"/>
        <v>#N/A</v>
      </c>
      <c r="DY61" t="e">
        <f t="shared" si="130"/>
        <v>#N/A</v>
      </c>
      <c r="DZ61" t="e">
        <f t="shared" si="130"/>
        <v>#N/A</v>
      </c>
      <c r="EA61" t="e">
        <f t="shared" si="130"/>
        <v>#N/A</v>
      </c>
      <c r="EB61" t="e">
        <f t="shared" si="130"/>
        <v>#N/A</v>
      </c>
      <c r="EC61" t="e">
        <f t="shared" si="130"/>
        <v>#N/A</v>
      </c>
      <c r="ED61" t="e">
        <f t="shared" si="130"/>
        <v>#N/A</v>
      </c>
      <c r="EE61" t="e">
        <f t="shared" si="130"/>
        <v>#N/A</v>
      </c>
      <c r="EF61" t="e">
        <f t="shared" si="130"/>
        <v>#N/A</v>
      </c>
      <c r="EG61" t="e">
        <f t="shared" si="130"/>
        <v>#N/A</v>
      </c>
      <c r="EH61" t="e">
        <f t="shared" ref="EH61:GA61" si="131">IF(ISNA(EH51),NA(),EH51*$A61)</f>
        <v>#N/A</v>
      </c>
      <c r="EI61" t="e">
        <f t="shared" si="131"/>
        <v>#N/A</v>
      </c>
      <c r="EJ61" t="e">
        <f t="shared" si="131"/>
        <v>#N/A</v>
      </c>
      <c r="EK61" t="e">
        <f t="shared" si="131"/>
        <v>#N/A</v>
      </c>
      <c r="EL61" t="e">
        <f t="shared" si="131"/>
        <v>#N/A</v>
      </c>
      <c r="EM61" t="e">
        <f t="shared" si="131"/>
        <v>#N/A</v>
      </c>
      <c r="EN61" t="e">
        <f t="shared" si="131"/>
        <v>#N/A</v>
      </c>
      <c r="EO61" t="e">
        <f t="shared" si="131"/>
        <v>#N/A</v>
      </c>
      <c r="EP61" t="e">
        <f t="shared" si="131"/>
        <v>#N/A</v>
      </c>
      <c r="EQ61" t="e">
        <f t="shared" si="131"/>
        <v>#N/A</v>
      </c>
      <c r="ER61" t="e">
        <f t="shared" si="131"/>
        <v>#N/A</v>
      </c>
      <c r="ES61" t="e">
        <f t="shared" si="131"/>
        <v>#N/A</v>
      </c>
      <c r="ET61" t="e">
        <f t="shared" si="131"/>
        <v>#N/A</v>
      </c>
      <c r="EU61" t="e">
        <f t="shared" si="131"/>
        <v>#N/A</v>
      </c>
      <c r="EV61" t="e">
        <f t="shared" si="131"/>
        <v>#N/A</v>
      </c>
      <c r="EW61" t="e">
        <f t="shared" si="131"/>
        <v>#N/A</v>
      </c>
      <c r="EX61" t="e">
        <f t="shared" si="131"/>
        <v>#N/A</v>
      </c>
      <c r="EY61" t="e">
        <f t="shared" si="131"/>
        <v>#N/A</v>
      </c>
      <c r="EZ61" t="e">
        <f t="shared" si="131"/>
        <v>#N/A</v>
      </c>
      <c r="FA61" t="e">
        <f t="shared" si="131"/>
        <v>#N/A</v>
      </c>
      <c r="FB61" t="e">
        <f t="shared" si="131"/>
        <v>#N/A</v>
      </c>
      <c r="FC61" t="e">
        <f t="shared" si="131"/>
        <v>#N/A</v>
      </c>
      <c r="FD61" t="e">
        <f t="shared" si="131"/>
        <v>#N/A</v>
      </c>
      <c r="FE61" t="e">
        <f t="shared" si="131"/>
        <v>#N/A</v>
      </c>
      <c r="FF61" t="e">
        <f t="shared" si="131"/>
        <v>#N/A</v>
      </c>
      <c r="FG61" t="e">
        <f t="shared" si="131"/>
        <v>#N/A</v>
      </c>
      <c r="FH61" t="e">
        <f t="shared" si="131"/>
        <v>#N/A</v>
      </c>
      <c r="FI61" t="e">
        <f t="shared" si="131"/>
        <v>#N/A</v>
      </c>
      <c r="FJ61" t="e">
        <f t="shared" si="131"/>
        <v>#N/A</v>
      </c>
      <c r="FK61" t="e">
        <f t="shared" si="131"/>
        <v>#N/A</v>
      </c>
      <c r="FL61" t="e">
        <f t="shared" si="131"/>
        <v>#N/A</v>
      </c>
      <c r="FM61" t="e">
        <f t="shared" si="131"/>
        <v>#N/A</v>
      </c>
      <c r="FN61" t="e">
        <f t="shared" si="131"/>
        <v>#N/A</v>
      </c>
      <c r="FO61" t="e">
        <f t="shared" si="131"/>
        <v>#N/A</v>
      </c>
      <c r="FP61" t="e">
        <f t="shared" si="131"/>
        <v>#N/A</v>
      </c>
      <c r="FQ61" t="e">
        <f t="shared" si="131"/>
        <v>#N/A</v>
      </c>
      <c r="FR61" t="e">
        <f t="shared" si="131"/>
        <v>#N/A</v>
      </c>
      <c r="FS61" t="e">
        <f t="shared" si="131"/>
        <v>#N/A</v>
      </c>
      <c r="FT61" t="e">
        <f t="shared" si="131"/>
        <v>#N/A</v>
      </c>
      <c r="FU61" t="e">
        <f t="shared" si="131"/>
        <v>#N/A</v>
      </c>
      <c r="FV61" t="e">
        <f t="shared" si="131"/>
        <v>#N/A</v>
      </c>
      <c r="FW61" t="e">
        <f t="shared" si="131"/>
        <v>#N/A</v>
      </c>
      <c r="FX61" t="e">
        <f t="shared" si="131"/>
        <v>#N/A</v>
      </c>
      <c r="FY61" t="e">
        <f t="shared" si="131"/>
        <v>#N/A</v>
      </c>
      <c r="FZ61" t="e">
        <f t="shared" si="131"/>
        <v>#N/A</v>
      </c>
      <c r="GA61" t="e">
        <f t="shared" si="131"/>
        <v>#N/A</v>
      </c>
    </row>
    <row r="62" spans="1:183" x14ac:dyDescent="0.45">
      <c r="A62">
        <f t="shared" si="124"/>
        <v>7</v>
      </c>
      <c r="B62" t="s">
        <v>24</v>
      </c>
      <c r="C62" cm="1">
        <f t="array" ref="C62">LOOKUP(2,1/(I62:GA62&lt;&gt;""),I62:GA62)</f>
        <v>51.66</v>
      </c>
      <c r="D62">
        <f t="shared" si="118"/>
        <v>45</v>
      </c>
      <c r="F62" s="4">
        <f t="shared" si="125"/>
        <v>1.8275862068965518</v>
      </c>
      <c r="G62" s="3" cm="1">
        <f t="array" ref="G62">(C62-IF(ISNA(INDEX(I62:GA62,D62-22)),INDEX(I62:GA62,D62-23),INDEX(I62:GA62,D62-22)))/IF(ISNA(INDEX(I62:GA62,D62-22)),INDEX(I62:GA62,D62-23),INDEX(I62:GA62,D62-22))</f>
        <v>-6.7294751009421543E-3</v>
      </c>
      <c r="I62">
        <f t="shared" si="120"/>
        <v>18.27</v>
      </c>
      <c r="J62">
        <f t="shared" ref="J62:BU62" si="132">IF(ISNA(J52),NA(),J52*$A62)</f>
        <v>19.739999999999998</v>
      </c>
      <c r="K62" t="e">
        <f t="shared" si="132"/>
        <v>#N/A</v>
      </c>
      <c r="L62">
        <f t="shared" si="132"/>
        <v>21.14</v>
      </c>
      <c r="M62" t="e">
        <f t="shared" si="132"/>
        <v>#N/A</v>
      </c>
      <c r="N62">
        <f t="shared" si="132"/>
        <v>23.099999999999998</v>
      </c>
      <c r="O62">
        <f t="shared" si="132"/>
        <v>24.99</v>
      </c>
      <c r="P62">
        <f t="shared" si="132"/>
        <v>32.129999999999995</v>
      </c>
      <c r="Q62">
        <f t="shared" si="132"/>
        <v>34.51</v>
      </c>
      <c r="R62">
        <f t="shared" si="132"/>
        <v>34.51</v>
      </c>
      <c r="S62">
        <f t="shared" si="132"/>
        <v>34.44</v>
      </c>
      <c r="T62">
        <f t="shared" si="132"/>
        <v>40.32</v>
      </c>
      <c r="U62">
        <f t="shared" si="132"/>
        <v>44.73</v>
      </c>
      <c r="V62">
        <f t="shared" si="132"/>
        <v>44.379999999999995</v>
      </c>
      <c r="W62">
        <f t="shared" si="132"/>
        <v>44.52</v>
      </c>
      <c r="X62">
        <f t="shared" si="132"/>
        <v>41.79</v>
      </c>
      <c r="Y62">
        <f t="shared" si="132"/>
        <v>41.44</v>
      </c>
      <c r="Z62">
        <f t="shared" si="132"/>
        <v>41.370000000000005</v>
      </c>
      <c r="AA62">
        <f t="shared" si="132"/>
        <v>45.080000000000005</v>
      </c>
      <c r="AB62">
        <f t="shared" si="132"/>
        <v>49.14</v>
      </c>
      <c r="AC62">
        <f t="shared" si="132"/>
        <v>58.17</v>
      </c>
      <c r="AD62">
        <f t="shared" si="132"/>
        <v>57.399999999999991</v>
      </c>
      <c r="AE62">
        <f t="shared" si="132"/>
        <v>52.01</v>
      </c>
      <c r="AF62">
        <f t="shared" si="132"/>
        <v>49.28</v>
      </c>
      <c r="AG62">
        <f t="shared" si="132"/>
        <v>50.96</v>
      </c>
      <c r="AH62">
        <f t="shared" si="132"/>
        <v>49.21</v>
      </c>
      <c r="AI62">
        <f t="shared" si="132"/>
        <v>51.66</v>
      </c>
      <c r="AJ62">
        <f t="shared" si="132"/>
        <v>51.52</v>
      </c>
      <c r="AK62">
        <f t="shared" si="132"/>
        <v>65.73</v>
      </c>
      <c r="AL62">
        <f t="shared" si="132"/>
        <v>53.550000000000004</v>
      </c>
      <c r="AM62">
        <f t="shared" si="132"/>
        <v>52.57</v>
      </c>
      <c r="AN62" t="e">
        <f t="shared" si="132"/>
        <v>#N/A</v>
      </c>
      <c r="AO62">
        <f t="shared" si="132"/>
        <v>57.19</v>
      </c>
      <c r="AP62">
        <f t="shared" si="132"/>
        <v>53.97</v>
      </c>
      <c r="AQ62">
        <f t="shared" si="132"/>
        <v>52.85</v>
      </c>
      <c r="AR62">
        <f t="shared" si="132"/>
        <v>52.57</v>
      </c>
      <c r="AS62">
        <f t="shared" si="132"/>
        <v>51.66</v>
      </c>
      <c r="AT62" t="e">
        <f t="shared" si="132"/>
        <v>#N/A</v>
      </c>
      <c r="AU62" t="e">
        <f t="shared" si="132"/>
        <v>#N/A</v>
      </c>
      <c r="AV62" t="e">
        <f t="shared" si="132"/>
        <v>#N/A</v>
      </c>
      <c r="AW62" t="e">
        <f t="shared" si="132"/>
        <v>#N/A</v>
      </c>
      <c r="AX62" t="e">
        <f t="shared" si="132"/>
        <v>#N/A</v>
      </c>
      <c r="AY62" t="e">
        <f t="shared" si="132"/>
        <v>#N/A</v>
      </c>
      <c r="AZ62" t="e">
        <f t="shared" si="132"/>
        <v>#N/A</v>
      </c>
      <c r="BA62" t="e">
        <f t="shared" si="132"/>
        <v>#N/A</v>
      </c>
      <c r="BB62" t="e">
        <f t="shared" si="132"/>
        <v>#N/A</v>
      </c>
      <c r="BC62" t="e">
        <f t="shared" si="132"/>
        <v>#N/A</v>
      </c>
      <c r="BD62" t="e">
        <f t="shared" si="132"/>
        <v>#N/A</v>
      </c>
      <c r="BE62" t="e">
        <f t="shared" si="132"/>
        <v>#N/A</v>
      </c>
      <c r="BF62" t="e">
        <f t="shared" si="132"/>
        <v>#N/A</v>
      </c>
      <c r="BG62" t="e">
        <f t="shared" si="132"/>
        <v>#N/A</v>
      </c>
      <c r="BH62" t="e">
        <f t="shared" si="132"/>
        <v>#N/A</v>
      </c>
      <c r="BI62" t="e">
        <f t="shared" si="132"/>
        <v>#N/A</v>
      </c>
      <c r="BJ62" t="e">
        <f t="shared" si="132"/>
        <v>#N/A</v>
      </c>
      <c r="BK62" t="e">
        <f t="shared" si="132"/>
        <v>#N/A</v>
      </c>
      <c r="BL62" t="e">
        <f t="shared" si="132"/>
        <v>#N/A</v>
      </c>
      <c r="BM62" t="e">
        <f t="shared" si="132"/>
        <v>#N/A</v>
      </c>
      <c r="BN62" t="e">
        <f t="shared" si="132"/>
        <v>#N/A</v>
      </c>
      <c r="BO62" t="e">
        <f t="shared" si="132"/>
        <v>#N/A</v>
      </c>
      <c r="BP62" t="e">
        <f t="shared" si="132"/>
        <v>#N/A</v>
      </c>
      <c r="BQ62" t="e">
        <f t="shared" si="132"/>
        <v>#N/A</v>
      </c>
      <c r="BR62" t="e">
        <f t="shared" si="132"/>
        <v>#N/A</v>
      </c>
      <c r="BS62" t="e">
        <f t="shared" si="132"/>
        <v>#N/A</v>
      </c>
      <c r="BT62" t="e">
        <f t="shared" si="132"/>
        <v>#N/A</v>
      </c>
      <c r="BU62" t="e">
        <f t="shared" si="132"/>
        <v>#N/A</v>
      </c>
      <c r="BV62" t="e">
        <f t="shared" ref="BV62:EG62" si="133">IF(ISNA(BV52),NA(),BV52*$A62)</f>
        <v>#N/A</v>
      </c>
      <c r="BW62" t="e">
        <f t="shared" si="133"/>
        <v>#N/A</v>
      </c>
      <c r="BX62" t="e">
        <f t="shared" si="133"/>
        <v>#N/A</v>
      </c>
      <c r="BY62" t="e">
        <f t="shared" si="133"/>
        <v>#N/A</v>
      </c>
      <c r="BZ62" t="e">
        <f t="shared" si="133"/>
        <v>#N/A</v>
      </c>
      <c r="CA62" t="e">
        <f t="shared" si="133"/>
        <v>#N/A</v>
      </c>
      <c r="CB62" t="e">
        <f t="shared" si="133"/>
        <v>#N/A</v>
      </c>
      <c r="CC62" t="e">
        <f t="shared" si="133"/>
        <v>#N/A</v>
      </c>
      <c r="CD62" t="e">
        <f t="shared" si="133"/>
        <v>#N/A</v>
      </c>
      <c r="CE62" t="e">
        <f t="shared" si="133"/>
        <v>#N/A</v>
      </c>
      <c r="CF62" t="e">
        <f t="shared" si="133"/>
        <v>#N/A</v>
      </c>
      <c r="CG62" t="e">
        <f t="shared" si="133"/>
        <v>#N/A</v>
      </c>
      <c r="CH62" t="e">
        <f t="shared" si="133"/>
        <v>#N/A</v>
      </c>
      <c r="CI62" t="e">
        <f t="shared" si="133"/>
        <v>#N/A</v>
      </c>
      <c r="CJ62" t="e">
        <f t="shared" si="133"/>
        <v>#N/A</v>
      </c>
      <c r="CK62" t="e">
        <f t="shared" si="133"/>
        <v>#N/A</v>
      </c>
      <c r="CL62" t="e">
        <f t="shared" si="133"/>
        <v>#N/A</v>
      </c>
      <c r="CM62" t="e">
        <f t="shared" si="133"/>
        <v>#N/A</v>
      </c>
      <c r="CN62" t="e">
        <f t="shared" si="133"/>
        <v>#N/A</v>
      </c>
      <c r="CO62" t="e">
        <f t="shared" si="133"/>
        <v>#N/A</v>
      </c>
      <c r="CP62" t="e">
        <f t="shared" si="133"/>
        <v>#N/A</v>
      </c>
      <c r="CQ62" t="e">
        <f t="shared" si="133"/>
        <v>#N/A</v>
      </c>
      <c r="CR62" t="e">
        <f t="shared" si="133"/>
        <v>#N/A</v>
      </c>
      <c r="CS62" t="e">
        <f t="shared" si="133"/>
        <v>#N/A</v>
      </c>
      <c r="CT62" t="e">
        <f t="shared" si="133"/>
        <v>#N/A</v>
      </c>
      <c r="CU62" t="e">
        <f t="shared" si="133"/>
        <v>#N/A</v>
      </c>
      <c r="CV62" t="e">
        <f t="shared" si="133"/>
        <v>#N/A</v>
      </c>
      <c r="CW62" t="e">
        <f t="shared" si="133"/>
        <v>#N/A</v>
      </c>
      <c r="CX62" t="e">
        <f t="shared" si="133"/>
        <v>#N/A</v>
      </c>
      <c r="CY62" t="e">
        <f t="shared" si="133"/>
        <v>#N/A</v>
      </c>
      <c r="CZ62" t="e">
        <f t="shared" si="133"/>
        <v>#N/A</v>
      </c>
      <c r="DA62" t="e">
        <f t="shared" si="133"/>
        <v>#N/A</v>
      </c>
      <c r="DB62" t="e">
        <f t="shared" si="133"/>
        <v>#N/A</v>
      </c>
      <c r="DC62" t="e">
        <f t="shared" si="133"/>
        <v>#N/A</v>
      </c>
      <c r="DD62" t="e">
        <f t="shared" si="133"/>
        <v>#N/A</v>
      </c>
      <c r="DE62" t="e">
        <f t="shared" si="133"/>
        <v>#N/A</v>
      </c>
      <c r="DF62" t="e">
        <f t="shared" si="133"/>
        <v>#N/A</v>
      </c>
      <c r="DG62" t="e">
        <f t="shared" si="133"/>
        <v>#N/A</v>
      </c>
      <c r="DH62" t="e">
        <f t="shared" si="133"/>
        <v>#N/A</v>
      </c>
      <c r="DI62" t="e">
        <f t="shared" si="133"/>
        <v>#N/A</v>
      </c>
      <c r="DJ62" t="e">
        <f t="shared" si="133"/>
        <v>#N/A</v>
      </c>
      <c r="DK62" t="e">
        <f t="shared" si="133"/>
        <v>#N/A</v>
      </c>
      <c r="DL62" t="e">
        <f t="shared" si="133"/>
        <v>#N/A</v>
      </c>
      <c r="DM62" t="e">
        <f t="shared" si="133"/>
        <v>#N/A</v>
      </c>
      <c r="DN62" t="e">
        <f t="shared" si="133"/>
        <v>#N/A</v>
      </c>
      <c r="DO62" t="e">
        <f t="shared" si="133"/>
        <v>#N/A</v>
      </c>
      <c r="DP62" t="e">
        <f t="shared" si="133"/>
        <v>#N/A</v>
      </c>
      <c r="DQ62" t="e">
        <f t="shared" si="133"/>
        <v>#N/A</v>
      </c>
      <c r="DR62" t="e">
        <f t="shared" si="133"/>
        <v>#N/A</v>
      </c>
      <c r="DS62" t="e">
        <f t="shared" si="133"/>
        <v>#N/A</v>
      </c>
      <c r="DT62" t="e">
        <f t="shared" si="133"/>
        <v>#N/A</v>
      </c>
      <c r="DU62" t="e">
        <f t="shared" si="133"/>
        <v>#N/A</v>
      </c>
      <c r="DV62" t="e">
        <f t="shared" si="133"/>
        <v>#N/A</v>
      </c>
      <c r="DW62" t="e">
        <f t="shared" si="133"/>
        <v>#N/A</v>
      </c>
      <c r="DX62" t="e">
        <f t="shared" si="133"/>
        <v>#N/A</v>
      </c>
      <c r="DY62" t="e">
        <f t="shared" si="133"/>
        <v>#N/A</v>
      </c>
      <c r="DZ62" t="e">
        <f t="shared" si="133"/>
        <v>#N/A</v>
      </c>
      <c r="EA62" t="e">
        <f t="shared" si="133"/>
        <v>#N/A</v>
      </c>
      <c r="EB62" t="e">
        <f t="shared" si="133"/>
        <v>#N/A</v>
      </c>
      <c r="EC62" t="e">
        <f t="shared" si="133"/>
        <v>#N/A</v>
      </c>
      <c r="ED62" t="e">
        <f t="shared" si="133"/>
        <v>#N/A</v>
      </c>
      <c r="EE62" t="e">
        <f t="shared" si="133"/>
        <v>#N/A</v>
      </c>
      <c r="EF62" t="e">
        <f t="shared" si="133"/>
        <v>#N/A</v>
      </c>
      <c r="EG62" t="e">
        <f t="shared" si="133"/>
        <v>#N/A</v>
      </c>
      <c r="EH62" t="e">
        <f t="shared" ref="EH62:GA62" si="134">IF(ISNA(EH52),NA(),EH52*$A62)</f>
        <v>#N/A</v>
      </c>
      <c r="EI62" t="e">
        <f t="shared" si="134"/>
        <v>#N/A</v>
      </c>
      <c r="EJ62" t="e">
        <f t="shared" si="134"/>
        <v>#N/A</v>
      </c>
      <c r="EK62" t="e">
        <f t="shared" si="134"/>
        <v>#N/A</v>
      </c>
      <c r="EL62" t="e">
        <f t="shared" si="134"/>
        <v>#N/A</v>
      </c>
      <c r="EM62" t="e">
        <f t="shared" si="134"/>
        <v>#N/A</v>
      </c>
      <c r="EN62" t="e">
        <f t="shared" si="134"/>
        <v>#N/A</v>
      </c>
      <c r="EO62" t="e">
        <f t="shared" si="134"/>
        <v>#N/A</v>
      </c>
      <c r="EP62" t="e">
        <f t="shared" si="134"/>
        <v>#N/A</v>
      </c>
      <c r="EQ62" t="e">
        <f t="shared" si="134"/>
        <v>#N/A</v>
      </c>
      <c r="ER62" t="e">
        <f t="shared" si="134"/>
        <v>#N/A</v>
      </c>
      <c r="ES62" t="e">
        <f t="shared" si="134"/>
        <v>#N/A</v>
      </c>
      <c r="ET62" t="e">
        <f t="shared" si="134"/>
        <v>#N/A</v>
      </c>
      <c r="EU62" t="e">
        <f t="shared" si="134"/>
        <v>#N/A</v>
      </c>
      <c r="EV62" t="e">
        <f t="shared" si="134"/>
        <v>#N/A</v>
      </c>
      <c r="EW62" t="e">
        <f t="shared" si="134"/>
        <v>#N/A</v>
      </c>
      <c r="EX62" t="e">
        <f t="shared" si="134"/>
        <v>#N/A</v>
      </c>
      <c r="EY62" t="e">
        <f t="shared" si="134"/>
        <v>#N/A</v>
      </c>
      <c r="EZ62" t="e">
        <f t="shared" si="134"/>
        <v>#N/A</v>
      </c>
      <c r="FA62" t="e">
        <f t="shared" si="134"/>
        <v>#N/A</v>
      </c>
      <c r="FB62" t="e">
        <f t="shared" si="134"/>
        <v>#N/A</v>
      </c>
      <c r="FC62" t="e">
        <f t="shared" si="134"/>
        <v>#N/A</v>
      </c>
      <c r="FD62" t="e">
        <f t="shared" si="134"/>
        <v>#N/A</v>
      </c>
      <c r="FE62" t="e">
        <f t="shared" si="134"/>
        <v>#N/A</v>
      </c>
      <c r="FF62" t="e">
        <f t="shared" si="134"/>
        <v>#N/A</v>
      </c>
      <c r="FG62" t="e">
        <f t="shared" si="134"/>
        <v>#N/A</v>
      </c>
      <c r="FH62" t="e">
        <f t="shared" si="134"/>
        <v>#N/A</v>
      </c>
      <c r="FI62" t="e">
        <f t="shared" si="134"/>
        <v>#N/A</v>
      </c>
      <c r="FJ62" t="e">
        <f t="shared" si="134"/>
        <v>#N/A</v>
      </c>
      <c r="FK62" t="e">
        <f t="shared" si="134"/>
        <v>#N/A</v>
      </c>
      <c r="FL62" t="e">
        <f t="shared" si="134"/>
        <v>#N/A</v>
      </c>
      <c r="FM62" t="e">
        <f t="shared" si="134"/>
        <v>#N/A</v>
      </c>
      <c r="FN62" t="e">
        <f t="shared" si="134"/>
        <v>#N/A</v>
      </c>
      <c r="FO62" t="e">
        <f t="shared" si="134"/>
        <v>#N/A</v>
      </c>
      <c r="FP62" t="e">
        <f t="shared" si="134"/>
        <v>#N/A</v>
      </c>
      <c r="FQ62" t="e">
        <f t="shared" si="134"/>
        <v>#N/A</v>
      </c>
      <c r="FR62" t="e">
        <f t="shared" si="134"/>
        <v>#N/A</v>
      </c>
      <c r="FS62" t="e">
        <f t="shared" si="134"/>
        <v>#N/A</v>
      </c>
      <c r="FT62" t="e">
        <f t="shared" si="134"/>
        <v>#N/A</v>
      </c>
      <c r="FU62" t="e">
        <f t="shared" si="134"/>
        <v>#N/A</v>
      </c>
      <c r="FV62" t="e">
        <f t="shared" si="134"/>
        <v>#N/A</v>
      </c>
      <c r="FW62" t="e">
        <f t="shared" si="134"/>
        <v>#N/A</v>
      </c>
      <c r="FX62" t="e">
        <f t="shared" si="134"/>
        <v>#N/A</v>
      </c>
      <c r="FY62" t="e">
        <f t="shared" si="134"/>
        <v>#N/A</v>
      </c>
      <c r="FZ62" t="e">
        <f t="shared" si="134"/>
        <v>#N/A</v>
      </c>
      <c r="GA62" t="e">
        <f t="shared" si="134"/>
        <v>#N/A</v>
      </c>
    </row>
    <row r="63" spans="1:183" x14ac:dyDescent="0.45">
      <c r="A63">
        <f t="shared" si="124"/>
        <v>10</v>
      </c>
      <c r="B63" t="s">
        <v>25</v>
      </c>
      <c r="C63" cm="1">
        <f t="array" ref="C63">LOOKUP(2,1/(I63:GA63&lt;&gt;""),I63:GA63)</f>
        <v>68.3</v>
      </c>
      <c r="D63">
        <f t="shared" si="118"/>
        <v>45</v>
      </c>
      <c r="F63" s="4">
        <f t="shared" si="125"/>
        <v>1.5580524344569286</v>
      </c>
      <c r="G63" s="3" cm="1">
        <f t="array" ref="G63">(C63-IF(ISNA(INDEX(I63:GA63,D63-22)),INDEX(I63:GA63,D63-23),INDEX(I63:GA63,D63-22)))/IF(ISNA(INDEX(I63:GA63,D63-22)),INDEX(I63:GA63,D63-23),INDEX(I63:GA63,D63-22))</f>
        <v>-5.9228650137741014E-2</v>
      </c>
      <c r="I63">
        <f t="shared" si="120"/>
        <v>26.7</v>
      </c>
      <c r="J63">
        <f t="shared" ref="J63:BU63" si="135">IF(ISNA(J53),NA(),J53*$A63)</f>
        <v>26.7</v>
      </c>
      <c r="K63" t="e">
        <f t="shared" si="135"/>
        <v>#N/A</v>
      </c>
      <c r="L63">
        <f t="shared" si="135"/>
        <v>28.799999999999997</v>
      </c>
      <c r="M63" t="e">
        <f t="shared" si="135"/>
        <v>#N/A</v>
      </c>
      <c r="N63">
        <f t="shared" si="135"/>
        <v>32.1</v>
      </c>
      <c r="O63">
        <f t="shared" si="135"/>
        <v>33</v>
      </c>
      <c r="P63">
        <f t="shared" si="135"/>
        <v>42.5</v>
      </c>
      <c r="Q63">
        <f t="shared" si="135"/>
        <v>44</v>
      </c>
      <c r="R63">
        <f t="shared" si="135"/>
        <v>47.199999999999996</v>
      </c>
      <c r="S63">
        <f t="shared" si="135"/>
        <v>46.7</v>
      </c>
      <c r="T63">
        <f t="shared" si="135"/>
        <v>55.599999999999994</v>
      </c>
      <c r="U63">
        <f t="shared" si="135"/>
        <v>58.9</v>
      </c>
      <c r="V63">
        <f t="shared" si="135"/>
        <v>61.5</v>
      </c>
      <c r="W63">
        <f t="shared" si="135"/>
        <v>60.300000000000004</v>
      </c>
      <c r="X63">
        <f t="shared" si="135"/>
        <v>59.699999999999996</v>
      </c>
      <c r="Y63">
        <f t="shared" si="135"/>
        <v>54.3</v>
      </c>
      <c r="Z63">
        <f t="shared" si="135"/>
        <v>51.900000000000006</v>
      </c>
      <c r="AA63">
        <f t="shared" si="135"/>
        <v>59.699999999999996</v>
      </c>
      <c r="AB63">
        <f t="shared" si="135"/>
        <v>66.599999999999994</v>
      </c>
      <c r="AC63">
        <f t="shared" si="135"/>
        <v>72.599999999999994</v>
      </c>
      <c r="AD63">
        <f t="shared" si="135"/>
        <v>85.9</v>
      </c>
      <c r="AE63">
        <f t="shared" si="135"/>
        <v>72.599999999999994</v>
      </c>
      <c r="AF63">
        <f t="shared" si="135"/>
        <v>69.900000000000006</v>
      </c>
      <c r="AG63">
        <f t="shared" si="135"/>
        <v>69.599999999999994</v>
      </c>
      <c r="AH63">
        <f t="shared" si="135"/>
        <v>70</v>
      </c>
      <c r="AI63">
        <f t="shared" si="135"/>
        <v>69.400000000000006</v>
      </c>
      <c r="AJ63">
        <f t="shared" si="135"/>
        <v>68.600000000000009</v>
      </c>
      <c r="AK63">
        <f t="shared" si="135"/>
        <v>74.099999999999994</v>
      </c>
      <c r="AL63">
        <f t="shared" si="135"/>
        <v>78.8</v>
      </c>
      <c r="AM63">
        <f t="shared" si="135"/>
        <v>72.099999999999994</v>
      </c>
      <c r="AN63" t="e">
        <f t="shared" si="135"/>
        <v>#N/A</v>
      </c>
      <c r="AO63">
        <f t="shared" si="135"/>
        <v>69.5</v>
      </c>
      <c r="AP63">
        <f t="shared" si="135"/>
        <v>73.2</v>
      </c>
      <c r="AQ63">
        <f t="shared" si="135"/>
        <v>70.400000000000006</v>
      </c>
      <c r="AR63">
        <f t="shared" si="135"/>
        <v>67.5</v>
      </c>
      <c r="AS63">
        <f t="shared" si="135"/>
        <v>68.3</v>
      </c>
      <c r="AT63" t="e">
        <f t="shared" si="135"/>
        <v>#N/A</v>
      </c>
      <c r="AU63" t="e">
        <f t="shared" si="135"/>
        <v>#N/A</v>
      </c>
      <c r="AV63" t="e">
        <f t="shared" si="135"/>
        <v>#N/A</v>
      </c>
      <c r="AW63" t="e">
        <f t="shared" si="135"/>
        <v>#N/A</v>
      </c>
      <c r="AX63" t="e">
        <f t="shared" si="135"/>
        <v>#N/A</v>
      </c>
      <c r="AY63" t="e">
        <f t="shared" si="135"/>
        <v>#N/A</v>
      </c>
      <c r="AZ63" t="e">
        <f t="shared" si="135"/>
        <v>#N/A</v>
      </c>
      <c r="BA63" t="e">
        <f t="shared" si="135"/>
        <v>#N/A</v>
      </c>
      <c r="BB63" t="e">
        <f t="shared" si="135"/>
        <v>#N/A</v>
      </c>
      <c r="BC63" t="e">
        <f t="shared" si="135"/>
        <v>#N/A</v>
      </c>
      <c r="BD63" t="e">
        <f t="shared" si="135"/>
        <v>#N/A</v>
      </c>
      <c r="BE63" t="e">
        <f t="shared" si="135"/>
        <v>#N/A</v>
      </c>
      <c r="BF63" t="e">
        <f t="shared" si="135"/>
        <v>#N/A</v>
      </c>
      <c r="BG63" t="e">
        <f t="shared" si="135"/>
        <v>#N/A</v>
      </c>
      <c r="BH63" t="e">
        <f t="shared" si="135"/>
        <v>#N/A</v>
      </c>
      <c r="BI63" t="e">
        <f t="shared" si="135"/>
        <v>#N/A</v>
      </c>
      <c r="BJ63" t="e">
        <f t="shared" si="135"/>
        <v>#N/A</v>
      </c>
      <c r="BK63" t="e">
        <f t="shared" si="135"/>
        <v>#N/A</v>
      </c>
      <c r="BL63" t="e">
        <f t="shared" si="135"/>
        <v>#N/A</v>
      </c>
      <c r="BM63" t="e">
        <f t="shared" si="135"/>
        <v>#N/A</v>
      </c>
      <c r="BN63" t="e">
        <f t="shared" si="135"/>
        <v>#N/A</v>
      </c>
      <c r="BO63" t="e">
        <f t="shared" si="135"/>
        <v>#N/A</v>
      </c>
      <c r="BP63" t="e">
        <f t="shared" si="135"/>
        <v>#N/A</v>
      </c>
      <c r="BQ63" t="e">
        <f t="shared" si="135"/>
        <v>#N/A</v>
      </c>
      <c r="BR63" t="e">
        <f t="shared" si="135"/>
        <v>#N/A</v>
      </c>
      <c r="BS63" t="e">
        <f t="shared" si="135"/>
        <v>#N/A</v>
      </c>
      <c r="BT63" t="e">
        <f t="shared" si="135"/>
        <v>#N/A</v>
      </c>
      <c r="BU63" t="e">
        <f t="shared" si="135"/>
        <v>#N/A</v>
      </c>
      <c r="BV63" t="e">
        <f t="shared" ref="BV63:EG63" si="136">IF(ISNA(BV53),NA(),BV53*$A63)</f>
        <v>#N/A</v>
      </c>
      <c r="BW63" t="e">
        <f t="shared" si="136"/>
        <v>#N/A</v>
      </c>
      <c r="BX63" t="e">
        <f t="shared" si="136"/>
        <v>#N/A</v>
      </c>
      <c r="BY63" t="e">
        <f t="shared" si="136"/>
        <v>#N/A</v>
      </c>
      <c r="BZ63" t="e">
        <f t="shared" si="136"/>
        <v>#N/A</v>
      </c>
      <c r="CA63" t="e">
        <f t="shared" si="136"/>
        <v>#N/A</v>
      </c>
      <c r="CB63" t="e">
        <f t="shared" si="136"/>
        <v>#N/A</v>
      </c>
      <c r="CC63" t="e">
        <f t="shared" si="136"/>
        <v>#N/A</v>
      </c>
      <c r="CD63" t="e">
        <f t="shared" si="136"/>
        <v>#N/A</v>
      </c>
      <c r="CE63" t="e">
        <f t="shared" si="136"/>
        <v>#N/A</v>
      </c>
      <c r="CF63" t="e">
        <f t="shared" si="136"/>
        <v>#N/A</v>
      </c>
      <c r="CG63" t="e">
        <f t="shared" si="136"/>
        <v>#N/A</v>
      </c>
      <c r="CH63" t="e">
        <f t="shared" si="136"/>
        <v>#N/A</v>
      </c>
      <c r="CI63" t="e">
        <f t="shared" si="136"/>
        <v>#N/A</v>
      </c>
      <c r="CJ63" t="e">
        <f t="shared" si="136"/>
        <v>#N/A</v>
      </c>
      <c r="CK63" t="e">
        <f t="shared" si="136"/>
        <v>#N/A</v>
      </c>
      <c r="CL63" t="e">
        <f t="shared" si="136"/>
        <v>#N/A</v>
      </c>
      <c r="CM63" t="e">
        <f t="shared" si="136"/>
        <v>#N/A</v>
      </c>
      <c r="CN63" t="e">
        <f t="shared" si="136"/>
        <v>#N/A</v>
      </c>
      <c r="CO63" t="e">
        <f t="shared" si="136"/>
        <v>#N/A</v>
      </c>
      <c r="CP63" t="e">
        <f t="shared" si="136"/>
        <v>#N/A</v>
      </c>
      <c r="CQ63" t="e">
        <f t="shared" si="136"/>
        <v>#N/A</v>
      </c>
      <c r="CR63" t="e">
        <f t="shared" si="136"/>
        <v>#N/A</v>
      </c>
      <c r="CS63" t="e">
        <f t="shared" si="136"/>
        <v>#N/A</v>
      </c>
      <c r="CT63" t="e">
        <f t="shared" si="136"/>
        <v>#N/A</v>
      </c>
      <c r="CU63" t="e">
        <f t="shared" si="136"/>
        <v>#N/A</v>
      </c>
      <c r="CV63" t="e">
        <f t="shared" si="136"/>
        <v>#N/A</v>
      </c>
      <c r="CW63" t="e">
        <f t="shared" si="136"/>
        <v>#N/A</v>
      </c>
      <c r="CX63" t="e">
        <f t="shared" si="136"/>
        <v>#N/A</v>
      </c>
      <c r="CY63" t="e">
        <f t="shared" si="136"/>
        <v>#N/A</v>
      </c>
      <c r="CZ63" t="e">
        <f t="shared" si="136"/>
        <v>#N/A</v>
      </c>
      <c r="DA63" t="e">
        <f t="shared" si="136"/>
        <v>#N/A</v>
      </c>
      <c r="DB63" t="e">
        <f t="shared" si="136"/>
        <v>#N/A</v>
      </c>
      <c r="DC63" t="e">
        <f t="shared" si="136"/>
        <v>#N/A</v>
      </c>
      <c r="DD63" t="e">
        <f t="shared" si="136"/>
        <v>#N/A</v>
      </c>
      <c r="DE63" t="e">
        <f t="shared" si="136"/>
        <v>#N/A</v>
      </c>
      <c r="DF63" t="e">
        <f t="shared" si="136"/>
        <v>#N/A</v>
      </c>
      <c r="DG63" t="e">
        <f t="shared" si="136"/>
        <v>#N/A</v>
      </c>
      <c r="DH63" t="e">
        <f t="shared" si="136"/>
        <v>#N/A</v>
      </c>
      <c r="DI63" t="e">
        <f t="shared" si="136"/>
        <v>#N/A</v>
      </c>
      <c r="DJ63" t="e">
        <f t="shared" si="136"/>
        <v>#N/A</v>
      </c>
      <c r="DK63" t="e">
        <f t="shared" si="136"/>
        <v>#N/A</v>
      </c>
      <c r="DL63" t="e">
        <f t="shared" si="136"/>
        <v>#N/A</v>
      </c>
      <c r="DM63" t="e">
        <f t="shared" si="136"/>
        <v>#N/A</v>
      </c>
      <c r="DN63" t="e">
        <f t="shared" si="136"/>
        <v>#N/A</v>
      </c>
      <c r="DO63" t="e">
        <f t="shared" si="136"/>
        <v>#N/A</v>
      </c>
      <c r="DP63" t="e">
        <f t="shared" si="136"/>
        <v>#N/A</v>
      </c>
      <c r="DQ63" t="e">
        <f t="shared" si="136"/>
        <v>#N/A</v>
      </c>
      <c r="DR63" t="e">
        <f t="shared" si="136"/>
        <v>#N/A</v>
      </c>
      <c r="DS63" t="e">
        <f t="shared" si="136"/>
        <v>#N/A</v>
      </c>
      <c r="DT63" t="e">
        <f t="shared" si="136"/>
        <v>#N/A</v>
      </c>
      <c r="DU63" t="e">
        <f t="shared" si="136"/>
        <v>#N/A</v>
      </c>
      <c r="DV63" t="e">
        <f t="shared" si="136"/>
        <v>#N/A</v>
      </c>
      <c r="DW63" t="e">
        <f t="shared" si="136"/>
        <v>#N/A</v>
      </c>
      <c r="DX63" t="e">
        <f t="shared" si="136"/>
        <v>#N/A</v>
      </c>
      <c r="DY63" t="e">
        <f t="shared" si="136"/>
        <v>#N/A</v>
      </c>
      <c r="DZ63" t="e">
        <f t="shared" si="136"/>
        <v>#N/A</v>
      </c>
      <c r="EA63" t="e">
        <f t="shared" si="136"/>
        <v>#N/A</v>
      </c>
      <c r="EB63" t="e">
        <f t="shared" si="136"/>
        <v>#N/A</v>
      </c>
      <c r="EC63" t="e">
        <f t="shared" si="136"/>
        <v>#N/A</v>
      </c>
      <c r="ED63" t="e">
        <f t="shared" si="136"/>
        <v>#N/A</v>
      </c>
      <c r="EE63" t="e">
        <f t="shared" si="136"/>
        <v>#N/A</v>
      </c>
      <c r="EF63" t="e">
        <f t="shared" si="136"/>
        <v>#N/A</v>
      </c>
      <c r="EG63" t="e">
        <f t="shared" si="136"/>
        <v>#N/A</v>
      </c>
      <c r="EH63" t="e">
        <f t="shared" ref="EH63:GA63" si="137">IF(ISNA(EH53),NA(),EH53*$A63)</f>
        <v>#N/A</v>
      </c>
      <c r="EI63" t="e">
        <f t="shared" si="137"/>
        <v>#N/A</v>
      </c>
      <c r="EJ63" t="e">
        <f t="shared" si="137"/>
        <v>#N/A</v>
      </c>
      <c r="EK63" t="e">
        <f t="shared" si="137"/>
        <v>#N/A</v>
      </c>
      <c r="EL63" t="e">
        <f t="shared" si="137"/>
        <v>#N/A</v>
      </c>
      <c r="EM63" t="e">
        <f t="shared" si="137"/>
        <v>#N/A</v>
      </c>
      <c r="EN63" t="e">
        <f t="shared" si="137"/>
        <v>#N/A</v>
      </c>
      <c r="EO63" t="e">
        <f t="shared" si="137"/>
        <v>#N/A</v>
      </c>
      <c r="EP63" t="e">
        <f t="shared" si="137"/>
        <v>#N/A</v>
      </c>
      <c r="EQ63" t="e">
        <f t="shared" si="137"/>
        <v>#N/A</v>
      </c>
      <c r="ER63" t="e">
        <f t="shared" si="137"/>
        <v>#N/A</v>
      </c>
      <c r="ES63" t="e">
        <f t="shared" si="137"/>
        <v>#N/A</v>
      </c>
      <c r="ET63" t="e">
        <f t="shared" si="137"/>
        <v>#N/A</v>
      </c>
      <c r="EU63" t="e">
        <f t="shared" si="137"/>
        <v>#N/A</v>
      </c>
      <c r="EV63" t="e">
        <f t="shared" si="137"/>
        <v>#N/A</v>
      </c>
      <c r="EW63" t="e">
        <f t="shared" si="137"/>
        <v>#N/A</v>
      </c>
      <c r="EX63" t="e">
        <f t="shared" si="137"/>
        <v>#N/A</v>
      </c>
      <c r="EY63" t="e">
        <f t="shared" si="137"/>
        <v>#N/A</v>
      </c>
      <c r="EZ63" t="e">
        <f t="shared" si="137"/>
        <v>#N/A</v>
      </c>
      <c r="FA63" t="e">
        <f t="shared" si="137"/>
        <v>#N/A</v>
      </c>
      <c r="FB63" t="e">
        <f t="shared" si="137"/>
        <v>#N/A</v>
      </c>
      <c r="FC63" t="e">
        <f t="shared" si="137"/>
        <v>#N/A</v>
      </c>
      <c r="FD63" t="e">
        <f t="shared" si="137"/>
        <v>#N/A</v>
      </c>
      <c r="FE63" t="e">
        <f t="shared" si="137"/>
        <v>#N/A</v>
      </c>
      <c r="FF63" t="e">
        <f t="shared" si="137"/>
        <v>#N/A</v>
      </c>
      <c r="FG63" t="e">
        <f t="shared" si="137"/>
        <v>#N/A</v>
      </c>
      <c r="FH63" t="e">
        <f t="shared" si="137"/>
        <v>#N/A</v>
      </c>
      <c r="FI63" t="e">
        <f t="shared" si="137"/>
        <v>#N/A</v>
      </c>
      <c r="FJ63" t="e">
        <f t="shared" si="137"/>
        <v>#N/A</v>
      </c>
      <c r="FK63" t="e">
        <f t="shared" si="137"/>
        <v>#N/A</v>
      </c>
      <c r="FL63" t="e">
        <f t="shared" si="137"/>
        <v>#N/A</v>
      </c>
      <c r="FM63" t="e">
        <f t="shared" si="137"/>
        <v>#N/A</v>
      </c>
      <c r="FN63" t="e">
        <f t="shared" si="137"/>
        <v>#N/A</v>
      </c>
      <c r="FO63" t="e">
        <f t="shared" si="137"/>
        <v>#N/A</v>
      </c>
      <c r="FP63" t="e">
        <f t="shared" si="137"/>
        <v>#N/A</v>
      </c>
      <c r="FQ63" t="e">
        <f t="shared" si="137"/>
        <v>#N/A</v>
      </c>
      <c r="FR63" t="e">
        <f t="shared" si="137"/>
        <v>#N/A</v>
      </c>
      <c r="FS63" t="e">
        <f t="shared" si="137"/>
        <v>#N/A</v>
      </c>
      <c r="FT63" t="e">
        <f t="shared" si="137"/>
        <v>#N/A</v>
      </c>
      <c r="FU63" t="e">
        <f t="shared" si="137"/>
        <v>#N/A</v>
      </c>
      <c r="FV63" t="e">
        <f t="shared" si="137"/>
        <v>#N/A</v>
      </c>
      <c r="FW63" t="e">
        <f t="shared" si="137"/>
        <v>#N/A</v>
      </c>
      <c r="FX63" t="e">
        <f t="shared" si="137"/>
        <v>#N/A</v>
      </c>
      <c r="FY63" t="e">
        <f t="shared" si="137"/>
        <v>#N/A</v>
      </c>
      <c r="FZ63" t="e">
        <f t="shared" si="137"/>
        <v>#N/A</v>
      </c>
      <c r="GA63" t="e">
        <f t="shared" si="137"/>
        <v>#N/A</v>
      </c>
    </row>
    <row r="64" spans="1:183" x14ac:dyDescent="0.45">
      <c r="A64">
        <f t="shared" si="124"/>
        <v>10</v>
      </c>
      <c r="B64" t="s">
        <v>26</v>
      </c>
      <c r="C64" cm="1">
        <f t="array" ref="C64">LOOKUP(2,1/(I64:GA64&lt;&gt;""),I64:GA64)</f>
        <v>75.099999999999994</v>
      </c>
      <c r="D64">
        <f t="shared" si="118"/>
        <v>45</v>
      </c>
      <c r="F64" s="4">
        <f t="shared" si="125"/>
        <v>1.4225806451612901</v>
      </c>
      <c r="G64" s="3" cm="1">
        <f t="array" ref="G64">(C64-IF(ISNA(INDEX(I64:GA64,D64-22)),INDEX(I64:GA64,D64-23),INDEX(I64:GA64,D64-22)))/IF(ISNA(INDEX(I64:GA64,D64-22)),INDEX(I64:GA64,D64-23),INDEX(I64:GA64,D64-22))</f>
        <v>-3.7179487179487256E-2</v>
      </c>
      <c r="I64">
        <f t="shared" si="120"/>
        <v>31</v>
      </c>
      <c r="J64">
        <f t="shared" ref="J64:BU64" si="138">IF(ISNA(J54),NA(),J54*$A64)</f>
        <v>29.2</v>
      </c>
      <c r="K64" t="e">
        <f t="shared" si="138"/>
        <v>#N/A</v>
      </c>
      <c r="L64">
        <f t="shared" si="138"/>
        <v>29.2</v>
      </c>
      <c r="M64" t="e">
        <f t="shared" si="138"/>
        <v>#N/A</v>
      </c>
      <c r="N64">
        <f t="shared" si="138"/>
        <v>35.4</v>
      </c>
      <c r="O64">
        <f t="shared" si="138"/>
        <v>38.199999999999996</v>
      </c>
      <c r="P64">
        <f t="shared" si="138"/>
        <v>44.2</v>
      </c>
      <c r="Q64">
        <f t="shared" si="138"/>
        <v>49.2</v>
      </c>
      <c r="R64">
        <f t="shared" si="138"/>
        <v>53.4</v>
      </c>
      <c r="S64">
        <f t="shared" si="138"/>
        <v>53.9</v>
      </c>
      <c r="T64">
        <f t="shared" si="138"/>
        <v>59.699999999999996</v>
      </c>
      <c r="U64">
        <f t="shared" si="138"/>
        <v>64</v>
      </c>
      <c r="V64">
        <f t="shared" si="138"/>
        <v>62.400000000000006</v>
      </c>
      <c r="W64">
        <f t="shared" si="138"/>
        <v>61.5</v>
      </c>
      <c r="X64">
        <f t="shared" si="138"/>
        <v>57</v>
      </c>
      <c r="Y64">
        <f t="shared" si="138"/>
        <v>56.6</v>
      </c>
      <c r="Z64">
        <f t="shared" si="138"/>
        <v>58.8</v>
      </c>
      <c r="AA64">
        <f t="shared" si="138"/>
        <v>65.8</v>
      </c>
      <c r="AB64">
        <f t="shared" si="138"/>
        <v>67.900000000000006</v>
      </c>
      <c r="AC64">
        <f t="shared" si="138"/>
        <v>75.599999999999994</v>
      </c>
      <c r="AD64">
        <f t="shared" si="138"/>
        <v>81.300000000000011</v>
      </c>
      <c r="AE64">
        <f t="shared" si="138"/>
        <v>78</v>
      </c>
      <c r="AF64">
        <f t="shared" si="138"/>
        <v>72.099999999999994</v>
      </c>
      <c r="AG64">
        <f t="shared" si="138"/>
        <v>76.3</v>
      </c>
      <c r="AH64">
        <f t="shared" si="138"/>
        <v>75.3</v>
      </c>
      <c r="AI64">
        <f t="shared" si="138"/>
        <v>75.3</v>
      </c>
      <c r="AJ64">
        <f t="shared" si="138"/>
        <v>73.600000000000009</v>
      </c>
      <c r="AK64">
        <f t="shared" si="138"/>
        <v>93.800000000000011</v>
      </c>
      <c r="AL64">
        <f t="shared" si="138"/>
        <v>91.899999999999991</v>
      </c>
      <c r="AM64">
        <f t="shared" si="138"/>
        <v>87.5</v>
      </c>
      <c r="AN64" t="e">
        <f t="shared" si="138"/>
        <v>#N/A</v>
      </c>
      <c r="AO64">
        <f t="shared" si="138"/>
        <v>83.4</v>
      </c>
      <c r="AP64">
        <f t="shared" si="138"/>
        <v>77.699999999999989</v>
      </c>
      <c r="AQ64">
        <f t="shared" si="138"/>
        <v>78.600000000000009</v>
      </c>
      <c r="AR64">
        <f t="shared" si="138"/>
        <v>79.3</v>
      </c>
      <c r="AS64">
        <f t="shared" si="138"/>
        <v>75.099999999999994</v>
      </c>
      <c r="AT64" t="e">
        <f t="shared" si="138"/>
        <v>#N/A</v>
      </c>
      <c r="AU64" t="e">
        <f t="shared" si="138"/>
        <v>#N/A</v>
      </c>
      <c r="AV64" t="e">
        <f t="shared" si="138"/>
        <v>#N/A</v>
      </c>
      <c r="AW64" t="e">
        <f t="shared" si="138"/>
        <v>#N/A</v>
      </c>
      <c r="AX64" t="e">
        <f t="shared" si="138"/>
        <v>#N/A</v>
      </c>
      <c r="AY64" t="e">
        <f t="shared" si="138"/>
        <v>#N/A</v>
      </c>
      <c r="AZ64" t="e">
        <f t="shared" si="138"/>
        <v>#N/A</v>
      </c>
      <c r="BA64" t="e">
        <f t="shared" si="138"/>
        <v>#N/A</v>
      </c>
      <c r="BB64" t="e">
        <f t="shared" si="138"/>
        <v>#N/A</v>
      </c>
      <c r="BC64" t="e">
        <f t="shared" si="138"/>
        <v>#N/A</v>
      </c>
      <c r="BD64" t="e">
        <f t="shared" si="138"/>
        <v>#N/A</v>
      </c>
      <c r="BE64" t="e">
        <f t="shared" si="138"/>
        <v>#N/A</v>
      </c>
      <c r="BF64" t="e">
        <f t="shared" si="138"/>
        <v>#N/A</v>
      </c>
      <c r="BG64" t="e">
        <f t="shared" si="138"/>
        <v>#N/A</v>
      </c>
      <c r="BH64" t="e">
        <f t="shared" si="138"/>
        <v>#N/A</v>
      </c>
      <c r="BI64" t="e">
        <f t="shared" si="138"/>
        <v>#N/A</v>
      </c>
      <c r="BJ64" t="e">
        <f t="shared" si="138"/>
        <v>#N/A</v>
      </c>
      <c r="BK64" t="e">
        <f t="shared" si="138"/>
        <v>#N/A</v>
      </c>
      <c r="BL64" t="e">
        <f t="shared" si="138"/>
        <v>#N/A</v>
      </c>
      <c r="BM64" t="e">
        <f t="shared" si="138"/>
        <v>#N/A</v>
      </c>
      <c r="BN64" t="e">
        <f t="shared" si="138"/>
        <v>#N/A</v>
      </c>
      <c r="BO64" t="e">
        <f t="shared" si="138"/>
        <v>#N/A</v>
      </c>
      <c r="BP64" t="e">
        <f t="shared" si="138"/>
        <v>#N/A</v>
      </c>
      <c r="BQ64" t="e">
        <f t="shared" si="138"/>
        <v>#N/A</v>
      </c>
      <c r="BR64" t="e">
        <f t="shared" si="138"/>
        <v>#N/A</v>
      </c>
      <c r="BS64" t="e">
        <f t="shared" si="138"/>
        <v>#N/A</v>
      </c>
      <c r="BT64" t="e">
        <f t="shared" si="138"/>
        <v>#N/A</v>
      </c>
      <c r="BU64" t="e">
        <f t="shared" si="138"/>
        <v>#N/A</v>
      </c>
      <c r="BV64" t="e">
        <f t="shared" ref="BV64:EG64" si="139">IF(ISNA(BV54),NA(),BV54*$A64)</f>
        <v>#N/A</v>
      </c>
      <c r="BW64" t="e">
        <f t="shared" si="139"/>
        <v>#N/A</v>
      </c>
      <c r="BX64" t="e">
        <f t="shared" si="139"/>
        <v>#N/A</v>
      </c>
      <c r="BY64" t="e">
        <f t="shared" si="139"/>
        <v>#N/A</v>
      </c>
      <c r="BZ64" t="e">
        <f t="shared" si="139"/>
        <v>#N/A</v>
      </c>
      <c r="CA64" t="e">
        <f t="shared" si="139"/>
        <v>#N/A</v>
      </c>
      <c r="CB64" t="e">
        <f t="shared" si="139"/>
        <v>#N/A</v>
      </c>
      <c r="CC64" t="e">
        <f t="shared" si="139"/>
        <v>#N/A</v>
      </c>
      <c r="CD64" t="e">
        <f t="shared" si="139"/>
        <v>#N/A</v>
      </c>
      <c r="CE64" t="e">
        <f t="shared" si="139"/>
        <v>#N/A</v>
      </c>
      <c r="CF64" t="e">
        <f t="shared" si="139"/>
        <v>#N/A</v>
      </c>
      <c r="CG64" t="e">
        <f t="shared" si="139"/>
        <v>#N/A</v>
      </c>
      <c r="CH64" t="e">
        <f t="shared" si="139"/>
        <v>#N/A</v>
      </c>
      <c r="CI64" t="e">
        <f t="shared" si="139"/>
        <v>#N/A</v>
      </c>
      <c r="CJ64" t="e">
        <f t="shared" si="139"/>
        <v>#N/A</v>
      </c>
      <c r="CK64" t="e">
        <f t="shared" si="139"/>
        <v>#N/A</v>
      </c>
      <c r="CL64" t="e">
        <f t="shared" si="139"/>
        <v>#N/A</v>
      </c>
      <c r="CM64" t="e">
        <f t="shared" si="139"/>
        <v>#N/A</v>
      </c>
      <c r="CN64" t="e">
        <f t="shared" si="139"/>
        <v>#N/A</v>
      </c>
      <c r="CO64" t="e">
        <f t="shared" si="139"/>
        <v>#N/A</v>
      </c>
      <c r="CP64" t="e">
        <f t="shared" si="139"/>
        <v>#N/A</v>
      </c>
      <c r="CQ64" t="e">
        <f t="shared" si="139"/>
        <v>#N/A</v>
      </c>
      <c r="CR64" t="e">
        <f t="shared" si="139"/>
        <v>#N/A</v>
      </c>
      <c r="CS64" t="e">
        <f t="shared" si="139"/>
        <v>#N/A</v>
      </c>
      <c r="CT64" t="e">
        <f t="shared" si="139"/>
        <v>#N/A</v>
      </c>
      <c r="CU64" t="e">
        <f t="shared" si="139"/>
        <v>#N/A</v>
      </c>
      <c r="CV64" t="e">
        <f t="shared" si="139"/>
        <v>#N/A</v>
      </c>
      <c r="CW64" t="e">
        <f t="shared" si="139"/>
        <v>#N/A</v>
      </c>
      <c r="CX64" t="e">
        <f t="shared" si="139"/>
        <v>#N/A</v>
      </c>
      <c r="CY64" t="e">
        <f t="shared" si="139"/>
        <v>#N/A</v>
      </c>
      <c r="CZ64" t="e">
        <f t="shared" si="139"/>
        <v>#N/A</v>
      </c>
      <c r="DA64" t="e">
        <f t="shared" si="139"/>
        <v>#N/A</v>
      </c>
      <c r="DB64" t="e">
        <f t="shared" si="139"/>
        <v>#N/A</v>
      </c>
      <c r="DC64" t="e">
        <f t="shared" si="139"/>
        <v>#N/A</v>
      </c>
      <c r="DD64" t="e">
        <f t="shared" si="139"/>
        <v>#N/A</v>
      </c>
      <c r="DE64" t="e">
        <f t="shared" si="139"/>
        <v>#N/A</v>
      </c>
      <c r="DF64" t="e">
        <f t="shared" si="139"/>
        <v>#N/A</v>
      </c>
      <c r="DG64" t="e">
        <f t="shared" si="139"/>
        <v>#N/A</v>
      </c>
      <c r="DH64" t="e">
        <f t="shared" si="139"/>
        <v>#N/A</v>
      </c>
      <c r="DI64" t="e">
        <f t="shared" si="139"/>
        <v>#N/A</v>
      </c>
      <c r="DJ64" t="e">
        <f t="shared" si="139"/>
        <v>#N/A</v>
      </c>
      <c r="DK64" t="e">
        <f t="shared" si="139"/>
        <v>#N/A</v>
      </c>
      <c r="DL64" t="e">
        <f t="shared" si="139"/>
        <v>#N/A</v>
      </c>
      <c r="DM64" t="e">
        <f t="shared" si="139"/>
        <v>#N/A</v>
      </c>
      <c r="DN64" t="e">
        <f t="shared" si="139"/>
        <v>#N/A</v>
      </c>
      <c r="DO64" t="e">
        <f t="shared" si="139"/>
        <v>#N/A</v>
      </c>
      <c r="DP64" t="e">
        <f t="shared" si="139"/>
        <v>#N/A</v>
      </c>
      <c r="DQ64" t="e">
        <f t="shared" si="139"/>
        <v>#N/A</v>
      </c>
      <c r="DR64" t="e">
        <f t="shared" si="139"/>
        <v>#N/A</v>
      </c>
      <c r="DS64" t="e">
        <f t="shared" si="139"/>
        <v>#N/A</v>
      </c>
      <c r="DT64" t="e">
        <f t="shared" si="139"/>
        <v>#N/A</v>
      </c>
      <c r="DU64" t="e">
        <f t="shared" si="139"/>
        <v>#N/A</v>
      </c>
      <c r="DV64" t="e">
        <f t="shared" si="139"/>
        <v>#N/A</v>
      </c>
      <c r="DW64" t="e">
        <f t="shared" si="139"/>
        <v>#N/A</v>
      </c>
      <c r="DX64" t="e">
        <f t="shared" si="139"/>
        <v>#N/A</v>
      </c>
      <c r="DY64" t="e">
        <f t="shared" si="139"/>
        <v>#N/A</v>
      </c>
      <c r="DZ64" t="e">
        <f t="shared" si="139"/>
        <v>#N/A</v>
      </c>
      <c r="EA64" t="e">
        <f t="shared" si="139"/>
        <v>#N/A</v>
      </c>
      <c r="EB64" t="e">
        <f t="shared" si="139"/>
        <v>#N/A</v>
      </c>
      <c r="EC64" t="e">
        <f t="shared" si="139"/>
        <v>#N/A</v>
      </c>
      <c r="ED64" t="e">
        <f t="shared" si="139"/>
        <v>#N/A</v>
      </c>
      <c r="EE64" t="e">
        <f t="shared" si="139"/>
        <v>#N/A</v>
      </c>
      <c r="EF64" t="e">
        <f t="shared" si="139"/>
        <v>#N/A</v>
      </c>
      <c r="EG64" t="e">
        <f t="shared" si="139"/>
        <v>#N/A</v>
      </c>
      <c r="EH64" t="e">
        <f t="shared" ref="EH64:GA64" si="140">IF(ISNA(EH54),NA(),EH54*$A64)</f>
        <v>#N/A</v>
      </c>
      <c r="EI64" t="e">
        <f t="shared" si="140"/>
        <v>#N/A</v>
      </c>
      <c r="EJ64" t="e">
        <f t="shared" si="140"/>
        <v>#N/A</v>
      </c>
      <c r="EK64" t="e">
        <f t="shared" si="140"/>
        <v>#N/A</v>
      </c>
      <c r="EL64" t="e">
        <f t="shared" si="140"/>
        <v>#N/A</v>
      </c>
      <c r="EM64" t="e">
        <f t="shared" si="140"/>
        <v>#N/A</v>
      </c>
      <c r="EN64" t="e">
        <f t="shared" si="140"/>
        <v>#N/A</v>
      </c>
      <c r="EO64" t="e">
        <f t="shared" si="140"/>
        <v>#N/A</v>
      </c>
      <c r="EP64" t="e">
        <f t="shared" si="140"/>
        <v>#N/A</v>
      </c>
      <c r="EQ64" t="e">
        <f t="shared" si="140"/>
        <v>#N/A</v>
      </c>
      <c r="ER64" t="e">
        <f t="shared" si="140"/>
        <v>#N/A</v>
      </c>
      <c r="ES64" t="e">
        <f t="shared" si="140"/>
        <v>#N/A</v>
      </c>
      <c r="ET64" t="e">
        <f t="shared" si="140"/>
        <v>#N/A</v>
      </c>
      <c r="EU64" t="e">
        <f t="shared" si="140"/>
        <v>#N/A</v>
      </c>
      <c r="EV64" t="e">
        <f t="shared" si="140"/>
        <v>#N/A</v>
      </c>
      <c r="EW64" t="e">
        <f t="shared" si="140"/>
        <v>#N/A</v>
      </c>
      <c r="EX64" t="e">
        <f t="shared" si="140"/>
        <v>#N/A</v>
      </c>
      <c r="EY64" t="e">
        <f t="shared" si="140"/>
        <v>#N/A</v>
      </c>
      <c r="EZ64" t="e">
        <f t="shared" si="140"/>
        <v>#N/A</v>
      </c>
      <c r="FA64" t="e">
        <f t="shared" si="140"/>
        <v>#N/A</v>
      </c>
      <c r="FB64" t="e">
        <f t="shared" si="140"/>
        <v>#N/A</v>
      </c>
      <c r="FC64" t="e">
        <f t="shared" si="140"/>
        <v>#N/A</v>
      </c>
      <c r="FD64" t="e">
        <f t="shared" si="140"/>
        <v>#N/A</v>
      </c>
      <c r="FE64" t="e">
        <f t="shared" si="140"/>
        <v>#N/A</v>
      </c>
      <c r="FF64" t="e">
        <f t="shared" si="140"/>
        <v>#N/A</v>
      </c>
      <c r="FG64" t="e">
        <f t="shared" si="140"/>
        <v>#N/A</v>
      </c>
      <c r="FH64" t="e">
        <f t="shared" si="140"/>
        <v>#N/A</v>
      </c>
      <c r="FI64" t="e">
        <f t="shared" si="140"/>
        <v>#N/A</v>
      </c>
      <c r="FJ64" t="e">
        <f t="shared" si="140"/>
        <v>#N/A</v>
      </c>
      <c r="FK64" t="e">
        <f t="shared" si="140"/>
        <v>#N/A</v>
      </c>
      <c r="FL64" t="e">
        <f t="shared" si="140"/>
        <v>#N/A</v>
      </c>
      <c r="FM64" t="e">
        <f t="shared" si="140"/>
        <v>#N/A</v>
      </c>
      <c r="FN64" t="e">
        <f t="shared" si="140"/>
        <v>#N/A</v>
      </c>
      <c r="FO64" t="e">
        <f t="shared" si="140"/>
        <v>#N/A</v>
      </c>
      <c r="FP64" t="e">
        <f t="shared" si="140"/>
        <v>#N/A</v>
      </c>
      <c r="FQ64" t="e">
        <f t="shared" si="140"/>
        <v>#N/A</v>
      </c>
      <c r="FR64" t="e">
        <f t="shared" si="140"/>
        <v>#N/A</v>
      </c>
      <c r="FS64" t="e">
        <f t="shared" si="140"/>
        <v>#N/A</v>
      </c>
      <c r="FT64" t="e">
        <f t="shared" si="140"/>
        <v>#N/A</v>
      </c>
      <c r="FU64" t="e">
        <f t="shared" si="140"/>
        <v>#N/A</v>
      </c>
      <c r="FV64" t="e">
        <f t="shared" si="140"/>
        <v>#N/A</v>
      </c>
      <c r="FW64" t="e">
        <f t="shared" si="140"/>
        <v>#N/A</v>
      </c>
      <c r="FX64" t="e">
        <f t="shared" si="140"/>
        <v>#N/A</v>
      </c>
      <c r="FY64" t="e">
        <f t="shared" si="140"/>
        <v>#N/A</v>
      </c>
      <c r="FZ64" t="e">
        <f t="shared" si="140"/>
        <v>#N/A</v>
      </c>
      <c r="GA64" t="e">
        <f t="shared" si="140"/>
        <v>#N/A</v>
      </c>
    </row>
    <row r="65" spans="1:183" x14ac:dyDescent="0.45">
      <c r="A65">
        <f t="shared" si="124"/>
        <v>6</v>
      </c>
      <c r="B65" t="s">
        <v>27</v>
      </c>
      <c r="C65" cm="1">
        <f t="array" ref="C65">LOOKUP(2,1/(I65:GA65&lt;&gt;""),I65:GA65)</f>
        <v>41.46</v>
      </c>
      <c r="D65">
        <f t="shared" si="118"/>
        <v>45</v>
      </c>
      <c r="F65" s="4">
        <f t="shared" si="125"/>
        <v>1.5977443609022555</v>
      </c>
      <c r="G65" s="3" cm="1">
        <f t="array" ref="G65">(C65-IF(ISNA(INDEX(I65:GA65,D65-22)),INDEX(I65:GA65,D65-23),INDEX(I65:GA65,D65-22)))/IF(ISNA(INDEX(I65:GA65,D65-22)),INDEX(I65:GA65,D65-23),INDEX(I65:GA65,D65-22))</f>
        <v>-3.3566433566433677E-2</v>
      </c>
      <c r="I65">
        <f t="shared" si="120"/>
        <v>15.96</v>
      </c>
      <c r="J65">
        <f t="shared" ref="J65:BU65" si="141">IF(ISNA(J55),NA(),J55*$A65)</f>
        <v>15.48</v>
      </c>
      <c r="K65" t="e">
        <f t="shared" si="141"/>
        <v>#N/A</v>
      </c>
      <c r="L65">
        <f t="shared" si="141"/>
        <v>17.82</v>
      </c>
      <c r="M65" t="e">
        <f t="shared" si="141"/>
        <v>#N/A</v>
      </c>
      <c r="N65">
        <f t="shared" si="141"/>
        <v>19.919999999999998</v>
      </c>
      <c r="O65">
        <f t="shared" si="141"/>
        <v>20.28</v>
      </c>
      <c r="P65">
        <f t="shared" si="141"/>
        <v>30.18</v>
      </c>
      <c r="Q65">
        <f t="shared" si="141"/>
        <v>32.46</v>
      </c>
      <c r="R65">
        <f t="shared" si="141"/>
        <v>27.299999999999997</v>
      </c>
      <c r="S65">
        <f t="shared" si="141"/>
        <v>29.58</v>
      </c>
      <c r="T65">
        <f t="shared" si="141"/>
        <v>33.660000000000004</v>
      </c>
      <c r="U65">
        <f t="shared" si="141"/>
        <v>36.54</v>
      </c>
      <c r="V65">
        <f t="shared" si="141"/>
        <v>38.28</v>
      </c>
      <c r="W65">
        <f t="shared" si="141"/>
        <v>35.400000000000006</v>
      </c>
      <c r="X65">
        <f t="shared" si="141"/>
        <v>34.019999999999996</v>
      </c>
      <c r="Y65">
        <f t="shared" si="141"/>
        <v>31.200000000000003</v>
      </c>
      <c r="Z65">
        <f t="shared" si="141"/>
        <v>31.68</v>
      </c>
      <c r="AA65">
        <f t="shared" si="141"/>
        <v>35.519999999999996</v>
      </c>
      <c r="AB65">
        <f t="shared" si="141"/>
        <v>43.56</v>
      </c>
      <c r="AC65">
        <f t="shared" si="141"/>
        <v>43.74</v>
      </c>
      <c r="AD65">
        <f t="shared" si="141"/>
        <v>49.92</v>
      </c>
      <c r="AE65">
        <f t="shared" si="141"/>
        <v>42.900000000000006</v>
      </c>
      <c r="AF65">
        <f t="shared" si="141"/>
        <v>41.76</v>
      </c>
      <c r="AG65">
        <f t="shared" si="141"/>
        <v>40.980000000000004</v>
      </c>
      <c r="AH65">
        <f t="shared" si="141"/>
        <v>42.480000000000004</v>
      </c>
      <c r="AI65">
        <f t="shared" si="141"/>
        <v>42.96</v>
      </c>
      <c r="AJ65">
        <f t="shared" si="141"/>
        <v>43.019999999999996</v>
      </c>
      <c r="AK65">
        <f t="shared" si="141"/>
        <v>43.5</v>
      </c>
      <c r="AL65">
        <f t="shared" si="141"/>
        <v>46.86</v>
      </c>
      <c r="AM65">
        <f t="shared" si="141"/>
        <v>42.839999999999996</v>
      </c>
      <c r="AN65" t="e">
        <f t="shared" si="141"/>
        <v>#N/A</v>
      </c>
      <c r="AO65">
        <f t="shared" si="141"/>
        <v>43.019999999999996</v>
      </c>
      <c r="AP65">
        <f t="shared" si="141"/>
        <v>41.04</v>
      </c>
      <c r="AQ65">
        <f t="shared" si="141"/>
        <v>41.7</v>
      </c>
      <c r="AR65">
        <f t="shared" si="141"/>
        <v>42.78</v>
      </c>
      <c r="AS65">
        <f t="shared" si="141"/>
        <v>41.46</v>
      </c>
      <c r="AT65" t="e">
        <f t="shared" si="141"/>
        <v>#N/A</v>
      </c>
      <c r="AU65" t="e">
        <f t="shared" si="141"/>
        <v>#N/A</v>
      </c>
      <c r="AV65" t="e">
        <f t="shared" si="141"/>
        <v>#N/A</v>
      </c>
      <c r="AW65" t="e">
        <f t="shared" si="141"/>
        <v>#N/A</v>
      </c>
      <c r="AX65" t="e">
        <f t="shared" si="141"/>
        <v>#N/A</v>
      </c>
      <c r="AY65" t="e">
        <f t="shared" si="141"/>
        <v>#N/A</v>
      </c>
      <c r="AZ65" t="e">
        <f t="shared" si="141"/>
        <v>#N/A</v>
      </c>
      <c r="BA65" t="e">
        <f t="shared" si="141"/>
        <v>#N/A</v>
      </c>
      <c r="BB65" t="e">
        <f t="shared" si="141"/>
        <v>#N/A</v>
      </c>
      <c r="BC65" t="e">
        <f t="shared" si="141"/>
        <v>#N/A</v>
      </c>
      <c r="BD65" t="e">
        <f t="shared" si="141"/>
        <v>#N/A</v>
      </c>
      <c r="BE65" t="e">
        <f t="shared" si="141"/>
        <v>#N/A</v>
      </c>
      <c r="BF65" t="e">
        <f t="shared" si="141"/>
        <v>#N/A</v>
      </c>
      <c r="BG65" t="e">
        <f t="shared" si="141"/>
        <v>#N/A</v>
      </c>
      <c r="BH65" t="e">
        <f t="shared" si="141"/>
        <v>#N/A</v>
      </c>
      <c r="BI65" t="e">
        <f t="shared" si="141"/>
        <v>#N/A</v>
      </c>
      <c r="BJ65" t="e">
        <f t="shared" si="141"/>
        <v>#N/A</v>
      </c>
      <c r="BK65" t="e">
        <f t="shared" si="141"/>
        <v>#N/A</v>
      </c>
      <c r="BL65" t="e">
        <f t="shared" si="141"/>
        <v>#N/A</v>
      </c>
      <c r="BM65" t="e">
        <f t="shared" si="141"/>
        <v>#N/A</v>
      </c>
      <c r="BN65" t="e">
        <f t="shared" si="141"/>
        <v>#N/A</v>
      </c>
      <c r="BO65" t="e">
        <f t="shared" si="141"/>
        <v>#N/A</v>
      </c>
      <c r="BP65" t="e">
        <f t="shared" si="141"/>
        <v>#N/A</v>
      </c>
      <c r="BQ65" t="e">
        <f t="shared" si="141"/>
        <v>#N/A</v>
      </c>
      <c r="BR65" t="e">
        <f t="shared" si="141"/>
        <v>#N/A</v>
      </c>
      <c r="BS65" t="e">
        <f t="shared" si="141"/>
        <v>#N/A</v>
      </c>
      <c r="BT65" t="e">
        <f t="shared" si="141"/>
        <v>#N/A</v>
      </c>
      <c r="BU65" t="e">
        <f t="shared" si="141"/>
        <v>#N/A</v>
      </c>
      <c r="BV65" t="e">
        <f t="shared" ref="BV65:EG65" si="142">IF(ISNA(BV55),NA(),BV55*$A65)</f>
        <v>#N/A</v>
      </c>
      <c r="BW65" t="e">
        <f t="shared" si="142"/>
        <v>#N/A</v>
      </c>
      <c r="BX65" t="e">
        <f t="shared" si="142"/>
        <v>#N/A</v>
      </c>
      <c r="BY65" t="e">
        <f t="shared" si="142"/>
        <v>#N/A</v>
      </c>
      <c r="BZ65" t="e">
        <f t="shared" si="142"/>
        <v>#N/A</v>
      </c>
      <c r="CA65" t="e">
        <f t="shared" si="142"/>
        <v>#N/A</v>
      </c>
      <c r="CB65" t="e">
        <f t="shared" si="142"/>
        <v>#N/A</v>
      </c>
      <c r="CC65" t="e">
        <f t="shared" si="142"/>
        <v>#N/A</v>
      </c>
      <c r="CD65" t="e">
        <f t="shared" si="142"/>
        <v>#N/A</v>
      </c>
      <c r="CE65" t="e">
        <f t="shared" si="142"/>
        <v>#N/A</v>
      </c>
      <c r="CF65" t="e">
        <f t="shared" si="142"/>
        <v>#N/A</v>
      </c>
      <c r="CG65" t="e">
        <f t="shared" si="142"/>
        <v>#N/A</v>
      </c>
      <c r="CH65" t="e">
        <f t="shared" si="142"/>
        <v>#N/A</v>
      </c>
      <c r="CI65" t="e">
        <f t="shared" si="142"/>
        <v>#N/A</v>
      </c>
      <c r="CJ65" t="e">
        <f t="shared" si="142"/>
        <v>#N/A</v>
      </c>
      <c r="CK65" t="e">
        <f t="shared" si="142"/>
        <v>#N/A</v>
      </c>
      <c r="CL65" t="e">
        <f t="shared" si="142"/>
        <v>#N/A</v>
      </c>
      <c r="CM65" t="e">
        <f t="shared" si="142"/>
        <v>#N/A</v>
      </c>
      <c r="CN65" t="e">
        <f t="shared" si="142"/>
        <v>#N/A</v>
      </c>
      <c r="CO65" t="e">
        <f t="shared" si="142"/>
        <v>#N/A</v>
      </c>
      <c r="CP65" t="e">
        <f t="shared" si="142"/>
        <v>#N/A</v>
      </c>
      <c r="CQ65" t="e">
        <f t="shared" si="142"/>
        <v>#N/A</v>
      </c>
      <c r="CR65" t="e">
        <f t="shared" si="142"/>
        <v>#N/A</v>
      </c>
      <c r="CS65" t="e">
        <f t="shared" si="142"/>
        <v>#N/A</v>
      </c>
      <c r="CT65" t="e">
        <f t="shared" si="142"/>
        <v>#N/A</v>
      </c>
      <c r="CU65" t="e">
        <f t="shared" si="142"/>
        <v>#N/A</v>
      </c>
      <c r="CV65" t="e">
        <f t="shared" si="142"/>
        <v>#N/A</v>
      </c>
      <c r="CW65" t="e">
        <f t="shared" si="142"/>
        <v>#N/A</v>
      </c>
      <c r="CX65" t="e">
        <f t="shared" si="142"/>
        <v>#N/A</v>
      </c>
      <c r="CY65" t="e">
        <f t="shared" si="142"/>
        <v>#N/A</v>
      </c>
      <c r="CZ65" t="e">
        <f t="shared" si="142"/>
        <v>#N/A</v>
      </c>
      <c r="DA65" t="e">
        <f t="shared" si="142"/>
        <v>#N/A</v>
      </c>
      <c r="DB65" t="e">
        <f t="shared" si="142"/>
        <v>#N/A</v>
      </c>
      <c r="DC65" t="e">
        <f t="shared" si="142"/>
        <v>#N/A</v>
      </c>
      <c r="DD65" t="e">
        <f t="shared" si="142"/>
        <v>#N/A</v>
      </c>
      <c r="DE65" t="e">
        <f t="shared" si="142"/>
        <v>#N/A</v>
      </c>
      <c r="DF65" t="e">
        <f t="shared" si="142"/>
        <v>#N/A</v>
      </c>
      <c r="DG65" t="e">
        <f t="shared" si="142"/>
        <v>#N/A</v>
      </c>
      <c r="DH65" t="e">
        <f t="shared" si="142"/>
        <v>#N/A</v>
      </c>
      <c r="DI65" t="e">
        <f t="shared" si="142"/>
        <v>#N/A</v>
      </c>
      <c r="DJ65" t="e">
        <f t="shared" si="142"/>
        <v>#N/A</v>
      </c>
      <c r="DK65" t="e">
        <f t="shared" si="142"/>
        <v>#N/A</v>
      </c>
      <c r="DL65" t="e">
        <f t="shared" si="142"/>
        <v>#N/A</v>
      </c>
      <c r="DM65" t="e">
        <f t="shared" si="142"/>
        <v>#N/A</v>
      </c>
      <c r="DN65" t="e">
        <f t="shared" si="142"/>
        <v>#N/A</v>
      </c>
      <c r="DO65" t="e">
        <f t="shared" si="142"/>
        <v>#N/A</v>
      </c>
      <c r="DP65" t="e">
        <f t="shared" si="142"/>
        <v>#N/A</v>
      </c>
      <c r="DQ65" t="e">
        <f t="shared" si="142"/>
        <v>#N/A</v>
      </c>
      <c r="DR65" t="e">
        <f t="shared" si="142"/>
        <v>#N/A</v>
      </c>
      <c r="DS65" t="e">
        <f t="shared" si="142"/>
        <v>#N/A</v>
      </c>
      <c r="DT65" t="e">
        <f t="shared" si="142"/>
        <v>#N/A</v>
      </c>
      <c r="DU65" t="e">
        <f t="shared" si="142"/>
        <v>#N/A</v>
      </c>
      <c r="DV65" t="e">
        <f t="shared" si="142"/>
        <v>#N/A</v>
      </c>
      <c r="DW65" t="e">
        <f t="shared" si="142"/>
        <v>#N/A</v>
      </c>
      <c r="DX65" t="e">
        <f t="shared" si="142"/>
        <v>#N/A</v>
      </c>
      <c r="DY65" t="e">
        <f t="shared" si="142"/>
        <v>#N/A</v>
      </c>
      <c r="DZ65" t="e">
        <f t="shared" si="142"/>
        <v>#N/A</v>
      </c>
      <c r="EA65" t="e">
        <f t="shared" si="142"/>
        <v>#N/A</v>
      </c>
      <c r="EB65" t="e">
        <f t="shared" si="142"/>
        <v>#N/A</v>
      </c>
      <c r="EC65" t="e">
        <f t="shared" si="142"/>
        <v>#N/A</v>
      </c>
      <c r="ED65" t="e">
        <f t="shared" si="142"/>
        <v>#N/A</v>
      </c>
      <c r="EE65" t="e">
        <f t="shared" si="142"/>
        <v>#N/A</v>
      </c>
      <c r="EF65" t="e">
        <f t="shared" si="142"/>
        <v>#N/A</v>
      </c>
      <c r="EG65" t="e">
        <f t="shared" si="142"/>
        <v>#N/A</v>
      </c>
      <c r="EH65" t="e">
        <f t="shared" ref="EH65:GA65" si="143">IF(ISNA(EH55),NA(),EH55*$A65)</f>
        <v>#N/A</v>
      </c>
      <c r="EI65" t="e">
        <f t="shared" si="143"/>
        <v>#N/A</v>
      </c>
      <c r="EJ65" t="e">
        <f t="shared" si="143"/>
        <v>#N/A</v>
      </c>
      <c r="EK65" t="e">
        <f t="shared" si="143"/>
        <v>#N/A</v>
      </c>
      <c r="EL65" t="e">
        <f t="shared" si="143"/>
        <v>#N/A</v>
      </c>
      <c r="EM65" t="e">
        <f t="shared" si="143"/>
        <v>#N/A</v>
      </c>
      <c r="EN65" t="e">
        <f t="shared" si="143"/>
        <v>#N/A</v>
      </c>
      <c r="EO65" t="e">
        <f t="shared" si="143"/>
        <v>#N/A</v>
      </c>
      <c r="EP65" t="e">
        <f t="shared" si="143"/>
        <v>#N/A</v>
      </c>
      <c r="EQ65" t="e">
        <f t="shared" si="143"/>
        <v>#N/A</v>
      </c>
      <c r="ER65" t="e">
        <f t="shared" si="143"/>
        <v>#N/A</v>
      </c>
      <c r="ES65" t="e">
        <f t="shared" si="143"/>
        <v>#N/A</v>
      </c>
      <c r="ET65" t="e">
        <f t="shared" si="143"/>
        <v>#N/A</v>
      </c>
      <c r="EU65" t="e">
        <f t="shared" si="143"/>
        <v>#N/A</v>
      </c>
      <c r="EV65" t="e">
        <f t="shared" si="143"/>
        <v>#N/A</v>
      </c>
      <c r="EW65" t="e">
        <f t="shared" si="143"/>
        <v>#N/A</v>
      </c>
      <c r="EX65" t="e">
        <f t="shared" si="143"/>
        <v>#N/A</v>
      </c>
      <c r="EY65" t="e">
        <f t="shared" si="143"/>
        <v>#N/A</v>
      </c>
      <c r="EZ65" t="e">
        <f t="shared" si="143"/>
        <v>#N/A</v>
      </c>
      <c r="FA65" t="e">
        <f t="shared" si="143"/>
        <v>#N/A</v>
      </c>
      <c r="FB65" t="e">
        <f t="shared" si="143"/>
        <v>#N/A</v>
      </c>
      <c r="FC65" t="e">
        <f t="shared" si="143"/>
        <v>#N/A</v>
      </c>
      <c r="FD65" t="e">
        <f t="shared" si="143"/>
        <v>#N/A</v>
      </c>
      <c r="FE65" t="e">
        <f t="shared" si="143"/>
        <v>#N/A</v>
      </c>
      <c r="FF65" t="e">
        <f t="shared" si="143"/>
        <v>#N/A</v>
      </c>
      <c r="FG65" t="e">
        <f t="shared" si="143"/>
        <v>#N/A</v>
      </c>
      <c r="FH65" t="e">
        <f t="shared" si="143"/>
        <v>#N/A</v>
      </c>
      <c r="FI65" t="e">
        <f t="shared" si="143"/>
        <v>#N/A</v>
      </c>
      <c r="FJ65" t="e">
        <f t="shared" si="143"/>
        <v>#N/A</v>
      </c>
      <c r="FK65" t="e">
        <f t="shared" si="143"/>
        <v>#N/A</v>
      </c>
      <c r="FL65" t="e">
        <f t="shared" si="143"/>
        <v>#N/A</v>
      </c>
      <c r="FM65" t="e">
        <f t="shared" si="143"/>
        <v>#N/A</v>
      </c>
      <c r="FN65" t="e">
        <f t="shared" si="143"/>
        <v>#N/A</v>
      </c>
      <c r="FO65" t="e">
        <f t="shared" si="143"/>
        <v>#N/A</v>
      </c>
      <c r="FP65" t="e">
        <f t="shared" si="143"/>
        <v>#N/A</v>
      </c>
      <c r="FQ65" t="e">
        <f t="shared" si="143"/>
        <v>#N/A</v>
      </c>
      <c r="FR65" t="e">
        <f t="shared" si="143"/>
        <v>#N/A</v>
      </c>
      <c r="FS65" t="e">
        <f t="shared" si="143"/>
        <v>#N/A</v>
      </c>
      <c r="FT65" t="e">
        <f t="shared" si="143"/>
        <v>#N/A</v>
      </c>
      <c r="FU65" t="e">
        <f t="shared" si="143"/>
        <v>#N/A</v>
      </c>
      <c r="FV65" t="e">
        <f t="shared" si="143"/>
        <v>#N/A</v>
      </c>
      <c r="FW65" t="e">
        <f t="shared" si="143"/>
        <v>#N/A</v>
      </c>
      <c r="FX65" t="e">
        <f t="shared" si="143"/>
        <v>#N/A</v>
      </c>
      <c r="FY65" t="e">
        <f t="shared" si="143"/>
        <v>#N/A</v>
      </c>
      <c r="FZ65" t="e">
        <f t="shared" si="143"/>
        <v>#N/A</v>
      </c>
      <c r="GA65" t="e">
        <f t="shared" si="143"/>
        <v>#N/A</v>
      </c>
    </row>
    <row r="68" spans="1:183" x14ac:dyDescent="0.45">
      <c r="A68" s="2" t="s">
        <v>16</v>
      </c>
    </row>
    <row r="69" spans="1:183" x14ac:dyDescent="0.45">
      <c r="I69" s="1">
        <f>I58</f>
        <v>44331</v>
      </c>
      <c r="J69" s="1">
        <f t="shared" ref="J69:BU69" si="144">J58</f>
        <v>44332</v>
      </c>
      <c r="K69" s="1">
        <f t="shared" si="144"/>
        <v>44333</v>
      </c>
      <c r="L69" s="1">
        <f t="shared" si="144"/>
        <v>44334</v>
      </c>
      <c r="M69" s="1">
        <f t="shared" si="144"/>
        <v>44335</v>
      </c>
      <c r="N69" s="1">
        <f t="shared" si="144"/>
        <v>44336</v>
      </c>
      <c r="O69" s="1">
        <f t="shared" si="144"/>
        <v>44337</v>
      </c>
      <c r="P69" s="1">
        <f t="shared" si="144"/>
        <v>44338</v>
      </c>
      <c r="Q69" s="1">
        <f t="shared" si="144"/>
        <v>44339</v>
      </c>
      <c r="R69" s="1">
        <f t="shared" si="144"/>
        <v>44340</v>
      </c>
      <c r="S69" s="1">
        <f t="shared" si="144"/>
        <v>44341</v>
      </c>
      <c r="T69" s="1">
        <f t="shared" si="144"/>
        <v>44342</v>
      </c>
      <c r="U69" s="1">
        <f t="shared" si="144"/>
        <v>44343</v>
      </c>
      <c r="V69" s="1">
        <f t="shared" si="144"/>
        <v>44344</v>
      </c>
      <c r="W69" s="1">
        <f t="shared" si="144"/>
        <v>44345</v>
      </c>
      <c r="X69" s="1">
        <f t="shared" si="144"/>
        <v>44346</v>
      </c>
      <c r="Y69" s="1">
        <f t="shared" si="144"/>
        <v>44347</v>
      </c>
      <c r="Z69" s="1">
        <f t="shared" si="144"/>
        <v>44348</v>
      </c>
      <c r="AA69" s="1">
        <f t="shared" si="144"/>
        <v>44349</v>
      </c>
      <c r="AB69" s="1">
        <f t="shared" si="144"/>
        <v>44350</v>
      </c>
      <c r="AC69" s="1">
        <f t="shared" si="144"/>
        <v>44351</v>
      </c>
      <c r="AD69" s="1">
        <f t="shared" si="144"/>
        <v>44352</v>
      </c>
      <c r="AE69" s="1">
        <f t="shared" si="144"/>
        <v>44353</v>
      </c>
      <c r="AF69" s="1">
        <f t="shared" si="144"/>
        <v>44354</v>
      </c>
      <c r="AG69" s="1">
        <f t="shared" si="144"/>
        <v>44355</v>
      </c>
      <c r="AH69" s="1">
        <f t="shared" si="144"/>
        <v>44356</v>
      </c>
      <c r="AI69" s="1">
        <f t="shared" si="144"/>
        <v>44357</v>
      </c>
      <c r="AJ69" s="1">
        <f t="shared" si="144"/>
        <v>44358</v>
      </c>
      <c r="AK69" s="1">
        <f t="shared" si="144"/>
        <v>44359</v>
      </c>
      <c r="AL69" s="1">
        <f t="shared" si="144"/>
        <v>44360</v>
      </c>
      <c r="AM69" s="1">
        <f t="shared" si="144"/>
        <v>44361</v>
      </c>
      <c r="AN69" s="1">
        <f t="shared" si="144"/>
        <v>44362</v>
      </c>
      <c r="AO69" s="1">
        <f t="shared" si="144"/>
        <v>44363</v>
      </c>
      <c r="AP69" s="1">
        <f t="shared" si="144"/>
        <v>44364</v>
      </c>
      <c r="AQ69" s="1">
        <f t="shared" si="144"/>
        <v>44365</v>
      </c>
      <c r="AR69" s="1">
        <f t="shared" si="144"/>
        <v>44366</v>
      </c>
      <c r="AS69" s="1">
        <f t="shared" si="144"/>
        <v>44367</v>
      </c>
      <c r="AT69" s="1">
        <f t="shared" si="144"/>
        <v>44368</v>
      </c>
      <c r="AU69" s="1">
        <f t="shared" si="144"/>
        <v>44369</v>
      </c>
      <c r="AV69" s="1">
        <f t="shared" si="144"/>
        <v>44370</v>
      </c>
      <c r="AW69" s="1">
        <f t="shared" si="144"/>
        <v>44371</v>
      </c>
      <c r="AX69" s="1">
        <f t="shared" si="144"/>
        <v>44372</v>
      </c>
      <c r="AY69" s="1">
        <f t="shared" si="144"/>
        <v>44373</v>
      </c>
      <c r="AZ69" s="1">
        <f t="shared" si="144"/>
        <v>44374</v>
      </c>
      <c r="BA69" s="1">
        <f t="shared" si="144"/>
        <v>44375</v>
      </c>
      <c r="BB69" s="1">
        <f t="shared" si="144"/>
        <v>44376</v>
      </c>
      <c r="BC69" s="1">
        <f t="shared" si="144"/>
        <v>44377</v>
      </c>
      <c r="BD69" s="1">
        <f t="shared" si="144"/>
        <v>44378</v>
      </c>
      <c r="BE69" s="1">
        <f t="shared" si="144"/>
        <v>44379</v>
      </c>
      <c r="BF69" s="1">
        <f t="shared" si="144"/>
        <v>44380</v>
      </c>
      <c r="BG69" s="1">
        <f t="shared" si="144"/>
        <v>44381</v>
      </c>
      <c r="BH69" s="1">
        <f t="shared" si="144"/>
        <v>44382</v>
      </c>
      <c r="BI69" s="1">
        <f t="shared" si="144"/>
        <v>44383</v>
      </c>
      <c r="BJ69" s="1">
        <f t="shared" si="144"/>
        <v>44384</v>
      </c>
      <c r="BK69" s="1">
        <f t="shared" si="144"/>
        <v>44385</v>
      </c>
      <c r="BL69" s="1">
        <f t="shared" si="144"/>
        <v>44386</v>
      </c>
      <c r="BM69" s="1">
        <f t="shared" si="144"/>
        <v>44387</v>
      </c>
      <c r="BN69" s="1">
        <f t="shared" si="144"/>
        <v>44388</v>
      </c>
      <c r="BO69" s="1">
        <f t="shared" si="144"/>
        <v>44389</v>
      </c>
      <c r="BP69" s="1">
        <f t="shared" si="144"/>
        <v>44390</v>
      </c>
      <c r="BQ69" s="1">
        <f t="shared" si="144"/>
        <v>44391</v>
      </c>
      <c r="BR69" s="1">
        <f t="shared" si="144"/>
        <v>44392</v>
      </c>
      <c r="BS69" s="1">
        <f t="shared" si="144"/>
        <v>44393</v>
      </c>
      <c r="BT69" s="1">
        <f t="shared" si="144"/>
        <v>44394</v>
      </c>
      <c r="BU69" s="1">
        <f t="shared" si="144"/>
        <v>44395</v>
      </c>
      <c r="BV69" s="1">
        <f t="shared" ref="BV69:EG69" si="145">BV58</f>
        <v>44396</v>
      </c>
      <c r="BW69" s="1">
        <f t="shared" si="145"/>
        <v>44397</v>
      </c>
      <c r="BX69" s="1">
        <f t="shared" si="145"/>
        <v>44398</v>
      </c>
      <c r="BY69" s="1">
        <f t="shared" si="145"/>
        <v>44399</v>
      </c>
      <c r="BZ69" s="1">
        <f t="shared" si="145"/>
        <v>44400</v>
      </c>
      <c r="CA69" s="1">
        <f t="shared" si="145"/>
        <v>44401</v>
      </c>
      <c r="CB69" s="1">
        <f t="shared" si="145"/>
        <v>44402</v>
      </c>
      <c r="CC69" s="1">
        <f t="shared" si="145"/>
        <v>44403</v>
      </c>
      <c r="CD69" s="1">
        <f t="shared" si="145"/>
        <v>44404</v>
      </c>
      <c r="CE69" s="1">
        <f t="shared" si="145"/>
        <v>44405</v>
      </c>
      <c r="CF69" s="1">
        <f t="shared" si="145"/>
        <v>44406</v>
      </c>
      <c r="CG69" s="1">
        <f t="shared" si="145"/>
        <v>44407</v>
      </c>
      <c r="CH69" s="1">
        <f t="shared" si="145"/>
        <v>44408</v>
      </c>
      <c r="CI69" s="1">
        <f t="shared" si="145"/>
        <v>44409</v>
      </c>
      <c r="CJ69" s="1">
        <f t="shared" si="145"/>
        <v>44410</v>
      </c>
      <c r="CK69" s="1">
        <f t="shared" si="145"/>
        <v>44411</v>
      </c>
      <c r="CL69" s="1">
        <f t="shared" si="145"/>
        <v>44412</v>
      </c>
      <c r="CM69" s="1">
        <f t="shared" si="145"/>
        <v>44413</v>
      </c>
      <c r="CN69" s="1">
        <f t="shared" si="145"/>
        <v>44414</v>
      </c>
      <c r="CO69" s="1">
        <f t="shared" si="145"/>
        <v>44415</v>
      </c>
      <c r="CP69" s="1">
        <f t="shared" si="145"/>
        <v>44416</v>
      </c>
      <c r="CQ69" s="1">
        <f t="shared" si="145"/>
        <v>44417</v>
      </c>
      <c r="CR69" s="1">
        <f t="shared" si="145"/>
        <v>44418</v>
      </c>
      <c r="CS69" s="1">
        <f t="shared" si="145"/>
        <v>44419</v>
      </c>
      <c r="CT69" s="1">
        <f t="shared" si="145"/>
        <v>44420</v>
      </c>
      <c r="CU69" s="1">
        <f t="shared" si="145"/>
        <v>44421</v>
      </c>
      <c r="CV69" s="1">
        <f t="shared" si="145"/>
        <v>44422</v>
      </c>
      <c r="CW69" s="1">
        <f t="shared" si="145"/>
        <v>44423</v>
      </c>
      <c r="CX69" s="1">
        <f t="shared" si="145"/>
        <v>44424</v>
      </c>
      <c r="CY69" s="1">
        <f t="shared" si="145"/>
        <v>44425</v>
      </c>
      <c r="CZ69" s="1">
        <f t="shared" si="145"/>
        <v>44426</v>
      </c>
      <c r="DA69" s="1">
        <f t="shared" si="145"/>
        <v>44427</v>
      </c>
      <c r="DB69" s="1">
        <f t="shared" si="145"/>
        <v>44428</v>
      </c>
      <c r="DC69" s="1">
        <f t="shared" si="145"/>
        <v>44429</v>
      </c>
      <c r="DD69" s="1">
        <f t="shared" si="145"/>
        <v>44430</v>
      </c>
      <c r="DE69" s="1">
        <f t="shared" si="145"/>
        <v>44431</v>
      </c>
      <c r="DF69" s="1">
        <f t="shared" si="145"/>
        <v>44432</v>
      </c>
      <c r="DG69" s="1">
        <f t="shared" si="145"/>
        <v>44433</v>
      </c>
      <c r="DH69" s="1">
        <f t="shared" si="145"/>
        <v>44434</v>
      </c>
      <c r="DI69" s="1">
        <f t="shared" si="145"/>
        <v>44435</v>
      </c>
      <c r="DJ69" s="1">
        <f t="shared" si="145"/>
        <v>44436</v>
      </c>
      <c r="DK69" s="1">
        <f t="shared" si="145"/>
        <v>44437</v>
      </c>
      <c r="DL69" s="1">
        <f t="shared" si="145"/>
        <v>44438</v>
      </c>
      <c r="DM69" s="1">
        <f t="shared" si="145"/>
        <v>44439</v>
      </c>
      <c r="DN69" s="1">
        <f t="shared" si="145"/>
        <v>44440</v>
      </c>
      <c r="DO69" s="1">
        <f t="shared" si="145"/>
        <v>44441</v>
      </c>
      <c r="DP69" s="1">
        <f t="shared" si="145"/>
        <v>44442</v>
      </c>
      <c r="DQ69" s="1">
        <f t="shared" si="145"/>
        <v>44443</v>
      </c>
      <c r="DR69" s="1">
        <f t="shared" si="145"/>
        <v>44444</v>
      </c>
      <c r="DS69" s="1">
        <f t="shared" si="145"/>
        <v>44445</v>
      </c>
      <c r="DT69" s="1">
        <f t="shared" si="145"/>
        <v>44446</v>
      </c>
      <c r="DU69" s="1">
        <f t="shared" si="145"/>
        <v>44447</v>
      </c>
      <c r="DV69" s="1">
        <f t="shared" si="145"/>
        <v>44448</v>
      </c>
      <c r="DW69" s="1">
        <f t="shared" si="145"/>
        <v>44449</v>
      </c>
      <c r="DX69" s="1">
        <f t="shared" si="145"/>
        <v>44450</v>
      </c>
      <c r="DY69" s="1">
        <f t="shared" si="145"/>
        <v>44451</v>
      </c>
      <c r="DZ69" s="1">
        <f t="shared" si="145"/>
        <v>44452</v>
      </c>
      <c r="EA69" s="1">
        <f t="shared" si="145"/>
        <v>44453</v>
      </c>
      <c r="EB69" s="1">
        <f t="shared" si="145"/>
        <v>44454</v>
      </c>
      <c r="EC69" s="1">
        <f t="shared" si="145"/>
        <v>44455</v>
      </c>
      <c r="ED69" s="1">
        <f t="shared" si="145"/>
        <v>44456</v>
      </c>
      <c r="EE69" s="1">
        <f t="shared" si="145"/>
        <v>44457</v>
      </c>
      <c r="EF69" s="1">
        <f t="shared" si="145"/>
        <v>44458</v>
      </c>
      <c r="EG69" s="1">
        <f t="shared" si="145"/>
        <v>44459</v>
      </c>
      <c r="EH69" s="1">
        <f t="shared" ref="EH69:GA69" si="146">EH58</f>
        <v>44460</v>
      </c>
      <c r="EI69" s="1">
        <f t="shared" si="146"/>
        <v>44461</v>
      </c>
      <c r="EJ69" s="1">
        <f t="shared" si="146"/>
        <v>44462</v>
      </c>
      <c r="EK69" s="1">
        <f t="shared" si="146"/>
        <v>44463</v>
      </c>
      <c r="EL69" s="1">
        <f t="shared" si="146"/>
        <v>44464</v>
      </c>
      <c r="EM69" s="1">
        <f t="shared" si="146"/>
        <v>44465</v>
      </c>
      <c r="EN69" s="1">
        <f t="shared" si="146"/>
        <v>44466</v>
      </c>
      <c r="EO69" s="1">
        <f t="shared" si="146"/>
        <v>44467</v>
      </c>
      <c r="EP69" s="1">
        <f t="shared" si="146"/>
        <v>44468</v>
      </c>
      <c r="EQ69" s="1">
        <f t="shared" si="146"/>
        <v>44469</v>
      </c>
      <c r="ER69" s="1">
        <f t="shared" si="146"/>
        <v>44470</v>
      </c>
      <c r="ES69" s="1">
        <f t="shared" si="146"/>
        <v>44471</v>
      </c>
      <c r="ET69" s="1">
        <f t="shared" si="146"/>
        <v>44472</v>
      </c>
      <c r="EU69" s="1">
        <f t="shared" si="146"/>
        <v>44473</v>
      </c>
      <c r="EV69" s="1">
        <f t="shared" si="146"/>
        <v>44474</v>
      </c>
      <c r="EW69" s="1">
        <f t="shared" si="146"/>
        <v>44475</v>
      </c>
      <c r="EX69" s="1">
        <f t="shared" si="146"/>
        <v>44476</v>
      </c>
      <c r="EY69" s="1">
        <f t="shared" si="146"/>
        <v>44477</v>
      </c>
      <c r="EZ69" s="1">
        <f t="shared" si="146"/>
        <v>44478</v>
      </c>
      <c r="FA69" s="1">
        <f t="shared" si="146"/>
        <v>44479</v>
      </c>
      <c r="FB69" s="1">
        <f t="shared" si="146"/>
        <v>44480</v>
      </c>
      <c r="FC69" s="1">
        <f t="shared" si="146"/>
        <v>44481</v>
      </c>
      <c r="FD69" s="1">
        <f t="shared" si="146"/>
        <v>44482</v>
      </c>
      <c r="FE69" s="1">
        <f t="shared" si="146"/>
        <v>44483</v>
      </c>
      <c r="FF69" s="1">
        <f t="shared" si="146"/>
        <v>44484</v>
      </c>
      <c r="FG69" s="1">
        <f t="shared" si="146"/>
        <v>44485</v>
      </c>
      <c r="FH69" s="1">
        <f t="shared" si="146"/>
        <v>44486</v>
      </c>
      <c r="FI69" s="1">
        <f t="shared" si="146"/>
        <v>44487</v>
      </c>
      <c r="FJ69" s="1">
        <f t="shared" si="146"/>
        <v>44488</v>
      </c>
      <c r="FK69" s="1">
        <f t="shared" si="146"/>
        <v>44489</v>
      </c>
      <c r="FL69" s="1">
        <f t="shared" si="146"/>
        <v>44490</v>
      </c>
      <c r="FM69" s="1">
        <f t="shared" si="146"/>
        <v>44491</v>
      </c>
      <c r="FN69" s="1">
        <f t="shared" si="146"/>
        <v>44492</v>
      </c>
      <c r="FO69" s="1">
        <f t="shared" si="146"/>
        <v>44493</v>
      </c>
      <c r="FP69" s="1">
        <f t="shared" si="146"/>
        <v>44494</v>
      </c>
      <c r="FQ69" s="1">
        <f t="shared" si="146"/>
        <v>44495</v>
      </c>
      <c r="FR69" s="1">
        <f t="shared" si="146"/>
        <v>44496</v>
      </c>
      <c r="FS69" s="1">
        <f t="shared" si="146"/>
        <v>44497</v>
      </c>
      <c r="FT69" s="1">
        <f t="shared" si="146"/>
        <v>44498</v>
      </c>
      <c r="FU69" s="1">
        <f t="shared" si="146"/>
        <v>44499</v>
      </c>
      <c r="FV69" s="1">
        <f t="shared" si="146"/>
        <v>44500</v>
      </c>
      <c r="FW69" s="1">
        <f t="shared" si="146"/>
        <v>44501</v>
      </c>
      <c r="FX69" s="1">
        <f t="shared" si="146"/>
        <v>44502</v>
      </c>
      <c r="FY69" s="1">
        <f t="shared" si="146"/>
        <v>44503</v>
      </c>
      <c r="FZ69" s="1">
        <f t="shared" si="146"/>
        <v>44504</v>
      </c>
      <c r="GA69" s="1">
        <f t="shared" si="146"/>
        <v>44505</v>
      </c>
    </row>
    <row r="70" spans="1:183" x14ac:dyDescent="0.45">
      <c r="A70">
        <v>109.53</v>
      </c>
      <c r="B70" t="s">
        <v>21</v>
      </c>
      <c r="C70" cm="1">
        <f t="array" ref="C70">LOOKUP(2,1/(I70:GA70&lt;&gt;""),I70:GA70)</f>
        <v>207.26999999999995</v>
      </c>
      <c r="D70">
        <f t="shared" ref="D70:D76" si="147">D$9</f>
        <v>45</v>
      </c>
      <c r="F70" s="3">
        <f>(C59-A70)/A70</f>
        <v>1.8923582580115033</v>
      </c>
      <c r="G70" s="3" cm="1">
        <f t="array" ref="G70">(C59-IF(ISNA(INDEX(I59:GA59,D59-22)),INDEX(I59:GA59,D59-23),INDEX(I59:GA59,D59-22)))/A70</f>
        <v>-0.24979457682826636</v>
      </c>
      <c r="I70">
        <f t="shared" ref="I70:I76" si="148">IF(ISNA(I59),NA(),I59-$A70)</f>
        <v>30.150000000000006</v>
      </c>
      <c r="J70">
        <f t="shared" ref="J70:BU70" si="149">IF(ISNA(J59),NA(),J59-$A70)</f>
        <v>22.949999999999989</v>
      </c>
      <c r="K70" t="e">
        <f t="shared" si="149"/>
        <v>#N/A</v>
      </c>
      <c r="L70">
        <f t="shared" si="149"/>
        <v>32.549999999999983</v>
      </c>
      <c r="M70" t="e">
        <f t="shared" si="149"/>
        <v>#N/A</v>
      </c>
      <c r="N70">
        <f t="shared" si="149"/>
        <v>50.31</v>
      </c>
      <c r="O70">
        <f t="shared" si="149"/>
        <v>48.869999999999976</v>
      </c>
      <c r="P70">
        <f t="shared" si="149"/>
        <v>105.99000000000001</v>
      </c>
      <c r="Q70">
        <f t="shared" si="149"/>
        <v>102.15</v>
      </c>
      <c r="R70">
        <f t="shared" si="149"/>
        <v>124.71000000000001</v>
      </c>
      <c r="S70">
        <f t="shared" si="149"/>
        <v>125.18999999999997</v>
      </c>
      <c r="T70">
        <f t="shared" si="149"/>
        <v>166.95000000000002</v>
      </c>
      <c r="U70">
        <f t="shared" si="149"/>
        <v>202.95000000000002</v>
      </c>
      <c r="V70">
        <f t="shared" si="149"/>
        <v>199.59</v>
      </c>
      <c r="W70">
        <f t="shared" si="149"/>
        <v>168.39000000000001</v>
      </c>
      <c r="X70">
        <f t="shared" si="149"/>
        <v>151.10999999999999</v>
      </c>
      <c r="Y70">
        <f t="shared" si="149"/>
        <v>137.18999999999997</v>
      </c>
      <c r="Z70">
        <f t="shared" si="149"/>
        <v>168.39000000000001</v>
      </c>
      <c r="AA70">
        <f t="shared" si="149"/>
        <v>199.10999999999999</v>
      </c>
      <c r="AB70">
        <f t="shared" si="149"/>
        <v>215.91</v>
      </c>
      <c r="AC70">
        <f t="shared" si="149"/>
        <v>225.98999999999998</v>
      </c>
      <c r="AD70">
        <f t="shared" si="149"/>
        <v>284.55000000000007</v>
      </c>
      <c r="AE70">
        <f t="shared" si="149"/>
        <v>234.62999999999997</v>
      </c>
      <c r="AF70">
        <f t="shared" si="149"/>
        <v>231.75000000000003</v>
      </c>
      <c r="AG70">
        <f t="shared" si="149"/>
        <v>234.62999999999997</v>
      </c>
      <c r="AH70">
        <f t="shared" si="149"/>
        <v>233.18999999999997</v>
      </c>
      <c r="AI70">
        <f t="shared" si="149"/>
        <v>232.71</v>
      </c>
      <c r="AJ70">
        <f t="shared" si="149"/>
        <v>223.10999999999999</v>
      </c>
      <c r="AK70">
        <f t="shared" si="149"/>
        <v>239.42999999999998</v>
      </c>
      <c r="AL70">
        <f t="shared" si="149"/>
        <v>249.03</v>
      </c>
      <c r="AM70">
        <f t="shared" si="149"/>
        <v>239.42999999999998</v>
      </c>
      <c r="AN70" t="e">
        <f t="shared" si="149"/>
        <v>#N/A</v>
      </c>
      <c r="AO70">
        <f t="shared" si="149"/>
        <v>240.86999999999998</v>
      </c>
      <c r="AP70">
        <f t="shared" si="149"/>
        <v>235.59</v>
      </c>
      <c r="AQ70">
        <f t="shared" si="149"/>
        <v>219.26999999999995</v>
      </c>
      <c r="AR70">
        <f t="shared" si="149"/>
        <v>222.62999999999997</v>
      </c>
      <c r="AS70">
        <f t="shared" si="149"/>
        <v>207.26999999999995</v>
      </c>
      <c r="AT70" t="e">
        <f t="shared" si="149"/>
        <v>#N/A</v>
      </c>
      <c r="AU70" t="e">
        <f t="shared" si="149"/>
        <v>#N/A</v>
      </c>
      <c r="AV70" t="e">
        <f t="shared" si="149"/>
        <v>#N/A</v>
      </c>
      <c r="AW70" t="e">
        <f t="shared" si="149"/>
        <v>#N/A</v>
      </c>
      <c r="AX70" t="e">
        <f t="shared" si="149"/>
        <v>#N/A</v>
      </c>
      <c r="AY70" t="e">
        <f t="shared" si="149"/>
        <v>#N/A</v>
      </c>
      <c r="AZ70" t="e">
        <f t="shared" si="149"/>
        <v>#N/A</v>
      </c>
      <c r="BA70" t="e">
        <f t="shared" si="149"/>
        <v>#N/A</v>
      </c>
      <c r="BB70" t="e">
        <f t="shared" si="149"/>
        <v>#N/A</v>
      </c>
      <c r="BC70" t="e">
        <f t="shared" si="149"/>
        <v>#N/A</v>
      </c>
      <c r="BD70" t="e">
        <f t="shared" si="149"/>
        <v>#N/A</v>
      </c>
      <c r="BE70" t="e">
        <f t="shared" si="149"/>
        <v>#N/A</v>
      </c>
      <c r="BF70" t="e">
        <f t="shared" si="149"/>
        <v>#N/A</v>
      </c>
      <c r="BG70" t="e">
        <f t="shared" si="149"/>
        <v>#N/A</v>
      </c>
      <c r="BH70" t="e">
        <f t="shared" si="149"/>
        <v>#N/A</v>
      </c>
      <c r="BI70" t="e">
        <f t="shared" si="149"/>
        <v>#N/A</v>
      </c>
      <c r="BJ70" t="e">
        <f t="shared" si="149"/>
        <v>#N/A</v>
      </c>
      <c r="BK70" t="e">
        <f t="shared" si="149"/>
        <v>#N/A</v>
      </c>
      <c r="BL70" t="e">
        <f t="shared" si="149"/>
        <v>#N/A</v>
      </c>
      <c r="BM70" t="e">
        <f t="shared" si="149"/>
        <v>#N/A</v>
      </c>
      <c r="BN70" t="e">
        <f t="shared" si="149"/>
        <v>#N/A</v>
      </c>
      <c r="BO70" t="e">
        <f t="shared" si="149"/>
        <v>#N/A</v>
      </c>
      <c r="BP70" t="e">
        <f t="shared" si="149"/>
        <v>#N/A</v>
      </c>
      <c r="BQ70" t="e">
        <f t="shared" si="149"/>
        <v>#N/A</v>
      </c>
      <c r="BR70" t="e">
        <f t="shared" si="149"/>
        <v>#N/A</v>
      </c>
      <c r="BS70" t="e">
        <f t="shared" si="149"/>
        <v>#N/A</v>
      </c>
      <c r="BT70" t="e">
        <f t="shared" si="149"/>
        <v>#N/A</v>
      </c>
      <c r="BU70" t="e">
        <f t="shared" si="149"/>
        <v>#N/A</v>
      </c>
      <c r="BV70" t="e">
        <f t="shared" ref="BV70:EG70" si="150">IF(ISNA(BV59),NA(),BV59-$A70)</f>
        <v>#N/A</v>
      </c>
      <c r="BW70" t="e">
        <f t="shared" si="150"/>
        <v>#N/A</v>
      </c>
      <c r="BX70" t="e">
        <f t="shared" si="150"/>
        <v>#N/A</v>
      </c>
      <c r="BY70" t="e">
        <f t="shared" si="150"/>
        <v>#N/A</v>
      </c>
      <c r="BZ70" t="e">
        <f t="shared" si="150"/>
        <v>#N/A</v>
      </c>
      <c r="CA70" t="e">
        <f t="shared" si="150"/>
        <v>#N/A</v>
      </c>
      <c r="CB70" t="e">
        <f t="shared" si="150"/>
        <v>#N/A</v>
      </c>
      <c r="CC70" t="e">
        <f t="shared" si="150"/>
        <v>#N/A</v>
      </c>
      <c r="CD70" t="e">
        <f t="shared" si="150"/>
        <v>#N/A</v>
      </c>
      <c r="CE70" t="e">
        <f t="shared" si="150"/>
        <v>#N/A</v>
      </c>
      <c r="CF70" t="e">
        <f t="shared" si="150"/>
        <v>#N/A</v>
      </c>
      <c r="CG70" t="e">
        <f t="shared" si="150"/>
        <v>#N/A</v>
      </c>
      <c r="CH70" t="e">
        <f t="shared" si="150"/>
        <v>#N/A</v>
      </c>
      <c r="CI70" t="e">
        <f t="shared" si="150"/>
        <v>#N/A</v>
      </c>
      <c r="CJ70" t="e">
        <f t="shared" si="150"/>
        <v>#N/A</v>
      </c>
      <c r="CK70" t="e">
        <f t="shared" si="150"/>
        <v>#N/A</v>
      </c>
      <c r="CL70" t="e">
        <f t="shared" si="150"/>
        <v>#N/A</v>
      </c>
      <c r="CM70" t="e">
        <f t="shared" si="150"/>
        <v>#N/A</v>
      </c>
      <c r="CN70" t="e">
        <f t="shared" si="150"/>
        <v>#N/A</v>
      </c>
      <c r="CO70" t="e">
        <f t="shared" si="150"/>
        <v>#N/A</v>
      </c>
      <c r="CP70" t="e">
        <f t="shared" si="150"/>
        <v>#N/A</v>
      </c>
      <c r="CQ70" t="e">
        <f t="shared" si="150"/>
        <v>#N/A</v>
      </c>
      <c r="CR70" t="e">
        <f t="shared" si="150"/>
        <v>#N/A</v>
      </c>
      <c r="CS70" t="e">
        <f t="shared" si="150"/>
        <v>#N/A</v>
      </c>
      <c r="CT70" t="e">
        <f t="shared" si="150"/>
        <v>#N/A</v>
      </c>
      <c r="CU70" t="e">
        <f t="shared" si="150"/>
        <v>#N/A</v>
      </c>
      <c r="CV70" t="e">
        <f t="shared" si="150"/>
        <v>#N/A</v>
      </c>
      <c r="CW70" t="e">
        <f t="shared" si="150"/>
        <v>#N/A</v>
      </c>
      <c r="CX70" t="e">
        <f t="shared" si="150"/>
        <v>#N/A</v>
      </c>
      <c r="CY70" t="e">
        <f t="shared" si="150"/>
        <v>#N/A</v>
      </c>
      <c r="CZ70" t="e">
        <f t="shared" si="150"/>
        <v>#N/A</v>
      </c>
      <c r="DA70" t="e">
        <f t="shared" si="150"/>
        <v>#N/A</v>
      </c>
      <c r="DB70" t="e">
        <f t="shared" si="150"/>
        <v>#N/A</v>
      </c>
      <c r="DC70" t="e">
        <f t="shared" si="150"/>
        <v>#N/A</v>
      </c>
      <c r="DD70" t="e">
        <f t="shared" si="150"/>
        <v>#N/A</v>
      </c>
      <c r="DE70" t="e">
        <f t="shared" si="150"/>
        <v>#N/A</v>
      </c>
      <c r="DF70" t="e">
        <f t="shared" si="150"/>
        <v>#N/A</v>
      </c>
      <c r="DG70" t="e">
        <f t="shared" si="150"/>
        <v>#N/A</v>
      </c>
      <c r="DH70" t="e">
        <f t="shared" si="150"/>
        <v>#N/A</v>
      </c>
      <c r="DI70" t="e">
        <f t="shared" si="150"/>
        <v>#N/A</v>
      </c>
      <c r="DJ70" t="e">
        <f t="shared" si="150"/>
        <v>#N/A</v>
      </c>
      <c r="DK70" t="e">
        <f t="shared" si="150"/>
        <v>#N/A</v>
      </c>
      <c r="DL70" t="e">
        <f t="shared" si="150"/>
        <v>#N/A</v>
      </c>
      <c r="DM70" t="e">
        <f t="shared" si="150"/>
        <v>#N/A</v>
      </c>
      <c r="DN70" t="e">
        <f t="shared" si="150"/>
        <v>#N/A</v>
      </c>
      <c r="DO70" t="e">
        <f t="shared" si="150"/>
        <v>#N/A</v>
      </c>
      <c r="DP70" t="e">
        <f t="shared" si="150"/>
        <v>#N/A</v>
      </c>
      <c r="DQ70" t="e">
        <f t="shared" si="150"/>
        <v>#N/A</v>
      </c>
      <c r="DR70" t="e">
        <f t="shared" si="150"/>
        <v>#N/A</v>
      </c>
      <c r="DS70" t="e">
        <f t="shared" si="150"/>
        <v>#N/A</v>
      </c>
      <c r="DT70" t="e">
        <f t="shared" si="150"/>
        <v>#N/A</v>
      </c>
      <c r="DU70" t="e">
        <f t="shared" si="150"/>
        <v>#N/A</v>
      </c>
      <c r="DV70" t="e">
        <f t="shared" si="150"/>
        <v>#N/A</v>
      </c>
      <c r="DW70" t="e">
        <f t="shared" si="150"/>
        <v>#N/A</v>
      </c>
      <c r="DX70" t="e">
        <f t="shared" si="150"/>
        <v>#N/A</v>
      </c>
      <c r="DY70" t="e">
        <f t="shared" si="150"/>
        <v>#N/A</v>
      </c>
      <c r="DZ70" t="e">
        <f t="shared" si="150"/>
        <v>#N/A</v>
      </c>
      <c r="EA70" t="e">
        <f t="shared" si="150"/>
        <v>#N/A</v>
      </c>
      <c r="EB70" t="e">
        <f t="shared" si="150"/>
        <v>#N/A</v>
      </c>
      <c r="EC70" t="e">
        <f t="shared" si="150"/>
        <v>#N/A</v>
      </c>
      <c r="ED70" t="e">
        <f t="shared" si="150"/>
        <v>#N/A</v>
      </c>
      <c r="EE70" t="e">
        <f t="shared" si="150"/>
        <v>#N/A</v>
      </c>
      <c r="EF70" t="e">
        <f t="shared" si="150"/>
        <v>#N/A</v>
      </c>
      <c r="EG70" t="e">
        <f t="shared" si="150"/>
        <v>#N/A</v>
      </c>
      <c r="EH70" t="e">
        <f t="shared" ref="EH70:GA70" si="151">IF(ISNA(EH59),NA(),EH59-$A70)</f>
        <v>#N/A</v>
      </c>
      <c r="EI70" t="e">
        <f t="shared" si="151"/>
        <v>#N/A</v>
      </c>
      <c r="EJ70" t="e">
        <f t="shared" si="151"/>
        <v>#N/A</v>
      </c>
      <c r="EK70" t="e">
        <f t="shared" si="151"/>
        <v>#N/A</v>
      </c>
      <c r="EL70" t="e">
        <f t="shared" si="151"/>
        <v>#N/A</v>
      </c>
      <c r="EM70" t="e">
        <f t="shared" si="151"/>
        <v>#N/A</v>
      </c>
      <c r="EN70" t="e">
        <f t="shared" si="151"/>
        <v>#N/A</v>
      </c>
      <c r="EO70" t="e">
        <f t="shared" si="151"/>
        <v>#N/A</v>
      </c>
      <c r="EP70" t="e">
        <f t="shared" si="151"/>
        <v>#N/A</v>
      </c>
      <c r="EQ70" t="e">
        <f t="shared" si="151"/>
        <v>#N/A</v>
      </c>
      <c r="ER70" t="e">
        <f t="shared" si="151"/>
        <v>#N/A</v>
      </c>
      <c r="ES70" t="e">
        <f t="shared" si="151"/>
        <v>#N/A</v>
      </c>
      <c r="ET70" t="e">
        <f t="shared" si="151"/>
        <v>#N/A</v>
      </c>
      <c r="EU70" t="e">
        <f t="shared" si="151"/>
        <v>#N/A</v>
      </c>
      <c r="EV70" t="e">
        <f t="shared" si="151"/>
        <v>#N/A</v>
      </c>
      <c r="EW70" t="e">
        <f t="shared" si="151"/>
        <v>#N/A</v>
      </c>
      <c r="EX70" t="e">
        <f t="shared" si="151"/>
        <v>#N/A</v>
      </c>
      <c r="EY70" t="e">
        <f t="shared" si="151"/>
        <v>#N/A</v>
      </c>
      <c r="EZ70" t="e">
        <f t="shared" si="151"/>
        <v>#N/A</v>
      </c>
      <c r="FA70" t="e">
        <f t="shared" si="151"/>
        <v>#N/A</v>
      </c>
      <c r="FB70" t="e">
        <f t="shared" si="151"/>
        <v>#N/A</v>
      </c>
      <c r="FC70" t="e">
        <f t="shared" si="151"/>
        <v>#N/A</v>
      </c>
      <c r="FD70" t="e">
        <f t="shared" si="151"/>
        <v>#N/A</v>
      </c>
      <c r="FE70" t="e">
        <f t="shared" si="151"/>
        <v>#N/A</v>
      </c>
      <c r="FF70" t="e">
        <f t="shared" si="151"/>
        <v>#N/A</v>
      </c>
      <c r="FG70" t="e">
        <f t="shared" si="151"/>
        <v>#N/A</v>
      </c>
      <c r="FH70" t="e">
        <f t="shared" si="151"/>
        <v>#N/A</v>
      </c>
      <c r="FI70" t="e">
        <f t="shared" si="151"/>
        <v>#N/A</v>
      </c>
      <c r="FJ70" t="e">
        <f t="shared" si="151"/>
        <v>#N/A</v>
      </c>
      <c r="FK70" t="e">
        <f t="shared" si="151"/>
        <v>#N/A</v>
      </c>
      <c r="FL70" t="e">
        <f t="shared" si="151"/>
        <v>#N/A</v>
      </c>
      <c r="FM70" t="e">
        <f t="shared" si="151"/>
        <v>#N/A</v>
      </c>
      <c r="FN70" t="e">
        <f t="shared" si="151"/>
        <v>#N/A</v>
      </c>
      <c r="FO70" t="e">
        <f t="shared" si="151"/>
        <v>#N/A</v>
      </c>
      <c r="FP70" t="e">
        <f t="shared" si="151"/>
        <v>#N/A</v>
      </c>
      <c r="FQ70" t="e">
        <f t="shared" si="151"/>
        <v>#N/A</v>
      </c>
      <c r="FR70" t="e">
        <f t="shared" si="151"/>
        <v>#N/A</v>
      </c>
      <c r="FS70" t="e">
        <f t="shared" si="151"/>
        <v>#N/A</v>
      </c>
      <c r="FT70" t="e">
        <f t="shared" si="151"/>
        <v>#N/A</v>
      </c>
      <c r="FU70" t="e">
        <f t="shared" si="151"/>
        <v>#N/A</v>
      </c>
      <c r="FV70" t="e">
        <f t="shared" si="151"/>
        <v>#N/A</v>
      </c>
      <c r="FW70" t="e">
        <f t="shared" si="151"/>
        <v>#N/A</v>
      </c>
      <c r="FX70" t="e">
        <f t="shared" si="151"/>
        <v>#N/A</v>
      </c>
      <c r="FY70" t="e">
        <f t="shared" si="151"/>
        <v>#N/A</v>
      </c>
      <c r="FZ70" t="e">
        <f t="shared" si="151"/>
        <v>#N/A</v>
      </c>
      <c r="GA70" t="e">
        <f t="shared" si="151"/>
        <v>#N/A</v>
      </c>
    </row>
    <row r="71" spans="1:183" x14ac:dyDescent="0.45">
      <c r="A71">
        <v>51.21</v>
      </c>
      <c r="B71" t="s">
        <v>22</v>
      </c>
      <c r="C71" cm="1">
        <f t="array" ref="C71">LOOKUP(2,1/(I71:GA71&lt;&gt;""),I71:GA71)</f>
        <v>15.690000000000005</v>
      </c>
      <c r="D71">
        <f t="shared" si="147"/>
        <v>45</v>
      </c>
      <c r="F71" s="3">
        <f t="shared" ref="F71:F76" si="152">(C60-A71)/A71</f>
        <v>0.30638547158758062</v>
      </c>
      <c r="G71" s="3" cm="1">
        <f t="array" ref="G71">(C60-IF(ISNA(INDEX(I60:GA60,D60-22)),INDEX(I60:GA60,D60-23),INDEX(I60:GA60,D60-22)))/A71</f>
        <v>-0.13278656512399917</v>
      </c>
      <c r="I71">
        <f t="shared" si="148"/>
        <v>-25.110000000000003</v>
      </c>
      <c r="J71">
        <f t="shared" ref="J71:BU71" si="153">IF(ISNA(J60),NA(),J60-$A71)</f>
        <v>-24.81</v>
      </c>
      <c r="K71" t="e">
        <f t="shared" si="153"/>
        <v>#N/A</v>
      </c>
      <c r="L71">
        <f t="shared" si="153"/>
        <v>-21.810000000000002</v>
      </c>
      <c r="M71" t="e">
        <f t="shared" si="153"/>
        <v>#N/A</v>
      </c>
      <c r="N71">
        <f t="shared" si="153"/>
        <v>-19.11</v>
      </c>
      <c r="O71">
        <f t="shared" si="153"/>
        <v>-17.509999999999998</v>
      </c>
      <c r="P71">
        <f t="shared" si="153"/>
        <v>-7.7100000000000009</v>
      </c>
      <c r="Q71">
        <f t="shared" si="153"/>
        <v>-8.5100000000000051</v>
      </c>
      <c r="R71">
        <f t="shared" si="153"/>
        <v>-4.0100000000000051</v>
      </c>
      <c r="S71">
        <f t="shared" si="153"/>
        <v>-4.3099999999999952</v>
      </c>
      <c r="T71">
        <f t="shared" si="153"/>
        <v>3.6900000000000048</v>
      </c>
      <c r="U71">
        <f t="shared" si="153"/>
        <v>8.6900000000000048</v>
      </c>
      <c r="V71">
        <f t="shared" si="153"/>
        <v>12.089999999999996</v>
      </c>
      <c r="W71">
        <f t="shared" si="153"/>
        <v>9.7899999999999991</v>
      </c>
      <c r="X71">
        <f t="shared" si="153"/>
        <v>2.6899999999999977</v>
      </c>
      <c r="Y71">
        <f t="shared" si="153"/>
        <v>-3.5100000000000051</v>
      </c>
      <c r="Z71">
        <f t="shared" si="153"/>
        <v>0.18999999999999773</v>
      </c>
      <c r="AA71">
        <f t="shared" si="153"/>
        <v>9.0900000000000034</v>
      </c>
      <c r="AB71">
        <f t="shared" si="153"/>
        <v>15.089999999999996</v>
      </c>
      <c r="AC71">
        <f t="shared" si="153"/>
        <v>16.389999999999993</v>
      </c>
      <c r="AD71">
        <f t="shared" si="153"/>
        <v>21.889999999999993</v>
      </c>
      <c r="AE71">
        <f t="shared" si="153"/>
        <v>22.490000000000002</v>
      </c>
      <c r="AF71">
        <f t="shared" si="153"/>
        <v>14.79</v>
      </c>
      <c r="AG71">
        <f t="shared" si="153"/>
        <v>16.489999999999988</v>
      </c>
      <c r="AH71">
        <f t="shared" si="153"/>
        <v>18.389999999999993</v>
      </c>
      <c r="AI71">
        <f t="shared" si="153"/>
        <v>17.190000000000005</v>
      </c>
      <c r="AJ71">
        <f t="shared" si="153"/>
        <v>17.990000000000002</v>
      </c>
      <c r="AK71">
        <f t="shared" si="153"/>
        <v>16.29</v>
      </c>
      <c r="AL71">
        <f t="shared" si="153"/>
        <v>22.889999999999993</v>
      </c>
      <c r="AM71">
        <f t="shared" si="153"/>
        <v>21.389999999999993</v>
      </c>
      <c r="AN71" t="e">
        <f t="shared" si="153"/>
        <v>#N/A</v>
      </c>
      <c r="AO71">
        <f t="shared" si="153"/>
        <v>18.690000000000005</v>
      </c>
      <c r="AP71">
        <f t="shared" si="153"/>
        <v>15.389999999999993</v>
      </c>
      <c r="AQ71">
        <f t="shared" si="153"/>
        <v>15.389999999999993</v>
      </c>
      <c r="AR71">
        <f t="shared" si="153"/>
        <v>18.590000000000011</v>
      </c>
      <c r="AS71">
        <f t="shared" si="153"/>
        <v>15.690000000000005</v>
      </c>
      <c r="AT71" t="e">
        <f t="shared" si="153"/>
        <v>#N/A</v>
      </c>
      <c r="AU71" t="e">
        <f t="shared" si="153"/>
        <v>#N/A</v>
      </c>
      <c r="AV71" t="e">
        <f t="shared" si="153"/>
        <v>#N/A</v>
      </c>
      <c r="AW71" t="e">
        <f t="shared" si="153"/>
        <v>#N/A</v>
      </c>
      <c r="AX71" t="e">
        <f t="shared" si="153"/>
        <v>#N/A</v>
      </c>
      <c r="AY71" t="e">
        <f t="shared" si="153"/>
        <v>#N/A</v>
      </c>
      <c r="AZ71" t="e">
        <f t="shared" si="153"/>
        <v>#N/A</v>
      </c>
      <c r="BA71" t="e">
        <f t="shared" si="153"/>
        <v>#N/A</v>
      </c>
      <c r="BB71" t="e">
        <f t="shared" si="153"/>
        <v>#N/A</v>
      </c>
      <c r="BC71" t="e">
        <f t="shared" si="153"/>
        <v>#N/A</v>
      </c>
      <c r="BD71" t="e">
        <f t="shared" si="153"/>
        <v>#N/A</v>
      </c>
      <c r="BE71" t="e">
        <f t="shared" si="153"/>
        <v>#N/A</v>
      </c>
      <c r="BF71" t="e">
        <f t="shared" si="153"/>
        <v>#N/A</v>
      </c>
      <c r="BG71" t="e">
        <f t="shared" si="153"/>
        <v>#N/A</v>
      </c>
      <c r="BH71" t="e">
        <f t="shared" si="153"/>
        <v>#N/A</v>
      </c>
      <c r="BI71" t="e">
        <f t="shared" si="153"/>
        <v>#N/A</v>
      </c>
      <c r="BJ71" t="e">
        <f t="shared" si="153"/>
        <v>#N/A</v>
      </c>
      <c r="BK71" t="e">
        <f t="shared" si="153"/>
        <v>#N/A</v>
      </c>
      <c r="BL71" t="e">
        <f t="shared" si="153"/>
        <v>#N/A</v>
      </c>
      <c r="BM71" t="e">
        <f t="shared" si="153"/>
        <v>#N/A</v>
      </c>
      <c r="BN71" t="e">
        <f t="shared" si="153"/>
        <v>#N/A</v>
      </c>
      <c r="BO71" t="e">
        <f t="shared" si="153"/>
        <v>#N/A</v>
      </c>
      <c r="BP71" t="e">
        <f t="shared" si="153"/>
        <v>#N/A</v>
      </c>
      <c r="BQ71" t="e">
        <f t="shared" si="153"/>
        <v>#N/A</v>
      </c>
      <c r="BR71" t="e">
        <f t="shared" si="153"/>
        <v>#N/A</v>
      </c>
      <c r="BS71" t="e">
        <f t="shared" si="153"/>
        <v>#N/A</v>
      </c>
      <c r="BT71" t="e">
        <f t="shared" si="153"/>
        <v>#N/A</v>
      </c>
      <c r="BU71" t="e">
        <f t="shared" si="153"/>
        <v>#N/A</v>
      </c>
      <c r="BV71" t="e">
        <f t="shared" ref="BV71:EG71" si="154">IF(ISNA(BV60),NA(),BV60-$A71)</f>
        <v>#N/A</v>
      </c>
      <c r="BW71" t="e">
        <f t="shared" si="154"/>
        <v>#N/A</v>
      </c>
      <c r="BX71" t="e">
        <f t="shared" si="154"/>
        <v>#N/A</v>
      </c>
      <c r="BY71" t="e">
        <f t="shared" si="154"/>
        <v>#N/A</v>
      </c>
      <c r="BZ71" t="e">
        <f t="shared" si="154"/>
        <v>#N/A</v>
      </c>
      <c r="CA71" t="e">
        <f t="shared" si="154"/>
        <v>#N/A</v>
      </c>
      <c r="CB71" t="e">
        <f t="shared" si="154"/>
        <v>#N/A</v>
      </c>
      <c r="CC71" t="e">
        <f t="shared" si="154"/>
        <v>#N/A</v>
      </c>
      <c r="CD71" t="e">
        <f t="shared" si="154"/>
        <v>#N/A</v>
      </c>
      <c r="CE71" t="e">
        <f t="shared" si="154"/>
        <v>#N/A</v>
      </c>
      <c r="CF71" t="e">
        <f t="shared" si="154"/>
        <v>#N/A</v>
      </c>
      <c r="CG71" t="e">
        <f t="shared" si="154"/>
        <v>#N/A</v>
      </c>
      <c r="CH71" t="e">
        <f t="shared" si="154"/>
        <v>#N/A</v>
      </c>
      <c r="CI71" t="e">
        <f t="shared" si="154"/>
        <v>#N/A</v>
      </c>
      <c r="CJ71" t="e">
        <f t="shared" si="154"/>
        <v>#N/A</v>
      </c>
      <c r="CK71" t="e">
        <f t="shared" si="154"/>
        <v>#N/A</v>
      </c>
      <c r="CL71" t="e">
        <f t="shared" si="154"/>
        <v>#N/A</v>
      </c>
      <c r="CM71" t="e">
        <f t="shared" si="154"/>
        <v>#N/A</v>
      </c>
      <c r="CN71" t="e">
        <f t="shared" si="154"/>
        <v>#N/A</v>
      </c>
      <c r="CO71" t="e">
        <f t="shared" si="154"/>
        <v>#N/A</v>
      </c>
      <c r="CP71" t="e">
        <f t="shared" si="154"/>
        <v>#N/A</v>
      </c>
      <c r="CQ71" t="e">
        <f t="shared" si="154"/>
        <v>#N/A</v>
      </c>
      <c r="CR71" t="e">
        <f t="shared" si="154"/>
        <v>#N/A</v>
      </c>
      <c r="CS71" t="e">
        <f t="shared" si="154"/>
        <v>#N/A</v>
      </c>
      <c r="CT71" t="e">
        <f t="shared" si="154"/>
        <v>#N/A</v>
      </c>
      <c r="CU71" t="e">
        <f t="shared" si="154"/>
        <v>#N/A</v>
      </c>
      <c r="CV71" t="e">
        <f t="shared" si="154"/>
        <v>#N/A</v>
      </c>
      <c r="CW71" t="e">
        <f t="shared" si="154"/>
        <v>#N/A</v>
      </c>
      <c r="CX71" t="e">
        <f t="shared" si="154"/>
        <v>#N/A</v>
      </c>
      <c r="CY71" t="e">
        <f t="shared" si="154"/>
        <v>#N/A</v>
      </c>
      <c r="CZ71" t="e">
        <f t="shared" si="154"/>
        <v>#N/A</v>
      </c>
      <c r="DA71" t="e">
        <f t="shared" si="154"/>
        <v>#N/A</v>
      </c>
      <c r="DB71" t="e">
        <f t="shared" si="154"/>
        <v>#N/A</v>
      </c>
      <c r="DC71" t="e">
        <f t="shared" si="154"/>
        <v>#N/A</v>
      </c>
      <c r="DD71" t="e">
        <f t="shared" si="154"/>
        <v>#N/A</v>
      </c>
      <c r="DE71" t="e">
        <f t="shared" si="154"/>
        <v>#N/A</v>
      </c>
      <c r="DF71" t="e">
        <f t="shared" si="154"/>
        <v>#N/A</v>
      </c>
      <c r="DG71" t="e">
        <f t="shared" si="154"/>
        <v>#N/A</v>
      </c>
      <c r="DH71" t="e">
        <f t="shared" si="154"/>
        <v>#N/A</v>
      </c>
      <c r="DI71" t="e">
        <f t="shared" si="154"/>
        <v>#N/A</v>
      </c>
      <c r="DJ71" t="e">
        <f t="shared" si="154"/>
        <v>#N/A</v>
      </c>
      <c r="DK71" t="e">
        <f t="shared" si="154"/>
        <v>#N/A</v>
      </c>
      <c r="DL71" t="e">
        <f t="shared" si="154"/>
        <v>#N/A</v>
      </c>
      <c r="DM71" t="e">
        <f t="shared" si="154"/>
        <v>#N/A</v>
      </c>
      <c r="DN71" t="e">
        <f t="shared" si="154"/>
        <v>#N/A</v>
      </c>
      <c r="DO71" t="e">
        <f t="shared" si="154"/>
        <v>#N/A</v>
      </c>
      <c r="DP71" t="e">
        <f t="shared" si="154"/>
        <v>#N/A</v>
      </c>
      <c r="DQ71" t="e">
        <f t="shared" si="154"/>
        <v>#N/A</v>
      </c>
      <c r="DR71" t="e">
        <f t="shared" si="154"/>
        <v>#N/A</v>
      </c>
      <c r="DS71" t="e">
        <f t="shared" si="154"/>
        <v>#N/A</v>
      </c>
      <c r="DT71" t="e">
        <f t="shared" si="154"/>
        <v>#N/A</v>
      </c>
      <c r="DU71" t="e">
        <f t="shared" si="154"/>
        <v>#N/A</v>
      </c>
      <c r="DV71" t="e">
        <f t="shared" si="154"/>
        <v>#N/A</v>
      </c>
      <c r="DW71" t="e">
        <f t="shared" si="154"/>
        <v>#N/A</v>
      </c>
      <c r="DX71" t="e">
        <f t="shared" si="154"/>
        <v>#N/A</v>
      </c>
      <c r="DY71" t="e">
        <f t="shared" si="154"/>
        <v>#N/A</v>
      </c>
      <c r="DZ71" t="e">
        <f t="shared" si="154"/>
        <v>#N/A</v>
      </c>
      <c r="EA71" t="e">
        <f t="shared" si="154"/>
        <v>#N/A</v>
      </c>
      <c r="EB71" t="e">
        <f t="shared" si="154"/>
        <v>#N/A</v>
      </c>
      <c r="EC71" t="e">
        <f t="shared" si="154"/>
        <v>#N/A</v>
      </c>
      <c r="ED71" t="e">
        <f t="shared" si="154"/>
        <v>#N/A</v>
      </c>
      <c r="EE71" t="e">
        <f t="shared" si="154"/>
        <v>#N/A</v>
      </c>
      <c r="EF71" t="e">
        <f t="shared" si="154"/>
        <v>#N/A</v>
      </c>
      <c r="EG71" t="e">
        <f t="shared" si="154"/>
        <v>#N/A</v>
      </c>
      <c r="EH71" t="e">
        <f t="shared" ref="EH71:GA71" si="155">IF(ISNA(EH60),NA(),EH60-$A71)</f>
        <v>#N/A</v>
      </c>
      <c r="EI71" t="e">
        <f t="shared" si="155"/>
        <v>#N/A</v>
      </c>
      <c r="EJ71" t="e">
        <f t="shared" si="155"/>
        <v>#N/A</v>
      </c>
      <c r="EK71" t="e">
        <f t="shared" si="155"/>
        <v>#N/A</v>
      </c>
      <c r="EL71" t="e">
        <f t="shared" si="155"/>
        <v>#N/A</v>
      </c>
      <c r="EM71" t="e">
        <f t="shared" si="155"/>
        <v>#N/A</v>
      </c>
      <c r="EN71" t="e">
        <f t="shared" si="155"/>
        <v>#N/A</v>
      </c>
      <c r="EO71" t="e">
        <f t="shared" si="155"/>
        <v>#N/A</v>
      </c>
      <c r="EP71" t="e">
        <f t="shared" si="155"/>
        <v>#N/A</v>
      </c>
      <c r="EQ71" t="e">
        <f t="shared" si="155"/>
        <v>#N/A</v>
      </c>
      <c r="ER71" t="e">
        <f t="shared" si="155"/>
        <v>#N/A</v>
      </c>
      <c r="ES71" t="e">
        <f t="shared" si="155"/>
        <v>#N/A</v>
      </c>
      <c r="ET71" t="e">
        <f t="shared" si="155"/>
        <v>#N/A</v>
      </c>
      <c r="EU71" t="e">
        <f t="shared" si="155"/>
        <v>#N/A</v>
      </c>
      <c r="EV71" t="e">
        <f t="shared" si="155"/>
        <v>#N/A</v>
      </c>
      <c r="EW71" t="e">
        <f t="shared" si="155"/>
        <v>#N/A</v>
      </c>
      <c r="EX71" t="e">
        <f t="shared" si="155"/>
        <v>#N/A</v>
      </c>
      <c r="EY71" t="e">
        <f t="shared" si="155"/>
        <v>#N/A</v>
      </c>
      <c r="EZ71" t="e">
        <f t="shared" si="155"/>
        <v>#N/A</v>
      </c>
      <c r="FA71" t="e">
        <f t="shared" si="155"/>
        <v>#N/A</v>
      </c>
      <c r="FB71" t="e">
        <f t="shared" si="155"/>
        <v>#N/A</v>
      </c>
      <c r="FC71" t="e">
        <f t="shared" si="155"/>
        <v>#N/A</v>
      </c>
      <c r="FD71" t="e">
        <f t="shared" si="155"/>
        <v>#N/A</v>
      </c>
      <c r="FE71" t="e">
        <f t="shared" si="155"/>
        <v>#N/A</v>
      </c>
      <c r="FF71" t="e">
        <f t="shared" si="155"/>
        <v>#N/A</v>
      </c>
      <c r="FG71" t="e">
        <f t="shared" si="155"/>
        <v>#N/A</v>
      </c>
      <c r="FH71" t="e">
        <f t="shared" si="155"/>
        <v>#N/A</v>
      </c>
      <c r="FI71" t="e">
        <f t="shared" si="155"/>
        <v>#N/A</v>
      </c>
      <c r="FJ71" t="e">
        <f t="shared" si="155"/>
        <v>#N/A</v>
      </c>
      <c r="FK71" t="e">
        <f t="shared" si="155"/>
        <v>#N/A</v>
      </c>
      <c r="FL71" t="e">
        <f t="shared" si="155"/>
        <v>#N/A</v>
      </c>
      <c r="FM71" t="e">
        <f t="shared" si="155"/>
        <v>#N/A</v>
      </c>
      <c r="FN71" t="e">
        <f t="shared" si="155"/>
        <v>#N/A</v>
      </c>
      <c r="FO71" t="e">
        <f t="shared" si="155"/>
        <v>#N/A</v>
      </c>
      <c r="FP71" t="e">
        <f t="shared" si="155"/>
        <v>#N/A</v>
      </c>
      <c r="FQ71" t="e">
        <f t="shared" si="155"/>
        <v>#N/A</v>
      </c>
      <c r="FR71" t="e">
        <f t="shared" si="155"/>
        <v>#N/A</v>
      </c>
      <c r="FS71" t="e">
        <f t="shared" si="155"/>
        <v>#N/A</v>
      </c>
      <c r="FT71" t="e">
        <f t="shared" si="155"/>
        <v>#N/A</v>
      </c>
      <c r="FU71" t="e">
        <f t="shared" si="155"/>
        <v>#N/A</v>
      </c>
      <c r="FV71" t="e">
        <f t="shared" si="155"/>
        <v>#N/A</v>
      </c>
      <c r="FW71" t="e">
        <f t="shared" si="155"/>
        <v>#N/A</v>
      </c>
      <c r="FX71" t="e">
        <f t="shared" si="155"/>
        <v>#N/A</v>
      </c>
      <c r="FY71" t="e">
        <f t="shared" si="155"/>
        <v>#N/A</v>
      </c>
      <c r="FZ71" t="e">
        <f t="shared" si="155"/>
        <v>#N/A</v>
      </c>
      <c r="GA71" t="e">
        <f t="shared" si="155"/>
        <v>#N/A</v>
      </c>
    </row>
    <row r="72" spans="1:183" x14ac:dyDescent="0.45">
      <c r="A72">
        <v>28.03</v>
      </c>
      <c r="B72" t="s">
        <v>23</v>
      </c>
      <c r="C72" cm="1">
        <f t="array" ref="C72">LOOKUP(2,1/(I72:GA72&lt;&gt;""),I72:GA72)</f>
        <v>8.8699999999999974</v>
      </c>
      <c r="D72">
        <f t="shared" si="147"/>
        <v>45</v>
      </c>
      <c r="F72" s="3">
        <f t="shared" si="152"/>
        <v>0.31644666428826246</v>
      </c>
      <c r="G72" s="3" cm="1">
        <f t="array" ref="G72">(C61-IF(ISNA(INDEX(I61:GA61,D61-22)),INDEX(I61:GA61,D61-23),INDEX(I61:GA61,D61-22)))/A72</f>
        <v>-0.17659650374598629</v>
      </c>
      <c r="I72">
        <f t="shared" si="148"/>
        <v>-14.93</v>
      </c>
      <c r="J72">
        <f t="shared" ref="J72:BU72" si="156">IF(ISNA(J61),NA(),J61-$A72)</f>
        <v>-14.180000000000001</v>
      </c>
      <c r="K72" t="e">
        <f t="shared" si="156"/>
        <v>#N/A</v>
      </c>
      <c r="L72">
        <f t="shared" si="156"/>
        <v>-13.430000000000001</v>
      </c>
      <c r="M72" t="e">
        <f t="shared" si="156"/>
        <v>#N/A</v>
      </c>
      <c r="N72">
        <f t="shared" si="156"/>
        <v>-12.280000000000001</v>
      </c>
      <c r="O72">
        <f t="shared" si="156"/>
        <v>-11.18</v>
      </c>
      <c r="P72">
        <f t="shared" si="156"/>
        <v>-3.2800000000000011</v>
      </c>
      <c r="Q72">
        <f t="shared" si="156"/>
        <v>-4.0300000000000011</v>
      </c>
      <c r="R72">
        <f t="shared" si="156"/>
        <v>-4.0300000000000011</v>
      </c>
      <c r="S72">
        <f t="shared" si="156"/>
        <v>-3.4299999999999997</v>
      </c>
      <c r="T72">
        <f t="shared" si="156"/>
        <v>5.07</v>
      </c>
      <c r="U72">
        <f t="shared" si="156"/>
        <v>7.9699999999999989</v>
      </c>
      <c r="V72">
        <f t="shared" si="156"/>
        <v>5.769999999999996</v>
      </c>
      <c r="W72">
        <f t="shared" si="156"/>
        <v>4.519999999999996</v>
      </c>
      <c r="X72">
        <f t="shared" si="156"/>
        <v>2.6699999999999982</v>
      </c>
      <c r="Y72">
        <f t="shared" si="156"/>
        <v>-0.43000000000000327</v>
      </c>
      <c r="Z72">
        <f t="shared" si="156"/>
        <v>0.56999999999999673</v>
      </c>
      <c r="AA72">
        <f t="shared" si="156"/>
        <v>2.8200000000000003</v>
      </c>
      <c r="AB72">
        <f t="shared" si="156"/>
        <v>6.32</v>
      </c>
      <c r="AC72">
        <f t="shared" si="156"/>
        <v>9.019999999999996</v>
      </c>
      <c r="AD72">
        <f t="shared" si="156"/>
        <v>13.819999999999993</v>
      </c>
      <c r="AE72">
        <f t="shared" si="156"/>
        <v>13.819999999999993</v>
      </c>
      <c r="AF72">
        <f t="shared" si="156"/>
        <v>9.5699999999999932</v>
      </c>
      <c r="AG72">
        <f t="shared" si="156"/>
        <v>8.7199999999999989</v>
      </c>
      <c r="AH72">
        <f t="shared" si="156"/>
        <v>7.6699999999999946</v>
      </c>
      <c r="AI72">
        <f t="shared" si="156"/>
        <v>8.2199999999999989</v>
      </c>
      <c r="AJ72">
        <f t="shared" si="156"/>
        <v>7.9699999999999989</v>
      </c>
      <c r="AK72">
        <f t="shared" si="156"/>
        <v>15.170000000000002</v>
      </c>
      <c r="AL72">
        <f t="shared" si="156"/>
        <v>12.969999999999999</v>
      </c>
      <c r="AM72">
        <f t="shared" si="156"/>
        <v>11.119999999999997</v>
      </c>
      <c r="AN72" t="e">
        <f t="shared" si="156"/>
        <v>#N/A</v>
      </c>
      <c r="AO72">
        <f t="shared" si="156"/>
        <v>12.169999999999995</v>
      </c>
      <c r="AP72">
        <f t="shared" si="156"/>
        <v>9.5699999999999932</v>
      </c>
      <c r="AQ72">
        <f t="shared" si="156"/>
        <v>9.6199999999999974</v>
      </c>
      <c r="AR72">
        <f t="shared" si="156"/>
        <v>8.8699999999999974</v>
      </c>
      <c r="AS72">
        <f t="shared" si="156"/>
        <v>8.8699999999999974</v>
      </c>
      <c r="AT72" t="e">
        <f t="shared" si="156"/>
        <v>#N/A</v>
      </c>
      <c r="AU72" t="e">
        <f t="shared" si="156"/>
        <v>#N/A</v>
      </c>
      <c r="AV72" t="e">
        <f t="shared" si="156"/>
        <v>#N/A</v>
      </c>
      <c r="AW72" t="e">
        <f t="shared" si="156"/>
        <v>#N/A</v>
      </c>
      <c r="AX72" t="e">
        <f t="shared" si="156"/>
        <v>#N/A</v>
      </c>
      <c r="AY72" t="e">
        <f t="shared" si="156"/>
        <v>#N/A</v>
      </c>
      <c r="AZ72" t="e">
        <f t="shared" si="156"/>
        <v>#N/A</v>
      </c>
      <c r="BA72" t="e">
        <f t="shared" si="156"/>
        <v>#N/A</v>
      </c>
      <c r="BB72" t="e">
        <f t="shared" si="156"/>
        <v>#N/A</v>
      </c>
      <c r="BC72" t="e">
        <f t="shared" si="156"/>
        <v>#N/A</v>
      </c>
      <c r="BD72" t="e">
        <f t="shared" si="156"/>
        <v>#N/A</v>
      </c>
      <c r="BE72" t="e">
        <f t="shared" si="156"/>
        <v>#N/A</v>
      </c>
      <c r="BF72" t="e">
        <f t="shared" si="156"/>
        <v>#N/A</v>
      </c>
      <c r="BG72" t="e">
        <f t="shared" si="156"/>
        <v>#N/A</v>
      </c>
      <c r="BH72" t="e">
        <f t="shared" si="156"/>
        <v>#N/A</v>
      </c>
      <c r="BI72" t="e">
        <f t="shared" si="156"/>
        <v>#N/A</v>
      </c>
      <c r="BJ72" t="e">
        <f t="shared" si="156"/>
        <v>#N/A</v>
      </c>
      <c r="BK72" t="e">
        <f t="shared" si="156"/>
        <v>#N/A</v>
      </c>
      <c r="BL72" t="e">
        <f t="shared" si="156"/>
        <v>#N/A</v>
      </c>
      <c r="BM72" t="e">
        <f t="shared" si="156"/>
        <v>#N/A</v>
      </c>
      <c r="BN72" t="e">
        <f t="shared" si="156"/>
        <v>#N/A</v>
      </c>
      <c r="BO72" t="e">
        <f t="shared" si="156"/>
        <v>#N/A</v>
      </c>
      <c r="BP72" t="e">
        <f t="shared" si="156"/>
        <v>#N/A</v>
      </c>
      <c r="BQ72" t="e">
        <f t="shared" si="156"/>
        <v>#N/A</v>
      </c>
      <c r="BR72" t="e">
        <f t="shared" si="156"/>
        <v>#N/A</v>
      </c>
      <c r="BS72" t="e">
        <f t="shared" si="156"/>
        <v>#N/A</v>
      </c>
      <c r="BT72" t="e">
        <f t="shared" si="156"/>
        <v>#N/A</v>
      </c>
      <c r="BU72" t="e">
        <f t="shared" si="156"/>
        <v>#N/A</v>
      </c>
      <c r="BV72" t="e">
        <f t="shared" ref="BV72:EG72" si="157">IF(ISNA(BV61),NA(),BV61-$A72)</f>
        <v>#N/A</v>
      </c>
      <c r="BW72" t="e">
        <f t="shared" si="157"/>
        <v>#N/A</v>
      </c>
      <c r="BX72" t="e">
        <f t="shared" si="157"/>
        <v>#N/A</v>
      </c>
      <c r="BY72" t="e">
        <f t="shared" si="157"/>
        <v>#N/A</v>
      </c>
      <c r="BZ72" t="e">
        <f t="shared" si="157"/>
        <v>#N/A</v>
      </c>
      <c r="CA72" t="e">
        <f t="shared" si="157"/>
        <v>#N/A</v>
      </c>
      <c r="CB72" t="e">
        <f t="shared" si="157"/>
        <v>#N/A</v>
      </c>
      <c r="CC72" t="e">
        <f t="shared" si="157"/>
        <v>#N/A</v>
      </c>
      <c r="CD72" t="e">
        <f t="shared" si="157"/>
        <v>#N/A</v>
      </c>
      <c r="CE72" t="e">
        <f t="shared" si="157"/>
        <v>#N/A</v>
      </c>
      <c r="CF72" t="e">
        <f t="shared" si="157"/>
        <v>#N/A</v>
      </c>
      <c r="CG72" t="e">
        <f t="shared" si="157"/>
        <v>#N/A</v>
      </c>
      <c r="CH72" t="e">
        <f t="shared" si="157"/>
        <v>#N/A</v>
      </c>
      <c r="CI72" t="e">
        <f t="shared" si="157"/>
        <v>#N/A</v>
      </c>
      <c r="CJ72" t="e">
        <f t="shared" si="157"/>
        <v>#N/A</v>
      </c>
      <c r="CK72" t="e">
        <f t="shared" si="157"/>
        <v>#N/A</v>
      </c>
      <c r="CL72" t="e">
        <f t="shared" si="157"/>
        <v>#N/A</v>
      </c>
      <c r="CM72" t="e">
        <f t="shared" si="157"/>
        <v>#N/A</v>
      </c>
      <c r="CN72" t="e">
        <f t="shared" si="157"/>
        <v>#N/A</v>
      </c>
      <c r="CO72" t="e">
        <f t="shared" si="157"/>
        <v>#N/A</v>
      </c>
      <c r="CP72" t="e">
        <f t="shared" si="157"/>
        <v>#N/A</v>
      </c>
      <c r="CQ72" t="e">
        <f t="shared" si="157"/>
        <v>#N/A</v>
      </c>
      <c r="CR72" t="e">
        <f t="shared" si="157"/>
        <v>#N/A</v>
      </c>
      <c r="CS72" t="e">
        <f t="shared" si="157"/>
        <v>#N/A</v>
      </c>
      <c r="CT72" t="e">
        <f t="shared" si="157"/>
        <v>#N/A</v>
      </c>
      <c r="CU72" t="e">
        <f t="shared" si="157"/>
        <v>#N/A</v>
      </c>
      <c r="CV72" t="e">
        <f t="shared" si="157"/>
        <v>#N/A</v>
      </c>
      <c r="CW72" t="e">
        <f t="shared" si="157"/>
        <v>#N/A</v>
      </c>
      <c r="CX72" t="e">
        <f t="shared" si="157"/>
        <v>#N/A</v>
      </c>
      <c r="CY72" t="e">
        <f t="shared" si="157"/>
        <v>#N/A</v>
      </c>
      <c r="CZ72" t="e">
        <f t="shared" si="157"/>
        <v>#N/A</v>
      </c>
      <c r="DA72" t="e">
        <f t="shared" si="157"/>
        <v>#N/A</v>
      </c>
      <c r="DB72" t="e">
        <f t="shared" si="157"/>
        <v>#N/A</v>
      </c>
      <c r="DC72" t="e">
        <f t="shared" si="157"/>
        <v>#N/A</v>
      </c>
      <c r="DD72" t="e">
        <f t="shared" si="157"/>
        <v>#N/A</v>
      </c>
      <c r="DE72" t="e">
        <f t="shared" si="157"/>
        <v>#N/A</v>
      </c>
      <c r="DF72" t="e">
        <f t="shared" si="157"/>
        <v>#N/A</v>
      </c>
      <c r="DG72" t="e">
        <f t="shared" si="157"/>
        <v>#N/A</v>
      </c>
      <c r="DH72" t="e">
        <f t="shared" si="157"/>
        <v>#N/A</v>
      </c>
      <c r="DI72" t="e">
        <f t="shared" si="157"/>
        <v>#N/A</v>
      </c>
      <c r="DJ72" t="e">
        <f t="shared" si="157"/>
        <v>#N/A</v>
      </c>
      <c r="DK72" t="e">
        <f t="shared" si="157"/>
        <v>#N/A</v>
      </c>
      <c r="DL72" t="e">
        <f t="shared" si="157"/>
        <v>#N/A</v>
      </c>
      <c r="DM72" t="e">
        <f t="shared" si="157"/>
        <v>#N/A</v>
      </c>
      <c r="DN72" t="e">
        <f t="shared" si="157"/>
        <v>#N/A</v>
      </c>
      <c r="DO72" t="e">
        <f t="shared" si="157"/>
        <v>#N/A</v>
      </c>
      <c r="DP72" t="e">
        <f t="shared" si="157"/>
        <v>#N/A</v>
      </c>
      <c r="DQ72" t="e">
        <f t="shared" si="157"/>
        <v>#N/A</v>
      </c>
      <c r="DR72" t="e">
        <f t="shared" si="157"/>
        <v>#N/A</v>
      </c>
      <c r="DS72" t="e">
        <f t="shared" si="157"/>
        <v>#N/A</v>
      </c>
      <c r="DT72" t="e">
        <f t="shared" si="157"/>
        <v>#N/A</v>
      </c>
      <c r="DU72" t="e">
        <f t="shared" si="157"/>
        <v>#N/A</v>
      </c>
      <c r="DV72" t="e">
        <f t="shared" si="157"/>
        <v>#N/A</v>
      </c>
      <c r="DW72" t="e">
        <f t="shared" si="157"/>
        <v>#N/A</v>
      </c>
      <c r="DX72" t="e">
        <f t="shared" si="157"/>
        <v>#N/A</v>
      </c>
      <c r="DY72" t="e">
        <f t="shared" si="157"/>
        <v>#N/A</v>
      </c>
      <c r="DZ72" t="e">
        <f t="shared" si="157"/>
        <v>#N/A</v>
      </c>
      <c r="EA72" t="e">
        <f t="shared" si="157"/>
        <v>#N/A</v>
      </c>
      <c r="EB72" t="e">
        <f t="shared" si="157"/>
        <v>#N/A</v>
      </c>
      <c r="EC72" t="e">
        <f t="shared" si="157"/>
        <v>#N/A</v>
      </c>
      <c r="ED72" t="e">
        <f t="shared" si="157"/>
        <v>#N/A</v>
      </c>
      <c r="EE72" t="e">
        <f t="shared" si="157"/>
        <v>#N/A</v>
      </c>
      <c r="EF72" t="e">
        <f t="shared" si="157"/>
        <v>#N/A</v>
      </c>
      <c r="EG72" t="e">
        <f t="shared" si="157"/>
        <v>#N/A</v>
      </c>
      <c r="EH72" t="e">
        <f t="shared" ref="EH72:GA72" si="158">IF(ISNA(EH61),NA(),EH61-$A72)</f>
        <v>#N/A</v>
      </c>
      <c r="EI72" t="e">
        <f t="shared" si="158"/>
        <v>#N/A</v>
      </c>
      <c r="EJ72" t="e">
        <f t="shared" si="158"/>
        <v>#N/A</v>
      </c>
      <c r="EK72" t="e">
        <f t="shared" si="158"/>
        <v>#N/A</v>
      </c>
      <c r="EL72" t="e">
        <f t="shared" si="158"/>
        <v>#N/A</v>
      </c>
      <c r="EM72" t="e">
        <f t="shared" si="158"/>
        <v>#N/A</v>
      </c>
      <c r="EN72" t="e">
        <f t="shared" si="158"/>
        <v>#N/A</v>
      </c>
      <c r="EO72" t="e">
        <f t="shared" si="158"/>
        <v>#N/A</v>
      </c>
      <c r="EP72" t="e">
        <f t="shared" si="158"/>
        <v>#N/A</v>
      </c>
      <c r="EQ72" t="e">
        <f t="shared" si="158"/>
        <v>#N/A</v>
      </c>
      <c r="ER72" t="e">
        <f t="shared" si="158"/>
        <v>#N/A</v>
      </c>
      <c r="ES72" t="e">
        <f t="shared" si="158"/>
        <v>#N/A</v>
      </c>
      <c r="ET72" t="e">
        <f t="shared" si="158"/>
        <v>#N/A</v>
      </c>
      <c r="EU72" t="e">
        <f t="shared" si="158"/>
        <v>#N/A</v>
      </c>
      <c r="EV72" t="e">
        <f t="shared" si="158"/>
        <v>#N/A</v>
      </c>
      <c r="EW72" t="e">
        <f t="shared" si="158"/>
        <v>#N/A</v>
      </c>
      <c r="EX72" t="e">
        <f t="shared" si="158"/>
        <v>#N/A</v>
      </c>
      <c r="EY72" t="e">
        <f t="shared" si="158"/>
        <v>#N/A</v>
      </c>
      <c r="EZ72" t="e">
        <f t="shared" si="158"/>
        <v>#N/A</v>
      </c>
      <c r="FA72" t="e">
        <f t="shared" si="158"/>
        <v>#N/A</v>
      </c>
      <c r="FB72" t="e">
        <f t="shared" si="158"/>
        <v>#N/A</v>
      </c>
      <c r="FC72" t="e">
        <f t="shared" si="158"/>
        <v>#N/A</v>
      </c>
      <c r="FD72" t="e">
        <f t="shared" si="158"/>
        <v>#N/A</v>
      </c>
      <c r="FE72" t="e">
        <f t="shared" si="158"/>
        <v>#N/A</v>
      </c>
      <c r="FF72" t="e">
        <f t="shared" si="158"/>
        <v>#N/A</v>
      </c>
      <c r="FG72" t="e">
        <f t="shared" si="158"/>
        <v>#N/A</v>
      </c>
      <c r="FH72" t="e">
        <f t="shared" si="158"/>
        <v>#N/A</v>
      </c>
      <c r="FI72" t="e">
        <f t="shared" si="158"/>
        <v>#N/A</v>
      </c>
      <c r="FJ72" t="e">
        <f t="shared" si="158"/>
        <v>#N/A</v>
      </c>
      <c r="FK72" t="e">
        <f t="shared" si="158"/>
        <v>#N/A</v>
      </c>
      <c r="FL72" t="e">
        <f t="shared" si="158"/>
        <v>#N/A</v>
      </c>
      <c r="FM72" t="e">
        <f t="shared" si="158"/>
        <v>#N/A</v>
      </c>
      <c r="FN72" t="e">
        <f t="shared" si="158"/>
        <v>#N/A</v>
      </c>
      <c r="FO72" t="e">
        <f t="shared" si="158"/>
        <v>#N/A</v>
      </c>
      <c r="FP72" t="e">
        <f t="shared" si="158"/>
        <v>#N/A</v>
      </c>
      <c r="FQ72" t="e">
        <f t="shared" si="158"/>
        <v>#N/A</v>
      </c>
      <c r="FR72" t="e">
        <f t="shared" si="158"/>
        <v>#N/A</v>
      </c>
      <c r="FS72" t="e">
        <f t="shared" si="158"/>
        <v>#N/A</v>
      </c>
      <c r="FT72" t="e">
        <f t="shared" si="158"/>
        <v>#N/A</v>
      </c>
      <c r="FU72" t="e">
        <f t="shared" si="158"/>
        <v>#N/A</v>
      </c>
      <c r="FV72" t="e">
        <f t="shared" si="158"/>
        <v>#N/A</v>
      </c>
      <c r="FW72" t="e">
        <f t="shared" si="158"/>
        <v>#N/A</v>
      </c>
      <c r="FX72" t="e">
        <f t="shared" si="158"/>
        <v>#N/A</v>
      </c>
      <c r="FY72" t="e">
        <f t="shared" si="158"/>
        <v>#N/A</v>
      </c>
      <c r="FZ72" t="e">
        <f t="shared" si="158"/>
        <v>#N/A</v>
      </c>
      <c r="GA72" t="e">
        <f t="shared" si="158"/>
        <v>#N/A</v>
      </c>
    </row>
    <row r="73" spans="1:183" x14ac:dyDescent="0.45">
      <c r="A73">
        <v>37.909999999999997</v>
      </c>
      <c r="B73" t="s">
        <v>24</v>
      </c>
      <c r="C73" cm="1">
        <f t="array" ref="C73">LOOKUP(2,1/(I73:GA73&lt;&gt;""),I73:GA73)</f>
        <v>13.75</v>
      </c>
      <c r="D73">
        <f t="shared" si="147"/>
        <v>45</v>
      </c>
      <c r="F73" s="3">
        <f t="shared" si="152"/>
        <v>0.36270113426536538</v>
      </c>
      <c r="G73" s="3" cm="1">
        <f t="array" ref="G73">(C62-IF(ISNA(INDEX(I62:GA62,D62-22)),INDEX(I62:GA62,D62-23),INDEX(I62:GA62,D62-22)))/A73</f>
        <v>-9.2323925085729744E-3</v>
      </c>
      <c r="I73">
        <f t="shared" si="148"/>
        <v>-19.639999999999997</v>
      </c>
      <c r="J73">
        <f t="shared" ref="J73:BU73" si="159">IF(ISNA(J62),NA(),J62-$A73)</f>
        <v>-18.169999999999998</v>
      </c>
      <c r="K73" t="e">
        <f t="shared" si="159"/>
        <v>#N/A</v>
      </c>
      <c r="L73">
        <f t="shared" si="159"/>
        <v>-16.769999999999996</v>
      </c>
      <c r="M73" t="e">
        <f t="shared" si="159"/>
        <v>#N/A</v>
      </c>
      <c r="N73">
        <f t="shared" si="159"/>
        <v>-14.809999999999999</v>
      </c>
      <c r="O73">
        <f t="shared" si="159"/>
        <v>-12.919999999999998</v>
      </c>
      <c r="P73">
        <f t="shared" si="159"/>
        <v>-5.7800000000000011</v>
      </c>
      <c r="Q73">
        <f t="shared" si="159"/>
        <v>-3.3999999999999986</v>
      </c>
      <c r="R73">
        <f t="shared" si="159"/>
        <v>-3.3999999999999986</v>
      </c>
      <c r="S73">
        <f t="shared" si="159"/>
        <v>-3.4699999999999989</v>
      </c>
      <c r="T73">
        <f t="shared" si="159"/>
        <v>2.4100000000000037</v>
      </c>
      <c r="U73">
        <f t="shared" si="159"/>
        <v>6.82</v>
      </c>
      <c r="V73">
        <f t="shared" si="159"/>
        <v>6.4699999999999989</v>
      </c>
      <c r="W73">
        <f t="shared" si="159"/>
        <v>6.6100000000000065</v>
      </c>
      <c r="X73">
        <f t="shared" si="159"/>
        <v>3.8800000000000026</v>
      </c>
      <c r="Y73">
        <f t="shared" si="159"/>
        <v>3.5300000000000011</v>
      </c>
      <c r="Z73">
        <f t="shared" si="159"/>
        <v>3.460000000000008</v>
      </c>
      <c r="AA73">
        <f t="shared" si="159"/>
        <v>7.1700000000000088</v>
      </c>
      <c r="AB73">
        <f t="shared" si="159"/>
        <v>11.230000000000004</v>
      </c>
      <c r="AC73">
        <f t="shared" si="159"/>
        <v>20.260000000000005</v>
      </c>
      <c r="AD73">
        <f t="shared" si="159"/>
        <v>19.489999999999995</v>
      </c>
      <c r="AE73">
        <f t="shared" si="159"/>
        <v>14.100000000000001</v>
      </c>
      <c r="AF73">
        <f t="shared" si="159"/>
        <v>11.370000000000005</v>
      </c>
      <c r="AG73">
        <f t="shared" si="159"/>
        <v>13.050000000000004</v>
      </c>
      <c r="AH73">
        <f t="shared" si="159"/>
        <v>11.300000000000004</v>
      </c>
      <c r="AI73">
        <f t="shared" si="159"/>
        <v>13.75</v>
      </c>
      <c r="AJ73">
        <f t="shared" si="159"/>
        <v>13.610000000000007</v>
      </c>
      <c r="AK73">
        <f t="shared" si="159"/>
        <v>27.820000000000007</v>
      </c>
      <c r="AL73">
        <f t="shared" si="159"/>
        <v>15.640000000000008</v>
      </c>
      <c r="AM73">
        <f t="shared" si="159"/>
        <v>14.660000000000004</v>
      </c>
      <c r="AN73" t="e">
        <f t="shared" si="159"/>
        <v>#N/A</v>
      </c>
      <c r="AO73">
        <f t="shared" si="159"/>
        <v>19.28</v>
      </c>
      <c r="AP73">
        <f t="shared" si="159"/>
        <v>16.060000000000002</v>
      </c>
      <c r="AQ73">
        <f t="shared" si="159"/>
        <v>14.940000000000005</v>
      </c>
      <c r="AR73">
        <f t="shared" si="159"/>
        <v>14.660000000000004</v>
      </c>
      <c r="AS73">
        <f t="shared" si="159"/>
        <v>13.75</v>
      </c>
      <c r="AT73" t="e">
        <f t="shared" si="159"/>
        <v>#N/A</v>
      </c>
      <c r="AU73" t="e">
        <f t="shared" si="159"/>
        <v>#N/A</v>
      </c>
      <c r="AV73" t="e">
        <f t="shared" si="159"/>
        <v>#N/A</v>
      </c>
      <c r="AW73" t="e">
        <f t="shared" si="159"/>
        <v>#N/A</v>
      </c>
      <c r="AX73" t="e">
        <f t="shared" si="159"/>
        <v>#N/A</v>
      </c>
      <c r="AY73" t="e">
        <f t="shared" si="159"/>
        <v>#N/A</v>
      </c>
      <c r="AZ73" t="e">
        <f t="shared" si="159"/>
        <v>#N/A</v>
      </c>
      <c r="BA73" t="e">
        <f t="shared" si="159"/>
        <v>#N/A</v>
      </c>
      <c r="BB73" t="e">
        <f t="shared" si="159"/>
        <v>#N/A</v>
      </c>
      <c r="BC73" t="e">
        <f t="shared" si="159"/>
        <v>#N/A</v>
      </c>
      <c r="BD73" t="e">
        <f t="shared" si="159"/>
        <v>#N/A</v>
      </c>
      <c r="BE73" t="e">
        <f t="shared" si="159"/>
        <v>#N/A</v>
      </c>
      <c r="BF73" t="e">
        <f t="shared" si="159"/>
        <v>#N/A</v>
      </c>
      <c r="BG73" t="e">
        <f t="shared" si="159"/>
        <v>#N/A</v>
      </c>
      <c r="BH73" t="e">
        <f t="shared" si="159"/>
        <v>#N/A</v>
      </c>
      <c r="BI73" t="e">
        <f t="shared" si="159"/>
        <v>#N/A</v>
      </c>
      <c r="BJ73" t="e">
        <f t="shared" si="159"/>
        <v>#N/A</v>
      </c>
      <c r="BK73" t="e">
        <f t="shared" si="159"/>
        <v>#N/A</v>
      </c>
      <c r="BL73" t="e">
        <f t="shared" si="159"/>
        <v>#N/A</v>
      </c>
      <c r="BM73" t="e">
        <f t="shared" si="159"/>
        <v>#N/A</v>
      </c>
      <c r="BN73" t="e">
        <f t="shared" si="159"/>
        <v>#N/A</v>
      </c>
      <c r="BO73" t="e">
        <f t="shared" si="159"/>
        <v>#N/A</v>
      </c>
      <c r="BP73" t="e">
        <f t="shared" si="159"/>
        <v>#N/A</v>
      </c>
      <c r="BQ73" t="e">
        <f t="shared" si="159"/>
        <v>#N/A</v>
      </c>
      <c r="BR73" t="e">
        <f t="shared" si="159"/>
        <v>#N/A</v>
      </c>
      <c r="BS73" t="e">
        <f t="shared" si="159"/>
        <v>#N/A</v>
      </c>
      <c r="BT73" t="e">
        <f t="shared" si="159"/>
        <v>#N/A</v>
      </c>
      <c r="BU73" t="e">
        <f t="shared" si="159"/>
        <v>#N/A</v>
      </c>
      <c r="BV73" t="e">
        <f t="shared" ref="BV73:EG73" si="160">IF(ISNA(BV62),NA(),BV62-$A73)</f>
        <v>#N/A</v>
      </c>
      <c r="BW73" t="e">
        <f t="shared" si="160"/>
        <v>#N/A</v>
      </c>
      <c r="BX73" t="e">
        <f t="shared" si="160"/>
        <v>#N/A</v>
      </c>
      <c r="BY73" t="e">
        <f t="shared" si="160"/>
        <v>#N/A</v>
      </c>
      <c r="BZ73" t="e">
        <f t="shared" si="160"/>
        <v>#N/A</v>
      </c>
      <c r="CA73" t="e">
        <f t="shared" si="160"/>
        <v>#N/A</v>
      </c>
      <c r="CB73" t="e">
        <f t="shared" si="160"/>
        <v>#N/A</v>
      </c>
      <c r="CC73" t="e">
        <f t="shared" si="160"/>
        <v>#N/A</v>
      </c>
      <c r="CD73" t="e">
        <f t="shared" si="160"/>
        <v>#N/A</v>
      </c>
      <c r="CE73" t="e">
        <f t="shared" si="160"/>
        <v>#N/A</v>
      </c>
      <c r="CF73" t="e">
        <f t="shared" si="160"/>
        <v>#N/A</v>
      </c>
      <c r="CG73" t="e">
        <f t="shared" si="160"/>
        <v>#N/A</v>
      </c>
      <c r="CH73" t="e">
        <f t="shared" si="160"/>
        <v>#N/A</v>
      </c>
      <c r="CI73" t="e">
        <f t="shared" si="160"/>
        <v>#N/A</v>
      </c>
      <c r="CJ73" t="e">
        <f t="shared" si="160"/>
        <v>#N/A</v>
      </c>
      <c r="CK73" t="e">
        <f t="shared" si="160"/>
        <v>#N/A</v>
      </c>
      <c r="CL73" t="e">
        <f t="shared" si="160"/>
        <v>#N/A</v>
      </c>
      <c r="CM73" t="e">
        <f t="shared" si="160"/>
        <v>#N/A</v>
      </c>
      <c r="CN73" t="e">
        <f t="shared" si="160"/>
        <v>#N/A</v>
      </c>
      <c r="CO73" t="e">
        <f t="shared" si="160"/>
        <v>#N/A</v>
      </c>
      <c r="CP73" t="e">
        <f t="shared" si="160"/>
        <v>#N/A</v>
      </c>
      <c r="CQ73" t="e">
        <f t="shared" si="160"/>
        <v>#N/A</v>
      </c>
      <c r="CR73" t="e">
        <f t="shared" si="160"/>
        <v>#N/A</v>
      </c>
      <c r="CS73" t="e">
        <f t="shared" si="160"/>
        <v>#N/A</v>
      </c>
      <c r="CT73" t="e">
        <f t="shared" si="160"/>
        <v>#N/A</v>
      </c>
      <c r="CU73" t="e">
        <f t="shared" si="160"/>
        <v>#N/A</v>
      </c>
      <c r="CV73" t="e">
        <f t="shared" si="160"/>
        <v>#N/A</v>
      </c>
      <c r="CW73" t="e">
        <f t="shared" si="160"/>
        <v>#N/A</v>
      </c>
      <c r="CX73" t="e">
        <f t="shared" si="160"/>
        <v>#N/A</v>
      </c>
      <c r="CY73" t="e">
        <f t="shared" si="160"/>
        <v>#N/A</v>
      </c>
      <c r="CZ73" t="e">
        <f t="shared" si="160"/>
        <v>#N/A</v>
      </c>
      <c r="DA73" t="e">
        <f t="shared" si="160"/>
        <v>#N/A</v>
      </c>
      <c r="DB73" t="e">
        <f t="shared" si="160"/>
        <v>#N/A</v>
      </c>
      <c r="DC73" t="e">
        <f t="shared" si="160"/>
        <v>#N/A</v>
      </c>
      <c r="DD73" t="e">
        <f t="shared" si="160"/>
        <v>#N/A</v>
      </c>
      <c r="DE73" t="e">
        <f t="shared" si="160"/>
        <v>#N/A</v>
      </c>
      <c r="DF73" t="e">
        <f t="shared" si="160"/>
        <v>#N/A</v>
      </c>
      <c r="DG73" t="e">
        <f t="shared" si="160"/>
        <v>#N/A</v>
      </c>
      <c r="DH73" t="e">
        <f t="shared" si="160"/>
        <v>#N/A</v>
      </c>
      <c r="DI73" t="e">
        <f t="shared" si="160"/>
        <v>#N/A</v>
      </c>
      <c r="DJ73" t="e">
        <f t="shared" si="160"/>
        <v>#N/A</v>
      </c>
      <c r="DK73" t="e">
        <f t="shared" si="160"/>
        <v>#N/A</v>
      </c>
      <c r="DL73" t="e">
        <f t="shared" si="160"/>
        <v>#N/A</v>
      </c>
      <c r="DM73" t="e">
        <f t="shared" si="160"/>
        <v>#N/A</v>
      </c>
      <c r="DN73" t="e">
        <f t="shared" si="160"/>
        <v>#N/A</v>
      </c>
      <c r="DO73" t="e">
        <f t="shared" si="160"/>
        <v>#N/A</v>
      </c>
      <c r="DP73" t="e">
        <f t="shared" si="160"/>
        <v>#N/A</v>
      </c>
      <c r="DQ73" t="e">
        <f t="shared" si="160"/>
        <v>#N/A</v>
      </c>
      <c r="DR73" t="e">
        <f t="shared" si="160"/>
        <v>#N/A</v>
      </c>
      <c r="DS73" t="e">
        <f t="shared" si="160"/>
        <v>#N/A</v>
      </c>
      <c r="DT73" t="e">
        <f t="shared" si="160"/>
        <v>#N/A</v>
      </c>
      <c r="DU73" t="e">
        <f t="shared" si="160"/>
        <v>#N/A</v>
      </c>
      <c r="DV73" t="e">
        <f t="shared" si="160"/>
        <v>#N/A</v>
      </c>
      <c r="DW73" t="e">
        <f t="shared" si="160"/>
        <v>#N/A</v>
      </c>
      <c r="DX73" t="e">
        <f t="shared" si="160"/>
        <v>#N/A</v>
      </c>
      <c r="DY73" t="e">
        <f t="shared" si="160"/>
        <v>#N/A</v>
      </c>
      <c r="DZ73" t="e">
        <f t="shared" si="160"/>
        <v>#N/A</v>
      </c>
      <c r="EA73" t="e">
        <f t="shared" si="160"/>
        <v>#N/A</v>
      </c>
      <c r="EB73" t="e">
        <f t="shared" si="160"/>
        <v>#N/A</v>
      </c>
      <c r="EC73" t="e">
        <f t="shared" si="160"/>
        <v>#N/A</v>
      </c>
      <c r="ED73" t="e">
        <f t="shared" si="160"/>
        <v>#N/A</v>
      </c>
      <c r="EE73" t="e">
        <f t="shared" si="160"/>
        <v>#N/A</v>
      </c>
      <c r="EF73" t="e">
        <f t="shared" si="160"/>
        <v>#N/A</v>
      </c>
      <c r="EG73" t="e">
        <f t="shared" si="160"/>
        <v>#N/A</v>
      </c>
      <c r="EH73" t="e">
        <f t="shared" ref="EH73:GA73" si="161">IF(ISNA(EH62),NA(),EH62-$A73)</f>
        <v>#N/A</v>
      </c>
      <c r="EI73" t="e">
        <f t="shared" si="161"/>
        <v>#N/A</v>
      </c>
      <c r="EJ73" t="e">
        <f t="shared" si="161"/>
        <v>#N/A</v>
      </c>
      <c r="EK73" t="e">
        <f t="shared" si="161"/>
        <v>#N/A</v>
      </c>
      <c r="EL73" t="e">
        <f t="shared" si="161"/>
        <v>#N/A</v>
      </c>
      <c r="EM73" t="e">
        <f t="shared" si="161"/>
        <v>#N/A</v>
      </c>
      <c r="EN73" t="e">
        <f t="shared" si="161"/>
        <v>#N/A</v>
      </c>
      <c r="EO73" t="e">
        <f t="shared" si="161"/>
        <v>#N/A</v>
      </c>
      <c r="EP73" t="e">
        <f t="shared" si="161"/>
        <v>#N/A</v>
      </c>
      <c r="EQ73" t="e">
        <f t="shared" si="161"/>
        <v>#N/A</v>
      </c>
      <c r="ER73" t="e">
        <f t="shared" si="161"/>
        <v>#N/A</v>
      </c>
      <c r="ES73" t="e">
        <f t="shared" si="161"/>
        <v>#N/A</v>
      </c>
      <c r="ET73" t="e">
        <f t="shared" si="161"/>
        <v>#N/A</v>
      </c>
      <c r="EU73" t="e">
        <f t="shared" si="161"/>
        <v>#N/A</v>
      </c>
      <c r="EV73" t="e">
        <f t="shared" si="161"/>
        <v>#N/A</v>
      </c>
      <c r="EW73" t="e">
        <f t="shared" si="161"/>
        <v>#N/A</v>
      </c>
      <c r="EX73" t="e">
        <f t="shared" si="161"/>
        <v>#N/A</v>
      </c>
      <c r="EY73" t="e">
        <f t="shared" si="161"/>
        <v>#N/A</v>
      </c>
      <c r="EZ73" t="e">
        <f t="shared" si="161"/>
        <v>#N/A</v>
      </c>
      <c r="FA73" t="e">
        <f t="shared" si="161"/>
        <v>#N/A</v>
      </c>
      <c r="FB73" t="e">
        <f t="shared" si="161"/>
        <v>#N/A</v>
      </c>
      <c r="FC73" t="e">
        <f t="shared" si="161"/>
        <v>#N/A</v>
      </c>
      <c r="FD73" t="e">
        <f t="shared" si="161"/>
        <v>#N/A</v>
      </c>
      <c r="FE73" t="e">
        <f t="shared" si="161"/>
        <v>#N/A</v>
      </c>
      <c r="FF73" t="e">
        <f t="shared" si="161"/>
        <v>#N/A</v>
      </c>
      <c r="FG73" t="e">
        <f t="shared" si="161"/>
        <v>#N/A</v>
      </c>
      <c r="FH73" t="e">
        <f t="shared" si="161"/>
        <v>#N/A</v>
      </c>
      <c r="FI73" t="e">
        <f t="shared" si="161"/>
        <v>#N/A</v>
      </c>
      <c r="FJ73" t="e">
        <f t="shared" si="161"/>
        <v>#N/A</v>
      </c>
      <c r="FK73" t="e">
        <f t="shared" si="161"/>
        <v>#N/A</v>
      </c>
      <c r="FL73" t="e">
        <f t="shared" si="161"/>
        <v>#N/A</v>
      </c>
      <c r="FM73" t="e">
        <f t="shared" si="161"/>
        <v>#N/A</v>
      </c>
      <c r="FN73" t="e">
        <f t="shared" si="161"/>
        <v>#N/A</v>
      </c>
      <c r="FO73" t="e">
        <f t="shared" si="161"/>
        <v>#N/A</v>
      </c>
      <c r="FP73" t="e">
        <f t="shared" si="161"/>
        <v>#N/A</v>
      </c>
      <c r="FQ73" t="e">
        <f t="shared" si="161"/>
        <v>#N/A</v>
      </c>
      <c r="FR73" t="e">
        <f t="shared" si="161"/>
        <v>#N/A</v>
      </c>
      <c r="FS73" t="e">
        <f t="shared" si="161"/>
        <v>#N/A</v>
      </c>
      <c r="FT73" t="e">
        <f t="shared" si="161"/>
        <v>#N/A</v>
      </c>
      <c r="FU73" t="e">
        <f t="shared" si="161"/>
        <v>#N/A</v>
      </c>
      <c r="FV73" t="e">
        <f t="shared" si="161"/>
        <v>#N/A</v>
      </c>
      <c r="FW73" t="e">
        <f t="shared" si="161"/>
        <v>#N/A</v>
      </c>
      <c r="FX73" t="e">
        <f t="shared" si="161"/>
        <v>#N/A</v>
      </c>
      <c r="FY73" t="e">
        <f t="shared" si="161"/>
        <v>#N/A</v>
      </c>
      <c r="FZ73" t="e">
        <f t="shared" si="161"/>
        <v>#N/A</v>
      </c>
      <c r="GA73" t="e">
        <f t="shared" si="161"/>
        <v>#N/A</v>
      </c>
    </row>
    <row r="74" spans="1:183" x14ac:dyDescent="0.45">
      <c r="A74">
        <v>51.14</v>
      </c>
      <c r="B74" t="s">
        <v>25</v>
      </c>
      <c r="C74" cm="1">
        <f t="array" ref="C74">LOOKUP(2,1/(I74:GA74&lt;&gt;""),I74:GA74)</f>
        <v>17.159999999999997</v>
      </c>
      <c r="D74">
        <f t="shared" si="147"/>
        <v>45</v>
      </c>
      <c r="F74" s="3">
        <f t="shared" si="152"/>
        <v>0.33554947203754393</v>
      </c>
      <c r="G74" s="3" cm="1">
        <f t="array" ref="G74">(C63-IF(ISNA(INDEX(I63:GA63,D63-22)),INDEX(I63:GA63,D63-23),INDEX(I63:GA63,D63-22)))/A74</f>
        <v>-8.4082909659757468E-2</v>
      </c>
      <c r="I74">
        <f t="shared" si="148"/>
        <v>-24.44</v>
      </c>
      <c r="J74">
        <f t="shared" ref="J74:BU74" si="162">IF(ISNA(J63),NA(),J63-$A74)</f>
        <v>-24.44</v>
      </c>
      <c r="K74" t="e">
        <f t="shared" si="162"/>
        <v>#N/A</v>
      </c>
      <c r="L74">
        <f t="shared" si="162"/>
        <v>-22.340000000000003</v>
      </c>
      <c r="M74" t="e">
        <f t="shared" si="162"/>
        <v>#N/A</v>
      </c>
      <c r="N74">
        <f t="shared" si="162"/>
        <v>-19.04</v>
      </c>
      <c r="O74">
        <f t="shared" si="162"/>
        <v>-18.14</v>
      </c>
      <c r="P74">
        <f t="shared" si="162"/>
        <v>-8.64</v>
      </c>
      <c r="Q74">
        <f t="shared" si="162"/>
        <v>-7.1400000000000006</v>
      </c>
      <c r="R74">
        <f t="shared" si="162"/>
        <v>-3.9400000000000048</v>
      </c>
      <c r="S74">
        <f t="shared" si="162"/>
        <v>-4.4399999999999977</v>
      </c>
      <c r="T74">
        <f t="shared" si="162"/>
        <v>4.4599999999999937</v>
      </c>
      <c r="U74">
        <f t="shared" si="162"/>
        <v>7.759999999999998</v>
      </c>
      <c r="V74">
        <f t="shared" si="162"/>
        <v>10.36</v>
      </c>
      <c r="W74">
        <f t="shared" si="162"/>
        <v>9.1600000000000037</v>
      </c>
      <c r="X74">
        <f t="shared" si="162"/>
        <v>8.5599999999999952</v>
      </c>
      <c r="Y74">
        <f t="shared" si="162"/>
        <v>3.1599999999999966</v>
      </c>
      <c r="Z74">
        <f t="shared" si="162"/>
        <v>0.76000000000000512</v>
      </c>
      <c r="AA74">
        <f t="shared" si="162"/>
        <v>8.5599999999999952</v>
      </c>
      <c r="AB74">
        <f t="shared" si="162"/>
        <v>15.459999999999994</v>
      </c>
      <c r="AC74">
        <f t="shared" si="162"/>
        <v>21.459999999999994</v>
      </c>
      <c r="AD74">
        <f t="shared" si="162"/>
        <v>34.760000000000005</v>
      </c>
      <c r="AE74">
        <f t="shared" si="162"/>
        <v>21.459999999999994</v>
      </c>
      <c r="AF74">
        <f t="shared" si="162"/>
        <v>18.760000000000005</v>
      </c>
      <c r="AG74">
        <f t="shared" si="162"/>
        <v>18.459999999999994</v>
      </c>
      <c r="AH74">
        <f t="shared" si="162"/>
        <v>18.86</v>
      </c>
      <c r="AI74">
        <f t="shared" si="162"/>
        <v>18.260000000000005</v>
      </c>
      <c r="AJ74">
        <f t="shared" si="162"/>
        <v>17.460000000000008</v>
      </c>
      <c r="AK74">
        <f t="shared" si="162"/>
        <v>22.959999999999994</v>
      </c>
      <c r="AL74">
        <f t="shared" si="162"/>
        <v>27.659999999999997</v>
      </c>
      <c r="AM74">
        <f t="shared" si="162"/>
        <v>20.959999999999994</v>
      </c>
      <c r="AN74" t="e">
        <f t="shared" si="162"/>
        <v>#N/A</v>
      </c>
      <c r="AO74">
        <f t="shared" si="162"/>
        <v>18.36</v>
      </c>
      <c r="AP74">
        <f t="shared" si="162"/>
        <v>22.060000000000002</v>
      </c>
      <c r="AQ74">
        <f t="shared" si="162"/>
        <v>19.260000000000005</v>
      </c>
      <c r="AR74">
        <f t="shared" si="162"/>
        <v>16.36</v>
      </c>
      <c r="AS74">
        <f t="shared" si="162"/>
        <v>17.159999999999997</v>
      </c>
      <c r="AT74" t="e">
        <f t="shared" si="162"/>
        <v>#N/A</v>
      </c>
      <c r="AU74" t="e">
        <f t="shared" si="162"/>
        <v>#N/A</v>
      </c>
      <c r="AV74" t="e">
        <f t="shared" si="162"/>
        <v>#N/A</v>
      </c>
      <c r="AW74" t="e">
        <f t="shared" si="162"/>
        <v>#N/A</v>
      </c>
      <c r="AX74" t="e">
        <f t="shared" si="162"/>
        <v>#N/A</v>
      </c>
      <c r="AY74" t="e">
        <f t="shared" si="162"/>
        <v>#N/A</v>
      </c>
      <c r="AZ74" t="e">
        <f t="shared" si="162"/>
        <v>#N/A</v>
      </c>
      <c r="BA74" t="e">
        <f t="shared" si="162"/>
        <v>#N/A</v>
      </c>
      <c r="BB74" t="e">
        <f t="shared" si="162"/>
        <v>#N/A</v>
      </c>
      <c r="BC74" t="e">
        <f t="shared" si="162"/>
        <v>#N/A</v>
      </c>
      <c r="BD74" t="e">
        <f t="shared" si="162"/>
        <v>#N/A</v>
      </c>
      <c r="BE74" t="e">
        <f t="shared" si="162"/>
        <v>#N/A</v>
      </c>
      <c r="BF74" t="e">
        <f t="shared" si="162"/>
        <v>#N/A</v>
      </c>
      <c r="BG74" t="e">
        <f t="shared" si="162"/>
        <v>#N/A</v>
      </c>
      <c r="BH74" t="e">
        <f t="shared" si="162"/>
        <v>#N/A</v>
      </c>
      <c r="BI74" t="e">
        <f t="shared" si="162"/>
        <v>#N/A</v>
      </c>
      <c r="BJ74" t="e">
        <f t="shared" si="162"/>
        <v>#N/A</v>
      </c>
      <c r="BK74" t="e">
        <f t="shared" si="162"/>
        <v>#N/A</v>
      </c>
      <c r="BL74" t="e">
        <f t="shared" si="162"/>
        <v>#N/A</v>
      </c>
      <c r="BM74" t="e">
        <f t="shared" si="162"/>
        <v>#N/A</v>
      </c>
      <c r="BN74" t="e">
        <f t="shared" si="162"/>
        <v>#N/A</v>
      </c>
      <c r="BO74" t="e">
        <f t="shared" si="162"/>
        <v>#N/A</v>
      </c>
      <c r="BP74" t="e">
        <f t="shared" si="162"/>
        <v>#N/A</v>
      </c>
      <c r="BQ74" t="e">
        <f t="shared" si="162"/>
        <v>#N/A</v>
      </c>
      <c r="BR74" t="e">
        <f t="shared" si="162"/>
        <v>#N/A</v>
      </c>
      <c r="BS74" t="e">
        <f t="shared" si="162"/>
        <v>#N/A</v>
      </c>
      <c r="BT74" t="e">
        <f t="shared" si="162"/>
        <v>#N/A</v>
      </c>
      <c r="BU74" t="e">
        <f t="shared" si="162"/>
        <v>#N/A</v>
      </c>
      <c r="BV74" t="e">
        <f t="shared" ref="BV74:EG74" si="163">IF(ISNA(BV63),NA(),BV63-$A74)</f>
        <v>#N/A</v>
      </c>
      <c r="BW74" t="e">
        <f t="shared" si="163"/>
        <v>#N/A</v>
      </c>
      <c r="BX74" t="e">
        <f t="shared" si="163"/>
        <v>#N/A</v>
      </c>
      <c r="BY74" t="e">
        <f t="shared" si="163"/>
        <v>#N/A</v>
      </c>
      <c r="BZ74" t="e">
        <f t="shared" si="163"/>
        <v>#N/A</v>
      </c>
      <c r="CA74" t="e">
        <f t="shared" si="163"/>
        <v>#N/A</v>
      </c>
      <c r="CB74" t="e">
        <f t="shared" si="163"/>
        <v>#N/A</v>
      </c>
      <c r="CC74" t="e">
        <f t="shared" si="163"/>
        <v>#N/A</v>
      </c>
      <c r="CD74" t="e">
        <f t="shared" si="163"/>
        <v>#N/A</v>
      </c>
      <c r="CE74" t="e">
        <f t="shared" si="163"/>
        <v>#N/A</v>
      </c>
      <c r="CF74" t="e">
        <f t="shared" si="163"/>
        <v>#N/A</v>
      </c>
      <c r="CG74" t="e">
        <f t="shared" si="163"/>
        <v>#N/A</v>
      </c>
      <c r="CH74" t="e">
        <f t="shared" si="163"/>
        <v>#N/A</v>
      </c>
      <c r="CI74" t="e">
        <f t="shared" si="163"/>
        <v>#N/A</v>
      </c>
      <c r="CJ74" t="e">
        <f t="shared" si="163"/>
        <v>#N/A</v>
      </c>
      <c r="CK74" t="e">
        <f t="shared" si="163"/>
        <v>#N/A</v>
      </c>
      <c r="CL74" t="e">
        <f t="shared" si="163"/>
        <v>#N/A</v>
      </c>
      <c r="CM74" t="e">
        <f t="shared" si="163"/>
        <v>#N/A</v>
      </c>
      <c r="CN74" t="e">
        <f t="shared" si="163"/>
        <v>#N/A</v>
      </c>
      <c r="CO74" t="e">
        <f t="shared" si="163"/>
        <v>#N/A</v>
      </c>
      <c r="CP74" t="e">
        <f t="shared" si="163"/>
        <v>#N/A</v>
      </c>
      <c r="CQ74" t="e">
        <f t="shared" si="163"/>
        <v>#N/A</v>
      </c>
      <c r="CR74" t="e">
        <f t="shared" si="163"/>
        <v>#N/A</v>
      </c>
      <c r="CS74" t="e">
        <f t="shared" si="163"/>
        <v>#N/A</v>
      </c>
      <c r="CT74" t="e">
        <f t="shared" si="163"/>
        <v>#N/A</v>
      </c>
      <c r="CU74" t="e">
        <f t="shared" si="163"/>
        <v>#N/A</v>
      </c>
      <c r="CV74" t="e">
        <f t="shared" si="163"/>
        <v>#N/A</v>
      </c>
      <c r="CW74" t="e">
        <f t="shared" si="163"/>
        <v>#N/A</v>
      </c>
      <c r="CX74" t="e">
        <f t="shared" si="163"/>
        <v>#N/A</v>
      </c>
      <c r="CY74" t="e">
        <f t="shared" si="163"/>
        <v>#N/A</v>
      </c>
      <c r="CZ74" t="e">
        <f t="shared" si="163"/>
        <v>#N/A</v>
      </c>
      <c r="DA74" t="e">
        <f t="shared" si="163"/>
        <v>#N/A</v>
      </c>
      <c r="DB74" t="e">
        <f t="shared" si="163"/>
        <v>#N/A</v>
      </c>
      <c r="DC74" t="e">
        <f t="shared" si="163"/>
        <v>#N/A</v>
      </c>
      <c r="DD74" t="e">
        <f t="shared" si="163"/>
        <v>#N/A</v>
      </c>
      <c r="DE74" t="e">
        <f t="shared" si="163"/>
        <v>#N/A</v>
      </c>
      <c r="DF74" t="e">
        <f t="shared" si="163"/>
        <v>#N/A</v>
      </c>
      <c r="DG74" t="e">
        <f t="shared" si="163"/>
        <v>#N/A</v>
      </c>
      <c r="DH74" t="e">
        <f t="shared" si="163"/>
        <v>#N/A</v>
      </c>
      <c r="DI74" t="e">
        <f t="shared" si="163"/>
        <v>#N/A</v>
      </c>
      <c r="DJ74" t="e">
        <f t="shared" si="163"/>
        <v>#N/A</v>
      </c>
      <c r="DK74" t="e">
        <f t="shared" si="163"/>
        <v>#N/A</v>
      </c>
      <c r="DL74" t="e">
        <f t="shared" si="163"/>
        <v>#N/A</v>
      </c>
      <c r="DM74" t="e">
        <f t="shared" si="163"/>
        <v>#N/A</v>
      </c>
      <c r="DN74" t="e">
        <f t="shared" si="163"/>
        <v>#N/A</v>
      </c>
      <c r="DO74" t="e">
        <f t="shared" si="163"/>
        <v>#N/A</v>
      </c>
      <c r="DP74" t="e">
        <f t="shared" si="163"/>
        <v>#N/A</v>
      </c>
      <c r="DQ74" t="e">
        <f t="shared" si="163"/>
        <v>#N/A</v>
      </c>
      <c r="DR74" t="e">
        <f t="shared" si="163"/>
        <v>#N/A</v>
      </c>
      <c r="DS74" t="e">
        <f t="shared" si="163"/>
        <v>#N/A</v>
      </c>
      <c r="DT74" t="e">
        <f t="shared" si="163"/>
        <v>#N/A</v>
      </c>
      <c r="DU74" t="e">
        <f t="shared" si="163"/>
        <v>#N/A</v>
      </c>
      <c r="DV74" t="e">
        <f t="shared" si="163"/>
        <v>#N/A</v>
      </c>
      <c r="DW74" t="e">
        <f t="shared" si="163"/>
        <v>#N/A</v>
      </c>
      <c r="DX74" t="e">
        <f t="shared" si="163"/>
        <v>#N/A</v>
      </c>
      <c r="DY74" t="e">
        <f t="shared" si="163"/>
        <v>#N/A</v>
      </c>
      <c r="DZ74" t="e">
        <f t="shared" si="163"/>
        <v>#N/A</v>
      </c>
      <c r="EA74" t="e">
        <f t="shared" si="163"/>
        <v>#N/A</v>
      </c>
      <c r="EB74" t="e">
        <f t="shared" si="163"/>
        <v>#N/A</v>
      </c>
      <c r="EC74" t="e">
        <f t="shared" si="163"/>
        <v>#N/A</v>
      </c>
      <c r="ED74" t="e">
        <f t="shared" si="163"/>
        <v>#N/A</v>
      </c>
      <c r="EE74" t="e">
        <f t="shared" si="163"/>
        <v>#N/A</v>
      </c>
      <c r="EF74" t="e">
        <f t="shared" si="163"/>
        <v>#N/A</v>
      </c>
      <c r="EG74" t="e">
        <f t="shared" si="163"/>
        <v>#N/A</v>
      </c>
      <c r="EH74" t="e">
        <f t="shared" ref="EH74:GA74" si="164">IF(ISNA(EH63),NA(),EH63-$A74)</f>
        <v>#N/A</v>
      </c>
      <c r="EI74" t="e">
        <f t="shared" si="164"/>
        <v>#N/A</v>
      </c>
      <c r="EJ74" t="e">
        <f t="shared" si="164"/>
        <v>#N/A</v>
      </c>
      <c r="EK74" t="e">
        <f t="shared" si="164"/>
        <v>#N/A</v>
      </c>
      <c r="EL74" t="e">
        <f t="shared" si="164"/>
        <v>#N/A</v>
      </c>
      <c r="EM74" t="e">
        <f t="shared" si="164"/>
        <v>#N/A</v>
      </c>
      <c r="EN74" t="e">
        <f t="shared" si="164"/>
        <v>#N/A</v>
      </c>
      <c r="EO74" t="e">
        <f t="shared" si="164"/>
        <v>#N/A</v>
      </c>
      <c r="EP74" t="e">
        <f t="shared" si="164"/>
        <v>#N/A</v>
      </c>
      <c r="EQ74" t="e">
        <f t="shared" si="164"/>
        <v>#N/A</v>
      </c>
      <c r="ER74" t="e">
        <f t="shared" si="164"/>
        <v>#N/A</v>
      </c>
      <c r="ES74" t="e">
        <f t="shared" si="164"/>
        <v>#N/A</v>
      </c>
      <c r="ET74" t="e">
        <f t="shared" si="164"/>
        <v>#N/A</v>
      </c>
      <c r="EU74" t="e">
        <f t="shared" si="164"/>
        <v>#N/A</v>
      </c>
      <c r="EV74" t="e">
        <f t="shared" si="164"/>
        <v>#N/A</v>
      </c>
      <c r="EW74" t="e">
        <f t="shared" si="164"/>
        <v>#N/A</v>
      </c>
      <c r="EX74" t="e">
        <f t="shared" si="164"/>
        <v>#N/A</v>
      </c>
      <c r="EY74" t="e">
        <f t="shared" si="164"/>
        <v>#N/A</v>
      </c>
      <c r="EZ74" t="e">
        <f t="shared" si="164"/>
        <v>#N/A</v>
      </c>
      <c r="FA74" t="e">
        <f t="shared" si="164"/>
        <v>#N/A</v>
      </c>
      <c r="FB74" t="e">
        <f t="shared" si="164"/>
        <v>#N/A</v>
      </c>
      <c r="FC74" t="e">
        <f t="shared" si="164"/>
        <v>#N/A</v>
      </c>
      <c r="FD74" t="e">
        <f t="shared" si="164"/>
        <v>#N/A</v>
      </c>
      <c r="FE74" t="e">
        <f t="shared" si="164"/>
        <v>#N/A</v>
      </c>
      <c r="FF74" t="e">
        <f t="shared" si="164"/>
        <v>#N/A</v>
      </c>
      <c r="FG74" t="e">
        <f t="shared" si="164"/>
        <v>#N/A</v>
      </c>
      <c r="FH74" t="e">
        <f t="shared" si="164"/>
        <v>#N/A</v>
      </c>
      <c r="FI74" t="e">
        <f t="shared" si="164"/>
        <v>#N/A</v>
      </c>
      <c r="FJ74" t="e">
        <f t="shared" si="164"/>
        <v>#N/A</v>
      </c>
      <c r="FK74" t="e">
        <f t="shared" si="164"/>
        <v>#N/A</v>
      </c>
      <c r="FL74" t="e">
        <f t="shared" si="164"/>
        <v>#N/A</v>
      </c>
      <c r="FM74" t="e">
        <f t="shared" si="164"/>
        <v>#N/A</v>
      </c>
      <c r="FN74" t="e">
        <f t="shared" si="164"/>
        <v>#N/A</v>
      </c>
      <c r="FO74" t="e">
        <f t="shared" si="164"/>
        <v>#N/A</v>
      </c>
      <c r="FP74" t="e">
        <f t="shared" si="164"/>
        <v>#N/A</v>
      </c>
      <c r="FQ74" t="e">
        <f t="shared" si="164"/>
        <v>#N/A</v>
      </c>
      <c r="FR74" t="e">
        <f t="shared" si="164"/>
        <v>#N/A</v>
      </c>
      <c r="FS74" t="e">
        <f t="shared" si="164"/>
        <v>#N/A</v>
      </c>
      <c r="FT74" t="e">
        <f t="shared" si="164"/>
        <v>#N/A</v>
      </c>
      <c r="FU74" t="e">
        <f t="shared" si="164"/>
        <v>#N/A</v>
      </c>
      <c r="FV74" t="e">
        <f t="shared" si="164"/>
        <v>#N/A</v>
      </c>
      <c r="FW74" t="e">
        <f t="shared" si="164"/>
        <v>#N/A</v>
      </c>
      <c r="FX74" t="e">
        <f t="shared" si="164"/>
        <v>#N/A</v>
      </c>
      <c r="FY74" t="e">
        <f t="shared" si="164"/>
        <v>#N/A</v>
      </c>
      <c r="FZ74" t="e">
        <f t="shared" si="164"/>
        <v>#N/A</v>
      </c>
      <c r="GA74" t="e">
        <f t="shared" si="164"/>
        <v>#N/A</v>
      </c>
    </row>
    <row r="75" spans="1:183" x14ac:dyDescent="0.45">
      <c r="A75">
        <v>57.13</v>
      </c>
      <c r="B75" t="s">
        <v>26</v>
      </c>
      <c r="C75" cm="1">
        <f t="array" ref="C75">LOOKUP(2,1/(I75:GA75&lt;&gt;""),I75:GA75)</f>
        <v>17.969999999999992</v>
      </c>
      <c r="D75">
        <f t="shared" si="147"/>
        <v>45</v>
      </c>
      <c r="F75" s="3">
        <f t="shared" si="152"/>
        <v>0.31454577279887957</v>
      </c>
      <c r="G75" s="3" cm="1">
        <f t="array" ref="G75">(C64-IF(ISNA(INDEX(I64:GA64,D64-22)),INDEX(I64:GA64,D64-23),INDEX(I64:GA64,D64-22)))/A75</f>
        <v>-5.0761421319797051E-2</v>
      </c>
      <c r="I75">
        <f t="shared" si="148"/>
        <v>-26.130000000000003</v>
      </c>
      <c r="J75">
        <f t="shared" ref="J75:BU75" si="165">IF(ISNA(J64),NA(),J64-$A75)</f>
        <v>-27.930000000000003</v>
      </c>
      <c r="K75" t="e">
        <f t="shared" si="165"/>
        <v>#N/A</v>
      </c>
      <c r="L75">
        <f t="shared" si="165"/>
        <v>-27.930000000000003</v>
      </c>
      <c r="M75" t="e">
        <f t="shared" si="165"/>
        <v>#N/A</v>
      </c>
      <c r="N75">
        <f t="shared" si="165"/>
        <v>-21.730000000000004</v>
      </c>
      <c r="O75">
        <f t="shared" si="165"/>
        <v>-18.930000000000007</v>
      </c>
      <c r="P75">
        <f t="shared" si="165"/>
        <v>-12.93</v>
      </c>
      <c r="Q75">
        <f t="shared" si="165"/>
        <v>-7.93</v>
      </c>
      <c r="R75">
        <f t="shared" si="165"/>
        <v>-3.730000000000004</v>
      </c>
      <c r="S75">
        <f t="shared" si="165"/>
        <v>-3.230000000000004</v>
      </c>
      <c r="T75">
        <f t="shared" si="165"/>
        <v>2.5699999999999932</v>
      </c>
      <c r="U75">
        <f t="shared" si="165"/>
        <v>6.8699999999999974</v>
      </c>
      <c r="V75">
        <f t="shared" si="165"/>
        <v>5.2700000000000031</v>
      </c>
      <c r="W75">
        <f t="shared" si="165"/>
        <v>4.3699999999999974</v>
      </c>
      <c r="X75">
        <f t="shared" si="165"/>
        <v>-0.13000000000000256</v>
      </c>
      <c r="Y75">
        <f t="shared" si="165"/>
        <v>-0.53000000000000114</v>
      </c>
      <c r="Z75">
        <f t="shared" si="165"/>
        <v>1.6699999999999946</v>
      </c>
      <c r="AA75">
        <f t="shared" si="165"/>
        <v>8.6699999999999946</v>
      </c>
      <c r="AB75">
        <f t="shared" si="165"/>
        <v>10.770000000000003</v>
      </c>
      <c r="AC75">
        <f t="shared" si="165"/>
        <v>18.469999999999992</v>
      </c>
      <c r="AD75">
        <f t="shared" si="165"/>
        <v>24.170000000000009</v>
      </c>
      <c r="AE75">
        <f t="shared" si="165"/>
        <v>20.869999999999997</v>
      </c>
      <c r="AF75">
        <f t="shared" si="165"/>
        <v>14.969999999999992</v>
      </c>
      <c r="AG75">
        <f t="shared" si="165"/>
        <v>19.169999999999995</v>
      </c>
      <c r="AH75">
        <f t="shared" si="165"/>
        <v>18.169999999999995</v>
      </c>
      <c r="AI75">
        <f t="shared" si="165"/>
        <v>18.169999999999995</v>
      </c>
      <c r="AJ75">
        <f t="shared" si="165"/>
        <v>16.470000000000006</v>
      </c>
      <c r="AK75">
        <f t="shared" si="165"/>
        <v>36.670000000000009</v>
      </c>
      <c r="AL75">
        <f t="shared" si="165"/>
        <v>34.769999999999989</v>
      </c>
      <c r="AM75">
        <f t="shared" si="165"/>
        <v>30.369999999999997</v>
      </c>
      <c r="AN75" t="e">
        <f t="shared" si="165"/>
        <v>#N/A</v>
      </c>
      <c r="AO75">
        <f t="shared" si="165"/>
        <v>26.270000000000003</v>
      </c>
      <c r="AP75">
        <f t="shared" si="165"/>
        <v>20.569999999999986</v>
      </c>
      <c r="AQ75">
        <f t="shared" si="165"/>
        <v>21.470000000000006</v>
      </c>
      <c r="AR75">
        <f t="shared" si="165"/>
        <v>22.169999999999995</v>
      </c>
      <c r="AS75">
        <f t="shared" si="165"/>
        <v>17.969999999999992</v>
      </c>
      <c r="AT75" t="e">
        <f t="shared" si="165"/>
        <v>#N/A</v>
      </c>
      <c r="AU75" t="e">
        <f t="shared" si="165"/>
        <v>#N/A</v>
      </c>
      <c r="AV75" t="e">
        <f t="shared" si="165"/>
        <v>#N/A</v>
      </c>
      <c r="AW75" t="e">
        <f t="shared" si="165"/>
        <v>#N/A</v>
      </c>
      <c r="AX75" t="e">
        <f t="shared" si="165"/>
        <v>#N/A</v>
      </c>
      <c r="AY75" t="e">
        <f t="shared" si="165"/>
        <v>#N/A</v>
      </c>
      <c r="AZ75" t="e">
        <f t="shared" si="165"/>
        <v>#N/A</v>
      </c>
      <c r="BA75" t="e">
        <f t="shared" si="165"/>
        <v>#N/A</v>
      </c>
      <c r="BB75" t="e">
        <f t="shared" si="165"/>
        <v>#N/A</v>
      </c>
      <c r="BC75" t="e">
        <f t="shared" si="165"/>
        <v>#N/A</v>
      </c>
      <c r="BD75" t="e">
        <f t="shared" si="165"/>
        <v>#N/A</v>
      </c>
      <c r="BE75" t="e">
        <f t="shared" si="165"/>
        <v>#N/A</v>
      </c>
      <c r="BF75" t="e">
        <f t="shared" si="165"/>
        <v>#N/A</v>
      </c>
      <c r="BG75" t="e">
        <f t="shared" si="165"/>
        <v>#N/A</v>
      </c>
      <c r="BH75" t="e">
        <f t="shared" si="165"/>
        <v>#N/A</v>
      </c>
      <c r="BI75" t="e">
        <f t="shared" si="165"/>
        <v>#N/A</v>
      </c>
      <c r="BJ75" t="e">
        <f t="shared" si="165"/>
        <v>#N/A</v>
      </c>
      <c r="BK75" t="e">
        <f t="shared" si="165"/>
        <v>#N/A</v>
      </c>
      <c r="BL75" t="e">
        <f t="shared" si="165"/>
        <v>#N/A</v>
      </c>
      <c r="BM75" t="e">
        <f t="shared" si="165"/>
        <v>#N/A</v>
      </c>
      <c r="BN75" t="e">
        <f t="shared" si="165"/>
        <v>#N/A</v>
      </c>
      <c r="BO75" t="e">
        <f t="shared" si="165"/>
        <v>#N/A</v>
      </c>
      <c r="BP75" t="e">
        <f t="shared" si="165"/>
        <v>#N/A</v>
      </c>
      <c r="BQ75" t="e">
        <f t="shared" si="165"/>
        <v>#N/A</v>
      </c>
      <c r="BR75" t="e">
        <f t="shared" si="165"/>
        <v>#N/A</v>
      </c>
      <c r="BS75" t="e">
        <f t="shared" si="165"/>
        <v>#N/A</v>
      </c>
      <c r="BT75" t="e">
        <f t="shared" si="165"/>
        <v>#N/A</v>
      </c>
      <c r="BU75" t="e">
        <f t="shared" si="165"/>
        <v>#N/A</v>
      </c>
      <c r="BV75" t="e">
        <f t="shared" ref="BV75:EG75" si="166">IF(ISNA(BV64),NA(),BV64-$A75)</f>
        <v>#N/A</v>
      </c>
      <c r="BW75" t="e">
        <f t="shared" si="166"/>
        <v>#N/A</v>
      </c>
      <c r="BX75" t="e">
        <f t="shared" si="166"/>
        <v>#N/A</v>
      </c>
      <c r="BY75" t="e">
        <f t="shared" si="166"/>
        <v>#N/A</v>
      </c>
      <c r="BZ75" t="e">
        <f t="shared" si="166"/>
        <v>#N/A</v>
      </c>
      <c r="CA75" t="e">
        <f t="shared" si="166"/>
        <v>#N/A</v>
      </c>
      <c r="CB75" t="e">
        <f t="shared" si="166"/>
        <v>#N/A</v>
      </c>
      <c r="CC75" t="e">
        <f t="shared" si="166"/>
        <v>#N/A</v>
      </c>
      <c r="CD75" t="e">
        <f t="shared" si="166"/>
        <v>#N/A</v>
      </c>
      <c r="CE75" t="e">
        <f t="shared" si="166"/>
        <v>#N/A</v>
      </c>
      <c r="CF75" t="e">
        <f t="shared" si="166"/>
        <v>#N/A</v>
      </c>
      <c r="CG75" t="e">
        <f t="shared" si="166"/>
        <v>#N/A</v>
      </c>
      <c r="CH75" t="e">
        <f t="shared" si="166"/>
        <v>#N/A</v>
      </c>
      <c r="CI75" t="e">
        <f t="shared" si="166"/>
        <v>#N/A</v>
      </c>
      <c r="CJ75" t="e">
        <f t="shared" si="166"/>
        <v>#N/A</v>
      </c>
      <c r="CK75" t="e">
        <f t="shared" si="166"/>
        <v>#N/A</v>
      </c>
      <c r="CL75" t="e">
        <f t="shared" si="166"/>
        <v>#N/A</v>
      </c>
      <c r="CM75" t="e">
        <f t="shared" si="166"/>
        <v>#N/A</v>
      </c>
      <c r="CN75" t="e">
        <f t="shared" si="166"/>
        <v>#N/A</v>
      </c>
      <c r="CO75" t="e">
        <f t="shared" si="166"/>
        <v>#N/A</v>
      </c>
      <c r="CP75" t="e">
        <f t="shared" si="166"/>
        <v>#N/A</v>
      </c>
      <c r="CQ75" t="e">
        <f t="shared" si="166"/>
        <v>#N/A</v>
      </c>
      <c r="CR75" t="e">
        <f t="shared" si="166"/>
        <v>#N/A</v>
      </c>
      <c r="CS75" t="e">
        <f t="shared" si="166"/>
        <v>#N/A</v>
      </c>
      <c r="CT75" t="e">
        <f t="shared" si="166"/>
        <v>#N/A</v>
      </c>
      <c r="CU75" t="e">
        <f t="shared" si="166"/>
        <v>#N/A</v>
      </c>
      <c r="CV75" t="e">
        <f t="shared" si="166"/>
        <v>#N/A</v>
      </c>
      <c r="CW75" t="e">
        <f t="shared" si="166"/>
        <v>#N/A</v>
      </c>
      <c r="CX75" t="e">
        <f t="shared" si="166"/>
        <v>#N/A</v>
      </c>
      <c r="CY75" t="e">
        <f t="shared" si="166"/>
        <v>#N/A</v>
      </c>
      <c r="CZ75" t="e">
        <f t="shared" si="166"/>
        <v>#N/A</v>
      </c>
      <c r="DA75" t="e">
        <f t="shared" si="166"/>
        <v>#N/A</v>
      </c>
      <c r="DB75" t="e">
        <f t="shared" si="166"/>
        <v>#N/A</v>
      </c>
      <c r="DC75" t="e">
        <f t="shared" si="166"/>
        <v>#N/A</v>
      </c>
      <c r="DD75" t="e">
        <f t="shared" si="166"/>
        <v>#N/A</v>
      </c>
      <c r="DE75" t="e">
        <f t="shared" si="166"/>
        <v>#N/A</v>
      </c>
      <c r="DF75" t="e">
        <f t="shared" si="166"/>
        <v>#N/A</v>
      </c>
      <c r="DG75" t="e">
        <f t="shared" si="166"/>
        <v>#N/A</v>
      </c>
      <c r="DH75" t="e">
        <f t="shared" si="166"/>
        <v>#N/A</v>
      </c>
      <c r="DI75" t="e">
        <f t="shared" si="166"/>
        <v>#N/A</v>
      </c>
      <c r="DJ75" t="e">
        <f t="shared" si="166"/>
        <v>#N/A</v>
      </c>
      <c r="DK75" t="e">
        <f t="shared" si="166"/>
        <v>#N/A</v>
      </c>
      <c r="DL75" t="e">
        <f t="shared" si="166"/>
        <v>#N/A</v>
      </c>
      <c r="DM75" t="e">
        <f t="shared" si="166"/>
        <v>#N/A</v>
      </c>
      <c r="DN75" t="e">
        <f t="shared" si="166"/>
        <v>#N/A</v>
      </c>
      <c r="DO75" t="e">
        <f t="shared" si="166"/>
        <v>#N/A</v>
      </c>
      <c r="DP75" t="e">
        <f t="shared" si="166"/>
        <v>#N/A</v>
      </c>
      <c r="DQ75" t="e">
        <f t="shared" si="166"/>
        <v>#N/A</v>
      </c>
      <c r="DR75" t="e">
        <f t="shared" si="166"/>
        <v>#N/A</v>
      </c>
      <c r="DS75" t="e">
        <f t="shared" si="166"/>
        <v>#N/A</v>
      </c>
      <c r="DT75" t="e">
        <f t="shared" si="166"/>
        <v>#N/A</v>
      </c>
      <c r="DU75" t="e">
        <f t="shared" si="166"/>
        <v>#N/A</v>
      </c>
      <c r="DV75" t="e">
        <f t="shared" si="166"/>
        <v>#N/A</v>
      </c>
      <c r="DW75" t="e">
        <f t="shared" si="166"/>
        <v>#N/A</v>
      </c>
      <c r="DX75" t="e">
        <f t="shared" si="166"/>
        <v>#N/A</v>
      </c>
      <c r="DY75" t="e">
        <f t="shared" si="166"/>
        <v>#N/A</v>
      </c>
      <c r="DZ75" t="e">
        <f t="shared" si="166"/>
        <v>#N/A</v>
      </c>
      <c r="EA75" t="e">
        <f t="shared" si="166"/>
        <v>#N/A</v>
      </c>
      <c r="EB75" t="e">
        <f t="shared" si="166"/>
        <v>#N/A</v>
      </c>
      <c r="EC75" t="e">
        <f t="shared" si="166"/>
        <v>#N/A</v>
      </c>
      <c r="ED75" t="e">
        <f t="shared" si="166"/>
        <v>#N/A</v>
      </c>
      <c r="EE75" t="e">
        <f t="shared" si="166"/>
        <v>#N/A</v>
      </c>
      <c r="EF75" t="e">
        <f t="shared" si="166"/>
        <v>#N/A</v>
      </c>
      <c r="EG75" t="e">
        <f t="shared" si="166"/>
        <v>#N/A</v>
      </c>
      <c r="EH75" t="e">
        <f t="shared" ref="EH75:GA75" si="167">IF(ISNA(EH64),NA(),EH64-$A75)</f>
        <v>#N/A</v>
      </c>
      <c r="EI75" t="e">
        <f t="shared" si="167"/>
        <v>#N/A</v>
      </c>
      <c r="EJ75" t="e">
        <f t="shared" si="167"/>
        <v>#N/A</v>
      </c>
      <c r="EK75" t="e">
        <f t="shared" si="167"/>
        <v>#N/A</v>
      </c>
      <c r="EL75" t="e">
        <f t="shared" si="167"/>
        <v>#N/A</v>
      </c>
      <c r="EM75" t="e">
        <f t="shared" si="167"/>
        <v>#N/A</v>
      </c>
      <c r="EN75" t="e">
        <f t="shared" si="167"/>
        <v>#N/A</v>
      </c>
      <c r="EO75" t="e">
        <f t="shared" si="167"/>
        <v>#N/A</v>
      </c>
      <c r="EP75" t="e">
        <f t="shared" si="167"/>
        <v>#N/A</v>
      </c>
      <c r="EQ75" t="e">
        <f t="shared" si="167"/>
        <v>#N/A</v>
      </c>
      <c r="ER75" t="e">
        <f t="shared" si="167"/>
        <v>#N/A</v>
      </c>
      <c r="ES75" t="e">
        <f t="shared" si="167"/>
        <v>#N/A</v>
      </c>
      <c r="ET75" t="e">
        <f t="shared" si="167"/>
        <v>#N/A</v>
      </c>
      <c r="EU75" t="e">
        <f t="shared" si="167"/>
        <v>#N/A</v>
      </c>
      <c r="EV75" t="e">
        <f t="shared" si="167"/>
        <v>#N/A</v>
      </c>
      <c r="EW75" t="e">
        <f t="shared" si="167"/>
        <v>#N/A</v>
      </c>
      <c r="EX75" t="e">
        <f t="shared" si="167"/>
        <v>#N/A</v>
      </c>
      <c r="EY75" t="e">
        <f t="shared" si="167"/>
        <v>#N/A</v>
      </c>
      <c r="EZ75" t="e">
        <f t="shared" si="167"/>
        <v>#N/A</v>
      </c>
      <c r="FA75" t="e">
        <f t="shared" si="167"/>
        <v>#N/A</v>
      </c>
      <c r="FB75" t="e">
        <f t="shared" si="167"/>
        <v>#N/A</v>
      </c>
      <c r="FC75" t="e">
        <f t="shared" si="167"/>
        <v>#N/A</v>
      </c>
      <c r="FD75" t="e">
        <f t="shared" si="167"/>
        <v>#N/A</v>
      </c>
      <c r="FE75" t="e">
        <f t="shared" si="167"/>
        <v>#N/A</v>
      </c>
      <c r="FF75" t="e">
        <f t="shared" si="167"/>
        <v>#N/A</v>
      </c>
      <c r="FG75" t="e">
        <f t="shared" si="167"/>
        <v>#N/A</v>
      </c>
      <c r="FH75" t="e">
        <f t="shared" si="167"/>
        <v>#N/A</v>
      </c>
      <c r="FI75" t="e">
        <f t="shared" si="167"/>
        <v>#N/A</v>
      </c>
      <c r="FJ75" t="e">
        <f t="shared" si="167"/>
        <v>#N/A</v>
      </c>
      <c r="FK75" t="e">
        <f t="shared" si="167"/>
        <v>#N/A</v>
      </c>
      <c r="FL75" t="e">
        <f t="shared" si="167"/>
        <v>#N/A</v>
      </c>
      <c r="FM75" t="e">
        <f t="shared" si="167"/>
        <v>#N/A</v>
      </c>
      <c r="FN75" t="e">
        <f t="shared" si="167"/>
        <v>#N/A</v>
      </c>
      <c r="FO75" t="e">
        <f t="shared" si="167"/>
        <v>#N/A</v>
      </c>
      <c r="FP75" t="e">
        <f t="shared" si="167"/>
        <v>#N/A</v>
      </c>
      <c r="FQ75" t="e">
        <f t="shared" si="167"/>
        <v>#N/A</v>
      </c>
      <c r="FR75" t="e">
        <f t="shared" si="167"/>
        <v>#N/A</v>
      </c>
      <c r="FS75" t="e">
        <f t="shared" si="167"/>
        <v>#N/A</v>
      </c>
      <c r="FT75" t="e">
        <f t="shared" si="167"/>
        <v>#N/A</v>
      </c>
      <c r="FU75" t="e">
        <f t="shared" si="167"/>
        <v>#N/A</v>
      </c>
      <c r="FV75" t="e">
        <f t="shared" si="167"/>
        <v>#N/A</v>
      </c>
      <c r="FW75" t="e">
        <f t="shared" si="167"/>
        <v>#N/A</v>
      </c>
      <c r="FX75" t="e">
        <f t="shared" si="167"/>
        <v>#N/A</v>
      </c>
      <c r="FY75" t="e">
        <f t="shared" si="167"/>
        <v>#N/A</v>
      </c>
      <c r="FZ75" t="e">
        <f t="shared" si="167"/>
        <v>#N/A</v>
      </c>
      <c r="GA75" t="e">
        <f t="shared" si="167"/>
        <v>#N/A</v>
      </c>
    </row>
    <row r="76" spans="1:183" x14ac:dyDescent="0.45">
      <c r="A76">
        <v>30.83</v>
      </c>
      <c r="B76" t="s">
        <v>27</v>
      </c>
      <c r="C76" cm="1">
        <f t="array" ref="C76">LOOKUP(2,1/(I76:GA76&lt;&gt;""),I76:GA76)</f>
        <v>10.630000000000003</v>
      </c>
      <c r="D76">
        <f t="shared" si="147"/>
        <v>45</v>
      </c>
      <c r="F76" s="3">
        <f t="shared" si="152"/>
        <v>0.34479403178722035</v>
      </c>
      <c r="G76" s="3" cm="1">
        <f t="array" ref="G76">(C65-IF(ISNA(INDEX(I65:GA65,D65-22)),INDEX(I65:GA65,D65-23),INDEX(I65:GA65,D65-22)))/A76</f>
        <v>-4.6707752189426043E-2</v>
      </c>
      <c r="I76">
        <f t="shared" si="148"/>
        <v>-14.869999999999997</v>
      </c>
      <c r="J76">
        <f t="shared" ref="J76:BU76" si="168">IF(ISNA(J65),NA(),J65-$A76)</f>
        <v>-15.349999999999998</v>
      </c>
      <c r="K76" t="e">
        <f t="shared" si="168"/>
        <v>#N/A</v>
      </c>
      <c r="L76">
        <f t="shared" si="168"/>
        <v>-13.009999999999998</v>
      </c>
      <c r="M76" t="e">
        <f t="shared" si="168"/>
        <v>#N/A</v>
      </c>
      <c r="N76">
        <f t="shared" si="168"/>
        <v>-10.91</v>
      </c>
      <c r="O76">
        <f t="shared" si="168"/>
        <v>-10.549999999999997</v>
      </c>
      <c r="P76">
        <f t="shared" si="168"/>
        <v>-0.64999999999999858</v>
      </c>
      <c r="Q76">
        <f t="shared" si="168"/>
        <v>1.6300000000000026</v>
      </c>
      <c r="R76">
        <f t="shared" si="168"/>
        <v>-3.5300000000000011</v>
      </c>
      <c r="S76">
        <f t="shared" si="168"/>
        <v>-1.25</v>
      </c>
      <c r="T76">
        <f t="shared" si="168"/>
        <v>2.8300000000000054</v>
      </c>
      <c r="U76">
        <f t="shared" si="168"/>
        <v>5.7100000000000009</v>
      </c>
      <c r="V76">
        <f t="shared" si="168"/>
        <v>7.4500000000000028</v>
      </c>
      <c r="W76">
        <f t="shared" si="168"/>
        <v>4.5700000000000074</v>
      </c>
      <c r="X76">
        <f t="shared" si="168"/>
        <v>3.1899999999999977</v>
      </c>
      <c r="Y76">
        <f t="shared" si="168"/>
        <v>0.37000000000000455</v>
      </c>
      <c r="Z76">
        <f t="shared" si="168"/>
        <v>0.85000000000000142</v>
      </c>
      <c r="AA76">
        <f t="shared" si="168"/>
        <v>4.6899999999999977</v>
      </c>
      <c r="AB76">
        <f t="shared" si="168"/>
        <v>12.730000000000004</v>
      </c>
      <c r="AC76">
        <f t="shared" si="168"/>
        <v>12.910000000000004</v>
      </c>
      <c r="AD76">
        <f t="shared" si="168"/>
        <v>19.090000000000003</v>
      </c>
      <c r="AE76">
        <f t="shared" si="168"/>
        <v>12.070000000000007</v>
      </c>
      <c r="AF76">
        <f t="shared" si="168"/>
        <v>10.93</v>
      </c>
      <c r="AG76">
        <f t="shared" si="168"/>
        <v>10.150000000000006</v>
      </c>
      <c r="AH76">
        <f t="shared" si="168"/>
        <v>11.650000000000006</v>
      </c>
      <c r="AI76">
        <f t="shared" si="168"/>
        <v>12.130000000000003</v>
      </c>
      <c r="AJ76">
        <f t="shared" si="168"/>
        <v>12.189999999999998</v>
      </c>
      <c r="AK76">
        <f t="shared" si="168"/>
        <v>12.670000000000002</v>
      </c>
      <c r="AL76">
        <f t="shared" si="168"/>
        <v>16.03</v>
      </c>
      <c r="AM76">
        <f t="shared" si="168"/>
        <v>12.009999999999998</v>
      </c>
      <c r="AN76" t="e">
        <f t="shared" si="168"/>
        <v>#N/A</v>
      </c>
      <c r="AO76">
        <f t="shared" si="168"/>
        <v>12.189999999999998</v>
      </c>
      <c r="AP76">
        <f t="shared" si="168"/>
        <v>10.210000000000001</v>
      </c>
      <c r="AQ76">
        <f t="shared" si="168"/>
        <v>10.870000000000005</v>
      </c>
      <c r="AR76">
        <f t="shared" si="168"/>
        <v>11.950000000000003</v>
      </c>
      <c r="AS76">
        <f t="shared" si="168"/>
        <v>10.630000000000003</v>
      </c>
      <c r="AT76" t="e">
        <f t="shared" si="168"/>
        <v>#N/A</v>
      </c>
      <c r="AU76" t="e">
        <f t="shared" si="168"/>
        <v>#N/A</v>
      </c>
      <c r="AV76" t="e">
        <f t="shared" si="168"/>
        <v>#N/A</v>
      </c>
      <c r="AW76" t="e">
        <f t="shared" si="168"/>
        <v>#N/A</v>
      </c>
      <c r="AX76" t="e">
        <f t="shared" si="168"/>
        <v>#N/A</v>
      </c>
      <c r="AY76" t="e">
        <f t="shared" si="168"/>
        <v>#N/A</v>
      </c>
      <c r="AZ76" t="e">
        <f t="shared" si="168"/>
        <v>#N/A</v>
      </c>
      <c r="BA76" t="e">
        <f t="shared" si="168"/>
        <v>#N/A</v>
      </c>
      <c r="BB76" t="e">
        <f t="shared" si="168"/>
        <v>#N/A</v>
      </c>
      <c r="BC76" t="e">
        <f t="shared" si="168"/>
        <v>#N/A</v>
      </c>
      <c r="BD76" t="e">
        <f t="shared" si="168"/>
        <v>#N/A</v>
      </c>
      <c r="BE76" t="e">
        <f t="shared" si="168"/>
        <v>#N/A</v>
      </c>
      <c r="BF76" t="e">
        <f t="shared" si="168"/>
        <v>#N/A</v>
      </c>
      <c r="BG76" t="e">
        <f t="shared" si="168"/>
        <v>#N/A</v>
      </c>
      <c r="BH76" t="e">
        <f t="shared" si="168"/>
        <v>#N/A</v>
      </c>
      <c r="BI76" t="e">
        <f t="shared" si="168"/>
        <v>#N/A</v>
      </c>
      <c r="BJ76" t="e">
        <f t="shared" si="168"/>
        <v>#N/A</v>
      </c>
      <c r="BK76" t="e">
        <f t="shared" si="168"/>
        <v>#N/A</v>
      </c>
      <c r="BL76" t="e">
        <f t="shared" si="168"/>
        <v>#N/A</v>
      </c>
      <c r="BM76" t="e">
        <f t="shared" si="168"/>
        <v>#N/A</v>
      </c>
      <c r="BN76" t="e">
        <f t="shared" si="168"/>
        <v>#N/A</v>
      </c>
      <c r="BO76" t="e">
        <f t="shared" si="168"/>
        <v>#N/A</v>
      </c>
      <c r="BP76" t="e">
        <f t="shared" si="168"/>
        <v>#N/A</v>
      </c>
      <c r="BQ76" t="e">
        <f t="shared" si="168"/>
        <v>#N/A</v>
      </c>
      <c r="BR76" t="e">
        <f t="shared" si="168"/>
        <v>#N/A</v>
      </c>
      <c r="BS76" t="e">
        <f t="shared" si="168"/>
        <v>#N/A</v>
      </c>
      <c r="BT76" t="e">
        <f t="shared" si="168"/>
        <v>#N/A</v>
      </c>
      <c r="BU76" t="e">
        <f t="shared" si="168"/>
        <v>#N/A</v>
      </c>
      <c r="BV76" t="e">
        <f t="shared" ref="BV76:EG76" si="169">IF(ISNA(BV65),NA(),BV65-$A76)</f>
        <v>#N/A</v>
      </c>
      <c r="BW76" t="e">
        <f t="shared" si="169"/>
        <v>#N/A</v>
      </c>
      <c r="BX76" t="e">
        <f t="shared" si="169"/>
        <v>#N/A</v>
      </c>
      <c r="BY76" t="e">
        <f t="shared" si="169"/>
        <v>#N/A</v>
      </c>
      <c r="BZ76" t="e">
        <f t="shared" si="169"/>
        <v>#N/A</v>
      </c>
      <c r="CA76" t="e">
        <f t="shared" si="169"/>
        <v>#N/A</v>
      </c>
      <c r="CB76" t="e">
        <f t="shared" si="169"/>
        <v>#N/A</v>
      </c>
      <c r="CC76" t="e">
        <f t="shared" si="169"/>
        <v>#N/A</v>
      </c>
      <c r="CD76" t="e">
        <f t="shared" si="169"/>
        <v>#N/A</v>
      </c>
      <c r="CE76" t="e">
        <f t="shared" si="169"/>
        <v>#N/A</v>
      </c>
      <c r="CF76" t="e">
        <f t="shared" si="169"/>
        <v>#N/A</v>
      </c>
      <c r="CG76" t="e">
        <f t="shared" si="169"/>
        <v>#N/A</v>
      </c>
      <c r="CH76" t="e">
        <f t="shared" si="169"/>
        <v>#N/A</v>
      </c>
      <c r="CI76" t="e">
        <f t="shared" si="169"/>
        <v>#N/A</v>
      </c>
      <c r="CJ76" t="e">
        <f t="shared" si="169"/>
        <v>#N/A</v>
      </c>
      <c r="CK76" t="e">
        <f t="shared" si="169"/>
        <v>#N/A</v>
      </c>
      <c r="CL76" t="e">
        <f t="shared" si="169"/>
        <v>#N/A</v>
      </c>
      <c r="CM76" t="e">
        <f t="shared" si="169"/>
        <v>#N/A</v>
      </c>
      <c r="CN76" t="e">
        <f t="shared" si="169"/>
        <v>#N/A</v>
      </c>
      <c r="CO76" t="e">
        <f t="shared" si="169"/>
        <v>#N/A</v>
      </c>
      <c r="CP76" t="e">
        <f t="shared" si="169"/>
        <v>#N/A</v>
      </c>
      <c r="CQ76" t="e">
        <f t="shared" si="169"/>
        <v>#N/A</v>
      </c>
      <c r="CR76" t="e">
        <f t="shared" si="169"/>
        <v>#N/A</v>
      </c>
      <c r="CS76" t="e">
        <f t="shared" si="169"/>
        <v>#N/A</v>
      </c>
      <c r="CT76" t="e">
        <f t="shared" si="169"/>
        <v>#N/A</v>
      </c>
      <c r="CU76" t="e">
        <f t="shared" si="169"/>
        <v>#N/A</v>
      </c>
      <c r="CV76" t="e">
        <f t="shared" si="169"/>
        <v>#N/A</v>
      </c>
      <c r="CW76" t="e">
        <f t="shared" si="169"/>
        <v>#N/A</v>
      </c>
      <c r="CX76" t="e">
        <f t="shared" si="169"/>
        <v>#N/A</v>
      </c>
      <c r="CY76" t="e">
        <f t="shared" si="169"/>
        <v>#N/A</v>
      </c>
      <c r="CZ76" t="e">
        <f t="shared" si="169"/>
        <v>#N/A</v>
      </c>
      <c r="DA76" t="e">
        <f t="shared" si="169"/>
        <v>#N/A</v>
      </c>
      <c r="DB76" t="e">
        <f t="shared" si="169"/>
        <v>#N/A</v>
      </c>
      <c r="DC76" t="e">
        <f t="shared" si="169"/>
        <v>#N/A</v>
      </c>
      <c r="DD76" t="e">
        <f t="shared" si="169"/>
        <v>#N/A</v>
      </c>
      <c r="DE76" t="e">
        <f t="shared" si="169"/>
        <v>#N/A</v>
      </c>
      <c r="DF76" t="e">
        <f t="shared" si="169"/>
        <v>#N/A</v>
      </c>
      <c r="DG76" t="e">
        <f t="shared" si="169"/>
        <v>#N/A</v>
      </c>
      <c r="DH76" t="e">
        <f t="shared" si="169"/>
        <v>#N/A</v>
      </c>
      <c r="DI76" t="e">
        <f t="shared" si="169"/>
        <v>#N/A</v>
      </c>
      <c r="DJ76" t="e">
        <f t="shared" si="169"/>
        <v>#N/A</v>
      </c>
      <c r="DK76" t="e">
        <f t="shared" si="169"/>
        <v>#N/A</v>
      </c>
      <c r="DL76" t="e">
        <f t="shared" si="169"/>
        <v>#N/A</v>
      </c>
      <c r="DM76" t="e">
        <f t="shared" si="169"/>
        <v>#N/A</v>
      </c>
      <c r="DN76" t="e">
        <f t="shared" si="169"/>
        <v>#N/A</v>
      </c>
      <c r="DO76" t="e">
        <f t="shared" si="169"/>
        <v>#N/A</v>
      </c>
      <c r="DP76" t="e">
        <f t="shared" si="169"/>
        <v>#N/A</v>
      </c>
      <c r="DQ76" t="e">
        <f t="shared" si="169"/>
        <v>#N/A</v>
      </c>
      <c r="DR76" t="e">
        <f t="shared" si="169"/>
        <v>#N/A</v>
      </c>
      <c r="DS76" t="e">
        <f t="shared" si="169"/>
        <v>#N/A</v>
      </c>
      <c r="DT76" t="e">
        <f t="shared" si="169"/>
        <v>#N/A</v>
      </c>
      <c r="DU76" t="e">
        <f t="shared" si="169"/>
        <v>#N/A</v>
      </c>
      <c r="DV76" t="e">
        <f t="shared" si="169"/>
        <v>#N/A</v>
      </c>
      <c r="DW76" t="e">
        <f t="shared" si="169"/>
        <v>#N/A</v>
      </c>
      <c r="DX76" t="e">
        <f t="shared" si="169"/>
        <v>#N/A</v>
      </c>
      <c r="DY76" t="e">
        <f t="shared" si="169"/>
        <v>#N/A</v>
      </c>
      <c r="DZ76" t="e">
        <f t="shared" si="169"/>
        <v>#N/A</v>
      </c>
      <c r="EA76" t="e">
        <f t="shared" si="169"/>
        <v>#N/A</v>
      </c>
      <c r="EB76" t="e">
        <f t="shared" si="169"/>
        <v>#N/A</v>
      </c>
      <c r="EC76" t="e">
        <f t="shared" si="169"/>
        <v>#N/A</v>
      </c>
      <c r="ED76" t="e">
        <f t="shared" si="169"/>
        <v>#N/A</v>
      </c>
      <c r="EE76" t="e">
        <f t="shared" si="169"/>
        <v>#N/A</v>
      </c>
      <c r="EF76" t="e">
        <f t="shared" si="169"/>
        <v>#N/A</v>
      </c>
      <c r="EG76" t="e">
        <f t="shared" si="169"/>
        <v>#N/A</v>
      </c>
      <c r="EH76" t="e">
        <f t="shared" ref="EH76:GA76" si="170">IF(ISNA(EH65),NA(),EH65-$A76)</f>
        <v>#N/A</v>
      </c>
      <c r="EI76" t="e">
        <f t="shared" si="170"/>
        <v>#N/A</v>
      </c>
      <c r="EJ76" t="e">
        <f t="shared" si="170"/>
        <v>#N/A</v>
      </c>
      <c r="EK76" t="e">
        <f t="shared" si="170"/>
        <v>#N/A</v>
      </c>
      <c r="EL76" t="e">
        <f t="shared" si="170"/>
        <v>#N/A</v>
      </c>
      <c r="EM76" t="e">
        <f t="shared" si="170"/>
        <v>#N/A</v>
      </c>
      <c r="EN76" t="e">
        <f t="shared" si="170"/>
        <v>#N/A</v>
      </c>
      <c r="EO76" t="e">
        <f t="shared" si="170"/>
        <v>#N/A</v>
      </c>
      <c r="EP76" t="e">
        <f t="shared" si="170"/>
        <v>#N/A</v>
      </c>
      <c r="EQ76" t="e">
        <f t="shared" si="170"/>
        <v>#N/A</v>
      </c>
      <c r="ER76" t="e">
        <f t="shared" si="170"/>
        <v>#N/A</v>
      </c>
      <c r="ES76" t="e">
        <f t="shared" si="170"/>
        <v>#N/A</v>
      </c>
      <c r="ET76" t="e">
        <f t="shared" si="170"/>
        <v>#N/A</v>
      </c>
      <c r="EU76" t="e">
        <f t="shared" si="170"/>
        <v>#N/A</v>
      </c>
      <c r="EV76" t="e">
        <f t="shared" si="170"/>
        <v>#N/A</v>
      </c>
      <c r="EW76" t="e">
        <f t="shared" si="170"/>
        <v>#N/A</v>
      </c>
      <c r="EX76" t="e">
        <f t="shared" si="170"/>
        <v>#N/A</v>
      </c>
      <c r="EY76" t="e">
        <f t="shared" si="170"/>
        <v>#N/A</v>
      </c>
      <c r="EZ76" t="e">
        <f t="shared" si="170"/>
        <v>#N/A</v>
      </c>
      <c r="FA76" t="e">
        <f t="shared" si="170"/>
        <v>#N/A</v>
      </c>
      <c r="FB76" t="e">
        <f t="shared" si="170"/>
        <v>#N/A</v>
      </c>
      <c r="FC76" t="e">
        <f t="shared" si="170"/>
        <v>#N/A</v>
      </c>
      <c r="FD76" t="e">
        <f t="shared" si="170"/>
        <v>#N/A</v>
      </c>
      <c r="FE76" t="e">
        <f t="shared" si="170"/>
        <v>#N/A</v>
      </c>
      <c r="FF76" t="e">
        <f t="shared" si="170"/>
        <v>#N/A</v>
      </c>
      <c r="FG76" t="e">
        <f t="shared" si="170"/>
        <v>#N/A</v>
      </c>
      <c r="FH76" t="e">
        <f t="shared" si="170"/>
        <v>#N/A</v>
      </c>
      <c r="FI76" t="e">
        <f t="shared" si="170"/>
        <v>#N/A</v>
      </c>
      <c r="FJ76" t="e">
        <f t="shared" si="170"/>
        <v>#N/A</v>
      </c>
      <c r="FK76" t="e">
        <f t="shared" si="170"/>
        <v>#N/A</v>
      </c>
      <c r="FL76" t="e">
        <f t="shared" si="170"/>
        <v>#N/A</v>
      </c>
      <c r="FM76" t="e">
        <f t="shared" si="170"/>
        <v>#N/A</v>
      </c>
      <c r="FN76" t="e">
        <f t="shared" si="170"/>
        <v>#N/A</v>
      </c>
      <c r="FO76" t="e">
        <f t="shared" si="170"/>
        <v>#N/A</v>
      </c>
      <c r="FP76" t="e">
        <f t="shared" si="170"/>
        <v>#N/A</v>
      </c>
      <c r="FQ76" t="e">
        <f t="shared" si="170"/>
        <v>#N/A</v>
      </c>
      <c r="FR76" t="e">
        <f t="shared" si="170"/>
        <v>#N/A</v>
      </c>
      <c r="FS76" t="e">
        <f t="shared" si="170"/>
        <v>#N/A</v>
      </c>
      <c r="FT76" t="e">
        <f t="shared" si="170"/>
        <v>#N/A</v>
      </c>
      <c r="FU76" t="e">
        <f t="shared" si="170"/>
        <v>#N/A</v>
      </c>
      <c r="FV76" t="e">
        <f t="shared" si="170"/>
        <v>#N/A</v>
      </c>
      <c r="FW76" t="e">
        <f t="shared" si="170"/>
        <v>#N/A</v>
      </c>
      <c r="FX76" t="e">
        <f t="shared" si="170"/>
        <v>#N/A</v>
      </c>
      <c r="FY76" t="e">
        <f t="shared" si="170"/>
        <v>#N/A</v>
      </c>
      <c r="FZ76" t="e">
        <f t="shared" si="170"/>
        <v>#N/A</v>
      </c>
      <c r="GA76" t="e">
        <f t="shared" si="170"/>
        <v>#N/A</v>
      </c>
    </row>
    <row r="78" spans="1:183" x14ac:dyDescent="0.45">
      <c r="I78" s="1">
        <f>I69</f>
        <v>44331</v>
      </c>
      <c r="J78" s="1">
        <f t="shared" ref="J78:BU78" si="171">J69</f>
        <v>44332</v>
      </c>
      <c r="K78" s="1">
        <f t="shared" si="171"/>
        <v>44333</v>
      </c>
      <c r="L78" s="1">
        <f t="shared" si="171"/>
        <v>44334</v>
      </c>
      <c r="M78" s="1">
        <f t="shared" si="171"/>
        <v>44335</v>
      </c>
      <c r="N78" s="1">
        <f t="shared" si="171"/>
        <v>44336</v>
      </c>
      <c r="O78" s="1">
        <f t="shared" si="171"/>
        <v>44337</v>
      </c>
      <c r="P78" s="1">
        <f t="shared" si="171"/>
        <v>44338</v>
      </c>
      <c r="Q78" s="1">
        <f t="shared" si="171"/>
        <v>44339</v>
      </c>
      <c r="R78" s="1">
        <f t="shared" si="171"/>
        <v>44340</v>
      </c>
      <c r="S78" s="1">
        <f t="shared" si="171"/>
        <v>44341</v>
      </c>
      <c r="T78" s="1">
        <f t="shared" si="171"/>
        <v>44342</v>
      </c>
      <c r="U78" s="1">
        <f t="shared" si="171"/>
        <v>44343</v>
      </c>
      <c r="V78" s="1">
        <f t="shared" si="171"/>
        <v>44344</v>
      </c>
      <c r="W78" s="1">
        <f t="shared" si="171"/>
        <v>44345</v>
      </c>
      <c r="X78" s="1">
        <f t="shared" si="171"/>
        <v>44346</v>
      </c>
      <c r="Y78" s="1">
        <f t="shared" si="171"/>
        <v>44347</v>
      </c>
      <c r="Z78" s="1">
        <f t="shared" si="171"/>
        <v>44348</v>
      </c>
      <c r="AA78" s="1">
        <f t="shared" si="171"/>
        <v>44349</v>
      </c>
      <c r="AB78" s="1">
        <f t="shared" si="171"/>
        <v>44350</v>
      </c>
      <c r="AC78" s="1">
        <f t="shared" si="171"/>
        <v>44351</v>
      </c>
      <c r="AD78" s="1">
        <f t="shared" si="171"/>
        <v>44352</v>
      </c>
      <c r="AE78" s="1">
        <f t="shared" si="171"/>
        <v>44353</v>
      </c>
      <c r="AF78" s="1">
        <f t="shared" si="171"/>
        <v>44354</v>
      </c>
      <c r="AG78" s="1">
        <f t="shared" si="171"/>
        <v>44355</v>
      </c>
      <c r="AH78" s="1">
        <f t="shared" si="171"/>
        <v>44356</v>
      </c>
      <c r="AI78" s="1">
        <f t="shared" si="171"/>
        <v>44357</v>
      </c>
      <c r="AJ78" s="1">
        <f t="shared" si="171"/>
        <v>44358</v>
      </c>
      <c r="AK78" s="1">
        <f t="shared" si="171"/>
        <v>44359</v>
      </c>
      <c r="AL78" s="1">
        <f t="shared" si="171"/>
        <v>44360</v>
      </c>
      <c r="AM78" s="1">
        <f t="shared" si="171"/>
        <v>44361</v>
      </c>
      <c r="AN78" s="1">
        <f t="shared" si="171"/>
        <v>44362</v>
      </c>
      <c r="AO78" s="1">
        <f t="shared" si="171"/>
        <v>44363</v>
      </c>
      <c r="AP78" s="1">
        <f t="shared" si="171"/>
        <v>44364</v>
      </c>
      <c r="AQ78" s="1">
        <f t="shared" si="171"/>
        <v>44365</v>
      </c>
      <c r="AR78" s="1">
        <f t="shared" si="171"/>
        <v>44366</v>
      </c>
      <c r="AS78" s="1">
        <f t="shared" si="171"/>
        <v>44367</v>
      </c>
      <c r="AT78" s="1">
        <f t="shared" si="171"/>
        <v>44368</v>
      </c>
      <c r="AU78" s="1">
        <f t="shared" si="171"/>
        <v>44369</v>
      </c>
      <c r="AV78" s="1">
        <f t="shared" si="171"/>
        <v>44370</v>
      </c>
      <c r="AW78" s="1">
        <f t="shared" si="171"/>
        <v>44371</v>
      </c>
      <c r="AX78" s="1">
        <f t="shared" si="171"/>
        <v>44372</v>
      </c>
      <c r="AY78" s="1">
        <f t="shared" si="171"/>
        <v>44373</v>
      </c>
      <c r="AZ78" s="1">
        <f t="shared" si="171"/>
        <v>44374</v>
      </c>
      <c r="BA78" s="1">
        <f t="shared" si="171"/>
        <v>44375</v>
      </c>
      <c r="BB78" s="1">
        <f t="shared" si="171"/>
        <v>44376</v>
      </c>
      <c r="BC78" s="1">
        <f t="shared" si="171"/>
        <v>44377</v>
      </c>
      <c r="BD78" s="1">
        <f t="shared" si="171"/>
        <v>44378</v>
      </c>
      <c r="BE78" s="1">
        <f t="shared" si="171"/>
        <v>44379</v>
      </c>
      <c r="BF78" s="1">
        <f t="shared" si="171"/>
        <v>44380</v>
      </c>
      <c r="BG78" s="1">
        <f t="shared" si="171"/>
        <v>44381</v>
      </c>
      <c r="BH78" s="1">
        <f t="shared" si="171"/>
        <v>44382</v>
      </c>
      <c r="BI78" s="1">
        <f t="shared" si="171"/>
        <v>44383</v>
      </c>
      <c r="BJ78" s="1">
        <f t="shared" si="171"/>
        <v>44384</v>
      </c>
      <c r="BK78" s="1">
        <f t="shared" si="171"/>
        <v>44385</v>
      </c>
      <c r="BL78" s="1">
        <f t="shared" si="171"/>
        <v>44386</v>
      </c>
      <c r="BM78" s="1">
        <f t="shared" si="171"/>
        <v>44387</v>
      </c>
      <c r="BN78" s="1">
        <f t="shared" si="171"/>
        <v>44388</v>
      </c>
      <c r="BO78" s="1">
        <f t="shared" si="171"/>
        <v>44389</v>
      </c>
      <c r="BP78" s="1">
        <f t="shared" si="171"/>
        <v>44390</v>
      </c>
      <c r="BQ78" s="1">
        <f t="shared" si="171"/>
        <v>44391</v>
      </c>
      <c r="BR78" s="1">
        <f t="shared" si="171"/>
        <v>44392</v>
      </c>
      <c r="BS78" s="1">
        <f t="shared" si="171"/>
        <v>44393</v>
      </c>
      <c r="BT78" s="1">
        <f t="shared" si="171"/>
        <v>44394</v>
      </c>
      <c r="BU78" s="1">
        <f t="shared" si="171"/>
        <v>44395</v>
      </c>
      <c r="BV78" s="1">
        <f t="shared" ref="BV78:EG78" si="172">BV69</f>
        <v>44396</v>
      </c>
      <c r="BW78" s="1">
        <f t="shared" si="172"/>
        <v>44397</v>
      </c>
      <c r="BX78" s="1">
        <f t="shared" si="172"/>
        <v>44398</v>
      </c>
      <c r="BY78" s="1">
        <f t="shared" si="172"/>
        <v>44399</v>
      </c>
      <c r="BZ78" s="1">
        <f t="shared" si="172"/>
        <v>44400</v>
      </c>
      <c r="CA78" s="1">
        <f t="shared" si="172"/>
        <v>44401</v>
      </c>
      <c r="CB78" s="1">
        <f t="shared" si="172"/>
        <v>44402</v>
      </c>
      <c r="CC78" s="1">
        <f t="shared" si="172"/>
        <v>44403</v>
      </c>
      <c r="CD78" s="1">
        <f t="shared" si="172"/>
        <v>44404</v>
      </c>
      <c r="CE78" s="1">
        <f t="shared" si="172"/>
        <v>44405</v>
      </c>
      <c r="CF78" s="1">
        <f t="shared" si="172"/>
        <v>44406</v>
      </c>
      <c r="CG78" s="1">
        <f t="shared" si="172"/>
        <v>44407</v>
      </c>
      <c r="CH78" s="1">
        <f t="shared" si="172"/>
        <v>44408</v>
      </c>
      <c r="CI78" s="1">
        <f t="shared" si="172"/>
        <v>44409</v>
      </c>
      <c r="CJ78" s="1">
        <f t="shared" si="172"/>
        <v>44410</v>
      </c>
      <c r="CK78" s="1">
        <f t="shared" si="172"/>
        <v>44411</v>
      </c>
      <c r="CL78" s="1">
        <f t="shared" si="172"/>
        <v>44412</v>
      </c>
      <c r="CM78" s="1">
        <f t="shared" si="172"/>
        <v>44413</v>
      </c>
      <c r="CN78" s="1">
        <f t="shared" si="172"/>
        <v>44414</v>
      </c>
      <c r="CO78" s="1">
        <f t="shared" si="172"/>
        <v>44415</v>
      </c>
      <c r="CP78" s="1">
        <f t="shared" si="172"/>
        <v>44416</v>
      </c>
      <c r="CQ78" s="1">
        <f t="shared" si="172"/>
        <v>44417</v>
      </c>
      <c r="CR78" s="1">
        <f t="shared" si="172"/>
        <v>44418</v>
      </c>
      <c r="CS78" s="1">
        <f t="shared" si="172"/>
        <v>44419</v>
      </c>
      <c r="CT78" s="1">
        <f t="shared" si="172"/>
        <v>44420</v>
      </c>
      <c r="CU78" s="1">
        <f t="shared" si="172"/>
        <v>44421</v>
      </c>
      <c r="CV78" s="1">
        <f t="shared" si="172"/>
        <v>44422</v>
      </c>
      <c r="CW78" s="1">
        <f t="shared" si="172"/>
        <v>44423</v>
      </c>
      <c r="CX78" s="1">
        <f t="shared" si="172"/>
        <v>44424</v>
      </c>
      <c r="CY78" s="1">
        <f t="shared" si="172"/>
        <v>44425</v>
      </c>
      <c r="CZ78" s="1">
        <f t="shared" si="172"/>
        <v>44426</v>
      </c>
      <c r="DA78" s="1">
        <f t="shared" si="172"/>
        <v>44427</v>
      </c>
      <c r="DB78" s="1">
        <f t="shared" si="172"/>
        <v>44428</v>
      </c>
      <c r="DC78" s="1">
        <f t="shared" si="172"/>
        <v>44429</v>
      </c>
      <c r="DD78" s="1">
        <f t="shared" si="172"/>
        <v>44430</v>
      </c>
      <c r="DE78" s="1">
        <f t="shared" si="172"/>
        <v>44431</v>
      </c>
      <c r="DF78" s="1">
        <f t="shared" si="172"/>
        <v>44432</v>
      </c>
      <c r="DG78" s="1">
        <f t="shared" si="172"/>
        <v>44433</v>
      </c>
      <c r="DH78" s="1">
        <f t="shared" si="172"/>
        <v>44434</v>
      </c>
      <c r="DI78" s="1">
        <f t="shared" si="172"/>
        <v>44435</v>
      </c>
      <c r="DJ78" s="1">
        <f t="shared" si="172"/>
        <v>44436</v>
      </c>
      <c r="DK78" s="1">
        <f t="shared" si="172"/>
        <v>44437</v>
      </c>
      <c r="DL78" s="1">
        <f t="shared" si="172"/>
        <v>44438</v>
      </c>
      <c r="DM78" s="1">
        <f t="shared" si="172"/>
        <v>44439</v>
      </c>
      <c r="DN78" s="1">
        <f t="shared" si="172"/>
        <v>44440</v>
      </c>
      <c r="DO78" s="1">
        <f t="shared" si="172"/>
        <v>44441</v>
      </c>
      <c r="DP78" s="1">
        <f t="shared" si="172"/>
        <v>44442</v>
      </c>
      <c r="DQ78" s="1">
        <f t="shared" si="172"/>
        <v>44443</v>
      </c>
      <c r="DR78" s="1">
        <f t="shared" si="172"/>
        <v>44444</v>
      </c>
      <c r="DS78" s="1">
        <f t="shared" si="172"/>
        <v>44445</v>
      </c>
      <c r="DT78" s="1">
        <f t="shared" si="172"/>
        <v>44446</v>
      </c>
      <c r="DU78" s="1">
        <f t="shared" si="172"/>
        <v>44447</v>
      </c>
      <c r="DV78" s="1">
        <f t="shared" si="172"/>
        <v>44448</v>
      </c>
      <c r="DW78" s="1">
        <f t="shared" si="172"/>
        <v>44449</v>
      </c>
      <c r="DX78" s="1">
        <f t="shared" si="172"/>
        <v>44450</v>
      </c>
      <c r="DY78" s="1">
        <f t="shared" si="172"/>
        <v>44451</v>
      </c>
      <c r="DZ78" s="1">
        <f t="shared" si="172"/>
        <v>44452</v>
      </c>
      <c r="EA78" s="1">
        <f t="shared" si="172"/>
        <v>44453</v>
      </c>
      <c r="EB78" s="1">
        <f t="shared" si="172"/>
        <v>44454</v>
      </c>
      <c r="EC78" s="1">
        <f t="shared" si="172"/>
        <v>44455</v>
      </c>
      <c r="ED78" s="1">
        <f t="shared" si="172"/>
        <v>44456</v>
      </c>
      <c r="EE78" s="1">
        <f t="shared" si="172"/>
        <v>44457</v>
      </c>
      <c r="EF78" s="1">
        <f t="shared" si="172"/>
        <v>44458</v>
      </c>
      <c r="EG78" s="1">
        <f t="shared" si="172"/>
        <v>44459</v>
      </c>
      <c r="EH78" s="1">
        <f t="shared" ref="EH78:GA78" si="173">EH69</f>
        <v>44460</v>
      </c>
      <c r="EI78" s="1">
        <f t="shared" si="173"/>
        <v>44461</v>
      </c>
      <c r="EJ78" s="1">
        <f t="shared" si="173"/>
        <v>44462</v>
      </c>
      <c r="EK78" s="1">
        <f t="shared" si="173"/>
        <v>44463</v>
      </c>
      <c r="EL78" s="1">
        <f t="shared" si="173"/>
        <v>44464</v>
      </c>
      <c r="EM78" s="1">
        <f t="shared" si="173"/>
        <v>44465</v>
      </c>
      <c r="EN78" s="1">
        <f t="shared" si="173"/>
        <v>44466</v>
      </c>
      <c r="EO78" s="1">
        <f t="shared" si="173"/>
        <v>44467</v>
      </c>
      <c r="EP78" s="1">
        <f t="shared" si="173"/>
        <v>44468</v>
      </c>
      <c r="EQ78" s="1">
        <f t="shared" si="173"/>
        <v>44469</v>
      </c>
      <c r="ER78" s="1">
        <f t="shared" si="173"/>
        <v>44470</v>
      </c>
      <c r="ES78" s="1">
        <f t="shared" si="173"/>
        <v>44471</v>
      </c>
      <c r="ET78" s="1">
        <f t="shared" si="173"/>
        <v>44472</v>
      </c>
      <c r="EU78" s="1">
        <f t="shared" si="173"/>
        <v>44473</v>
      </c>
      <c r="EV78" s="1">
        <f t="shared" si="173"/>
        <v>44474</v>
      </c>
      <c r="EW78" s="1">
        <f t="shared" si="173"/>
        <v>44475</v>
      </c>
      <c r="EX78" s="1">
        <f t="shared" si="173"/>
        <v>44476</v>
      </c>
      <c r="EY78" s="1">
        <f t="shared" si="173"/>
        <v>44477</v>
      </c>
      <c r="EZ78" s="1">
        <f t="shared" si="173"/>
        <v>44478</v>
      </c>
      <c r="FA78" s="1">
        <f t="shared" si="173"/>
        <v>44479</v>
      </c>
      <c r="FB78" s="1">
        <f t="shared" si="173"/>
        <v>44480</v>
      </c>
      <c r="FC78" s="1">
        <f t="shared" si="173"/>
        <v>44481</v>
      </c>
      <c r="FD78" s="1">
        <f t="shared" si="173"/>
        <v>44482</v>
      </c>
      <c r="FE78" s="1">
        <f t="shared" si="173"/>
        <v>44483</v>
      </c>
      <c r="FF78" s="1">
        <f t="shared" si="173"/>
        <v>44484</v>
      </c>
      <c r="FG78" s="1">
        <f t="shared" si="173"/>
        <v>44485</v>
      </c>
      <c r="FH78" s="1">
        <f t="shared" si="173"/>
        <v>44486</v>
      </c>
      <c r="FI78" s="1">
        <f t="shared" si="173"/>
        <v>44487</v>
      </c>
      <c r="FJ78" s="1">
        <f t="shared" si="173"/>
        <v>44488</v>
      </c>
      <c r="FK78" s="1">
        <f t="shared" si="173"/>
        <v>44489</v>
      </c>
      <c r="FL78" s="1">
        <f t="shared" si="173"/>
        <v>44490</v>
      </c>
      <c r="FM78" s="1">
        <f t="shared" si="173"/>
        <v>44491</v>
      </c>
      <c r="FN78" s="1">
        <f t="shared" si="173"/>
        <v>44492</v>
      </c>
      <c r="FO78" s="1">
        <f t="shared" si="173"/>
        <v>44493</v>
      </c>
      <c r="FP78" s="1">
        <f t="shared" si="173"/>
        <v>44494</v>
      </c>
      <c r="FQ78" s="1">
        <f t="shared" si="173"/>
        <v>44495</v>
      </c>
      <c r="FR78" s="1">
        <f t="shared" si="173"/>
        <v>44496</v>
      </c>
      <c r="FS78" s="1">
        <f t="shared" si="173"/>
        <v>44497</v>
      </c>
      <c r="FT78" s="1">
        <f t="shared" si="173"/>
        <v>44498</v>
      </c>
      <c r="FU78" s="1">
        <f t="shared" si="173"/>
        <v>44499</v>
      </c>
      <c r="FV78" s="1">
        <f t="shared" si="173"/>
        <v>44500</v>
      </c>
      <c r="FW78" s="1">
        <f t="shared" si="173"/>
        <v>44501</v>
      </c>
      <c r="FX78" s="1">
        <f t="shared" si="173"/>
        <v>44502</v>
      </c>
      <c r="FY78" s="1">
        <f t="shared" si="173"/>
        <v>44503</v>
      </c>
      <c r="FZ78" s="1">
        <f t="shared" si="173"/>
        <v>44504</v>
      </c>
      <c r="GA78" s="1">
        <f t="shared" si="173"/>
        <v>44505</v>
      </c>
    </row>
    <row r="79" spans="1:183" x14ac:dyDescent="0.45">
      <c r="B79" t="s">
        <v>18</v>
      </c>
      <c r="C79" cm="1">
        <f t="array" ref="C79">LOOKUP(2,1/(I79:GA79&lt;&gt;""),I79:GA79)</f>
        <v>876.37000000000023</v>
      </c>
      <c r="D79">
        <f t="shared" ref="D79:D80" si="174">D$9</f>
        <v>45</v>
      </c>
      <c r="F79" s="4">
        <f t="shared" ref="F79" si="175">(C79-I79)/I79</f>
        <v>1.4251321360378566</v>
      </c>
      <c r="G79" s="3" cm="1">
        <f t="array" ref="G79">(C79-IF(ISNA(INDEX(I79:GA79,D79-22)),INDEX(I79:GA79,D79-23),INDEX(I79:GA79,D79-22)))/IF(ISNA(INDEX(I79:GA79,D79-22)),INDEX(I79:GA79,D79-23),INDEX(I79:GA79,D79-22))</f>
        <v>-6.8177226764771198E-2</v>
      </c>
      <c r="I79">
        <f>SUM(I26:I32)</f>
        <v>361.37</v>
      </c>
      <c r="J79">
        <f t="shared" ref="J79:BU79" si="176">SUM(J26:J32)</f>
        <v>351.90000000000003</v>
      </c>
      <c r="K79" t="e">
        <f t="shared" si="176"/>
        <v>#N/A</v>
      </c>
      <c r="L79">
        <f t="shared" si="176"/>
        <v>377.77</v>
      </c>
      <c r="M79" t="e">
        <f t="shared" si="176"/>
        <v>#N/A</v>
      </c>
      <c r="N79">
        <f t="shared" si="176"/>
        <v>424.95</v>
      </c>
      <c r="O79">
        <f t="shared" si="176"/>
        <v>434.56</v>
      </c>
      <c r="P79">
        <f t="shared" si="176"/>
        <v>577.31999999999994</v>
      </c>
      <c r="Q79">
        <f t="shared" si="176"/>
        <v>585.45000000000005</v>
      </c>
      <c r="R79">
        <f t="shared" si="176"/>
        <v>624.30999999999995</v>
      </c>
      <c r="S79">
        <f t="shared" si="176"/>
        <v>628.51</v>
      </c>
      <c r="T79">
        <f t="shared" si="176"/>
        <v>738.56</v>
      </c>
      <c r="U79">
        <f t="shared" si="176"/>
        <v>817.56</v>
      </c>
      <c r="V79">
        <f t="shared" si="176"/>
        <v>817.40000000000009</v>
      </c>
      <c r="W79">
        <f t="shared" si="176"/>
        <v>764.49</v>
      </c>
      <c r="X79">
        <f t="shared" si="176"/>
        <v>717.12</v>
      </c>
      <c r="Y79">
        <f t="shared" si="176"/>
        <v>674.67000000000007</v>
      </c>
      <c r="Z79">
        <f t="shared" si="176"/>
        <v>723.06</v>
      </c>
      <c r="AA79">
        <f t="shared" si="176"/>
        <v>808.52</v>
      </c>
      <c r="AB79">
        <f t="shared" si="176"/>
        <v>871.93000000000006</v>
      </c>
      <c r="AC79">
        <f t="shared" si="176"/>
        <v>921.06999999999994</v>
      </c>
      <c r="AD79">
        <f t="shared" si="176"/>
        <v>1045.08</v>
      </c>
      <c r="AE79">
        <f t="shared" si="176"/>
        <v>940.4899999999999</v>
      </c>
      <c r="AF79">
        <f t="shared" si="176"/>
        <v>904.19999999999993</v>
      </c>
      <c r="AG79">
        <f t="shared" si="176"/>
        <v>915.93999999999983</v>
      </c>
      <c r="AH79">
        <f t="shared" si="176"/>
        <v>913.45999999999992</v>
      </c>
      <c r="AI79">
        <f t="shared" si="176"/>
        <v>915.31</v>
      </c>
      <c r="AJ79">
        <f t="shared" si="176"/>
        <v>900.20999999999992</v>
      </c>
      <c r="AK79">
        <f t="shared" si="176"/>
        <v>983.03</v>
      </c>
      <c r="AL79">
        <f t="shared" si="176"/>
        <v>993.37000000000012</v>
      </c>
      <c r="AM79">
        <f t="shared" si="176"/>
        <v>954.86</v>
      </c>
      <c r="AN79" t="e">
        <f t="shared" si="176"/>
        <v>#N/A</v>
      </c>
      <c r="AO79">
        <f t="shared" si="176"/>
        <v>951.88</v>
      </c>
      <c r="AP79">
        <f t="shared" si="176"/>
        <v>927.51</v>
      </c>
      <c r="AQ79">
        <f t="shared" si="176"/>
        <v>902.78</v>
      </c>
      <c r="AR79">
        <f t="shared" si="176"/>
        <v>908.49</v>
      </c>
      <c r="AS79">
        <f t="shared" si="176"/>
        <v>876.37000000000023</v>
      </c>
      <c r="AT79" t="e">
        <f t="shared" si="176"/>
        <v>#N/A</v>
      </c>
      <c r="AU79" t="e">
        <f t="shared" si="176"/>
        <v>#N/A</v>
      </c>
      <c r="AV79" t="e">
        <f t="shared" si="176"/>
        <v>#N/A</v>
      </c>
      <c r="AW79" t="e">
        <f t="shared" si="176"/>
        <v>#N/A</v>
      </c>
      <c r="AX79" t="e">
        <f t="shared" si="176"/>
        <v>#N/A</v>
      </c>
      <c r="AY79" t="e">
        <f t="shared" si="176"/>
        <v>#N/A</v>
      </c>
      <c r="AZ79" t="e">
        <f t="shared" si="176"/>
        <v>#N/A</v>
      </c>
      <c r="BA79" t="e">
        <f t="shared" si="176"/>
        <v>#N/A</v>
      </c>
      <c r="BB79" t="e">
        <f t="shared" si="176"/>
        <v>#N/A</v>
      </c>
      <c r="BC79" t="e">
        <f t="shared" si="176"/>
        <v>#N/A</v>
      </c>
      <c r="BD79" t="e">
        <f t="shared" si="176"/>
        <v>#N/A</v>
      </c>
      <c r="BE79" t="e">
        <f t="shared" si="176"/>
        <v>#N/A</v>
      </c>
      <c r="BF79" t="e">
        <f t="shared" si="176"/>
        <v>#N/A</v>
      </c>
      <c r="BG79" t="e">
        <f t="shared" si="176"/>
        <v>#N/A</v>
      </c>
      <c r="BH79" t="e">
        <f t="shared" si="176"/>
        <v>#N/A</v>
      </c>
      <c r="BI79" t="e">
        <f t="shared" si="176"/>
        <v>#N/A</v>
      </c>
      <c r="BJ79" t="e">
        <f t="shared" si="176"/>
        <v>#N/A</v>
      </c>
      <c r="BK79" t="e">
        <f t="shared" si="176"/>
        <v>#N/A</v>
      </c>
      <c r="BL79" t="e">
        <f t="shared" si="176"/>
        <v>#N/A</v>
      </c>
      <c r="BM79" t="e">
        <f t="shared" si="176"/>
        <v>#N/A</v>
      </c>
      <c r="BN79" t="e">
        <f t="shared" si="176"/>
        <v>#N/A</v>
      </c>
      <c r="BO79" t="e">
        <f t="shared" si="176"/>
        <v>#N/A</v>
      </c>
      <c r="BP79" t="e">
        <f t="shared" si="176"/>
        <v>#N/A</v>
      </c>
      <c r="BQ79" t="e">
        <f t="shared" si="176"/>
        <v>#N/A</v>
      </c>
      <c r="BR79" t="e">
        <f t="shared" si="176"/>
        <v>#N/A</v>
      </c>
      <c r="BS79" t="e">
        <f t="shared" si="176"/>
        <v>#N/A</v>
      </c>
      <c r="BT79" t="e">
        <f t="shared" si="176"/>
        <v>#N/A</v>
      </c>
      <c r="BU79" t="e">
        <f t="shared" si="176"/>
        <v>#N/A</v>
      </c>
      <c r="BV79" t="e">
        <f t="shared" ref="BV79:EG79" si="177">SUM(BV26:BV32)</f>
        <v>#N/A</v>
      </c>
      <c r="BW79" t="e">
        <f t="shared" si="177"/>
        <v>#N/A</v>
      </c>
      <c r="BX79" t="e">
        <f t="shared" si="177"/>
        <v>#N/A</v>
      </c>
      <c r="BY79" t="e">
        <f t="shared" si="177"/>
        <v>#N/A</v>
      </c>
      <c r="BZ79" t="e">
        <f t="shared" si="177"/>
        <v>#N/A</v>
      </c>
      <c r="CA79" t="e">
        <f t="shared" si="177"/>
        <v>#N/A</v>
      </c>
      <c r="CB79" t="e">
        <f t="shared" si="177"/>
        <v>#N/A</v>
      </c>
      <c r="CC79" t="e">
        <f t="shared" si="177"/>
        <v>#N/A</v>
      </c>
      <c r="CD79" t="e">
        <f t="shared" si="177"/>
        <v>#N/A</v>
      </c>
      <c r="CE79" t="e">
        <f t="shared" si="177"/>
        <v>#N/A</v>
      </c>
      <c r="CF79" t="e">
        <f t="shared" si="177"/>
        <v>#N/A</v>
      </c>
      <c r="CG79" t="e">
        <f t="shared" si="177"/>
        <v>#N/A</v>
      </c>
      <c r="CH79" t="e">
        <f t="shared" si="177"/>
        <v>#N/A</v>
      </c>
      <c r="CI79" t="e">
        <f t="shared" si="177"/>
        <v>#N/A</v>
      </c>
      <c r="CJ79" t="e">
        <f t="shared" si="177"/>
        <v>#N/A</v>
      </c>
      <c r="CK79" t="e">
        <f t="shared" si="177"/>
        <v>#N/A</v>
      </c>
      <c r="CL79" t="e">
        <f t="shared" si="177"/>
        <v>#N/A</v>
      </c>
      <c r="CM79" t="e">
        <f t="shared" si="177"/>
        <v>#N/A</v>
      </c>
      <c r="CN79" t="e">
        <f t="shared" si="177"/>
        <v>#N/A</v>
      </c>
      <c r="CO79" t="e">
        <f t="shared" si="177"/>
        <v>#N/A</v>
      </c>
      <c r="CP79" t="e">
        <f t="shared" si="177"/>
        <v>#N/A</v>
      </c>
      <c r="CQ79" t="e">
        <f t="shared" si="177"/>
        <v>#N/A</v>
      </c>
      <c r="CR79" t="e">
        <f t="shared" si="177"/>
        <v>#N/A</v>
      </c>
      <c r="CS79" t="e">
        <f t="shared" si="177"/>
        <v>#N/A</v>
      </c>
      <c r="CT79" t="e">
        <f t="shared" si="177"/>
        <v>#N/A</v>
      </c>
      <c r="CU79" t="e">
        <f t="shared" si="177"/>
        <v>#N/A</v>
      </c>
      <c r="CV79" t="e">
        <f t="shared" si="177"/>
        <v>#N/A</v>
      </c>
      <c r="CW79" t="e">
        <f t="shared" si="177"/>
        <v>#N/A</v>
      </c>
      <c r="CX79" t="e">
        <f t="shared" si="177"/>
        <v>#N/A</v>
      </c>
      <c r="CY79" t="e">
        <f t="shared" si="177"/>
        <v>#N/A</v>
      </c>
      <c r="CZ79" t="e">
        <f t="shared" si="177"/>
        <v>#N/A</v>
      </c>
      <c r="DA79" t="e">
        <f t="shared" si="177"/>
        <v>#N/A</v>
      </c>
      <c r="DB79" t="e">
        <f t="shared" si="177"/>
        <v>#N/A</v>
      </c>
      <c r="DC79" t="e">
        <f t="shared" si="177"/>
        <v>#N/A</v>
      </c>
      <c r="DD79" t="e">
        <f t="shared" si="177"/>
        <v>#N/A</v>
      </c>
      <c r="DE79" t="e">
        <f t="shared" si="177"/>
        <v>#N/A</v>
      </c>
      <c r="DF79" t="e">
        <f t="shared" si="177"/>
        <v>#N/A</v>
      </c>
      <c r="DG79" t="e">
        <f t="shared" si="177"/>
        <v>#N/A</v>
      </c>
      <c r="DH79" t="e">
        <f t="shared" si="177"/>
        <v>#N/A</v>
      </c>
      <c r="DI79" t="e">
        <f t="shared" si="177"/>
        <v>#N/A</v>
      </c>
      <c r="DJ79" t="e">
        <f t="shared" si="177"/>
        <v>#N/A</v>
      </c>
      <c r="DK79" t="e">
        <f t="shared" si="177"/>
        <v>#N/A</v>
      </c>
      <c r="DL79" t="e">
        <f t="shared" si="177"/>
        <v>#N/A</v>
      </c>
      <c r="DM79" t="e">
        <f t="shared" si="177"/>
        <v>#N/A</v>
      </c>
      <c r="DN79" t="e">
        <f t="shared" si="177"/>
        <v>#N/A</v>
      </c>
      <c r="DO79" t="e">
        <f t="shared" si="177"/>
        <v>#N/A</v>
      </c>
      <c r="DP79" t="e">
        <f t="shared" si="177"/>
        <v>#N/A</v>
      </c>
      <c r="DQ79" t="e">
        <f t="shared" si="177"/>
        <v>#N/A</v>
      </c>
      <c r="DR79" t="e">
        <f t="shared" si="177"/>
        <v>#N/A</v>
      </c>
      <c r="DS79" t="e">
        <f t="shared" si="177"/>
        <v>#N/A</v>
      </c>
      <c r="DT79" t="e">
        <f t="shared" si="177"/>
        <v>#N/A</v>
      </c>
      <c r="DU79" t="e">
        <f t="shared" si="177"/>
        <v>#N/A</v>
      </c>
      <c r="DV79" t="e">
        <f t="shared" si="177"/>
        <v>#N/A</v>
      </c>
      <c r="DW79" t="e">
        <f t="shared" si="177"/>
        <v>#N/A</v>
      </c>
      <c r="DX79" t="e">
        <f t="shared" si="177"/>
        <v>#N/A</v>
      </c>
      <c r="DY79" t="e">
        <f t="shared" si="177"/>
        <v>#N/A</v>
      </c>
      <c r="DZ79" t="e">
        <f t="shared" si="177"/>
        <v>#N/A</v>
      </c>
      <c r="EA79" t="e">
        <f t="shared" si="177"/>
        <v>#N/A</v>
      </c>
      <c r="EB79" t="e">
        <f t="shared" si="177"/>
        <v>#N/A</v>
      </c>
      <c r="EC79" t="e">
        <f t="shared" si="177"/>
        <v>#N/A</v>
      </c>
      <c r="ED79" t="e">
        <f t="shared" si="177"/>
        <v>#N/A</v>
      </c>
      <c r="EE79" t="e">
        <f t="shared" si="177"/>
        <v>#N/A</v>
      </c>
      <c r="EF79" t="e">
        <f t="shared" si="177"/>
        <v>#N/A</v>
      </c>
      <c r="EG79" t="e">
        <f t="shared" si="177"/>
        <v>#N/A</v>
      </c>
      <c r="EH79" t="e">
        <f t="shared" ref="EH79:GA79" si="178">SUM(EH26:EH32)</f>
        <v>#N/A</v>
      </c>
      <c r="EI79" t="e">
        <f t="shared" si="178"/>
        <v>#N/A</v>
      </c>
      <c r="EJ79" t="e">
        <f t="shared" si="178"/>
        <v>#N/A</v>
      </c>
      <c r="EK79" t="e">
        <f t="shared" si="178"/>
        <v>#N/A</v>
      </c>
      <c r="EL79" t="e">
        <f t="shared" si="178"/>
        <v>#N/A</v>
      </c>
      <c r="EM79" t="e">
        <f t="shared" si="178"/>
        <v>#N/A</v>
      </c>
      <c r="EN79" t="e">
        <f t="shared" si="178"/>
        <v>#N/A</v>
      </c>
      <c r="EO79" t="e">
        <f t="shared" si="178"/>
        <v>#N/A</v>
      </c>
      <c r="EP79" t="e">
        <f t="shared" si="178"/>
        <v>#N/A</v>
      </c>
      <c r="EQ79" t="e">
        <f t="shared" si="178"/>
        <v>#N/A</v>
      </c>
      <c r="ER79" t="e">
        <f t="shared" si="178"/>
        <v>#N/A</v>
      </c>
      <c r="ES79" t="e">
        <f t="shared" si="178"/>
        <v>#N/A</v>
      </c>
      <c r="ET79" t="e">
        <f t="shared" si="178"/>
        <v>#N/A</v>
      </c>
      <c r="EU79" t="e">
        <f t="shared" si="178"/>
        <v>#N/A</v>
      </c>
      <c r="EV79" t="e">
        <f t="shared" si="178"/>
        <v>#N/A</v>
      </c>
      <c r="EW79" t="e">
        <f t="shared" si="178"/>
        <v>#N/A</v>
      </c>
      <c r="EX79" t="e">
        <f t="shared" si="178"/>
        <v>#N/A</v>
      </c>
      <c r="EY79" t="e">
        <f t="shared" si="178"/>
        <v>#N/A</v>
      </c>
      <c r="EZ79" t="e">
        <f t="shared" si="178"/>
        <v>#N/A</v>
      </c>
      <c r="FA79" t="e">
        <f t="shared" si="178"/>
        <v>#N/A</v>
      </c>
      <c r="FB79" t="e">
        <f t="shared" si="178"/>
        <v>#N/A</v>
      </c>
      <c r="FC79" t="e">
        <f t="shared" si="178"/>
        <v>#N/A</v>
      </c>
      <c r="FD79" t="e">
        <f t="shared" si="178"/>
        <v>#N/A</v>
      </c>
      <c r="FE79" t="e">
        <f t="shared" si="178"/>
        <v>#N/A</v>
      </c>
      <c r="FF79" t="e">
        <f t="shared" si="178"/>
        <v>#N/A</v>
      </c>
      <c r="FG79" t="e">
        <f t="shared" si="178"/>
        <v>#N/A</v>
      </c>
      <c r="FH79" t="e">
        <f t="shared" si="178"/>
        <v>#N/A</v>
      </c>
      <c r="FI79" t="e">
        <f t="shared" si="178"/>
        <v>#N/A</v>
      </c>
      <c r="FJ79" t="e">
        <f t="shared" si="178"/>
        <v>#N/A</v>
      </c>
      <c r="FK79" t="e">
        <f t="shared" si="178"/>
        <v>#N/A</v>
      </c>
      <c r="FL79" t="e">
        <f t="shared" si="178"/>
        <v>#N/A</v>
      </c>
      <c r="FM79" t="e">
        <f t="shared" si="178"/>
        <v>#N/A</v>
      </c>
      <c r="FN79" t="e">
        <f t="shared" si="178"/>
        <v>#N/A</v>
      </c>
      <c r="FO79" t="e">
        <f t="shared" si="178"/>
        <v>#N/A</v>
      </c>
      <c r="FP79" t="e">
        <f t="shared" si="178"/>
        <v>#N/A</v>
      </c>
      <c r="FQ79" t="e">
        <f t="shared" si="178"/>
        <v>#N/A</v>
      </c>
      <c r="FR79" t="e">
        <f t="shared" si="178"/>
        <v>#N/A</v>
      </c>
      <c r="FS79" t="e">
        <f t="shared" si="178"/>
        <v>#N/A</v>
      </c>
      <c r="FT79" t="e">
        <f t="shared" si="178"/>
        <v>#N/A</v>
      </c>
      <c r="FU79" t="e">
        <f t="shared" si="178"/>
        <v>#N/A</v>
      </c>
      <c r="FV79" t="e">
        <f t="shared" si="178"/>
        <v>#N/A</v>
      </c>
      <c r="FW79" t="e">
        <f t="shared" si="178"/>
        <v>#N/A</v>
      </c>
      <c r="FX79" t="e">
        <f t="shared" si="178"/>
        <v>#N/A</v>
      </c>
      <c r="FY79" t="e">
        <f t="shared" si="178"/>
        <v>#N/A</v>
      </c>
      <c r="FZ79" t="e">
        <f t="shared" si="178"/>
        <v>#N/A</v>
      </c>
      <c r="GA79" t="e">
        <f t="shared" si="178"/>
        <v>#N/A</v>
      </c>
    </row>
    <row r="80" spans="1:183" x14ac:dyDescent="0.45">
      <c r="B80" t="s">
        <v>32</v>
      </c>
      <c r="C80" cm="1">
        <f t="array" ref="C80">LOOKUP(2,1/(I80:GA80&lt;&gt;""),I80:GA80)</f>
        <v>657.11999999999989</v>
      </c>
      <c r="D80">
        <f t="shared" si="174"/>
        <v>45</v>
      </c>
      <c r="F80" s="4">
        <f t="shared" ref="F80" si="179">(C80-I80)/I80</f>
        <v>1.4264982829289903</v>
      </c>
      <c r="G80" s="3" cm="1">
        <f t="array" ref="G80">(C80-IF(ISNA(INDEX(I80:GA80,D80-22)),INDEX(I80:GA80,D80-23),INDEX(I80:GA80,D80-22)))/IF(ISNA(INDEX(I80:GA80,D80-22)),INDEX(I80:GA80,D80-23),INDEX(I80:GA80,D80-22))</f>
        <v>-6.8205666316894065E-2</v>
      </c>
      <c r="I80">
        <f>SUM(I59:I65)</f>
        <v>270.81</v>
      </c>
      <c r="J80">
        <f t="shared" ref="J80:BU80" si="180">SUM(J59:J65)</f>
        <v>263.84999999999997</v>
      </c>
      <c r="K80" t="e">
        <f t="shared" si="180"/>
        <v>#N/A</v>
      </c>
      <c r="L80">
        <f t="shared" si="180"/>
        <v>283.03999999999996</v>
      </c>
      <c r="M80" t="e">
        <f t="shared" si="180"/>
        <v>#N/A</v>
      </c>
      <c r="N80">
        <f t="shared" si="180"/>
        <v>318.20999999999998</v>
      </c>
      <c r="O80">
        <f t="shared" si="180"/>
        <v>325.41999999999996</v>
      </c>
      <c r="P80">
        <f t="shared" si="180"/>
        <v>432.78</v>
      </c>
      <c r="Q80">
        <f t="shared" si="180"/>
        <v>438.54999999999995</v>
      </c>
      <c r="R80">
        <f t="shared" si="180"/>
        <v>467.84999999999997</v>
      </c>
      <c r="S80">
        <f t="shared" si="180"/>
        <v>470.84</v>
      </c>
      <c r="T80">
        <f t="shared" si="180"/>
        <v>553.76</v>
      </c>
      <c r="U80">
        <f t="shared" si="180"/>
        <v>612.54999999999995</v>
      </c>
      <c r="V80">
        <f t="shared" si="180"/>
        <v>612.78</v>
      </c>
      <c r="W80">
        <f t="shared" si="180"/>
        <v>573.18999999999994</v>
      </c>
      <c r="X80">
        <f t="shared" si="180"/>
        <v>537.75</v>
      </c>
      <c r="Y80">
        <f t="shared" si="180"/>
        <v>505.56</v>
      </c>
      <c r="Z80">
        <f t="shared" si="180"/>
        <v>541.67000000000007</v>
      </c>
      <c r="AA80">
        <f t="shared" si="180"/>
        <v>605.89</v>
      </c>
      <c r="AB80">
        <f t="shared" si="180"/>
        <v>653.29</v>
      </c>
      <c r="AC80">
        <f t="shared" si="180"/>
        <v>690.28000000000009</v>
      </c>
      <c r="AD80">
        <f t="shared" si="180"/>
        <v>783.55000000000007</v>
      </c>
      <c r="AE80">
        <f t="shared" si="180"/>
        <v>705.21999999999991</v>
      </c>
      <c r="AF80">
        <f t="shared" si="180"/>
        <v>677.92</v>
      </c>
      <c r="AG80">
        <f t="shared" si="180"/>
        <v>686.44999999999993</v>
      </c>
      <c r="AH80">
        <f t="shared" si="180"/>
        <v>685.00999999999988</v>
      </c>
      <c r="AI80">
        <f t="shared" si="180"/>
        <v>686.20999999999992</v>
      </c>
      <c r="AJ80">
        <f t="shared" si="180"/>
        <v>674.57999999999993</v>
      </c>
      <c r="AK80">
        <f t="shared" si="180"/>
        <v>736.79</v>
      </c>
      <c r="AL80">
        <f t="shared" si="180"/>
        <v>744.76999999999987</v>
      </c>
      <c r="AM80">
        <f t="shared" si="180"/>
        <v>715.72</v>
      </c>
      <c r="AN80" t="e">
        <f t="shared" si="180"/>
        <v>#N/A</v>
      </c>
      <c r="AO80">
        <f t="shared" si="180"/>
        <v>713.6099999999999</v>
      </c>
      <c r="AP80">
        <f t="shared" si="180"/>
        <v>695.23</v>
      </c>
      <c r="AQ80">
        <f t="shared" si="180"/>
        <v>676.6</v>
      </c>
      <c r="AR80">
        <f t="shared" si="180"/>
        <v>681.00999999999988</v>
      </c>
      <c r="AS80">
        <f t="shared" si="180"/>
        <v>657.11999999999989</v>
      </c>
      <c r="AT80" t="e">
        <f t="shared" si="180"/>
        <v>#N/A</v>
      </c>
      <c r="AU80" t="e">
        <f t="shared" si="180"/>
        <v>#N/A</v>
      </c>
      <c r="AV80" t="e">
        <f t="shared" si="180"/>
        <v>#N/A</v>
      </c>
      <c r="AW80" t="e">
        <f t="shared" si="180"/>
        <v>#N/A</v>
      </c>
      <c r="AX80" t="e">
        <f t="shared" si="180"/>
        <v>#N/A</v>
      </c>
      <c r="AY80" t="e">
        <f t="shared" si="180"/>
        <v>#N/A</v>
      </c>
      <c r="AZ80" t="e">
        <f t="shared" si="180"/>
        <v>#N/A</v>
      </c>
      <c r="BA80" t="e">
        <f t="shared" si="180"/>
        <v>#N/A</v>
      </c>
      <c r="BB80" t="e">
        <f t="shared" si="180"/>
        <v>#N/A</v>
      </c>
      <c r="BC80" t="e">
        <f t="shared" si="180"/>
        <v>#N/A</v>
      </c>
      <c r="BD80" t="e">
        <f t="shared" si="180"/>
        <v>#N/A</v>
      </c>
      <c r="BE80" t="e">
        <f t="shared" si="180"/>
        <v>#N/A</v>
      </c>
      <c r="BF80" t="e">
        <f t="shared" si="180"/>
        <v>#N/A</v>
      </c>
      <c r="BG80" t="e">
        <f t="shared" si="180"/>
        <v>#N/A</v>
      </c>
      <c r="BH80" t="e">
        <f t="shared" si="180"/>
        <v>#N/A</v>
      </c>
      <c r="BI80" t="e">
        <f t="shared" si="180"/>
        <v>#N/A</v>
      </c>
      <c r="BJ80" t="e">
        <f t="shared" si="180"/>
        <v>#N/A</v>
      </c>
      <c r="BK80" t="e">
        <f t="shared" si="180"/>
        <v>#N/A</v>
      </c>
      <c r="BL80" t="e">
        <f t="shared" si="180"/>
        <v>#N/A</v>
      </c>
      <c r="BM80" t="e">
        <f t="shared" si="180"/>
        <v>#N/A</v>
      </c>
      <c r="BN80" t="e">
        <f t="shared" si="180"/>
        <v>#N/A</v>
      </c>
      <c r="BO80" t="e">
        <f t="shared" si="180"/>
        <v>#N/A</v>
      </c>
      <c r="BP80" t="e">
        <f t="shared" si="180"/>
        <v>#N/A</v>
      </c>
      <c r="BQ80" t="e">
        <f t="shared" si="180"/>
        <v>#N/A</v>
      </c>
      <c r="BR80" t="e">
        <f t="shared" si="180"/>
        <v>#N/A</v>
      </c>
      <c r="BS80" t="e">
        <f t="shared" si="180"/>
        <v>#N/A</v>
      </c>
      <c r="BT80" t="e">
        <f t="shared" si="180"/>
        <v>#N/A</v>
      </c>
      <c r="BU80" t="e">
        <f t="shared" si="180"/>
        <v>#N/A</v>
      </c>
      <c r="BV80" t="e">
        <f t="shared" ref="BV80:EG80" si="181">SUM(BV59:BV65)</f>
        <v>#N/A</v>
      </c>
      <c r="BW80" t="e">
        <f t="shared" si="181"/>
        <v>#N/A</v>
      </c>
      <c r="BX80" t="e">
        <f t="shared" si="181"/>
        <v>#N/A</v>
      </c>
      <c r="BY80" t="e">
        <f t="shared" si="181"/>
        <v>#N/A</v>
      </c>
      <c r="BZ80" t="e">
        <f t="shared" si="181"/>
        <v>#N/A</v>
      </c>
      <c r="CA80" t="e">
        <f t="shared" si="181"/>
        <v>#N/A</v>
      </c>
      <c r="CB80" t="e">
        <f t="shared" si="181"/>
        <v>#N/A</v>
      </c>
      <c r="CC80" t="e">
        <f t="shared" si="181"/>
        <v>#N/A</v>
      </c>
      <c r="CD80" t="e">
        <f t="shared" si="181"/>
        <v>#N/A</v>
      </c>
      <c r="CE80" t="e">
        <f t="shared" si="181"/>
        <v>#N/A</v>
      </c>
      <c r="CF80" t="e">
        <f t="shared" si="181"/>
        <v>#N/A</v>
      </c>
      <c r="CG80" t="e">
        <f t="shared" si="181"/>
        <v>#N/A</v>
      </c>
      <c r="CH80" t="e">
        <f t="shared" si="181"/>
        <v>#N/A</v>
      </c>
      <c r="CI80" t="e">
        <f t="shared" si="181"/>
        <v>#N/A</v>
      </c>
      <c r="CJ80" t="e">
        <f t="shared" si="181"/>
        <v>#N/A</v>
      </c>
      <c r="CK80" t="e">
        <f t="shared" si="181"/>
        <v>#N/A</v>
      </c>
      <c r="CL80" t="e">
        <f t="shared" si="181"/>
        <v>#N/A</v>
      </c>
      <c r="CM80" t="e">
        <f t="shared" si="181"/>
        <v>#N/A</v>
      </c>
      <c r="CN80" t="e">
        <f t="shared" si="181"/>
        <v>#N/A</v>
      </c>
      <c r="CO80" t="e">
        <f t="shared" si="181"/>
        <v>#N/A</v>
      </c>
      <c r="CP80" t="e">
        <f t="shared" si="181"/>
        <v>#N/A</v>
      </c>
      <c r="CQ80" t="e">
        <f t="shared" si="181"/>
        <v>#N/A</v>
      </c>
      <c r="CR80" t="e">
        <f t="shared" si="181"/>
        <v>#N/A</v>
      </c>
      <c r="CS80" t="e">
        <f t="shared" si="181"/>
        <v>#N/A</v>
      </c>
      <c r="CT80" t="e">
        <f t="shared" si="181"/>
        <v>#N/A</v>
      </c>
      <c r="CU80" t="e">
        <f t="shared" si="181"/>
        <v>#N/A</v>
      </c>
      <c r="CV80" t="e">
        <f t="shared" si="181"/>
        <v>#N/A</v>
      </c>
      <c r="CW80" t="e">
        <f t="shared" si="181"/>
        <v>#N/A</v>
      </c>
      <c r="CX80" t="e">
        <f t="shared" si="181"/>
        <v>#N/A</v>
      </c>
      <c r="CY80" t="e">
        <f t="shared" si="181"/>
        <v>#N/A</v>
      </c>
      <c r="CZ80" t="e">
        <f t="shared" si="181"/>
        <v>#N/A</v>
      </c>
      <c r="DA80" t="e">
        <f t="shared" si="181"/>
        <v>#N/A</v>
      </c>
      <c r="DB80" t="e">
        <f t="shared" si="181"/>
        <v>#N/A</v>
      </c>
      <c r="DC80" t="e">
        <f t="shared" si="181"/>
        <v>#N/A</v>
      </c>
      <c r="DD80" t="e">
        <f t="shared" si="181"/>
        <v>#N/A</v>
      </c>
      <c r="DE80" t="e">
        <f t="shared" si="181"/>
        <v>#N/A</v>
      </c>
      <c r="DF80" t="e">
        <f t="shared" si="181"/>
        <v>#N/A</v>
      </c>
      <c r="DG80" t="e">
        <f t="shared" si="181"/>
        <v>#N/A</v>
      </c>
      <c r="DH80" t="e">
        <f t="shared" si="181"/>
        <v>#N/A</v>
      </c>
      <c r="DI80" t="e">
        <f t="shared" si="181"/>
        <v>#N/A</v>
      </c>
      <c r="DJ80" t="e">
        <f t="shared" si="181"/>
        <v>#N/A</v>
      </c>
      <c r="DK80" t="e">
        <f t="shared" si="181"/>
        <v>#N/A</v>
      </c>
      <c r="DL80" t="e">
        <f t="shared" si="181"/>
        <v>#N/A</v>
      </c>
      <c r="DM80" t="e">
        <f t="shared" si="181"/>
        <v>#N/A</v>
      </c>
      <c r="DN80" t="e">
        <f t="shared" si="181"/>
        <v>#N/A</v>
      </c>
      <c r="DO80" t="e">
        <f t="shared" si="181"/>
        <v>#N/A</v>
      </c>
      <c r="DP80" t="e">
        <f t="shared" si="181"/>
        <v>#N/A</v>
      </c>
      <c r="DQ80" t="e">
        <f t="shared" si="181"/>
        <v>#N/A</v>
      </c>
      <c r="DR80" t="e">
        <f t="shared" si="181"/>
        <v>#N/A</v>
      </c>
      <c r="DS80" t="e">
        <f t="shared" si="181"/>
        <v>#N/A</v>
      </c>
      <c r="DT80" t="e">
        <f t="shared" si="181"/>
        <v>#N/A</v>
      </c>
      <c r="DU80" t="e">
        <f t="shared" si="181"/>
        <v>#N/A</v>
      </c>
      <c r="DV80" t="e">
        <f t="shared" si="181"/>
        <v>#N/A</v>
      </c>
      <c r="DW80" t="e">
        <f t="shared" si="181"/>
        <v>#N/A</v>
      </c>
      <c r="DX80" t="e">
        <f t="shared" si="181"/>
        <v>#N/A</v>
      </c>
      <c r="DY80" t="e">
        <f t="shared" si="181"/>
        <v>#N/A</v>
      </c>
      <c r="DZ80" t="e">
        <f t="shared" si="181"/>
        <v>#N/A</v>
      </c>
      <c r="EA80" t="e">
        <f t="shared" si="181"/>
        <v>#N/A</v>
      </c>
      <c r="EB80" t="e">
        <f t="shared" si="181"/>
        <v>#N/A</v>
      </c>
      <c r="EC80" t="e">
        <f t="shared" si="181"/>
        <v>#N/A</v>
      </c>
      <c r="ED80" t="e">
        <f t="shared" si="181"/>
        <v>#N/A</v>
      </c>
      <c r="EE80" t="e">
        <f t="shared" si="181"/>
        <v>#N/A</v>
      </c>
      <c r="EF80" t="e">
        <f t="shared" si="181"/>
        <v>#N/A</v>
      </c>
      <c r="EG80" t="e">
        <f t="shared" si="181"/>
        <v>#N/A</v>
      </c>
      <c r="EH80" t="e">
        <f t="shared" ref="EH80:GA80" si="182">SUM(EH59:EH65)</f>
        <v>#N/A</v>
      </c>
      <c r="EI80" t="e">
        <f t="shared" si="182"/>
        <v>#N/A</v>
      </c>
      <c r="EJ80" t="e">
        <f t="shared" si="182"/>
        <v>#N/A</v>
      </c>
      <c r="EK80" t="e">
        <f t="shared" si="182"/>
        <v>#N/A</v>
      </c>
      <c r="EL80" t="e">
        <f t="shared" si="182"/>
        <v>#N/A</v>
      </c>
      <c r="EM80" t="e">
        <f t="shared" si="182"/>
        <v>#N/A</v>
      </c>
      <c r="EN80" t="e">
        <f t="shared" si="182"/>
        <v>#N/A</v>
      </c>
      <c r="EO80" t="e">
        <f t="shared" si="182"/>
        <v>#N/A</v>
      </c>
      <c r="EP80" t="e">
        <f t="shared" si="182"/>
        <v>#N/A</v>
      </c>
      <c r="EQ80" t="e">
        <f t="shared" si="182"/>
        <v>#N/A</v>
      </c>
      <c r="ER80" t="e">
        <f t="shared" si="182"/>
        <v>#N/A</v>
      </c>
      <c r="ES80" t="e">
        <f t="shared" si="182"/>
        <v>#N/A</v>
      </c>
      <c r="ET80" t="e">
        <f t="shared" si="182"/>
        <v>#N/A</v>
      </c>
      <c r="EU80" t="e">
        <f t="shared" si="182"/>
        <v>#N/A</v>
      </c>
      <c r="EV80" t="e">
        <f t="shared" si="182"/>
        <v>#N/A</v>
      </c>
      <c r="EW80" t="e">
        <f t="shared" si="182"/>
        <v>#N/A</v>
      </c>
      <c r="EX80" t="e">
        <f t="shared" si="182"/>
        <v>#N/A</v>
      </c>
      <c r="EY80" t="e">
        <f t="shared" si="182"/>
        <v>#N/A</v>
      </c>
      <c r="EZ80" t="e">
        <f t="shared" si="182"/>
        <v>#N/A</v>
      </c>
      <c r="FA80" t="e">
        <f t="shared" si="182"/>
        <v>#N/A</v>
      </c>
      <c r="FB80" t="e">
        <f t="shared" si="182"/>
        <v>#N/A</v>
      </c>
      <c r="FC80" t="e">
        <f t="shared" si="182"/>
        <v>#N/A</v>
      </c>
      <c r="FD80" t="e">
        <f t="shared" si="182"/>
        <v>#N/A</v>
      </c>
      <c r="FE80" t="e">
        <f t="shared" si="182"/>
        <v>#N/A</v>
      </c>
      <c r="FF80" t="e">
        <f t="shared" si="182"/>
        <v>#N/A</v>
      </c>
      <c r="FG80" t="e">
        <f t="shared" si="182"/>
        <v>#N/A</v>
      </c>
      <c r="FH80" t="e">
        <f t="shared" si="182"/>
        <v>#N/A</v>
      </c>
      <c r="FI80" t="e">
        <f t="shared" si="182"/>
        <v>#N/A</v>
      </c>
      <c r="FJ80" t="e">
        <f t="shared" si="182"/>
        <v>#N/A</v>
      </c>
      <c r="FK80" t="e">
        <f t="shared" si="182"/>
        <v>#N/A</v>
      </c>
      <c r="FL80" t="e">
        <f t="shared" si="182"/>
        <v>#N/A</v>
      </c>
      <c r="FM80" t="e">
        <f t="shared" si="182"/>
        <v>#N/A</v>
      </c>
      <c r="FN80" t="e">
        <f t="shared" si="182"/>
        <v>#N/A</v>
      </c>
      <c r="FO80" t="e">
        <f t="shared" si="182"/>
        <v>#N/A</v>
      </c>
      <c r="FP80" t="e">
        <f t="shared" si="182"/>
        <v>#N/A</v>
      </c>
      <c r="FQ80" t="e">
        <f t="shared" si="182"/>
        <v>#N/A</v>
      </c>
      <c r="FR80" t="e">
        <f t="shared" si="182"/>
        <v>#N/A</v>
      </c>
      <c r="FS80" t="e">
        <f t="shared" si="182"/>
        <v>#N/A</v>
      </c>
      <c r="FT80" t="e">
        <f t="shared" si="182"/>
        <v>#N/A</v>
      </c>
      <c r="FU80" t="e">
        <f t="shared" si="182"/>
        <v>#N/A</v>
      </c>
      <c r="FV80" t="e">
        <f t="shared" si="182"/>
        <v>#N/A</v>
      </c>
      <c r="FW80" t="e">
        <f t="shared" si="182"/>
        <v>#N/A</v>
      </c>
      <c r="FX80" t="e">
        <f t="shared" si="182"/>
        <v>#N/A</v>
      </c>
      <c r="FY80" t="e">
        <f t="shared" si="182"/>
        <v>#N/A</v>
      </c>
      <c r="FZ80" t="e">
        <f t="shared" si="182"/>
        <v>#N/A</v>
      </c>
      <c r="GA80" t="e">
        <f t="shared" si="182"/>
        <v>#N/A</v>
      </c>
    </row>
    <row r="83" spans="1:183" x14ac:dyDescent="0.45">
      <c r="I83" s="1">
        <f>I78</f>
        <v>44331</v>
      </c>
      <c r="J83" s="1">
        <f t="shared" ref="J83:BU83" si="183">J78</f>
        <v>44332</v>
      </c>
      <c r="K83" s="1">
        <f t="shared" si="183"/>
        <v>44333</v>
      </c>
      <c r="L83" s="1">
        <f t="shared" si="183"/>
        <v>44334</v>
      </c>
      <c r="M83" s="1">
        <f t="shared" si="183"/>
        <v>44335</v>
      </c>
      <c r="N83" s="1">
        <f t="shared" si="183"/>
        <v>44336</v>
      </c>
      <c r="O83" s="1">
        <f t="shared" si="183"/>
        <v>44337</v>
      </c>
      <c r="P83" s="1">
        <f t="shared" si="183"/>
        <v>44338</v>
      </c>
      <c r="Q83" s="1">
        <f t="shared" si="183"/>
        <v>44339</v>
      </c>
      <c r="R83" s="1">
        <f t="shared" si="183"/>
        <v>44340</v>
      </c>
      <c r="S83" s="1">
        <f t="shared" si="183"/>
        <v>44341</v>
      </c>
      <c r="T83" s="1">
        <f t="shared" si="183"/>
        <v>44342</v>
      </c>
      <c r="U83" s="1">
        <f t="shared" si="183"/>
        <v>44343</v>
      </c>
      <c r="V83" s="1">
        <f t="shared" si="183"/>
        <v>44344</v>
      </c>
      <c r="W83" s="1">
        <f t="shared" si="183"/>
        <v>44345</v>
      </c>
      <c r="X83" s="1">
        <f t="shared" si="183"/>
        <v>44346</v>
      </c>
      <c r="Y83" s="1">
        <f t="shared" si="183"/>
        <v>44347</v>
      </c>
      <c r="Z83" s="1">
        <f t="shared" si="183"/>
        <v>44348</v>
      </c>
      <c r="AA83" s="1">
        <f t="shared" si="183"/>
        <v>44349</v>
      </c>
      <c r="AB83" s="1">
        <f t="shared" si="183"/>
        <v>44350</v>
      </c>
      <c r="AC83" s="1">
        <f t="shared" si="183"/>
        <v>44351</v>
      </c>
      <c r="AD83" s="1">
        <f t="shared" si="183"/>
        <v>44352</v>
      </c>
      <c r="AE83" s="1">
        <f t="shared" si="183"/>
        <v>44353</v>
      </c>
      <c r="AF83" s="1">
        <f t="shared" si="183"/>
        <v>44354</v>
      </c>
      <c r="AG83" s="1">
        <f t="shared" si="183"/>
        <v>44355</v>
      </c>
      <c r="AH83" s="1">
        <f t="shared" si="183"/>
        <v>44356</v>
      </c>
      <c r="AI83" s="1">
        <f t="shared" si="183"/>
        <v>44357</v>
      </c>
      <c r="AJ83" s="1">
        <f t="shared" si="183"/>
        <v>44358</v>
      </c>
      <c r="AK83" s="1">
        <f t="shared" si="183"/>
        <v>44359</v>
      </c>
      <c r="AL83" s="1">
        <f t="shared" si="183"/>
        <v>44360</v>
      </c>
      <c r="AM83" s="1">
        <f t="shared" si="183"/>
        <v>44361</v>
      </c>
      <c r="AN83" s="1">
        <f t="shared" si="183"/>
        <v>44362</v>
      </c>
      <c r="AO83" s="1">
        <f t="shared" si="183"/>
        <v>44363</v>
      </c>
      <c r="AP83" s="1">
        <f t="shared" si="183"/>
        <v>44364</v>
      </c>
      <c r="AQ83" s="1">
        <f t="shared" si="183"/>
        <v>44365</v>
      </c>
      <c r="AR83" s="1">
        <f t="shared" si="183"/>
        <v>44366</v>
      </c>
      <c r="AS83" s="1">
        <f t="shared" si="183"/>
        <v>44367</v>
      </c>
      <c r="AT83" s="1">
        <f t="shared" si="183"/>
        <v>44368</v>
      </c>
      <c r="AU83" s="1">
        <f t="shared" si="183"/>
        <v>44369</v>
      </c>
      <c r="AV83" s="1">
        <f t="shared" si="183"/>
        <v>44370</v>
      </c>
      <c r="AW83" s="1">
        <f t="shared" si="183"/>
        <v>44371</v>
      </c>
      <c r="AX83" s="1">
        <f t="shared" si="183"/>
        <v>44372</v>
      </c>
      <c r="AY83" s="1">
        <f t="shared" si="183"/>
        <v>44373</v>
      </c>
      <c r="AZ83" s="1">
        <f t="shared" si="183"/>
        <v>44374</v>
      </c>
      <c r="BA83" s="1">
        <f t="shared" si="183"/>
        <v>44375</v>
      </c>
      <c r="BB83" s="1">
        <f t="shared" si="183"/>
        <v>44376</v>
      </c>
      <c r="BC83" s="1">
        <f t="shared" si="183"/>
        <v>44377</v>
      </c>
      <c r="BD83" s="1">
        <f t="shared" si="183"/>
        <v>44378</v>
      </c>
      <c r="BE83" s="1">
        <f t="shared" si="183"/>
        <v>44379</v>
      </c>
      <c r="BF83" s="1">
        <f t="shared" si="183"/>
        <v>44380</v>
      </c>
      <c r="BG83" s="1">
        <f t="shared" si="183"/>
        <v>44381</v>
      </c>
      <c r="BH83" s="1">
        <f t="shared" si="183"/>
        <v>44382</v>
      </c>
      <c r="BI83" s="1">
        <f t="shared" si="183"/>
        <v>44383</v>
      </c>
      <c r="BJ83" s="1">
        <f t="shared" si="183"/>
        <v>44384</v>
      </c>
      <c r="BK83" s="1">
        <f t="shared" si="183"/>
        <v>44385</v>
      </c>
      <c r="BL83" s="1">
        <f t="shared" si="183"/>
        <v>44386</v>
      </c>
      <c r="BM83" s="1">
        <f t="shared" si="183"/>
        <v>44387</v>
      </c>
      <c r="BN83" s="1">
        <f t="shared" si="183"/>
        <v>44388</v>
      </c>
      <c r="BO83" s="1">
        <f t="shared" si="183"/>
        <v>44389</v>
      </c>
      <c r="BP83" s="1">
        <f t="shared" si="183"/>
        <v>44390</v>
      </c>
      <c r="BQ83" s="1">
        <f t="shared" si="183"/>
        <v>44391</v>
      </c>
      <c r="BR83" s="1">
        <f t="shared" si="183"/>
        <v>44392</v>
      </c>
      <c r="BS83" s="1">
        <f t="shared" si="183"/>
        <v>44393</v>
      </c>
      <c r="BT83" s="1">
        <f t="shared" si="183"/>
        <v>44394</v>
      </c>
      <c r="BU83" s="1">
        <f t="shared" si="183"/>
        <v>44395</v>
      </c>
      <c r="BV83" s="1">
        <f t="shared" ref="BV83:EG83" si="184">BV78</f>
        <v>44396</v>
      </c>
      <c r="BW83" s="1">
        <f t="shared" si="184"/>
        <v>44397</v>
      </c>
      <c r="BX83" s="1">
        <f t="shared" si="184"/>
        <v>44398</v>
      </c>
      <c r="BY83" s="1">
        <f t="shared" si="184"/>
        <v>44399</v>
      </c>
      <c r="BZ83" s="1">
        <f t="shared" si="184"/>
        <v>44400</v>
      </c>
      <c r="CA83" s="1">
        <f t="shared" si="184"/>
        <v>44401</v>
      </c>
      <c r="CB83" s="1">
        <f t="shared" si="184"/>
        <v>44402</v>
      </c>
      <c r="CC83" s="1">
        <f t="shared" si="184"/>
        <v>44403</v>
      </c>
      <c r="CD83" s="1">
        <f t="shared" si="184"/>
        <v>44404</v>
      </c>
      <c r="CE83" s="1">
        <f t="shared" si="184"/>
        <v>44405</v>
      </c>
      <c r="CF83" s="1">
        <f t="shared" si="184"/>
        <v>44406</v>
      </c>
      <c r="CG83" s="1">
        <f t="shared" si="184"/>
        <v>44407</v>
      </c>
      <c r="CH83" s="1">
        <f t="shared" si="184"/>
        <v>44408</v>
      </c>
      <c r="CI83" s="1">
        <f t="shared" si="184"/>
        <v>44409</v>
      </c>
      <c r="CJ83" s="1">
        <f t="shared" si="184"/>
        <v>44410</v>
      </c>
      <c r="CK83" s="1">
        <f t="shared" si="184"/>
        <v>44411</v>
      </c>
      <c r="CL83" s="1">
        <f t="shared" si="184"/>
        <v>44412</v>
      </c>
      <c r="CM83" s="1">
        <f t="shared" si="184"/>
        <v>44413</v>
      </c>
      <c r="CN83" s="1">
        <f t="shared" si="184"/>
        <v>44414</v>
      </c>
      <c r="CO83" s="1">
        <f t="shared" si="184"/>
        <v>44415</v>
      </c>
      <c r="CP83" s="1">
        <f t="shared" si="184"/>
        <v>44416</v>
      </c>
      <c r="CQ83" s="1">
        <f t="shared" si="184"/>
        <v>44417</v>
      </c>
      <c r="CR83" s="1">
        <f t="shared" si="184"/>
        <v>44418</v>
      </c>
      <c r="CS83" s="1">
        <f t="shared" si="184"/>
        <v>44419</v>
      </c>
      <c r="CT83" s="1">
        <f t="shared" si="184"/>
        <v>44420</v>
      </c>
      <c r="CU83" s="1">
        <f t="shared" si="184"/>
        <v>44421</v>
      </c>
      <c r="CV83" s="1">
        <f t="shared" si="184"/>
        <v>44422</v>
      </c>
      <c r="CW83" s="1">
        <f t="shared" si="184"/>
        <v>44423</v>
      </c>
      <c r="CX83" s="1">
        <f t="shared" si="184"/>
        <v>44424</v>
      </c>
      <c r="CY83" s="1">
        <f t="shared" si="184"/>
        <v>44425</v>
      </c>
      <c r="CZ83" s="1">
        <f t="shared" si="184"/>
        <v>44426</v>
      </c>
      <c r="DA83" s="1">
        <f t="shared" si="184"/>
        <v>44427</v>
      </c>
      <c r="DB83" s="1">
        <f t="shared" si="184"/>
        <v>44428</v>
      </c>
      <c r="DC83" s="1">
        <f t="shared" si="184"/>
        <v>44429</v>
      </c>
      <c r="DD83" s="1">
        <f t="shared" si="184"/>
        <v>44430</v>
      </c>
      <c r="DE83" s="1">
        <f t="shared" si="184"/>
        <v>44431</v>
      </c>
      <c r="DF83" s="1">
        <f t="shared" si="184"/>
        <v>44432</v>
      </c>
      <c r="DG83" s="1">
        <f t="shared" si="184"/>
        <v>44433</v>
      </c>
      <c r="DH83" s="1">
        <f t="shared" si="184"/>
        <v>44434</v>
      </c>
      <c r="DI83" s="1">
        <f t="shared" si="184"/>
        <v>44435</v>
      </c>
      <c r="DJ83" s="1">
        <f t="shared" si="184"/>
        <v>44436</v>
      </c>
      <c r="DK83" s="1">
        <f t="shared" si="184"/>
        <v>44437</v>
      </c>
      <c r="DL83" s="1">
        <f t="shared" si="184"/>
        <v>44438</v>
      </c>
      <c r="DM83" s="1">
        <f t="shared" si="184"/>
        <v>44439</v>
      </c>
      <c r="DN83" s="1">
        <f t="shared" si="184"/>
        <v>44440</v>
      </c>
      <c r="DO83" s="1">
        <f t="shared" si="184"/>
        <v>44441</v>
      </c>
      <c r="DP83" s="1">
        <f t="shared" si="184"/>
        <v>44442</v>
      </c>
      <c r="DQ83" s="1">
        <f t="shared" si="184"/>
        <v>44443</v>
      </c>
      <c r="DR83" s="1">
        <f t="shared" si="184"/>
        <v>44444</v>
      </c>
      <c r="DS83" s="1">
        <f t="shared" si="184"/>
        <v>44445</v>
      </c>
      <c r="DT83" s="1">
        <f t="shared" si="184"/>
        <v>44446</v>
      </c>
      <c r="DU83" s="1">
        <f t="shared" si="184"/>
        <v>44447</v>
      </c>
      <c r="DV83" s="1">
        <f t="shared" si="184"/>
        <v>44448</v>
      </c>
      <c r="DW83" s="1">
        <f t="shared" si="184"/>
        <v>44449</v>
      </c>
      <c r="DX83" s="1">
        <f t="shared" si="184"/>
        <v>44450</v>
      </c>
      <c r="DY83" s="1">
        <f t="shared" si="184"/>
        <v>44451</v>
      </c>
      <c r="DZ83" s="1">
        <f t="shared" si="184"/>
        <v>44452</v>
      </c>
      <c r="EA83" s="1">
        <f t="shared" si="184"/>
        <v>44453</v>
      </c>
      <c r="EB83" s="1">
        <f t="shared" si="184"/>
        <v>44454</v>
      </c>
      <c r="EC83" s="1">
        <f t="shared" si="184"/>
        <v>44455</v>
      </c>
      <c r="ED83" s="1">
        <f t="shared" si="184"/>
        <v>44456</v>
      </c>
      <c r="EE83" s="1">
        <f t="shared" si="184"/>
        <v>44457</v>
      </c>
      <c r="EF83" s="1">
        <f t="shared" si="184"/>
        <v>44458</v>
      </c>
      <c r="EG83" s="1">
        <f t="shared" si="184"/>
        <v>44459</v>
      </c>
      <c r="EH83" s="1">
        <f t="shared" ref="EH83:GA83" si="185">EH78</f>
        <v>44460</v>
      </c>
      <c r="EI83" s="1">
        <f t="shared" si="185"/>
        <v>44461</v>
      </c>
      <c r="EJ83" s="1">
        <f t="shared" si="185"/>
        <v>44462</v>
      </c>
      <c r="EK83" s="1">
        <f t="shared" si="185"/>
        <v>44463</v>
      </c>
      <c r="EL83" s="1">
        <f t="shared" si="185"/>
        <v>44464</v>
      </c>
      <c r="EM83" s="1">
        <f t="shared" si="185"/>
        <v>44465</v>
      </c>
      <c r="EN83" s="1">
        <f t="shared" si="185"/>
        <v>44466</v>
      </c>
      <c r="EO83" s="1">
        <f t="shared" si="185"/>
        <v>44467</v>
      </c>
      <c r="EP83" s="1">
        <f t="shared" si="185"/>
        <v>44468</v>
      </c>
      <c r="EQ83" s="1">
        <f t="shared" si="185"/>
        <v>44469</v>
      </c>
      <c r="ER83" s="1">
        <f t="shared" si="185"/>
        <v>44470</v>
      </c>
      <c r="ES83" s="1">
        <f t="shared" si="185"/>
        <v>44471</v>
      </c>
      <c r="ET83" s="1">
        <f t="shared" si="185"/>
        <v>44472</v>
      </c>
      <c r="EU83" s="1">
        <f t="shared" si="185"/>
        <v>44473</v>
      </c>
      <c r="EV83" s="1">
        <f t="shared" si="185"/>
        <v>44474</v>
      </c>
      <c r="EW83" s="1">
        <f t="shared" si="185"/>
        <v>44475</v>
      </c>
      <c r="EX83" s="1">
        <f t="shared" si="185"/>
        <v>44476</v>
      </c>
      <c r="EY83" s="1">
        <f t="shared" si="185"/>
        <v>44477</v>
      </c>
      <c r="EZ83" s="1">
        <f t="shared" si="185"/>
        <v>44478</v>
      </c>
      <c r="FA83" s="1">
        <f t="shared" si="185"/>
        <v>44479</v>
      </c>
      <c r="FB83" s="1">
        <f t="shared" si="185"/>
        <v>44480</v>
      </c>
      <c r="FC83" s="1">
        <f t="shared" si="185"/>
        <v>44481</v>
      </c>
      <c r="FD83" s="1">
        <f t="shared" si="185"/>
        <v>44482</v>
      </c>
      <c r="FE83" s="1">
        <f t="shared" si="185"/>
        <v>44483</v>
      </c>
      <c r="FF83" s="1">
        <f t="shared" si="185"/>
        <v>44484</v>
      </c>
      <c r="FG83" s="1">
        <f t="shared" si="185"/>
        <v>44485</v>
      </c>
      <c r="FH83" s="1">
        <f t="shared" si="185"/>
        <v>44486</v>
      </c>
      <c r="FI83" s="1">
        <f t="shared" si="185"/>
        <v>44487</v>
      </c>
      <c r="FJ83" s="1">
        <f t="shared" si="185"/>
        <v>44488</v>
      </c>
      <c r="FK83" s="1">
        <f t="shared" si="185"/>
        <v>44489</v>
      </c>
      <c r="FL83" s="1">
        <f t="shared" si="185"/>
        <v>44490</v>
      </c>
      <c r="FM83" s="1">
        <f t="shared" si="185"/>
        <v>44491</v>
      </c>
      <c r="FN83" s="1">
        <f t="shared" si="185"/>
        <v>44492</v>
      </c>
      <c r="FO83" s="1">
        <f t="shared" si="185"/>
        <v>44493</v>
      </c>
      <c r="FP83" s="1">
        <f t="shared" si="185"/>
        <v>44494</v>
      </c>
      <c r="FQ83" s="1">
        <f t="shared" si="185"/>
        <v>44495</v>
      </c>
      <c r="FR83" s="1">
        <f t="shared" si="185"/>
        <v>44496</v>
      </c>
      <c r="FS83" s="1">
        <f t="shared" si="185"/>
        <v>44497</v>
      </c>
      <c r="FT83" s="1">
        <f t="shared" si="185"/>
        <v>44498</v>
      </c>
      <c r="FU83" s="1">
        <f t="shared" si="185"/>
        <v>44499</v>
      </c>
      <c r="FV83" s="1">
        <f t="shared" si="185"/>
        <v>44500</v>
      </c>
      <c r="FW83" s="1">
        <f t="shared" si="185"/>
        <v>44501</v>
      </c>
      <c r="FX83" s="1">
        <f t="shared" si="185"/>
        <v>44502</v>
      </c>
      <c r="FY83" s="1">
        <f t="shared" si="185"/>
        <v>44503</v>
      </c>
      <c r="FZ83" s="1">
        <f t="shared" si="185"/>
        <v>44504</v>
      </c>
      <c r="GA83" s="1">
        <f t="shared" si="185"/>
        <v>44505</v>
      </c>
    </row>
    <row r="84" spans="1:183" x14ac:dyDescent="0.45">
      <c r="A84">
        <f>SUM(A70:A76)</f>
        <v>365.78</v>
      </c>
      <c r="B84" t="s">
        <v>16</v>
      </c>
      <c r="C84" cm="1">
        <f t="array" ref="C84">LOOKUP(2,1/(I84:GA84&lt;&gt;""),I84:GA84)</f>
        <v>291.33999999999992</v>
      </c>
      <c r="D84">
        <f t="shared" ref="D84" si="186">D$9</f>
        <v>45</v>
      </c>
      <c r="F84" s="3">
        <f>(C80-A84)/A84</f>
        <v>0.79648969325824248</v>
      </c>
      <c r="G84" s="4" cm="1">
        <f t="array" ref="G84">(F84-(IF(ISNA(INDEX(I80:GA80,D84-22)),INDEX(I80:GA80,D84-23),INDEX(I80:GA80,D84-22))-A84)/A84)</f>
        <v>-0.13149980862813726</v>
      </c>
      <c r="I84">
        <f t="shared" ref="I84" si="187">SUM(I70:I76)</f>
        <v>-94.97</v>
      </c>
      <c r="J84">
        <f t="shared" ref="J84:BU84" si="188">SUM(J70:J76)</f>
        <v>-101.93</v>
      </c>
      <c r="K84" t="e">
        <f t="shared" si="188"/>
        <v>#N/A</v>
      </c>
      <c r="L84">
        <f t="shared" si="188"/>
        <v>-82.740000000000009</v>
      </c>
      <c r="M84" t="e">
        <f t="shared" si="188"/>
        <v>#N/A</v>
      </c>
      <c r="N84">
        <f t="shared" si="188"/>
        <v>-47.569999999999993</v>
      </c>
      <c r="O84">
        <f t="shared" si="188"/>
        <v>-40.360000000000028</v>
      </c>
      <c r="P84">
        <f t="shared" si="188"/>
        <v>67</v>
      </c>
      <c r="Q84">
        <f t="shared" si="188"/>
        <v>72.77000000000001</v>
      </c>
      <c r="R84">
        <f t="shared" si="188"/>
        <v>102.07000000000001</v>
      </c>
      <c r="S84">
        <f t="shared" si="188"/>
        <v>105.05999999999996</v>
      </c>
      <c r="T84">
        <f t="shared" si="188"/>
        <v>187.98</v>
      </c>
      <c r="U84">
        <f t="shared" si="188"/>
        <v>246.77</v>
      </c>
      <c r="V84">
        <f t="shared" si="188"/>
        <v>247</v>
      </c>
      <c r="W84">
        <f t="shared" si="188"/>
        <v>207.41000000000003</v>
      </c>
      <c r="X84">
        <f t="shared" si="188"/>
        <v>171.96999999999997</v>
      </c>
      <c r="Y84">
        <f t="shared" si="188"/>
        <v>139.77999999999994</v>
      </c>
      <c r="Z84">
        <f t="shared" si="188"/>
        <v>175.89</v>
      </c>
      <c r="AA84">
        <f t="shared" si="188"/>
        <v>240.10999999999999</v>
      </c>
      <c r="AB84">
        <f t="shared" si="188"/>
        <v>287.51</v>
      </c>
      <c r="AC84">
        <f t="shared" si="188"/>
        <v>324.49999999999994</v>
      </c>
      <c r="AD84">
        <f t="shared" si="188"/>
        <v>417.7700000000001</v>
      </c>
      <c r="AE84">
        <f t="shared" si="188"/>
        <v>339.43999999999994</v>
      </c>
      <c r="AF84">
        <f t="shared" si="188"/>
        <v>312.14</v>
      </c>
      <c r="AG84">
        <f t="shared" si="188"/>
        <v>320.66999999999996</v>
      </c>
      <c r="AH84">
        <f t="shared" si="188"/>
        <v>319.23</v>
      </c>
      <c r="AI84">
        <f t="shared" si="188"/>
        <v>320.43</v>
      </c>
      <c r="AJ84">
        <f t="shared" si="188"/>
        <v>308.8</v>
      </c>
      <c r="AK84">
        <f t="shared" si="188"/>
        <v>371.01</v>
      </c>
      <c r="AL84">
        <f t="shared" si="188"/>
        <v>378.9899999999999</v>
      </c>
      <c r="AM84">
        <f t="shared" si="188"/>
        <v>349.94</v>
      </c>
      <c r="AN84" t="e">
        <f t="shared" si="188"/>
        <v>#N/A</v>
      </c>
      <c r="AO84">
        <f t="shared" si="188"/>
        <v>347.83</v>
      </c>
      <c r="AP84">
        <f t="shared" si="188"/>
        <v>329.44999999999993</v>
      </c>
      <c r="AQ84">
        <f t="shared" si="188"/>
        <v>310.82</v>
      </c>
      <c r="AR84">
        <f t="shared" si="188"/>
        <v>315.23</v>
      </c>
      <c r="AS84">
        <f t="shared" si="188"/>
        <v>291.33999999999992</v>
      </c>
      <c r="AT84" t="e">
        <f t="shared" si="188"/>
        <v>#N/A</v>
      </c>
      <c r="AU84" t="e">
        <f t="shared" si="188"/>
        <v>#N/A</v>
      </c>
      <c r="AV84" t="e">
        <f t="shared" si="188"/>
        <v>#N/A</v>
      </c>
      <c r="AW84" t="e">
        <f t="shared" si="188"/>
        <v>#N/A</v>
      </c>
      <c r="AX84" t="e">
        <f t="shared" si="188"/>
        <v>#N/A</v>
      </c>
      <c r="AY84" t="e">
        <f t="shared" si="188"/>
        <v>#N/A</v>
      </c>
      <c r="AZ84" t="e">
        <f t="shared" si="188"/>
        <v>#N/A</v>
      </c>
      <c r="BA84" t="e">
        <f t="shared" si="188"/>
        <v>#N/A</v>
      </c>
      <c r="BB84" t="e">
        <f t="shared" si="188"/>
        <v>#N/A</v>
      </c>
      <c r="BC84" t="e">
        <f t="shared" si="188"/>
        <v>#N/A</v>
      </c>
      <c r="BD84" t="e">
        <f t="shared" si="188"/>
        <v>#N/A</v>
      </c>
      <c r="BE84" t="e">
        <f t="shared" si="188"/>
        <v>#N/A</v>
      </c>
      <c r="BF84" t="e">
        <f t="shared" si="188"/>
        <v>#N/A</v>
      </c>
      <c r="BG84" t="e">
        <f t="shared" si="188"/>
        <v>#N/A</v>
      </c>
      <c r="BH84" t="e">
        <f t="shared" si="188"/>
        <v>#N/A</v>
      </c>
      <c r="BI84" t="e">
        <f t="shared" si="188"/>
        <v>#N/A</v>
      </c>
      <c r="BJ84" t="e">
        <f t="shared" si="188"/>
        <v>#N/A</v>
      </c>
      <c r="BK84" t="e">
        <f t="shared" si="188"/>
        <v>#N/A</v>
      </c>
      <c r="BL84" t="e">
        <f t="shared" si="188"/>
        <v>#N/A</v>
      </c>
      <c r="BM84" t="e">
        <f t="shared" si="188"/>
        <v>#N/A</v>
      </c>
      <c r="BN84" t="e">
        <f t="shared" si="188"/>
        <v>#N/A</v>
      </c>
      <c r="BO84" t="e">
        <f t="shared" si="188"/>
        <v>#N/A</v>
      </c>
      <c r="BP84" t="e">
        <f t="shared" si="188"/>
        <v>#N/A</v>
      </c>
      <c r="BQ84" t="e">
        <f t="shared" si="188"/>
        <v>#N/A</v>
      </c>
      <c r="BR84" t="e">
        <f t="shared" si="188"/>
        <v>#N/A</v>
      </c>
      <c r="BS84" t="e">
        <f t="shared" si="188"/>
        <v>#N/A</v>
      </c>
      <c r="BT84" t="e">
        <f t="shared" si="188"/>
        <v>#N/A</v>
      </c>
      <c r="BU84" t="e">
        <f t="shared" si="188"/>
        <v>#N/A</v>
      </c>
      <c r="BV84" t="e">
        <f t="shared" ref="BV84:EG84" si="189">SUM(BV70:BV76)</f>
        <v>#N/A</v>
      </c>
      <c r="BW84" t="e">
        <f t="shared" si="189"/>
        <v>#N/A</v>
      </c>
      <c r="BX84" t="e">
        <f t="shared" si="189"/>
        <v>#N/A</v>
      </c>
      <c r="BY84" t="e">
        <f t="shared" si="189"/>
        <v>#N/A</v>
      </c>
      <c r="BZ84" t="e">
        <f t="shared" si="189"/>
        <v>#N/A</v>
      </c>
      <c r="CA84" t="e">
        <f t="shared" si="189"/>
        <v>#N/A</v>
      </c>
      <c r="CB84" t="e">
        <f t="shared" si="189"/>
        <v>#N/A</v>
      </c>
      <c r="CC84" t="e">
        <f t="shared" si="189"/>
        <v>#N/A</v>
      </c>
      <c r="CD84" t="e">
        <f t="shared" si="189"/>
        <v>#N/A</v>
      </c>
      <c r="CE84" t="e">
        <f t="shared" si="189"/>
        <v>#N/A</v>
      </c>
      <c r="CF84" t="e">
        <f t="shared" si="189"/>
        <v>#N/A</v>
      </c>
      <c r="CG84" t="e">
        <f t="shared" si="189"/>
        <v>#N/A</v>
      </c>
      <c r="CH84" t="e">
        <f t="shared" si="189"/>
        <v>#N/A</v>
      </c>
      <c r="CI84" t="e">
        <f t="shared" si="189"/>
        <v>#N/A</v>
      </c>
      <c r="CJ84" t="e">
        <f t="shared" si="189"/>
        <v>#N/A</v>
      </c>
      <c r="CK84" t="e">
        <f t="shared" si="189"/>
        <v>#N/A</v>
      </c>
      <c r="CL84" t="e">
        <f t="shared" si="189"/>
        <v>#N/A</v>
      </c>
      <c r="CM84" t="e">
        <f t="shared" si="189"/>
        <v>#N/A</v>
      </c>
      <c r="CN84" t="e">
        <f t="shared" si="189"/>
        <v>#N/A</v>
      </c>
      <c r="CO84" t="e">
        <f t="shared" si="189"/>
        <v>#N/A</v>
      </c>
      <c r="CP84" t="e">
        <f t="shared" si="189"/>
        <v>#N/A</v>
      </c>
      <c r="CQ84" t="e">
        <f t="shared" si="189"/>
        <v>#N/A</v>
      </c>
      <c r="CR84" t="e">
        <f t="shared" si="189"/>
        <v>#N/A</v>
      </c>
      <c r="CS84" t="e">
        <f t="shared" si="189"/>
        <v>#N/A</v>
      </c>
      <c r="CT84" t="e">
        <f t="shared" si="189"/>
        <v>#N/A</v>
      </c>
      <c r="CU84" t="e">
        <f t="shared" si="189"/>
        <v>#N/A</v>
      </c>
      <c r="CV84" t="e">
        <f t="shared" si="189"/>
        <v>#N/A</v>
      </c>
      <c r="CW84" t="e">
        <f t="shared" si="189"/>
        <v>#N/A</v>
      </c>
      <c r="CX84" t="e">
        <f t="shared" si="189"/>
        <v>#N/A</v>
      </c>
      <c r="CY84" t="e">
        <f t="shared" si="189"/>
        <v>#N/A</v>
      </c>
      <c r="CZ84" t="e">
        <f t="shared" si="189"/>
        <v>#N/A</v>
      </c>
      <c r="DA84" t="e">
        <f t="shared" si="189"/>
        <v>#N/A</v>
      </c>
      <c r="DB84" t="e">
        <f t="shared" si="189"/>
        <v>#N/A</v>
      </c>
      <c r="DC84" t="e">
        <f t="shared" si="189"/>
        <v>#N/A</v>
      </c>
      <c r="DD84" t="e">
        <f t="shared" si="189"/>
        <v>#N/A</v>
      </c>
      <c r="DE84" t="e">
        <f t="shared" si="189"/>
        <v>#N/A</v>
      </c>
      <c r="DF84" t="e">
        <f t="shared" si="189"/>
        <v>#N/A</v>
      </c>
      <c r="DG84" t="e">
        <f t="shared" si="189"/>
        <v>#N/A</v>
      </c>
      <c r="DH84" t="e">
        <f t="shared" si="189"/>
        <v>#N/A</v>
      </c>
      <c r="DI84" t="e">
        <f t="shared" si="189"/>
        <v>#N/A</v>
      </c>
      <c r="DJ84" t="e">
        <f t="shared" si="189"/>
        <v>#N/A</v>
      </c>
      <c r="DK84" t="e">
        <f t="shared" si="189"/>
        <v>#N/A</v>
      </c>
      <c r="DL84" t="e">
        <f t="shared" si="189"/>
        <v>#N/A</v>
      </c>
      <c r="DM84" t="e">
        <f t="shared" si="189"/>
        <v>#N/A</v>
      </c>
      <c r="DN84" t="e">
        <f t="shared" si="189"/>
        <v>#N/A</v>
      </c>
      <c r="DO84" t="e">
        <f t="shared" si="189"/>
        <v>#N/A</v>
      </c>
      <c r="DP84" t="e">
        <f t="shared" si="189"/>
        <v>#N/A</v>
      </c>
      <c r="DQ84" t="e">
        <f t="shared" si="189"/>
        <v>#N/A</v>
      </c>
      <c r="DR84" t="e">
        <f t="shared" si="189"/>
        <v>#N/A</v>
      </c>
      <c r="DS84" t="e">
        <f t="shared" si="189"/>
        <v>#N/A</v>
      </c>
      <c r="DT84" t="e">
        <f t="shared" si="189"/>
        <v>#N/A</v>
      </c>
      <c r="DU84" t="e">
        <f t="shared" si="189"/>
        <v>#N/A</v>
      </c>
      <c r="DV84" t="e">
        <f t="shared" si="189"/>
        <v>#N/A</v>
      </c>
      <c r="DW84" t="e">
        <f t="shared" si="189"/>
        <v>#N/A</v>
      </c>
      <c r="DX84" t="e">
        <f t="shared" si="189"/>
        <v>#N/A</v>
      </c>
      <c r="DY84" t="e">
        <f t="shared" si="189"/>
        <v>#N/A</v>
      </c>
      <c r="DZ84" t="e">
        <f t="shared" si="189"/>
        <v>#N/A</v>
      </c>
      <c r="EA84" t="e">
        <f t="shared" si="189"/>
        <v>#N/A</v>
      </c>
      <c r="EB84" t="e">
        <f t="shared" si="189"/>
        <v>#N/A</v>
      </c>
      <c r="EC84" t="e">
        <f t="shared" si="189"/>
        <v>#N/A</v>
      </c>
      <c r="ED84" t="e">
        <f t="shared" si="189"/>
        <v>#N/A</v>
      </c>
      <c r="EE84" t="e">
        <f t="shared" si="189"/>
        <v>#N/A</v>
      </c>
      <c r="EF84" t="e">
        <f t="shared" si="189"/>
        <v>#N/A</v>
      </c>
      <c r="EG84" t="e">
        <f t="shared" si="189"/>
        <v>#N/A</v>
      </c>
      <c r="EH84" t="e">
        <f t="shared" ref="EH84:GA84" si="190">SUM(EH70:EH76)</f>
        <v>#N/A</v>
      </c>
      <c r="EI84" t="e">
        <f t="shared" si="190"/>
        <v>#N/A</v>
      </c>
      <c r="EJ84" t="e">
        <f t="shared" si="190"/>
        <v>#N/A</v>
      </c>
      <c r="EK84" t="e">
        <f t="shared" si="190"/>
        <v>#N/A</v>
      </c>
      <c r="EL84" t="e">
        <f t="shared" si="190"/>
        <v>#N/A</v>
      </c>
      <c r="EM84" t="e">
        <f t="shared" si="190"/>
        <v>#N/A</v>
      </c>
      <c r="EN84" t="e">
        <f t="shared" si="190"/>
        <v>#N/A</v>
      </c>
      <c r="EO84" t="e">
        <f t="shared" si="190"/>
        <v>#N/A</v>
      </c>
      <c r="EP84" t="e">
        <f t="shared" si="190"/>
        <v>#N/A</v>
      </c>
      <c r="EQ84" t="e">
        <f t="shared" si="190"/>
        <v>#N/A</v>
      </c>
      <c r="ER84" t="e">
        <f t="shared" si="190"/>
        <v>#N/A</v>
      </c>
      <c r="ES84" t="e">
        <f t="shared" si="190"/>
        <v>#N/A</v>
      </c>
      <c r="ET84" t="e">
        <f t="shared" si="190"/>
        <v>#N/A</v>
      </c>
      <c r="EU84" t="e">
        <f t="shared" si="190"/>
        <v>#N/A</v>
      </c>
      <c r="EV84" t="e">
        <f t="shared" si="190"/>
        <v>#N/A</v>
      </c>
      <c r="EW84" t="e">
        <f t="shared" si="190"/>
        <v>#N/A</v>
      </c>
      <c r="EX84" t="e">
        <f t="shared" si="190"/>
        <v>#N/A</v>
      </c>
      <c r="EY84" t="e">
        <f t="shared" si="190"/>
        <v>#N/A</v>
      </c>
      <c r="EZ84" t="e">
        <f t="shared" si="190"/>
        <v>#N/A</v>
      </c>
      <c r="FA84" t="e">
        <f t="shared" si="190"/>
        <v>#N/A</v>
      </c>
      <c r="FB84" t="e">
        <f t="shared" si="190"/>
        <v>#N/A</v>
      </c>
      <c r="FC84" t="e">
        <f t="shared" si="190"/>
        <v>#N/A</v>
      </c>
      <c r="FD84" t="e">
        <f t="shared" si="190"/>
        <v>#N/A</v>
      </c>
      <c r="FE84" t="e">
        <f t="shared" si="190"/>
        <v>#N/A</v>
      </c>
      <c r="FF84" t="e">
        <f t="shared" si="190"/>
        <v>#N/A</v>
      </c>
      <c r="FG84" t="e">
        <f t="shared" si="190"/>
        <v>#N/A</v>
      </c>
      <c r="FH84" t="e">
        <f t="shared" si="190"/>
        <v>#N/A</v>
      </c>
      <c r="FI84" t="e">
        <f t="shared" si="190"/>
        <v>#N/A</v>
      </c>
      <c r="FJ84" t="e">
        <f t="shared" si="190"/>
        <v>#N/A</v>
      </c>
      <c r="FK84" t="e">
        <f t="shared" si="190"/>
        <v>#N/A</v>
      </c>
      <c r="FL84" t="e">
        <f t="shared" si="190"/>
        <v>#N/A</v>
      </c>
      <c r="FM84" t="e">
        <f t="shared" si="190"/>
        <v>#N/A</v>
      </c>
      <c r="FN84" t="e">
        <f t="shared" si="190"/>
        <v>#N/A</v>
      </c>
      <c r="FO84" t="e">
        <f t="shared" si="190"/>
        <v>#N/A</v>
      </c>
      <c r="FP84" t="e">
        <f t="shared" si="190"/>
        <v>#N/A</v>
      </c>
      <c r="FQ84" t="e">
        <f t="shared" si="190"/>
        <v>#N/A</v>
      </c>
      <c r="FR84" t="e">
        <f t="shared" si="190"/>
        <v>#N/A</v>
      </c>
      <c r="FS84" t="e">
        <f t="shared" si="190"/>
        <v>#N/A</v>
      </c>
      <c r="FT84" t="e">
        <f t="shared" si="190"/>
        <v>#N/A</v>
      </c>
      <c r="FU84" t="e">
        <f t="shared" si="190"/>
        <v>#N/A</v>
      </c>
      <c r="FV84" t="e">
        <f t="shared" si="190"/>
        <v>#N/A</v>
      </c>
      <c r="FW84" t="e">
        <f t="shared" si="190"/>
        <v>#N/A</v>
      </c>
      <c r="FX84" t="e">
        <f t="shared" si="190"/>
        <v>#N/A</v>
      </c>
      <c r="FY84" t="e">
        <f t="shared" si="190"/>
        <v>#N/A</v>
      </c>
      <c r="FZ84" t="e">
        <f t="shared" si="190"/>
        <v>#N/A</v>
      </c>
      <c r="GA84" t="e">
        <f t="shared" si="190"/>
        <v>#N/A</v>
      </c>
    </row>
    <row r="85" spans="1:183" x14ac:dyDescent="0.45">
      <c r="C8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CD00-07ED-4293-BFF6-4A24CE43E010}">
  <dimension ref="A1:GA20"/>
  <sheetViews>
    <sheetView zoomScale="80" zoomScaleNormal="80" workbookViewId="0">
      <pane xSplit="7" topLeftCell="I1" activePane="topRight" state="frozen"/>
      <selection pane="topRight" activeCell="I2" sqref="I2:GA6"/>
    </sheetView>
  </sheetViews>
  <sheetFormatPr defaultRowHeight="14.25" x14ac:dyDescent="0.45"/>
  <cols>
    <col min="1" max="1" width="22.86328125" customWidth="1"/>
    <col min="3" max="5" width="12.59765625" customWidth="1"/>
    <col min="6" max="6" width="15.3984375" customWidth="1"/>
    <col min="7" max="183" width="12.59765625" customWidth="1"/>
  </cols>
  <sheetData>
    <row r="1" spans="1:183" x14ac:dyDescent="0.45">
      <c r="A1" t="s">
        <v>54</v>
      </c>
    </row>
    <row r="2" spans="1:183" x14ac:dyDescent="0.45">
      <c r="C2" t="s">
        <v>40</v>
      </c>
      <c r="D2" t="s">
        <v>45</v>
      </c>
      <c r="F2" t="s">
        <v>44</v>
      </c>
      <c r="G2" t="s">
        <v>46</v>
      </c>
      <c r="I2" s="1">
        <f>'Skin-Investments'!I2</f>
        <v>44331</v>
      </c>
      <c r="J2" s="1">
        <f>'Skin-Investments'!J2</f>
        <v>44332</v>
      </c>
      <c r="K2" s="1">
        <f>'Skin-Investments'!K2</f>
        <v>44333</v>
      </c>
      <c r="L2" s="1">
        <f>'Skin-Investments'!L2</f>
        <v>44334</v>
      </c>
      <c r="M2" s="1">
        <f>'Skin-Investments'!M2</f>
        <v>44335</v>
      </c>
      <c r="N2" s="1">
        <f>'Skin-Investments'!N2</f>
        <v>44336</v>
      </c>
      <c r="O2" s="1">
        <f>'Skin-Investments'!O2</f>
        <v>44337</v>
      </c>
      <c r="P2" s="1">
        <f>'Skin-Investments'!P2</f>
        <v>44338</v>
      </c>
      <c r="Q2" s="1">
        <f>'Skin-Investments'!Q2</f>
        <v>44339</v>
      </c>
      <c r="R2" s="1">
        <f>'Skin-Investments'!R2</f>
        <v>44340</v>
      </c>
      <c r="S2" s="1">
        <f>'Skin-Investments'!S2</f>
        <v>44341</v>
      </c>
      <c r="T2" s="1">
        <f>'Skin-Investments'!T2</f>
        <v>44342</v>
      </c>
      <c r="U2" s="1">
        <f>'Skin-Investments'!U2</f>
        <v>44343</v>
      </c>
      <c r="V2" s="1">
        <f>'Skin-Investments'!V2</f>
        <v>44344</v>
      </c>
      <c r="W2" s="1">
        <f>'Skin-Investments'!W2</f>
        <v>44345</v>
      </c>
      <c r="X2" s="1">
        <f>'Skin-Investments'!X2</f>
        <v>44346</v>
      </c>
      <c r="Y2" s="1">
        <f>'Skin-Investments'!Y2</f>
        <v>44347</v>
      </c>
      <c r="Z2" s="1">
        <f>'Skin-Investments'!Z2</f>
        <v>44348</v>
      </c>
      <c r="AA2" s="1">
        <f>'Skin-Investments'!AA2</f>
        <v>44349</v>
      </c>
      <c r="AB2" s="1">
        <f>'Skin-Investments'!AB2</f>
        <v>44350</v>
      </c>
      <c r="AC2" s="1">
        <f>'Skin-Investments'!AC2</f>
        <v>44351</v>
      </c>
      <c r="AD2" s="1">
        <f>'Skin-Investments'!AD2</f>
        <v>44352</v>
      </c>
      <c r="AE2" s="1">
        <f>'Skin-Investments'!AE2</f>
        <v>44353</v>
      </c>
      <c r="AF2" s="1">
        <f>'Skin-Investments'!AF2</f>
        <v>44354</v>
      </c>
      <c r="AG2" s="1">
        <f>'Skin-Investments'!AG2</f>
        <v>44355</v>
      </c>
      <c r="AH2" s="1">
        <f>'Skin-Investments'!AH2</f>
        <v>44356</v>
      </c>
      <c r="AI2" s="1">
        <f>'Skin-Investments'!AI2</f>
        <v>44357</v>
      </c>
      <c r="AJ2" s="1">
        <f>'Skin-Investments'!AJ2</f>
        <v>44358</v>
      </c>
      <c r="AK2" s="1">
        <f>'Skin-Investments'!AK2</f>
        <v>44359</v>
      </c>
      <c r="AL2" s="1">
        <f>'Skin-Investments'!AL2</f>
        <v>44360</v>
      </c>
      <c r="AM2" s="1">
        <f>'Skin-Investments'!AM2</f>
        <v>44361</v>
      </c>
      <c r="AN2" s="1">
        <f>'Skin-Investments'!AN2</f>
        <v>44362</v>
      </c>
      <c r="AO2" s="1">
        <f>'Skin-Investments'!AO2</f>
        <v>44363</v>
      </c>
      <c r="AP2" s="1">
        <f>'Skin-Investments'!AP2</f>
        <v>44364</v>
      </c>
      <c r="AQ2" s="1">
        <f>'Skin-Investments'!AQ2</f>
        <v>44365</v>
      </c>
      <c r="AR2" s="1">
        <f>'Skin-Investments'!AR2</f>
        <v>44366</v>
      </c>
      <c r="AS2" s="1">
        <f>'Skin-Investments'!AS2</f>
        <v>44367</v>
      </c>
      <c r="AT2" s="1">
        <f>'Skin-Investments'!AT2</f>
        <v>44368</v>
      </c>
      <c r="AU2" s="1">
        <f>'Skin-Investments'!AU2</f>
        <v>44369</v>
      </c>
      <c r="AV2" s="1">
        <f>'Skin-Investments'!AV2</f>
        <v>44370</v>
      </c>
      <c r="AW2" s="1">
        <f>'Skin-Investments'!AW2</f>
        <v>44371</v>
      </c>
      <c r="AX2" s="1">
        <f>'Skin-Investments'!AX2</f>
        <v>44372</v>
      </c>
      <c r="AY2" s="1">
        <f>'Skin-Investments'!AY2</f>
        <v>44373</v>
      </c>
      <c r="AZ2" s="1">
        <f>'Skin-Investments'!AZ2</f>
        <v>44374</v>
      </c>
      <c r="BA2" s="1">
        <f>'Skin-Investments'!BA2</f>
        <v>44375</v>
      </c>
      <c r="BB2" s="1">
        <f>'Skin-Investments'!BB2</f>
        <v>44376</v>
      </c>
      <c r="BC2" s="1">
        <f>'Skin-Investments'!BC2</f>
        <v>44377</v>
      </c>
      <c r="BD2" s="1">
        <f>'Skin-Investments'!BD2</f>
        <v>44378</v>
      </c>
      <c r="BE2" s="1">
        <f>'Skin-Investments'!BE2</f>
        <v>44379</v>
      </c>
      <c r="BF2" s="1">
        <f>'Skin-Investments'!BF2</f>
        <v>44380</v>
      </c>
      <c r="BG2" s="1">
        <f>'Skin-Investments'!BG2</f>
        <v>44381</v>
      </c>
      <c r="BH2" s="1">
        <f>'Skin-Investments'!BH2</f>
        <v>44382</v>
      </c>
      <c r="BI2" s="1">
        <f>'Skin-Investments'!BI2</f>
        <v>44383</v>
      </c>
      <c r="BJ2" s="1">
        <f>'Skin-Investments'!BJ2</f>
        <v>44384</v>
      </c>
      <c r="BK2" s="1">
        <f>'Skin-Investments'!BK2</f>
        <v>44385</v>
      </c>
      <c r="BL2" s="1">
        <f>'Skin-Investments'!BL2</f>
        <v>44386</v>
      </c>
      <c r="BM2" s="1">
        <f>'Skin-Investments'!BM2</f>
        <v>44387</v>
      </c>
      <c r="BN2" s="1">
        <f>'Skin-Investments'!BN2</f>
        <v>44388</v>
      </c>
      <c r="BO2" s="1">
        <f>'Skin-Investments'!BO2</f>
        <v>44389</v>
      </c>
      <c r="BP2" s="1">
        <f>'Skin-Investments'!BP2</f>
        <v>44390</v>
      </c>
      <c r="BQ2" s="1">
        <f>'Skin-Investments'!BQ2</f>
        <v>44391</v>
      </c>
      <c r="BR2" s="1">
        <f>'Skin-Investments'!BR2</f>
        <v>44392</v>
      </c>
      <c r="BS2" s="1">
        <f>'Skin-Investments'!BS2</f>
        <v>44393</v>
      </c>
      <c r="BT2" s="1">
        <f>'Skin-Investments'!BT2</f>
        <v>44394</v>
      </c>
      <c r="BU2" s="1">
        <f>'Skin-Investments'!BU2</f>
        <v>44395</v>
      </c>
      <c r="BV2" s="1">
        <f>'Skin-Investments'!BV2</f>
        <v>44396</v>
      </c>
      <c r="BW2" s="1">
        <f>'Skin-Investments'!BW2</f>
        <v>44397</v>
      </c>
      <c r="BX2" s="1">
        <f>'Skin-Investments'!BX2</f>
        <v>44398</v>
      </c>
      <c r="BY2" s="1">
        <f>'Skin-Investments'!BY2</f>
        <v>44399</v>
      </c>
      <c r="BZ2" s="1">
        <f>'Skin-Investments'!BZ2</f>
        <v>44400</v>
      </c>
      <c r="CA2" s="1">
        <f>'Skin-Investments'!CA2</f>
        <v>44401</v>
      </c>
      <c r="CB2" s="1">
        <f>'Skin-Investments'!CB2</f>
        <v>44402</v>
      </c>
      <c r="CC2" s="1">
        <f>'Skin-Investments'!CC2</f>
        <v>44403</v>
      </c>
      <c r="CD2" s="1">
        <f>'Skin-Investments'!CD2</f>
        <v>44404</v>
      </c>
      <c r="CE2" s="1">
        <f>'Skin-Investments'!CE2</f>
        <v>44405</v>
      </c>
      <c r="CF2" s="1">
        <f>'Skin-Investments'!CF2</f>
        <v>44406</v>
      </c>
      <c r="CG2" s="1">
        <f>'Skin-Investments'!CG2</f>
        <v>44407</v>
      </c>
      <c r="CH2" s="1">
        <f>'Skin-Investments'!CH2</f>
        <v>44408</v>
      </c>
      <c r="CI2" s="1">
        <f>'Skin-Investments'!CI2</f>
        <v>44409</v>
      </c>
      <c r="CJ2" s="1">
        <f>'Skin-Investments'!CJ2</f>
        <v>44410</v>
      </c>
      <c r="CK2" s="1">
        <f>'Skin-Investments'!CK2</f>
        <v>44411</v>
      </c>
      <c r="CL2" s="1">
        <f>'Skin-Investments'!CL2</f>
        <v>44412</v>
      </c>
      <c r="CM2" s="1">
        <f>'Skin-Investments'!CM2</f>
        <v>44413</v>
      </c>
      <c r="CN2" s="1">
        <f>'Skin-Investments'!CN2</f>
        <v>44414</v>
      </c>
      <c r="CO2" s="1">
        <f>'Skin-Investments'!CO2</f>
        <v>44415</v>
      </c>
      <c r="CP2" s="1">
        <f>'Skin-Investments'!CP2</f>
        <v>44416</v>
      </c>
      <c r="CQ2" s="1">
        <f>'Skin-Investments'!CQ2</f>
        <v>44417</v>
      </c>
      <c r="CR2" s="1">
        <f>'Skin-Investments'!CR2</f>
        <v>44418</v>
      </c>
      <c r="CS2" s="1">
        <f>'Skin-Investments'!CS2</f>
        <v>44419</v>
      </c>
      <c r="CT2" s="1">
        <f>'Skin-Investments'!CT2</f>
        <v>44420</v>
      </c>
      <c r="CU2" s="1">
        <f>'Skin-Investments'!CU2</f>
        <v>44421</v>
      </c>
      <c r="CV2" s="1">
        <f>'Skin-Investments'!CV2</f>
        <v>44422</v>
      </c>
      <c r="CW2" s="1">
        <f>'Skin-Investments'!CW2</f>
        <v>44423</v>
      </c>
      <c r="CX2" s="1">
        <f>'Skin-Investments'!CX2</f>
        <v>44424</v>
      </c>
      <c r="CY2" s="1">
        <f>'Skin-Investments'!CY2</f>
        <v>44425</v>
      </c>
      <c r="CZ2" s="1">
        <f>'Skin-Investments'!CZ2</f>
        <v>44426</v>
      </c>
      <c r="DA2" s="1">
        <f>'Skin-Investments'!DA2</f>
        <v>44427</v>
      </c>
      <c r="DB2" s="1">
        <f>'Skin-Investments'!DB2</f>
        <v>44428</v>
      </c>
      <c r="DC2" s="1">
        <f>'Skin-Investments'!DC2</f>
        <v>44429</v>
      </c>
      <c r="DD2" s="1">
        <f>'Skin-Investments'!DD2</f>
        <v>44430</v>
      </c>
      <c r="DE2" s="1">
        <f>'Skin-Investments'!DE2</f>
        <v>44431</v>
      </c>
      <c r="DF2" s="1">
        <f>'Skin-Investments'!DF2</f>
        <v>44432</v>
      </c>
      <c r="DG2" s="1">
        <f>'Skin-Investments'!DG2</f>
        <v>44433</v>
      </c>
      <c r="DH2" s="1">
        <f>'Skin-Investments'!DH2</f>
        <v>44434</v>
      </c>
      <c r="DI2" s="1">
        <f>'Skin-Investments'!DI2</f>
        <v>44435</v>
      </c>
      <c r="DJ2" s="1">
        <f>'Skin-Investments'!DJ2</f>
        <v>44436</v>
      </c>
      <c r="DK2" s="1">
        <f>'Skin-Investments'!DK2</f>
        <v>44437</v>
      </c>
      <c r="DL2" s="1">
        <f>'Skin-Investments'!DL2</f>
        <v>44438</v>
      </c>
      <c r="DM2" s="1">
        <f>'Skin-Investments'!DM2</f>
        <v>44439</v>
      </c>
      <c r="DN2" s="1">
        <f>'Skin-Investments'!DN2</f>
        <v>44440</v>
      </c>
      <c r="DO2" s="1">
        <f>'Skin-Investments'!DO2</f>
        <v>44441</v>
      </c>
      <c r="DP2" s="1">
        <f>'Skin-Investments'!DP2</f>
        <v>44442</v>
      </c>
      <c r="DQ2" s="1">
        <f>'Skin-Investments'!DQ2</f>
        <v>44443</v>
      </c>
      <c r="DR2" s="1">
        <f>'Skin-Investments'!DR2</f>
        <v>44444</v>
      </c>
      <c r="DS2" s="1">
        <f>'Skin-Investments'!DS2</f>
        <v>44445</v>
      </c>
      <c r="DT2" s="1">
        <f>'Skin-Investments'!DT2</f>
        <v>44446</v>
      </c>
      <c r="DU2" s="1">
        <f>'Skin-Investments'!DU2</f>
        <v>44447</v>
      </c>
      <c r="DV2" s="1">
        <f>'Skin-Investments'!DV2</f>
        <v>44448</v>
      </c>
      <c r="DW2" s="1">
        <f>'Skin-Investments'!DW2</f>
        <v>44449</v>
      </c>
      <c r="DX2" s="1">
        <f>'Skin-Investments'!DX2</f>
        <v>44450</v>
      </c>
      <c r="DY2" s="1">
        <f>'Skin-Investments'!DY2</f>
        <v>44451</v>
      </c>
      <c r="DZ2" s="1">
        <f>'Skin-Investments'!DZ2</f>
        <v>44452</v>
      </c>
      <c r="EA2" s="1">
        <f>'Skin-Investments'!EA2</f>
        <v>44453</v>
      </c>
      <c r="EB2" s="1">
        <f>'Skin-Investments'!EB2</f>
        <v>44454</v>
      </c>
      <c r="EC2" s="1">
        <f>'Skin-Investments'!EC2</f>
        <v>44455</v>
      </c>
      <c r="ED2" s="1">
        <f>'Skin-Investments'!ED2</f>
        <v>44456</v>
      </c>
      <c r="EE2" s="1">
        <f>'Skin-Investments'!EE2</f>
        <v>44457</v>
      </c>
      <c r="EF2" s="1">
        <f>'Skin-Investments'!EF2</f>
        <v>44458</v>
      </c>
      <c r="EG2" s="1">
        <f>'Skin-Investments'!EG2</f>
        <v>44459</v>
      </c>
      <c r="EH2" s="1">
        <f>'Skin-Investments'!EH2</f>
        <v>44460</v>
      </c>
      <c r="EI2" s="1">
        <f>'Skin-Investments'!EI2</f>
        <v>44461</v>
      </c>
      <c r="EJ2" s="1">
        <f>'Skin-Investments'!EJ2</f>
        <v>44462</v>
      </c>
      <c r="EK2" s="1">
        <f>'Skin-Investments'!EK2</f>
        <v>44463</v>
      </c>
      <c r="EL2" s="1">
        <f>'Skin-Investments'!EL2</f>
        <v>44464</v>
      </c>
      <c r="EM2" s="1">
        <f>'Skin-Investments'!EM2</f>
        <v>44465</v>
      </c>
      <c r="EN2" s="1">
        <f>'Skin-Investments'!EN2</f>
        <v>44466</v>
      </c>
      <c r="EO2" s="1">
        <f>'Skin-Investments'!EO2</f>
        <v>44467</v>
      </c>
      <c r="EP2" s="1">
        <f>'Skin-Investments'!EP2</f>
        <v>44468</v>
      </c>
      <c r="EQ2" s="1">
        <f>'Skin-Investments'!EQ2</f>
        <v>44469</v>
      </c>
      <c r="ER2" s="1">
        <f>'Skin-Investments'!ER2</f>
        <v>44470</v>
      </c>
      <c r="ES2" s="1">
        <f>'Skin-Investments'!ES2</f>
        <v>44471</v>
      </c>
      <c r="ET2" s="1">
        <f>'Skin-Investments'!ET2</f>
        <v>44472</v>
      </c>
      <c r="EU2" s="1">
        <f>'Skin-Investments'!EU2</f>
        <v>44473</v>
      </c>
      <c r="EV2" s="1">
        <f>'Skin-Investments'!EV2</f>
        <v>44474</v>
      </c>
      <c r="EW2" s="1">
        <f>'Skin-Investments'!EW2</f>
        <v>44475</v>
      </c>
      <c r="EX2" s="1">
        <f>'Skin-Investments'!EX2</f>
        <v>44476</v>
      </c>
      <c r="EY2" s="1">
        <f>'Skin-Investments'!EY2</f>
        <v>44477</v>
      </c>
      <c r="EZ2" s="1">
        <f>'Skin-Investments'!EZ2</f>
        <v>44478</v>
      </c>
      <c r="FA2" s="1">
        <f>'Skin-Investments'!FA2</f>
        <v>44479</v>
      </c>
      <c r="FB2" s="1">
        <f>'Skin-Investments'!FB2</f>
        <v>44480</v>
      </c>
      <c r="FC2" s="1">
        <f>'Skin-Investments'!FC2</f>
        <v>44481</v>
      </c>
      <c r="FD2" s="1">
        <f>'Skin-Investments'!FD2</f>
        <v>44482</v>
      </c>
      <c r="FE2" s="1">
        <f>'Skin-Investments'!FE2</f>
        <v>44483</v>
      </c>
      <c r="FF2" s="1">
        <f>'Skin-Investments'!FF2</f>
        <v>44484</v>
      </c>
      <c r="FG2" s="1">
        <f>'Skin-Investments'!FG2</f>
        <v>44485</v>
      </c>
      <c r="FH2" s="1">
        <f>'Skin-Investments'!FH2</f>
        <v>44486</v>
      </c>
      <c r="FI2" s="1">
        <f>'Skin-Investments'!FI2</f>
        <v>44487</v>
      </c>
      <c r="FJ2" s="1">
        <f>'Skin-Investments'!FJ2</f>
        <v>44488</v>
      </c>
      <c r="FK2" s="1">
        <f>'Skin-Investments'!FK2</f>
        <v>44489</v>
      </c>
      <c r="FL2" s="1">
        <f>'Skin-Investments'!FL2</f>
        <v>44490</v>
      </c>
      <c r="FM2" s="1">
        <f>'Skin-Investments'!FM2</f>
        <v>44491</v>
      </c>
      <c r="FN2" s="1">
        <f>'Skin-Investments'!FN2</f>
        <v>44492</v>
      </c>
      <c r="FO2" s="1">
        <f>'Skin-Investments'!FO2</f>
        <v>44493</v>
      </c>
      <c r="FP2" s="1">
        <f>'Skin-Investments'!FP2</f>
        <v>44494</v>
      </c>
      <c r="FQ2" s="1">
        <f>'Skin-Investments'!FQ2</f>
        <v>44495</v>
      </c>
      <c r="FR2" s="1">
        <f>'Skin-Investments'!FR2</f>
        <v>44496</v>
      </c>
      <c r="FS2" s="1">
        <f>'Skin-Investments'!FS2</f>
        <v>44497</v>
      </c>
      <c r="FT2" s="1">
        <f>'Skin-Investments'!FT2</f>
        <v>44498</v>
      </c>
      <c r="FU2" s="1">
        <f>'Skin-Investments'!FU2</f>
        <v>44499</v>
      </c>
      <c r="FV2" s="1">
        <f>'Skin-Investments'!FV2</f>
        <v>44500</v>
      </c>
      <c r="FW2" s="1">
        <f>'Skin-Investments'!FW2</f>
        <v>44501</v>
      </c>
      <c r="FX2" s="1">
        <f>'Skin-Investments'!FX2</f>
        <v>44502</v>
      </c>
      <c r="FY2" s="1">
        <f>'Skin-Investments'!FY2</f>
        <v>44503</v>
      </c>
      <c r="FZ2" s="1">
        <f>'Skin-Investments'!FZ2</f>
        <v>44504</v>
      </c>
      <c r="GA2" s="1">
        <f>'Skin-Investments'!GA2</f>
        <v>44505</v>
      </c>
    </row>
    <row r="3" spans="1:183" x14ac:dyDescent="0.45">
      <c r="A3" t="s">
        <v>50</v>
      </c>
      <c r="C3" cm="1">
        <f t="array" ref="C3">LOOKUP(2,1/(I3:GA3&lt;&gt;""),I3:GA3)</f>
        <v>205.44</v>
      </c>
      <c r="D3" cm="1">
        <f t="array" ref="D3">SUMPRODUCT(MAX((I3:GA3&lt;&gt;"")*COLUMN(I3:GA3)))</f>
        <v>45</v>
      </c>
      <c r="F3" s="4">
        <f>(C3-I3)/I3</f>
        <v>4.6721353237886516E-2</v>
      </c>
      <c r="G3" s="3" cm="1">
        <f t="array" ref="G3">(C3-IF(ISNA(INDEX(I3:GA3,D3-22)),INDEX(I3:GA3,D3-23),INDEX(I3:GA3,D3-22)))/IF(ISNA(INDEX(I3:GA3,D3-22)),INDEX(I3:GA3,D3-23),INDEX(I3:GA3,D3-22))</f>
        <v>-7.5841746775517768E-3</v>
      </c>
      <c r="I3">
        <v>196.27</v>
      </c>
      <c r="J3">
        <v>201.82</v>
      </c>
      <c r="L3">
        <v>197</v>
      </c>
      <c r="N3">
        <v>196.88</v>
      </c>
      <c r="O3">
        <v>207.18</v>
      </c>
      <c r="P3">
        <v>209.46</v>
      </c>
      <c r="Q3">
        <v>201.89</v>
      </c>
      <c r="R3">
        <v>202.48</v>
      </c>
      <c r="S3">
        <v>196.23</v>
      </c>
      <c r="T3">
        <v>204.01</v>
      </c>
      <c r="U3">
        <v>206.61</v>
      </c>
      <c r="V3">
        <v>209.15</v>
      </c>
      <c r="W3">
        <v>207.58</v>
      </c>
      <c r="X3">
        <v>207.32</v>
      </c>
      <c r="Y3">
        <v>202.17</v>
      </c>
      <c r="Z3">
        <v>201.3</v>
      </c>
      <c r="AA3">
        <v>201.79</v>
      </c>
      <c r="AB3">
        <v>203.29</v>
      </c>
      <c r="AC3">
        <v>201.2</v>
      </c>
      <c r="AD3">
        <v>207</v>
      </c>
      <c r="AE3">
        <v>207.01</v>
      </c>
      <c r="AF3">
        <v>197.73</v>
      </c>
      <c r="AG3">
        <v>197.35</v>
      </c>
      <c r="AH3">
        <v>177</v>
      </c>
      <c r="AI3">
        <v>187.92</v>
      </c>
      <c r="AJ3">
        <v>200.49</v>
      </c>
      <c r="AK3">
        <v>189.75</v>
      </c>
      <c r="AL3">
        <v>189.75</v>
      </c>
      <c r="AM3">
        <v>194.76</v>
      </c>
      <c r="AO3">
        <v>191.96</v>
      </c>
      <c r="AP3">
        <v>194.37</v>
      </c>
      <c r="AQ3">
        <v>195.23</v>
      </c>
      <c r="AR3">
        <v>207.13</v>
      </c>
      <c r="AS3">
        <v>205.44</v>
      </c>
    </row>
    <row r="4" spans="1:183" x14ac:dyDescent="0.45">
      <c r="A4" t="s">
        <v>51</v>
      </c>
      <c r="C4" cm="1">
        <f t="array" ref="C4">LOOKUP(2,1/(I4:GA4&lt;&gt;""),I4:GA4)</f>
        <v>1495.3</v>
      </c>
      <c r="D4" cm="1">
        <f t="array" ref="D4">SUMPRODUCT(MAX((I4:GA4&lt;&gt;"")*COLUMN(I4:GA4)))</f>
        <v>45</v>
      </c>
      <c r="F4" s="4">
        <f t="shared" ref="F4:F6" si="0">(C4-I4)/I4</f>
        <v>0.24442410119840219</v>
      </c>
      <c r="G4" s="3" cm="1">
        <f t="array" ref="G4">(C4-IF(ISNA(INDEX(I4:GA4,D4-22)),INDEX(I4:GA4,D4-23),INDEX(I4:GA4,D4-22)))/IF(ISNA(INDEX(I4:GA4,D4-22)),INDEX(I4:GA4,D4-23),INDEX(I4:GA4,D4-22))</f>
        <v>7.1530565509065188E-3</v>
      </c>
      <c r="I4">
        <v>1201.5999999999999</v>
      </c>
      <c r="J4">
        <v>1205.46</v>
      </c>
      <c r="L4">
        <v>1261.0999999999999</v>
      </c>
      <c r="N4">
        <v>1261.06</v>
      </c>
      <c r="O4">
        <v>1261.06</v>
      </c>
      <c r="P4">
        <v>1230.57</v>
      </c>
      <c r="Q4">
        <v>1294.3599999999999</v>
      </c>
      <c r="R4">
        <v>1294.3599999999999</v>
      </c>
      <c r="S4">
        <v>1290.31</v>
      </c>
      <c r="T4">
        <v>1427.45</v>
      </c>
      <c r="U4">
        <v>1391</v>
      </c>
      <c r="V4">
        <v>1383.65</v>
      </c>
      <c r="W4">
        <v>1363.98</v>
      </c>
      <c r="X4">
        <v>1354.05</v>
      </c>
      <c r="Y4">
        <v>1341.3</v>
      </c>
      <c r="Z4">
        <v>1341.3</v>
      </c>
      <c r="AA4">
        <v>1354.94</v>
      </c>
      <c r="AB4">
        <v>1364.6</v>
      </c>
      <c r="AC4">
        <v>1349.99</v>
      </c>
      <c r="AD4">
        <v>1413.09</v>
      </c>
      <c r="AE4">
        <v>1484.68</v>
      </c>
      <c r="AF4">
        <v>1478.37</v>
      </c>
      <c r="AG4">
        <v>1473.65</v>
      </c>
      <c r="AH4">
        <v>1480.13</v>
      </c>
      <c r="AI4">
        <v>1494.04</v>
      </c>
      <c r="AJ4">
        <v>1483.36</v>
      </c>
      <c r="AK4">
        <v>1503.05</v>
      </c>
      <c r="AL4">
        <v>1503.05</v>
      </c>
      <c r="AM4">
        <v>1459.48</v>
      </c>
      <c r="AO4">
        <v>1521.42</v>
      </c>
      <c r="AP4">
        <v>1521.38</v>
      </c>
      <c r="AQ4">
        <v>1537.35</v>
      </c>
      <c r="AR4">
        <v>1495.3</v>
      </c>
      <c r="AS4">
        <v>1495.3</v>
      </c>
    </row>
    <row r="5" spans="1:183" x14ac:dyDescent="0.45">
      <c r="A5" t="s">
        <v>52</v>
      </c>
      <c r="C5" cm="1">
        <f t="array" ref="C5">LOOKUP(2,1/(I5:GA5&lt;&gt;""),I5:GA5)</f>
        <v>168.49</v>
      </c>
      <c r="D5" cm="1">
        <f t="array" ref="D5">SUMPRODUCT(MAX((I5:GA5&lt;&gt;"")*COLUMN(I5:GA5)))</f>
        <v>45</v>
      </c>
      <c r="F5" s="4">
        <f t="shared" si="0"/>
        <v>-0.13426163806391941</v>
      </c>
      <c r="G5" s="3" cm="1">
        <f t="array" ref="G5">(C5-IF(ISNA(INDEX(I5:GA5,D5-22)),INDEX(I5:GA5,D5-23),INDEX(I5:GA5,D5-22)))/IF(ISNA(INDEX(I5:GA5,D5-22)),INDEX(I5:GA5,D5-23),INDEX(I5:GA5,D5-22))</f>
        <v>-9.0619602763385099E-2</v>
      </c>
      <c r="I5">
        <v>194.62</v>
      </c>
      <c r="J5">
        <v>191.6</v>
      </c>
      <c r="L5">
        <v>180.11</v>
      </c>
      <c r="N5">
        <v>192.42</v>
      </c>
      <c r="O5">
        <v>192.42</v>
      </c>
      <c r="P5">
        <v>191.29</v>
      </c>
      <c r="Q5">
        <v>183.02</v>
      </c>
      <c r="R5">
        <v>190.84</v>
      </c>
      <c r="S5">
        <v>183.2</v>
      </c>
      <c r="T5">
        <v>188.79</v>
      </c>
      <c r="U5">
        <v>188.98</v>
      </c>
      <c r="V5">
        <v>181.09</v>
      </c>
      <c r="W5">
        <v>190.1</v>
      </c>
      <c r="X5">
        <v>189.75</v>
      </c>
      <c r="Y5">
        <v>180.74</v>
      </c>
      <c r="Z5">
        <v>189.61</v>
      </c>
      <c r="AA5">
        <v>186.36</v>
      </c>
      <c r="AB5">
        <v>180.21</v>
      </c>
      <c r="AC5">
        <v>164.58</v>
      </c>
      <c r="AD5">
        <v>169.76</v>
      </c>
      <c r="AE5">
        <v>185.28</v>
      </c>
      <c r="AF5">
        <v>178.84</v>
      </c>
      <c r="AG5">
        <v>182.71</v>
      </c>
      <c r="AH5">
        <v>183</v>
      </c>
      <c r="AI5">
        <v>180.69</v>
      </c>
      <c r="AJ5">
        <v>181.39</v>
      </c>
      <c r="AK5">
        <v>182.07</v>
      </c>
      <c r="AL5">
        <v>179.68</v>
      </c>
      <c r="AM5">
        <v>177.52</v>
      </c>
      <c r="AO5">
        <v>174.42</v>
      </c>
      <c r="AP5">
        <v>162.15</v>
      </c>
      <c r="AQ5">
        <v>186.19</v>
      </c>
      <c r="AR5">
        <v>171.12</v>
      </c>
      <c r="AS5">
        <v>168.49</v>
      </c>
    </row>
    <row r="6" spans="1:183" x14ac:dyDescent="0.45">
      <c r="A6" t="s">
        <v>53</v>
      </c>
      <c r="C6" cm="1">
        <f t="array" ref="C6">LOOKUP(2,1/(I6:GA6&lt;&gt;""),I6:GA6)</f>
        <v>404.42</v>
      </c>
      <c r="D6" cm="1">
        <f t="array" ref="D6">SUMPRODUCT(MAX((I6:GA6&lt;&gt;"")*COLUMN(I6:GA6)))</f>
        <v>45</v>
      </c>
      <c r="F6" s="4">
        <f t="shared" si="0"/>
        <v>6.2725003284719499E-2</v>
      </c>
      <c r="G6" s="3" cm="1">
        <f t="array" ref="G6">(C6-IF(ISNA(INDEX(I6:GA6,D6-22)),INDEX(I6:GA6,D6-23),INDEX(I6:GA6,D6-22)))/IF(ISNA(INDEX(I6:GA6,D6-22)),INDEX(I6:GA6,D6-23),INDEX(I6:GA6,D6-22))</f>
        <v>-4.7818614178419233E-2</v>
      </c>
      <c r="I6">
        <v>380.55</v>
      </c>
      <c r="J6">
        <v>383.02</v>
      </c>
      <c r="L6">
        <v>361.9</v>
      </c>
      <c r="N6">
        <v>361.97</v>
      </c>
      <c r="O6">
        <v>372.41</v>
      </c>
      <c r="P6">
        <v>365.9</v>
      </c>
      <c r="Q6">
        <v>334.61</v>
      </c>
      <c r="R6">
        <v>355.59</v>
      </c>
      <c r="S6">
        <v>350.79</v>
      </c>
      <c r="T6">
        <v>385.29</v>
      </c>
      <c r="U6">
        <v>391.15</v>
      </c>
      <c r="V6">
        <v>391.41</v>
      </c>
      <c r="W6">
        <v>370.36</v>
      </c>
      <c r="X6">
        <v>386.6</v>
      </c>
      <c r="Y6">
        <v>386.45</v>
      </c>
      <c r="Z6">
        <v>382.76</v>
      </c>
      <c r="AA6">
        <v>397.01</v>
      </c>
      <c r="AB6">
        <v>406.58</v>
      </c>
      <c r="AC6">
        <v>384.98</v>
      </c>
      <c r="AD6">
        <v>385.96</v>
      </c>
      <c r="AE6">
        <v>424.73</v>
      </c>
      <c r="AF6">
        <v>394.27</v>
      </c>
      <c r="AG6">
        <v>404.05</v>
      </c>
      <c r="AH6">
        <v>403.38</v>
      </c>
      <c r="AI6">
        <v>361.27</v>
      </c>
      <c r="AJ6">
        <v>384.52</v>
      </c>
      <c r="AK6">
        <v>374.17</v>
      </c>
      <c r="AL6">
        <v>371.65</v>
      </c>
      <c r="AM6">
        <v>380.71</v>
      </c>
      <c r="AO6">
        <v>391.2</v>
      </c>
      <c r="AP6">
        <v>385.11</v>
      </c>
      <c r="AQ6">
        <v>377.15</v>
      </c>
      <c r="AR6">
        <v>397.84</v>
      </c>
      <c r="AS6">
        <v>404.42</v>
      </c>
    </row>
    <row r="9" spans="1:183" x14ac:dyDescent="0.45">
      <c r="A9" t="s">
        <v>11</v>
      </c>
    </row>
    <row r="10" spans="1:183" x14ac:dyDescent="0.45">
      <c r="C10" t="s">
        <v>40</v>
      </c>
      <c r="D10" t="s">
        <v>45</v>
      </c>
      <c r="F10" t="s">
        <v>44</v>
      </c>
      <c r="G10" t="s">
        <v>46</v>
      </c>
      <c r="I10" s="1">
        <f>I2</f>
        <v>44331</v>
      </c>
      <c r="J10" s="1">
        <f t="shared" ref="J10:BU10" si="1">J2</f>
        <v>44332</v>
      </c>
      <c r="K10" s="1">
        <f t="shared" si="1"/>
        <v>44333</v>
      </c>
      <c r="L10" s="1">
        <f t="shared" si="1"/>
        <v>44334</v>
      </c>
      <c r="M10" s="1">
        <f t="shared" si="1"/>
        <v>44335</v>
      </c>
      <c r="N10" s="1">
        <f t="shared" si="1"/>
        <v>44336</v>
      </c>
      <c r="O10" s="1">
        <f t="shared" si="1"/>
        <v>44337</v>
      </c>
      <c r="P10" s="1">
        <f t="shared" si="1"/>
        <v>44338</v>
      </c>
      <c r="Q10" s="1">
        <f t="shared" si="1"/>
        <v>44339</v>
      </c>
      <c r="R10" s="1">
        <f t="shared" si="1"/>
        <v>44340</v>
      </c>
      <c r="S10" s="1">
        <f t="shared" si="1"/>
        <v>44341</v>
      </c>
      <c r="T10" s="1">
        <f t="shared" si="1"/>
        <v>44342</v>
      </c>
      <c r="U10" s="1">
        <f t="shared" si="1"/>
        <v>44343</v>
      </c>
      <c r="V10" s="1">
        <f t="shared" si="1"/>
        <v>44344</v>
      </c>
      <c r="W10" s="1">
        <f t="shared" si="1"/>
        <v>44345</v>
      </c>
      <c r="X10" s="1">
        <f t="shared" si="1"/>
        <v>44346</v>
      </c>
      <c r="Y10" s="1">
        <f t="shared" si="1"/>
        <v>44347</v>
      </c>
      <c r="Z10" s="1">
        <f t="shared" si="1"/>
        <v>44348</v>
      </c>
      <c r="AA10" s="1">
        <f t="shared" si="1"/>
        <v>44349</v>
      </c>
      <c r="AB10" s="1">
        <f t="shared" si="1"/>
        <v>44350</v>
      </c>
      <c r="AC10" s="1">
        <f t="shared" si="1"/>
        <v>44351</v>
      </c>
      <c r="AD10" s="1">
        <f t="shared" si="1"/>
        <v>44352</v>
      </c>
      <c r="AE10" s="1">
        <f t="shared" si="1"/>
        <v>44353</v>
      </c>
      <c r="AF10" s="1">
        <f t="shared" si="1"/>
        <v>44354</v>
      </c>
      <c r="AG10" s="1">
        <f t="shared" si="1"/>
        <v>44355</v>
      </c>
      <c r="AH10" s="1">
        <f t="shared" si="1"/>
        <v>44356</v>
      </c>
      <c r="AI10" s="1">
        <f t="shared" si="1"/>
        <v>44357</v>
      </c>
      <c r="AJ10" s="1">
        <f t="shared" si="1"/>
        <v>44358</v>
      </c>
      <c r="AK10" s="1">
        <f t="shared" si="1"/>
        <v>44359</v>
      </c>
      <c r="AL10" s="1">
        <f t="shared" si="1"/>
        <v>44360</v>
      </c>
      <c r="AM10" s="1">
        <f t="shared" si="1"/>
        <v>44361</v>
      </c>
      <c r="AN10" s="1">
        <f t="shared" si="1"/>
        <v>44362</v>
      </c>
      <c r="AO10" s="1">
        <f t="shared" si="1"/>
        <v>44363</v>
      </c>
      <c r="AP10" s="1">
        <f t="shared" si="1"/>
        <v>44364</v>
      </c>
      <c r="AQ10" s="1">
        <f t="shared" si="1"/>
        <v>44365</v>
      </c>
      <c r="AR10" s="1">
        <f t="shared" si="1"/>
        <v>44366</v>
      </c>
      <c r="AS10" s="1">
        <f t="shared" si="1"/>
        <v>44367</v>
      </c>
      <c r="AT10" s="1">
        <f t="shared" si="1"/>
        <v>44368</v>
      </c>
      <c r="AU10" s="1">
        <f t="shared" si="1"/>
        <v>44369</v>
      </c>
      <c r="AV10" s="1">
        <f t="shared" si="1"/>
        <v>44370</v>
      </c>
      <c r="AW10" s="1">
        <f t="shared" si="1"/>
        <v>44371</v>
      </c>
      <c r="AX10" s="1">
        <f t="shared" si="1"/>
        <v>44372</v>
      </c>
      <c r="AY10" s="1">
        <f t="shared" si="1"/>
        <v>44373</v>
      </c>
      <c r="AZ10" s="1">
        <f t="shared" si="1"/>
        <v>44374</v>
      </c>
      <c r="BA10" s="1">
        <f t="shared" si="1"/>
        <v>44375</v>
      </c>
      <c r="BB10" s="1">
        <f t="shared" si="1"/>
        <v>44376</v>
      </c>
      <c r="BC10" s="1">
        <f t="shared" si="1"/>
        <v>44377</v>
      </c>
      <c r="BD10" s="1">
        <f t="shared" si="1"/>
        <v>44378</v>
      </c>
      <c r="BE10" s="1">
        <f t="shared" si="1"/>
        <v>44379</v>
      </c>
      <c r="BF10" s="1">
        <f t="shared" si="1"/>
        <v>44380</v>
      </c>
      <c r="BG10" s="1">
        <f t="shared" si="1"/>
        <v>44381</v>
      </c>
      <c r="BH10" s="1">
        <f t="shared" si="1"/>
        <v>44382</v>
      </c>
      <c r="BI10" s="1">
        <f t="shared" si="1"/>
        <v>44383</v>
      </c>
      <c r="BJ10" s="1">
        <f t="shared" si="1"/>
        <v>44384</v>
      </c>
      <c r="BK10" s="1">
        <f t="shared" si="1"/>
        <v>44385</v>
      </c>
      <c r="BL10" s="1">
        <f t="shared" si="1"/>
        <v>44386</v>
      </c>
      <c r="BM10" s="1">
        <f t="shared" si="1"/>
        <v>44387</v>
      </c>
      <c r="BN10" s="1">
        <f t="shared" si="1"/>
        <v>44388</v>
      </c>
      <c r="BO10" s="1">
        <f t="shared" si="1"/>
        <v>44389</v>
      </c>
      <c r="BP10" s="1">
        <f t="shared" si="1"/>
        <v>44390</v>
      </c>
      <c r="BQ10" s="1">
        <f t="shared" si="1"/>
        <v>44391</v>
      </c>
      <c r="BR10" s="1">
        <f t="shared" si="1"/>
        <v>44392</v>
      </c>
      <c r="BS10" s="1">
        <f t="shared" si="1"/>
        <v>44393</v>
      </c>
      <c r="BT10" s="1">
        <f t="shared" si="1"/>
        <v>44394</v>
      </c>
      <c r="BU10" s="1">
        <f t="shared" si="1"/>
        <v>44395</v>
      </c>
      <c r="BV10" s="1">
        <f t="shared" ref="BV10:EG10" si="2">BV2</f>
        <v>44396</v>
      </c>
      <c r="BW10" s="1">
        <f t="shared" si="2"/>
        <v>44397</v>
      </c>
      <c r="BX10" s="1">
        <f t="shared" si="2"/>
        <v>44398</v>
      </c>
      <c r="BY10" s="1">
        <f t="shared" si="2"/>
        <v>44399</v>
      </c>
      <c r="BZ10" s="1">
        <f t="shared" si="2"/>
        <v>44400</v>
      </c>
      <c r="CA10" s="1">
        <f t="shared" si="2"/>
        <v>44401</v>
      </c>
      <c r="CB10" s="1">
        <f t="shared" si="2"/>
        <v>44402</v>
      </c>
      <c r="CC10" s="1">
        <f t="shared" si="2"/>
        <v>44403</v>
      </c>
      <c r="CD10" s="1">
        <f t="shared" si="2"/>
        <v>44404</v>
      </c>
      <c r="CE10" s="1">
        <f t="shared" si="2"/>
        <v>44405</v>
      </c>
      <c r="CF10" s="1">
        <f t="shared" si="2"/>
        <v>44406</v>
      </c>
      <c r="CG10" s="1">
        <f t="shared" si="2"/>
        <v>44407</v>
      </c>
      <c r="CH10" s="1">
        <f t="shared" si="2"/>
        <v>44408</v>
      </c>
      <c r="CI10" s="1">
        <f t="shared" si="2"/>
        <v>44409</v>
      </c>
      <c r="CJ10" s="1">
        <f t="shared" si="2"/>
        <v>44410</v>
      </c>
      <c r="CK10" s="1">
        <f t="shared" si="2"/>
        <v>44411</v>
      </c>
      <c r="CL10" s="1">
        <f t="shared" si="2"/>
        <v>44412</v>
      </c>
      <c r="CM10" s="1">
        <f t="shared" si="2"/>
        <v>44413</v>
      </c>
      <c r="CN10" s="1">
        <f t="shared" si="2"/>
        <v>44414</v>
      </c>
      <c r="CO10" s="1">
        <f t="shared" si="2"/>
        <v>44415</v>
      </c>
      <c r="CP10" s="1">
        <f t="shared" si="2"/>
        <v>44416</v>
      </c>
      <c r="CQ10" s="1">
        <f t="shared" si="2"/>
        <v>44417</v>
      </c>
      <c r="CR10" s="1">
        <f t="shared" si="2"/>
        <v>44418</v>
      </c>
      <c r="CS10" s="1">
        <f t="shared" si="2"/>
        <v>44419</v>
      </c>
      <c r="CT10" s="1">
        <f t="shared" si="2"/>
        <v>44420</v>
      </c>
      <c r="CU10" s="1">
        <f t="shared" si="2"/>
        <v>44421</v>
      </c>
      <c r="CV10" s="1">
        <f t="shared" si="2"/>
        <v>44422</v>
      </c>
      <c r="CW10" s="1">
        <f t="shared" si="2"/>
        <v>44423</v>
      </c>
      <c r="CX10" s="1">
        <f t="shared" si="2"/>
        <v>44424</v>
      </c>
      <c r="CY10" s="1">
        <f t="shared" si="2"/>
        <v>44425</v>
      </c>
      <c r="CZ10" s="1">
        <f t="shared" si="2"/>
        <v>44426</v>
      </c>
      <c r="DA10" s="1">
        <f t="shared" si="2"/>
        <v>44427</v>
      </c>
      <c r="DB10" s="1">
        <f t="shared" si="2"/>
        <v>44428</v>
      </c>
      <c r="DC10" s="1">
        <f t="shared" si="2"/>
        <v>44429</v>
      </c>
      <c r="DD10" s="1">
        <f t="shared" si="2"/>
        <v>44430</v>
      </c>
      <c r="DE10" s="1">
        <f t="shared" si="2"/>
        <v>44431</v>
      </c>
      <c r="DF10" s="1">
        <f t="shared" si="2"/>
        <v>44432</v>
      </c>
      <c r="DG10" s="1">
        <f t="shared" si="2"/>
        <v>44433</v>
      </c>
      <c r="DH10" s="1">
        <f t="shared" si="2"/>
        <v>44434</v>
      </c>
      <c r="DI10" s="1">
        <f t="shared" si="2"/>
        <v>44435</v>
      </c>
      <c r="DJ10" s="1">
        <f t="shared" si="2"/>
        <v>44436</v>
      </c>
      <c r="DK10" s="1">
        <f t="shared" si="2"/>
        <v>44437</v>
      </c>
      <c r="DL10" s="1">
        <f t="shared" si="2"/>
        <v>44438</v>
      </c>
      <c r="DM10" s="1">
        <f t="shared" si="2"/>
        <v>44439</v>
      </c>
      <c r="DN10" s="1">
        <f t="shared" si="2"/>
        <v>44440</v>
      </c>
      <c r="DO10" s="1">
        <f t="shared" si="2"/>
        <v>44441</v>
      </c>
      <c r="DP10" s="1">
        <f t="shared" si="2"/>
        <v>44442</v>
      </c>
      <c r="DQ10" s="1">
        <f t="shared" si="2"/>
        <v>44443</v>
      </c>
      <c r="DR10" s="1">
        <f t="shared" si="2"/>
        <v>44444</v>
      </c>
      <c r="DS10" s="1">
        <f t="shared" si="2"/>
        <v>44445</v>
      </c>
      <c r="DT10" s="1">
        <f t="shared" si="2"/>
        <v>44446</v>
      </c>
      <c r="DU10" s="1">
        <f t="shared" si="2"/>
        <v>44447</v>
      </c>
      <c r="DV10" s="1">
        <f t="shared" si="2"/>
        <v>44448</v>
      </c>
      <c r="DW10" s="1">
        <f t="shared" si="2"/>
        <v>44449</v>
      </c>
      <c r="DX10" s="1">
        <f t="shared" si="2"/>
        <v>44450</v>
      </c>
      <c r="DY10" s="1">
        <f t="shared" si="2"/>
        <v>44451</v>
      </c>
      <c r="DZ10" s="1">
        <f t="shared" si="2"/>
        <v>44452</v>
      </c>
      <c r="EA10" s="1">
        <f t="shared" si="2"/>
        <v>44453</v>
      </c>
      <c r="EB10" s="1">
        <f t="shared" si="2"/>
        <v>44454</v>
      </c>
      <c r="EC10" s="1">
        <f t="shared" si="2"/>
        <v>44455</v>
      </c>
      <c r="ED10" s="1">
        <f t="shared" si="2"/>
        <v>44456</v>
      </c>
      <c r="EE10" s="1">
        <f t="shared" si="2"/>
        <v>44457</v>
      </c>
      <c r="EF10" s="1">
        <f t="shared" si="2"/>
        <v>44458</v>
      </c>
      <c r="EG10" s="1">
        <f t="shared" si="2"/>
        <v>44459</v>
      </c>
      <c r="EH10" s="1">
        <f t="shared" ref="EH10:GA10" si="3">EH2</f>
        <v>44460</v>
      </c>
      <c r="EI10" s="1">
        <f t="shared" si="3"/>
        <v>44461</v>
      </c>
      <c r="EJ10" s="1">
        <f t="shared" si="3"/>
        <v>44462</v>
      </c>
      <c r="EK10" s="1">
        <f t="shared" si="3"/>
        <v>44463</v>
      </c>
      <c r="EL10" s="1">
        <f t="shared" si="3"/>
        <v>44464</v>
      </c>
      <c r="EM10" s="1">
        <f t="shared" si="3"/>
        <v>44465</v>
      </c>
      <c r="EN10" s="1">
        <f t="shared" si="3"/>
        <v>44466</v>
      </c>
      <c r="EO10" s="1">
        <f t="shared" si="3"/>
        <v>44467</v>
      </c>
      <c r="EP10" s="1">
        <f t="shared" si="3"/>
        <v>44468</v>
      </c>
      <c r="EQ10" s="1">
        <f t="shared" si="3"/>
        <v>44469</v>
      </c>
      <c r="ER10" s="1">
        <f t="shared" si="3"/>
        <v>44470</v>
      </c>
      <c r="ES10" s="1">
        <f t="shared" si="3"/>
        <v>44471</v>
      </c>
      <c r="ET10" s="1">
        <f t="shared" si="3"/>
        <v>44472</v>
      </c>
      <c r="EU10" s="1">
        <f t="shared" si="3"/>
        <v>44473</v>
      </c>
      <c r="EV10" s="1">
        <f t="shared" si="3"/>
        <v>44474</v>
      </c>
      <c r="EW10" s="1">
        <f t="shared" si="3"/>
        <v>44475</v>
      </c>
      <c r="EX10" s="1">
        <f t="shared" si="3"/>
        <v>44476</v>
      </c>
      <c r="EY10" s="1">
        <f t="shared" si="3"/>
        <v>44477</v>
      </c>
      <c r="EZ10" s="1">
        <f t="shared" si="3"/>
        <v>44478</v>
      </c>
      <c r="FA10" s="1">
        <f t="shared" si="3"/>
        <v>44479</v>
      </c>
      <c r="FB10" s="1">
        <f t="shared" si="3"/>
        <v>44480</v>
      </c>
      <c r="FC10" s="1">
        <f t="shared" si="3"/>
        <v>44481</v>
      </c>
      <c r="FD10" s="1">
        <f t="shared" si="3"/>
        <v>44482</v>
      </c>
      <c r="FE10" s="1">
        <f t="shared" si="3"/>
        <v>44483</v>
      </c>
      <c r="FF10" s="1">
        <f t="shared" si="3"/>
        <v>44484</v>
      </c>
      <c r="FG10" s="1">
        <f t="shared" si="3"/>
        <v>44485</v>
      </c>
      <c r="FH10" s="1">
        <f t="shared" si="3"/>
        <v>44486</v>
      </c>
      <c r="FI10" s="1">
        <f t="shared" si="3"/>
        <v>44487</v>
      </c>
      <c r="FJ10" s="1">
        <f t="shared" si="3"/>
        <v>44488</v>
      </c>
      <c r="FK10" s="1">
        <f t="shared" si="3"/>
        <v>44489</v>
      </c>
      <c r="FL10" s="1">
        <f t="shared" si="3"/>
        <v>44490</v>
      </c>
      <c r="FM10" s="1">
        <f t="shared" si="3"/>
        <v>44491</v>
      </c>
      <c r="FN10" s="1">
        <f t="shared" si="3"/>
        <v>44492</v>
      </c>
      <c r="FO10" s="1">
        <f t="shared" si="3"/>
        <v>44493</v>
      </c>
      <c r="FP10" s="1">
        <f t="shared" si="3"/>
        <v>44494</v>
      </c>
      <c r="FQ10" s="1">
        <f t="shared" si="3"/>
        <v>44495</v>
      </c>
      <c r="FR10" s="1">
        <f t="shared" si="3"/>
        <v>44496</v>
      </c>
      <c r="FS10" s="1">
        <f t="shared" si="3"/>
        <v>44497</v>
      </c>
      <c r="FT10" s="1">
        <f t="shared" si="3"/>
        <v>44498</v>
      </c>
      <c r="FU10" s="1">
        <f t="shared" si="3"/>
        <v>44499</v>
      </c>
      <c r="FV10" s="1">
        <f t="shared" si="3"/>
        <v>44500</v>
      </c>
      <c r="FW10" s="1">
        <f t="shared" si="3"/>
        <v>44501</v>
      </c>
      <c r="FX10" s="1">
        <f t="shared" si="3"/>
        <v>44502</v>
      </c>
      <c r="FY10" s="1">
        <f t="shared" si="3"/>
        <v>44503</v>
      </c>
      <c r="FZ10" s="1">
        <f t="shared" si="3"/>
        <v>44504</v>
      </c>
      <c r="GA10" s="1">
        <f t="shared" si="3"/>
        <v>44505</v>
      </c>
    </row>
    <row r="11" spans="1:183" x14ac:dyDescent="0.45">
      <c r="A11" t="str">
        <f>A3</f>
        <v>Bayonet Rust Coat BS</v>
      </c>
      <c r="C11" cm="1">
        <f t="array" ref="C11">LOOKUP(2,1/(I11:GA11&lt;&gt;""),I11:GA11)</f>
        <v>154.08000000000001</v>
      </c>
      <c r="D11">
        <f>D$6</f>
        <v>45</v>
      </c>
      <c r="F11" s="4">
        <f t="shared" ref="F11" si="4">(C11-I11)/I11</f>
        <v>4.6739130434782776E-2</v>
      </c>
      <c r="G11" s="3" cm="1">
        <f t="array" ref="G11">(C11-IF(ISNA(INDEX(I11:GA11,D11-22)),INDEX(I11:GA11,D11-23),INDEX(I11:GA11,D11-22)))/IF(ISNA(INDEX(I11:GA11,D11-22)),INDEX(I11:GA11,D11-23),INDEX(I11:GA11,D11-22))</f>
        <v>-7.5362318840578903E-3</v>
      </c>
      <c r="I11">
        <f>IF(ISBLANK(I3),NA(),ROUNDDOWN(I3*0.75,2))</f>
        <v>147.19999999999999</v>
      </c>
      <c r="J11">
        <f t="shared" ref="J11:BU12" si="5">IF(ISBLANK(J3),NA(),ROUNDDOWN(J3*0.75,2))</f>
        <v>151.36000000000001</v>
      </c>
      <c r="K11" t="e">
        <f t="shared" si="5"/>
        <v>#N/A</v>
      </c>
      <c r="L11">
        <f t="shared" si="5"/>
        <v>147.75</v>
      </c>
      <c r="M11" t="e">
        <f t="shared" si="5"/>
        <v>#N/A</v>
      </c>
      <c r="N11">
        <f t="shared" si="5"/>
        <v>147.66</v>
      </c>
      <c r="O11">
        <f t="shared" si="5"/>
        <v>155.38</v>
      </c>
      <c r="P11">
        <f t="shared" si="5"/>
        <v>157.09</v>
      </c>
      <c r="Q11">
        <f t="shared" si="5"/>
        <v>151.41</v>
      </c>
      <c r="R11">
        <f t="shared" si="5"/>
        <v>151.86000000000001</v>
      </c>
      <c r="S11">
        <f t="shared" si="5"/>
        <v>147.16999999999999</v>
      </c>
      <c r="T11">
        <f t="shared" si="5"/>
        <v>153</v>
      </c>
      <c r="U11">
        <f t="shared" si="5"/>
        <v>154.94999999999999</v>
      </c>
      <c r="V11">
        <f t="shared" si="5"/>
        <v>156.86000000000001</v>
      </c>
      <c r="W11">
        <f t="shared" si="5"/>
        <v>155.68</v>
      </c>
      <c r="X11">
        <f t="shared" si="5"/>
        <v>155.49</v>
      </c>
      <c r="Y11">
        <f t="shared" si="5"/>
        <v>151.62</v>
      </c>
      <c r="Z11">
        <f t="shared" si="5"/>
        <v>150.97</v>
      </c>
      <c r="AA11">
        <f t="shared" si="5"/>
        <v>151.34</v>
      </c>
      <c r="AB11">
        <f t="shared" si="5"/>
        <v>152.46</v>
      </c>
      <c r="AC11">
        <f t="shared" si="5"/>
        <v>150.9</v>
      </c>
      <c r="AD11">
        <f t="shared" si="5"/>
        <v>155.25</v>
      </c>
      <c r="AE11">
        <f t="shared" si="5"/>
        <v>155.25</v>
      </c>
      <c r="AF11">
        <f t="shared" si="5"/>
        <v>148.29</v>
      </c>
      <c r="AG11">
        <f t="shared" si="5"/>
        <v>148.01</v>
      </c>
      <c r="AH11">
        <f t="shared" si="5"/>
        <v>132.75</v>
      </c>
      <c r="AI11">
        <f t="shared" si="5"/>
        <v>140.94</v>
      </c>
      <c r="AJ11">
        <f t="shared" si="5"/>
        <v>150.36000000000001</v>
      </c>
      <c r="AK11">
        <f t="shared" si="5"/>
        <v>142.31</v>
      </c>
      <c r="AL11">
        <f t="shared" si="5"/>
        <v>142.31</v>
      </c>
      <c r="AM11">
        <f t="shared" si="5"/>
        <v>146.07</v>
      </c>
      <c r="AN11" t="e">
        <f t="shared" si="5"/>
        <v>#N/A</v>
      </c>
      <c r="AO11">
        <f t="shared" si="5"/>
        <v>143.97</v>
      </c>
      <c r="AP11">
        <f t="shared" si="5"/>
        <v>145.77000000000001</v>
      </c>
      <c r="AQ11">
        <f t="shared" si="5"/>
        <v>146.41999999999999</v>
      </c>
      <c r="AR11">
        <f t="shared" si="5"/>
        <v>155.34</v>
      </c>
      <c r="AS11">
        <f t="shared" si="5"/>
        <v>154.08000000000001</v>
      </c>
      <c r="AT11" t="e">
        <f t="shared" si="5"/>
        <v>#N/A</v>
      </c>
      <c r="AU11" t="e">
        <f t="shared" si="5"/>
        <v>#N/A</v>
      </c>
      <c r="AV11" t="e">
        <f t="shared" si="5"/>
        <v>#N/A</v>
      </c>
      <c r="AW11" t="e">
        <f t="shared" si="5"/>
        <v>#N/A</v>
      </c>
      <c r="AX11" t="e">
        <f t="shared" si="5"/>
        <v>#N/A</v>
      </c>
      <c r="AY11" t="e">
        <f t="shared" si="5"/>
        <v>#N/A</v>
      </c>
      <c r="AZ11" t="e">
        <f t="shared" si="5"/>
        <v>#N/A</v>
      </c>
      <c r="BA11" t="e">
        <f t="shared" si="5"/>
        <v>#N/A</v>
      </c>
      <c r="BB11" t="e">
        <f t="shared" si="5"/>
        <v>#N/A</v>
      </c>
      <c r="BC11" t="e">
        <f t="shared" si="5"/>
        <v>#N/A</v>
      </c>
      <c r="BD11" t="e">
        <f t="shared" si="5"/>
        <v>#N/A</v>
      </c>
      <c r="BE11" t="e">
        <f t="shared" si="5"/>
        <v>#N/A</v>
      </c>
      <c r="BF11" t="e">
        <f t="shared" si="5"/>
        <v>#N/A</v>
      </c>
      <c r="BG11" t="e">
        <f t="shared" si="5"/>
        <v>#N/A</v>
      </c>
      <c r="BH11" t="e">
        <f t="shared" si="5"/>
        <v>#N/A</v>
      </c>
      <c r="BI11" t="e">
        <f t="shared" si="5"/>
        <v>#N/A</v>
      </c>
      <c r="BJ11" t="e">
        <f t="shared" si="5"/>
        <v>#N/A</v>
      </c>
      <c r="BK11" t="e">
        <f t="shared" si="5"/>
        <v>#N/A</v>
      </c>
      <c r="BL11" t="e">
        <f t="shared" si="5"/>
        <v>#N/A</v>
      </c>
      <c r="BM11" t="e">
        <f t="shared" si="5"/>
        <v>#N/A</v>
      </c>
      <c r="BN11" t="e">
        <f t="shared" si="5"/>
        <v>#N/A</v>
      </c>
      <c r="BO11" t="e">
        <f t="shared" si="5"/>
        <v>#N/A</v>
      </c>
      <c r="BP11" t="e">
        <f t="shared" si="5"/>
        <v>#N/A</v>
      </c>
      <c r="BQ11" t="e">
        <f t="shared" si="5"/>
        <v>#N/A</v>
      </c>
      <c r="BR11" t="e">
        <f t="shared" si="5"/>
        <v>#N/A</v>
      </c>
      <c r="BS11" t="e">
        <f t="shared" si="5"/>
        <v>#N/A</v>
      </c>
      <c r="BT11" t="e">
        <f t="shared" si="5"/>
        <v>#N/A</v>
      </c>
      <c r="BU11" t="e">
        <f t="shared" si="5"/>
        <v>#N/A</v>
      </c>
      <c r="BV11" t="e">
        <f t="shared" ref="BV11:EG14" si="6">IF(ISBLANK(BV3),NA(),ROUNDDOWN(BV3*0.75,2))</f>
        <v>#N/A</v>
      </c>
      <c r="BW11" t="e">
        <f t="shared" si="6"/>
        <v>#N/A</v>
      </c>
      <c r="BX11" t="e">
        <f t="shared" si="6"/>
        <v>#N/A</v>
      </c>
      <c r="BY11" t="e">
        <f t="shared" si="6"/>
        <v>#N/A</v>
      </c>
      <c r="BZ11" t="e">
        <f t="shared" si="6"/>
        <v>#N/A</v>
      </c>
      <c r="CA11" t="e">
        <f t="shared" si="6"/>
        <v>#N/A</v>
      </c>
      <c r="CB11" t="e">
        <f t="shared" si="6"/>
        <v>#N/A</v>
      </c>
      <c r="CC11" t="e">
        <f t="shared" si="6"/>
        <v>#N/A</v>
      </c>
      <c r="CD11" t="e">
        <f t="shared" si="6"/>
        <v>#N/A</v>
      </c>
      <c r="CE11" t="e">
        <f t="shared" si="6"/>
        <v>#N/A</v>
      </c>
      <c r="CF11" t="e">
        <f t="shared" si="6"/>
        <v>#N/A</v>
      </c>
      <c r="CG11" t="e">
        <f t="shared" si="6"/>
        <v>#N/A</v>
      </c>
      <c r="CH11" t="e">
        <f t="shared" si="6"/>
        <v>#N/A</v>
      </c>
      <c r="CI11" t="e">
        <f t="shared" si="6"/>
        <v>#N/A</v>
      </c>
      <c r="CJ11" t="e">
        <f t="shared" si="6"/>
        <v>#N/A</v>
      </c>
      <c r="CK11" t="e">
        <f t="shared" si="6"/>
        <v>#N/A</v>
      </c>
      <c r="CL11" t="e">
        <f t="shared" si="6"/>
        <v>#N/A</v>
      </c>
      <c r="CM11" t="e">
        <f t="shared" si="6"/>
        <v>#N/A</v>
      </c>
      <c r="CN11" t="e">
        <f t="shared" si="6"/>
        <v>#N/A</v>
      </c>
      <c r="CO11" t="e">
        <f t="shared" si="6"/>
        <v>#N/A</v>
      </c>
      <c r="CP11" t="e">
        <f t="shared" si="6"/>
        <v>#N/A</v>
      </c>
      <c r="CQ11" t="e">
        <f t="shared" si="6"/>
        <v>#N/A</v>
      </c>
      <c r="CR11" t="e">
        <f t="shared" si="6"/>
        <v>#N/A</v>
      </c>
      <c r="CS11" t="e">
        <f t="shared" si="6"/>
        <v>#N/A</v>
      </c>
      <c r="CT11" t="e">
        <f t="shared" si="6"/>
        <v>#N/A</v>
      </c>
      <c r="CU11" t="e">
        <f t="shared" si="6"/>
        <v>#N/A</v>
      </c>
      <c r="CV11" t="e">
        <f t="shared" si="6"/>
        <v>#N/A</v>
      </c>
      <c r="CW11" t="e">
        <f t="shared" si="6"/>
        <v>#N/A</v>
      </c>
      <c r="CX11" t="e">
        <f t="shared" si="6"/>
        <v>#N/A</v>
      </c>
      <c r="CY11" t="e">
        <f t="shared" si="6"/>
        <v>#N/A</v>
      </c>
      <c r="CZ11" t="e">
        <f t="shared" si="6"/>
        <v>#N/A</v>
      </c>
      <c r="DA11" t="e">
        <f t="shared" si="6"/>
        <v>#N/A</v>
      </c>
      <c r="DB11" t="e">
        <f t="shared" si="6"/>
        <v>#N/A</v>
      </c>
      <c r="DC11" t="e">
        <f t="shared" si="6"/>
        <v>#N/A</v>
      </c>
      <c r="DD11" t="e">
        <f t="shared" si="6"/>
        <v>#N/A</v>
      </c>
      <c r="DE11" t="e">
        <f t="shared" si="6"/>
        <v>#N/A</v>
      </c>
      <c r="DF11" t="e">
        <f t="shared" si="6"/>
        <v>#N/A</v>
      </c>
      <c r="DG11" t="e">
        <f t="shared" si="6"/>
        <v>#N/A</v>
      </c>
      <c r="DH11" t="e">
        <f t="shared" si="6"/>
        <v>#N/A</v>
      </c>
      <c r="DI11" t="e">
        <f t="shared" si="6"/>
        <v>#N/A</v>
      </c>
      <c r="DJ11" t="e">
        <f t="shared" si="6"/>
        <v>#N/A</v>
      </c>
      <c r="DK11" t="e">
        <f t="shared" si="6"/>
        <v>#N/A</v>
      </c>
      <c r="DL11" t="e">
        <f t="shared" si="6"/>
        <v>#N/A</v>
      </c>
      <c r="DM11" t="e">
        <f t="shared" si="6"/>
        <v>#N/A</v>
      </c>
      <c r="DN11" t="e">
        <f t="shared" si="6"/>
        <v>#N/A</v>
      </c>
      <c r="DO11" t="e">
        <f t="shared" si="6"/>
        <v>#N/A</v>
      </c>
      <c r="DP11" t="e">
        <f t="shared" si="6"/>
        <v>#N/A</v>
      </c>
      <c r="DQ11" t="e">
        <f t="shared" si="6"/>
        <v>#N/A</v>
      </c>
      <c r="DR11" t="e">
        <f t="shared" si="6"/>
        <v>#N/A</v>
      </c>
      <c r="DS11" t="e">
        <f t="shared" si="6"/>
        <v>#N/A</v>
      </c>
      <c r="DT11" t="e">
        <f t="shared" si="6"/>
        <v>#N/A</v>
      </c>
      <c r="DU11" t="e">
        <f t="shared" si="6"/>
        <v>#N/A</v>
      </c>
      <c r="DV11" t="e">
        <f t="shared" si="6"/>
        <v>#N/A</v>
      </c>
      <c r="DW11" t="e">
        <f t="shared" si="6"/>
        <v>#N/A</v>
      </c>
      <c r="DX11" t="e">
        <f t="shared" si="6"/>
        <v>#N/A</v>
      </c>
      <c r="DY11" t="e">
        <f t="shared" si="6"/>
        <v>#N/A</v>
      </c>
      <c r="DZ11" t="e">
        <f t="shared" si="6"/>
        <v>#N/A</v>
      </c>
      <c r="EA11" t="e">
        <f t="shared" si="6"/>
        <v>#N/A</v>
      </c>
      <c r="EB11" t="e">
        <f t="shared" si="6"/>
        <v>#N/A</v>
      </c>
      <c r="EC11" t="e">
        <f t="shared" si="6"/>
        <v>#N/A</v>
      </c>
      <c r="ED11" t="e">
        <f t="shared" si="6"/>
        <v>#N/A</v>
      </c>
      <c r="EE11" t="e">
        <f t="shared" si="6"/>
        <v>#N/A</v>
      </c>
      <c r="EF11" t="e">
        <f t="shared" si="6"/>
        <v>#N/A</v>
      </c>
      <c r="EG11" t="e">
        <f t="shared" si="6"/>
        <v>#N/A</v>
      </c>
      <c r="EH11" t="e">
        <f t="shared" ref="EH11:GA13" si="7">IF(ISBLANK(EH3),NA(),ROUNDDOWN(EH3*0.75,2))</f>
        <v>#N/A</v>
      </c>
      <c r="EI11" t="e">
        <f t="shared" si="7"/>
        <v>#N/A</v>
      </c>
      <c r="EJ11" t="e">
        <f t="shared" si="7"/>
        <v>#N/A</v>
      </c>
      <c r="EK11" t="e">
        <f t="shared" si="7"/>
        <v>#N/A</v>
      </c>
      <c r="EL11" t="e">
        <f t="shared" si="7"/>
        <v>#N/A</v>
      </c>
      <c r="EM11" t="e">
        <f t="shared" si="7"/>
        <v>#N/A</v>
      </c>
      <c r="EN11" t="e">
        <f t="shared" si="7"/>
        <v>#N/A</v>
      </c>
      <c r="EO11" t="e">
        <f t="shared" si="7"/>
        <v>#N/A</v>
      </c>
      <c r="EP11" t="e">
        <f t="shared" si="7"/>
        <v>#N/A</v>
      </c>
      <c r="EQ11" t="e">
        <f t="shared" si="7"/>
        <v>#N/A</v>
      </c>
      <c r="ER11" t="e">
        <f t="shared" si="7"/>
        <v>#N/A</v>
      </c>
      <c r="ES11" t="e">
        <f t="shared" si="7"/>
        <v>#N/A</v>
      </c>
      <c r="ET11" t="e">
        <f t="shared" si="7"/>
        <v>#N/A</v>
      </c>
      <c r="EU11" t="e">
        <f t="shared" si="7"/>
        <v>#N/A</v>
      </c>
      <c r="EV11" t="e">
        <f t="shared" si="7"/>
        <v>#N/A</v>
      </c>
      <c r="EW11" t="e">
        <f t="shared" si="7"/>
        <v>#N/A</v>
      </c>
      <c r="EX11" t="e">
        <f t="shared" si="7"/>
        <v>#N/A</v>
      </c>
      <c r="EY11" t="e">
        <f t="shared" si="7"/>
        <v>#N/A</v>
      </c>
      <c r="EZ11" t="e">
        <f t="shared" si="7"/>
        <v>#N/A</v>
      </c>
      <c r="FA11" t="e">
        <f t="shared" si="7"/>
        <v>#N/A</v>
      </c>
      <c r="FB11" t="e">
        <f t="shared" si="7"/>
        <v>#N/A</v>
      </c>
      <c r="FC11" t="e">
        <f t="shared" si="7"/>
        <v>#N/A</v>
      </c>
      <c r="FD11" t="e">
        <f t="shared" si="7"/>
        <v>#N/A</v>
      </c>
      <c r="FE11" t="e">
        <f t="shared" si="7"/>
        <v>#N/A</v>
      </c>
      <c r="FF11" t="e">
        <f t="shared" si="7"/>
        <v>#N/A</v>
      </c>
      <c r="FG11" t="e">
        <f t="shared" si="7"/>
        <v>#N/A</v>
      </c>
      <c r="FH11" t="e">
        <f t="shared" si="7"/>
        <v>#N/A</v>
      </c>
      <c r="FI11" t="e">
        <f t="shared" si="7"/>
        <v>#N/A</v>
      </c>
      <c r="FJ11" t="e">
        <f t="shared" si="7"/>
        <v>#N/A</v>
      </c>
      <c r="FK11" t="e">
        <f t="shared" si="7"/>
        <v>#N/A</v>
      </c>
      <c r="FL11" t="e">
        <f t="shared" si="7"/>
        <v>#N/A</v>
      </c>
      <c r="FM11" t="e">
        <f t="shared" si="7"/>
        <v>#N/A</v>
      </c>
      <c r="FN11" t="e">
        <f t="shared" si="7"/>
        <v>#N/A</v>
      </c>
      <c r="FO11" t="e">
        <f t="shared" si="7"/>
        <v>#N/A</v>
      </c>
      <c r="FP11" t="e">
        <f t="shared" si="7"/>
        <v>#N/A</v>
      </c>
      <c r="FQ11" t="e">
        <f t="shared" si="7"/>
        <v>#N/A</v>
      </c>
      <c r="FR11" t="e">
        <f t="shared" si="7"/>
        <v>#N/A</v>
      </c>
      <c r="FS11" t="e">
        <f t="shared" si="7"/>
        <v>#N/A</v>
      </c>
      <c r="FT11" t="e">
        <f t="shared" si="7"/>
        <v>#N/A</v>
      </c>
      <c r="FU11" t="e">
        <f t="shared" si="7"/>
        <v>#N/A</v>
      </c>
      <c r="FV11" t="e">
        <f t="shared" si="7"/>
        <v>#N/A</v>
      </c>
      <c r="FW11" t="e">
        <f t="shared" si="7"/>
        <v>#N/A</v>
      </c>
      <c r="FX11" t="e">
        <f t="shared" si="7"/>
        <v>#N/A</v>
      </c>
      <c r="FY11" t="e">
        <f t="shared" si="7"/>
        <v>#N/A</v>
      </c>
      <c r="FZ11" t="e">
        <f t="shared" si="7"/>
        <v>#N/A</v>
      </c>
      <c r="GA11" t="e">
        <f t="shared" si="7"/>
        <v>#N/A</v>
      </c>
    </row>
    <row r="12" spans="1:183" x14ac:dyDescent="0.45">
      <c r="A12" t="str">
        <f t="shared" ref="A12:A14" si="8">A4</f>
        <v>Butterfly Tiger Tooth FN</v>
      </c>
      <c r="C12" cm="1">
        <f t="array" ref="C12">LOOKUP(2,1/(I12:GA12&lt;&gt;""),I12:GA12)</f>
        <v>1121.47</v>
      </c>
      <c r="D12">
        <f t="shared" ref="D12:D14" si="9">D$6</f>
        <v>45</v>
      </c>
      <c r="F12" s="4">
        <f t="shared" ref="F12:F14" si="10">(C12-I12)/I12</f>
        <v>0.24441855304039056</v>
      </c>
      <c r="G12" s="3" cm="1">
        <f t="array" ref="G12">(C12-IF(ISNA(INDEX(I12:GA12,D12-22)),INDEX(I12:GA12,D12-23),INDEX(I12:GA12,D12-22)))/IF(ISNA(INDEX(I12:GA12,D12-22)),INDEX(I12:GA12,D12-23),INDEX(I12:GA12,D12-22))</f>
        <v>7.1485662454760504E-3</v>
      </c>
      <c r="I12">
        <f t="shared" ref="I12:X14" si="11">IF(ISBLANK(I4),NA(),ROUNDDOWN(I4*0.75,2))</f>
        <v>901.2</v>
      </c>
      <c r="J12">
        <f t="shared" si="11"/>
        <v>904.09</v>
      </c>
      <c r="K12" t="e">
        <f t="shared" si="11"/>
        <v>#N/A</v>
      </c>
      <c r="L12">
        <f t="shared" si="11"/>
        <v>945.82</v>
      </c>
      <c r="M12" t="e">
        <f t="shared" si="11"/>
        <v>#N/A</v>
      </c>
      <c r="N12">
        <f t="shared" si="11"/>
        <v>945.79</v>
      </c>
      <c r="O12">
        <f t="shared" si="11"/>
        <v>945.79</v>
      </c>
      <c r="P12">
        <f t="shared" si="11"/>
        <v>922.92</v>
      </c>
      <c r="Q12">
        <f t="shared" si="11"/>
        <v>970.77</v>
      </c>
      <c r="R12">
        <f t="shared" si="11"/>
        <v>970.77</v>
      </c>
      <c r="S12">
        <f t="shared" si="11"/>
        <v>967.73</v>
      </c>
      <c r="T12">
        <f t="shared" si="11"/>
        <v>1070.58</v>
      </c>
      <c r="U12">
        <f t="shared" si="11"/>
        <v>1043.25</v>
      </c>
      <c r="V12">
        <f t="shared" si="11"/>
        <v>1037.73</v>
      </c>
      <c r="W12">
        <f t="shared" si="11"/>
        <v>1022.98</v>
      </c>
      <c r="X12">
        <f t="shared" si="11"/>
        <v>1015.53</v>
      </c>
      <c r="Y12">
        <f t="shared" si="5"/>
        <v>1005.97</v>
      </c>
      <c r="Z12">
        <f t="shared" si="5"/>
        <v>1005.97</v>
      </c>
      <c r="AA12">
        <f t="shared" si="5"/>
        <v>1016.2</v>
      </c>
      <c r="AB12">
        <f t="shared" si="5"/>
        <v>1023.45</v>
      </c>
      <c r="AC12">
        <f t="shared" si="5"/>
        <v>1012.49</v>
      </c>
      <c r="AD12">
        <f t="shared" si="5"/>
        <v>1059.81</v>
      </c>
      <c r="AE12">
        <f t="shared" si="5"/>
        <v>1113.51</v>
      </c>
      <c r="AF12">
        <f t="shared" si="5"/>
        <v>1108.77</v>
      </c>
      <c r="AG12">
        <f t="shared" si="5"/>
        <v>1105.23</v>
      </c>
      <c r="AH12">
        <f t="shared" si="5"/>
        <v>1110.0899999999999</v>
      </c>
      <c r="AI12">
        <f t="shared" si="5"/>
        <v>1120.53</v>
      </c>
      <c r="AJ12">
        <f t="shared" si="5"/>
        <v>1112.52</v>
      </c>
      <c r="AK12">
        <f t="shared" si="5"/>
        <v>1127.28</v>
      </c>
      <c r="AL12">
        <f t="shared" si="5"/>
        <v>1127.28</v>
      </c>
      <c r="AM12">
        <f t="shared" si="5"/>
        <v>1094.6099999999999</v>
      </c>
      <c r="AN12" t="e">
        <f t="shared" si="5"/>
        <v>#N/A</v>
      </c>
      <c r="AO12">
        <f t="shared" si="5"/>
        <v>1141.06</v>
      </c>
      <c r="AP12">
        <f t="shared" si="5"/>
        <v>1141.03</v>
      </c>
      <c r="AQ12">
        <f t="shared" si="5"/>
        <v>1153.01</v>
      </c>
      <c r="AR12">
        <f t="shared" si="5"/>
        <v>1121.47</v>
      </c>
      <c r="AS12">
        <f t="shared" si="5"/>
        <v>1121.47</v>
      </c>
      <c r="AT12" t="e">
        <f t="shared" si="5"/>
        <v>#N/A</v>
      </c>
      <c r="AU12" t="e">
        <f t="shared" si="5"/>
        <v>#N/A</v>
      </c>
      <c r="AV12" t="e">
        <f t="shared" si="5"/>
        <v>#N/A</v>
      </c>
      <c r="AW12" t="e">
        <f t="shared" si="5"/>
        <v>#N/A</v>
      </c>
      <c r="AX12" t="e">
        <f t="shared" si="5"/>
        <v>#N/A</v>
      </c>
      <c r="AY12" t="e">
        <f t="shared" si="5"/>
        <v>#N/A</v>
      </c>
      <c r="AZ12" t="e">
        <f t="shared" si="5"/>
        <v>#N/A</v>
      </c>
      <c r="BA12" t="e">
        <f t="shared" si="5"/>
        <v>#N/A</v>
      </c>
      <c r="BB12" t="e">
        <f t="shared" si="5"/>
        <v>#N/A</v>
      </c>
      <c r="BC12" t="e">
        <f t="shared" si="5"/>
        <v>#N/A</v>
      </c>
      <c r="BD12" t="e">
        <f t="shared" si="5"/>
        <v>#N/A</v>
      </c>
      <c r="BE12" t="e">
        <f t="shared" si="5"/>
        <v>#N/A</v>
      </c>
      <c r="BF12" t="e">
        <f t="shared" si="5"/>
        <v>#N/A</v>
      </c>
      <c r="BG12" t="e">
        <f t="shared" si="5"/>
        <v>#N/A</v>
      </c>
      <c r="BH12" t="e">
        <f t="shared" si="5"/>
        <v>#N/A</v>
      </c>
      <c r="BI12" t="e">
        <f t="shared" si="5"/>
        <v>#N/A</v>
      </c>
      <c r="BJ12" t="e">
        <f t="shared" si="5"/>
        <v>#N/A</v>
      </c>
      <c r="BK12" t="e">
        <f t="shared" si="5"/>
        <v>#N/A</v>
      </c>
      <c r="BL12" t="e">
        <f t="shared" si="5"/>
        <v>#N/A</v>
      </c>
      <c r="BM12" t="e">
        <f t="shared" si="5"/>
        <v>#N/A</v>
      </c>
      <c r="BN12" t="e">
        <f t="shared" si="5"/>
        <v>#N/A</v>
      </c>
      <c r="BO12" t="e">
        <f t="shared" si="5"/>
        <v>#N/A</v>
      </c>
      <c r="BP12" t="e">
        <f t="shared" si="5"/>
        <v>#N/A</v>
      </c>
      <c r="BQ12" t="e">
        <f t="shared" si="5"/>
        <v>#N/A</v>
      </c>
      <c r="BR12" t="e">
        <f t="shared" si="5"/>
        <v>#N/A</v>
      </c>
      <c r="BS12" t="e">
        <f t="shared" si="5"/>
        <v>#N/A</v>
      </c>
      <c r="BT12" t="e">
        <f t="shared" si="5"/>
        <v>#N/A</v>
      </c>
      <c r="BU12" t="e">
        <f t="shared" si="5"/>
        <v>#N/A</v>
      </c>
      <c r="BV12" t="e">
        <f t="shared" si="6"/>
        <v>#N/A</v>
      </c>
      <c r="BW12" t="e">
        <f t="shared" si="6"/>
        <v>#N/A</v>
      </c>
      <c r="BX12" t="e">
        <f t="shared" si="6"/>
        <v>#N/A</v>
      </c>
      <c r="BY12" t="e">
        <f t="shared" si="6"/>
        <v>#N/A</v>
      </c>
      <c r="BZ12" t="e">
        <f t="shared" si="6"/>
        <v>#N/A</v>
      </c>
      <c r="CA12" t="e">
        <f t="shared" si="6"/>
        <v>#N/A</v>
      </c>
      <c r="CB12" t="e">
        <f t="shared" si="6"/>
        <v>#N/A</v>
      </c>
      <c r="CC12" t="e">
        <f t="shared" si="6"/>
        <v>#N/A</v>
      </c>
      <c r="CD12" t="e">
        <f t="shared" si="6"/>
        <v>#N/A</v>
      </c>
      <c r="CE12" t="e">
        <f t="shared" si="6"/>
        <v>#N/A</v>
      </c>
      <c r="CF12" t="e">
        <f t="shared" si="6"/>
        <v>#N/A</v>
      </c>
      <c r="CG12" t="e">
        <f t="shared" si="6"/>
        <v>#N/A</v>
      </c>
      <c r="CH12" t="e">
        <f t="shared" si="6"/>
        <v>#N/A</v>
      </c>
      <c r="CI12" t="e">
        <f t="shared" si="6"/>
        <v>#N/A</v>
      </c>
      <c r="CJ12" t="e">
        <f t="shared" si="6"/>
        <v>#N/A</v>
      </c>
      <c r="CK12" t="e">
        <f t="shared" si="6"/>
        <v>#N/A</v>
      </c>
      <c r="CL12" t="e">
        <f t="shared" si="6"/>
        <v>#N/A</v>
      </c>
      <c r="CM12" t="e">
        <f t="shared" si="6"/>
        <v>#N/A</v>
      </c>
      <c r="CN12" t="e">
        <f t="shared" si="6"/>
        <v>#N/A</v>
      </c>
      <c r="CO12" t="e">
        <f t="shared" si="6"/>
        <v>#N/A</v>
      </c>
      <c r="CP12" t="e">
        <f t="shared" si="6"/>
        <v>#N/A</v>
      </c>
      <c r="CQ12" t="e">
        <f t="shared" si="6"/>
        <v>#N/A</v>
      </c>
      <c r="CR12" t="e">
        <f t="shared" si="6"/>
        <v>#N/A</v>
      </c>
      <c r="CS12" t="e">
        <f t="shared" si="6"/>
        <v>#N/A</v>
      </c>
      <c r="CT12" t="e">
        <f t="shared" si="6"/>
        <v>#N/A</v>
      </c>
      <c r="CU12" t="e">
        <f t="shared" si="6"/>
        <v>#N/A</v>
      </c>
      <c r="CV12" t="e">
        <f t="shared" si="6"/>
        <v>#N/A</v>
      </c>
      <c r="CW12" t="e">
        <f t="shared" si="6"/>
        <v>#N/A</v>
      </c>
      <c r="CX12" t="e">
        <f t="shared" si="6"/>
        <v>#N/A</v>
      </c>
      <c r="CY12" t="e">
        <f t="shared" si="6"/>
        <v>#N/A</v>
      </c>
      <c r="CZ12" t="e">
        <f t="shared" si="6"/>
        <v>#N/A</v>
      </c>
      <c r="DA12" t="e">
        <f t="shared" si="6"/>
        <v>#N/A</v>
      </c>
      <c r="DB12" t="e">
        <f t="shared" si="6"/>
        <v>#N/A</v>
      </c>
      <c r="DC12" t="e">
        <f t="shared" si="6"/>
        <v>#N/A</v>
      </c>
      <c r="DD12" t="e">
        <f t="shared" si="6"/>
        <v>#N/A</v>
      </c>
      <c r="DE12" t="e">
        <f t="shared" si="6"/>
        <v>#N/A</v>
      </c>
      <c r="DF12" t="e">
        <f t="shared" si="6"/>
        <v>#N/A</v>
      </c>
      <c r="DG12" t="e">
        <f t="shared" si="6"/>
        <v>#N/A</v>
      </c>
      <c r="DH12" t="e">
        <f t="shared" si="6"/>
        <v>#N/A</v>
      </c>
      <c r="DI12" t="e">
        <f t="shared" si="6"/>
        <v>#N/A</v>
      </c>
      <c r="DJ12" t="e">
        <f t="shared" si="6"/>
        <v>#N/A</v>
      </c>
      <c r="DK12" t="e">
        <f t="shared" si="6"/>
        <v>#N/A</v>
      </c>
      <c r="DL12" t="e">
        <f t="shared" si="6"/>
        <v>#N/A</v>
      </c>
      <c r="DM12" t="e">
        <f t="shared" si="6"/>
        <v>#N/A</v>
      </c>
      <c r="DN12" t="e">
        <f t="shared" si="6"/>
        <v>#N/A</v>
      </c>
      <c r="DO12" t="e">
        <f t="shared" si="6"/>
        <v>#N/A</v>
      </c>
      <c r="DP12" t="e">
        <f t="shared" si="6"/>
        <v>#N/A</v>
      </c>
      <c r="DQ12" t="e">
        <f t="shared" si="6"/>
        <v>#N/A</v>
      </c>
      <c r="DR12" t="e">
        <f t="shared" si="6"/>
        <v>#N/A</v>
      </c>
      <c r="DS12" t="e">
        <f t="shared" si="6"/>
        <v>#N/A</v>
      </c>
      <c r="DT12" t="e">
        <f t="shared" si="6"/>
        <v>#N/A</v>
      </c>
      <c r="DU12" t="e">
        <f t="shared" si="6"/>
        <v>#N/A</v>
      </c>
      <c r="DV12" t="e">
        <f t="shared" si="6"/>
        <v>#N/A</v>
      </c>
      <c r="DW12" t="e">
        <f t="shared" si="6"/>
        <v>#N/A</v>
      </c>
      <c r="DX12" t="e">
        <f t="shared" si="6"/>
        <v>#N/A</v>
      </c>
      <c r="DY12" t="e">
        <f t="shared" si="6"/>
        <v>#N/A</v>
      </c>
      <c r="DZ12" t="e">
        <f t="shared" si="6"/>
        <v>#N/A</v>
      </c>
      <c r="EA12" t="e">
        <f t="shared" si="6"/>
        <v>#N/A</v>
      </c>
      <c r="EB12" t="e">
        <f t="shared" si="6"/>
        <v>#N/A</v>
      </c>
      <c r="EC12" t="e">
        <f t="shared" si="6"/>
        <v>#N/A</v>
      </c>
      <c r="ED12" t="e">
        <f t="shared" si="6"/>
        <v>#N/A</v>
      </c>
      <c r="EE12" t="e">
        <f t="shared" si="6"/>
        <v>#N/A</v>
      </c>
      <c r="EF12" t="e">
        <f t="shared" si="6"/>
        <v>#N/A</v>
      </c>
      <c r="EG12" t="e">
        <f t="shared" si="6"/>
        <v>#N/A</v>
      </c>
      <c r="EH12" t="e">
        <f t="shared" si="7"/>
        <v>#N/A</v>
      </c>
      <c r="EI12" t="e">
        <f t="shared" si="7"/>
        <v>#N/A</v>
      </c>
      <c r="EJ12" t="e">
        <f t="shared" si="7"/>
        <v>#N/A</v>
      </c>
      <c r="EK12" t="e">
        <f t="shared" si="7"/>
        <v>#N/A</v>
      </c>
      <c r="EL12" t="e">
        <f t="shared" si="7"/>
        <v>#N/A</v>
      </c>
      <c r="EM12" t="e">
        <f t="shared" si="7"/>
        <v>#N/A</v>
      </c>
      <c r="EN12" t="e">
        <f t="shared" si="7"/>
        <v>#N/A</v>
      </c>
      <c r="EO12" t="e">
        <f t="shared" si="7"/>
        <v>#N/A</v>
      </c>
      <c r="EP12" t="e">
        <f t="shared" si="7"/>
        <v>#N/A</v>
      </c>
      <c r="EQ12" t="e">
        <f t="shared" si="7"/>
        <v>#N/A</v>
      </c>
      <c r="ER12" t="e">
        <f t="shared" si="7"/>
        <v>#N/A</v>
      </c>
      <c r="ES12" t="e">
        <f t="shared" si="7"/>
        <v>#N/A</v>
      </c>
      <c r="ET12" t="e">
        <f t="shared" si="7"/>
        <v>#N/A</v>
      </c>
      <c r="EU12" t="e">
        <f t="shared" si="7"/>
        <v>#N/A</v>
      </c>
      <c r="EV12" t="e">
        <f t="shared" si="7"/>
        <v>#N/A</v>
      </c>
      <c r="EW12" t="e">
        <f t="shared" si="7"/>
        <v>#N/A</v>
      </c>
      <c r="EX12" t="e">
        <f t="shared" si="7"/>
        <v>#N/A</v>
      </c>
      <c r="EY12" t="e">
        <f t="shared" si="7"/>
        <v>#N/A</v>
      </c>
      <c r="EZ12" t="e">
        <f t="shared" si="7"/>
        <v>#N/A</v>
      </c>
      <c r="FA12" t="e">
        <f t="shared" si="7"/>
        <v>#N/A</v>
      </c>
      <c r="FB12" t="e">
        <f t="shared" si="7"/>
        <v>#N/A</v>
      </c>
      <c r="FC12" t="e">
        <f t="shared" si="7"/>
        <v>#N/A</v>
      </c>
      <c r="FD12" t="e">
        <f t="shared" si="7"/>
        <v>#N/A</v>
      </c>
      <c r="FE12" t="e">
        <f t="shared" si="7"/>
        <v>#N/A</v>
      </c>
      <c r="FF12" t="e">
        <f t="shared" si="7"/>
        <v>#N/A</v>
      </c>
      <c r="FG12" t="e">
        <f t="shared" si="7"/>
        <v>#N/A</v>
      </c>
      <c r="FH12" t="e">
        <f t="shared" si="7"/>
        <v>#N/A</v>
      </c>
      <c r="FI12" t="e">
        <f t="shared" si="7"/>
        <v>#N/A</v>
      </c>
      <c r="FJ12" t="e">
        <f t="shared" si="7"/>
        <v>#N/A</v>
      </c>
      <c r="FK12" t="e">
        <f t="shared" si="7"/>
        <v>#N/A</v>
      </c>
      <c r="FL12" t="e">
        <f t="shared" si="7"/>
        <v>#N/A</v>
      </c>
      <c r="FM12" t="e">
        <f t="shared" si="7"/>
        <v>#N/A</v>
      </c>
      <c r="FN12" t="e">
        <f t="shared" si="7"/>
        <v>#N/A</v>
      </c>
      <c r="FO12" t="e">
        <f t="shared" si="7"/>
        <v>#N/A</v>
      </c>
      <c r="FP12" t="e">
        <f t="shared" si="7"/>
        <v>#N/A</v>
      </c>
      <c r="FQ12" t="e">
        <f t="shared" si="7"/>
        <v>#N/A</v>
      </c>
      <c r="FR12" t="e">
        <f t="shared" si="7"/>
        <v>#N/A</v>
      </c>
      <c r="FS12" t="e">
        <f t="shared" si="7"/>
        <v>#N/A</v>
      </c>
      <c r="FT12" t="e">
        <f t="shared" si="7"/>
        <v>#N/A</v>
      </c>
      <c r="FU12" t="e">
        <f t="shared" si="7"/>
        <v>#N/A</v>
      </c>
      <c r="FV12" t="e">
        <f t="shared" si="7"/>
        <v>#N/A</v>
      </c>
      <c r="FW12" t="e">
        <f t="shared" si="7"/>
        <v>#N/A</v>
      </c>
      <c r="FX12" t="e">
        <f t="shared" si="7"/>
        <v>#N/A</v>
      </c>
      <c r="FY12" t="e">
        <f t="shared" si="7"/>
        <v>#N/A</v>
      </c>
      <c r="FZ12" t="e">
        <f t="shared" si="7"/>
        <v>#N/A</v>
      </c>
      <c r="GA12" t="e">
        <f t="shared" si="7"/>
        <v>#N/A</v>
      </c>
    </row>
    <row r="13" spans="1:183" x14ac:dyDescent="0.45">
      <c r="A13" t="str">
        <f t="shared" si="8"/>
        <v>Flip Knife Freehand Fn</v>
      </c>
      <c r="C13" cm="1">
        <f t="array" ref="C13">LOOKUP(2,1/(I13:GA13&lt;&gt;""),I13:GA13)</f>
        <v>126.36</v>
      </c>
      <c r="D13">
        <f t="shared" si="9"/>
        <v>45</v>
      </c>
      <c r="F13" s="4">
        <f t="shared" si="10"/>
        <v>-0.13428336530556323</v>
      </c>
      <c r="G13" s="3" cm="1">
        <f t="array" ref="G13">(C13-IF(ISNA(INDEX(I13:GA13,D13-22)),INDEX(I13:GA13,D13-23),INDEX(I13:GA13,D13-22)))/IF(ISNA(INDEX(I13:GA13,D13-22)),INDEX(I13:GA13,D13-23),INDEX(I13:GA13,D13-22))</f>
        <v>-9.0673575129533737E-2</v>
      </c>
      <c r="I13">
        <f t="shared" si="11"/>
        <v>145.96</v>
      </c>
      <c r="J13">
        <f t="shared" ref="J13:BU14" si="12">IF(ISBLANK(J5),NA(),ROUNDDOWN(J5*0.75,2))</f>
        <v>143.69999999999999</v>
      </c>
      <c r="K13" t="e">
        <f t="shared" si="12"/>
        <v>#N/A</v>
      </c>
      <c r="L13">
        <f t="shared" si="12"/>
        <v>135.08000000000001</v>
      </c>
      <c r="M13" t="e">
        <f t="shared" si="12"/>
        <v>#N/A</v>
      </c>
      <c r="N13">
        <f t="shared" si="12"/>
        <v>144.31</v>
      </c>
      <c r="O13">
        <f t="shared" si="12"/>
        <v>144.31</v>
      </c>
      <c r="P13">
        <f t="shared" si="12"/>
        <v>143.46</v>
      </c>
      <c r="Q13">
        <f t="shared" si="12"/>
        <v>137.26</v>
      </c>
      <c r="R13">
        <f t="shared" si="12"/>
        <v>143.13</v>
      </c>
      <c r="S13">
        <f t="shared" si="12"/>
        <v>137.4</v>
      </c>
      <c r="T13">
        <f t="shared" si="12"/>
        <v>141.59</v>
      </c>
      <c r="U13">
        <f t="shared" si="12"/>
        <v>141.72999999999999</v>
      </c>
      <c r="V13">
        <f t="shared" si="12"/>
        <v>135.81</v>
      </c>
      <c r="W13">
        <f t="shared" si="12"/>
        <v>142.57</v>
      </c>
      <c r="X13">
        <f t="shared" si="12"/>
        <v>142.31</v>
      </c>
      <c r="Y13">
        <f t="shared" si="12"/>
        <v>135.55000000000001</v>
      </c>
      <c r="Z13">
        <f t="shared" si="12"/>
        <v>142.19999999999999</v>
      </c>
      <c r="AA13">
        <f t="shared" si="12"/>
        <v>139.77000000000001</v>
      </c>
      <c r="AB13">
        <f t="shared" si="12"/>
        <v>135.15</v>
      </c>
      <c r="AC13">
        <f t="shared" si="12"/>
        <v>123.43</v>
      </c>
      <c r="AD13">
        <f t="shared" si="12"/>
        <v>127.32</v>
      </c>
      <c r="AE13">
        <f t="shared" si="12"/>
        <v>138.96</v>
      </c>
      <c r="AF13">
        <f t="shared" si="12"/>
        <v>134.13</v>
      </c>
      <c r="AG13">
        <f t="shared" si="12"/>
        <v>137.03</v>
      </c>
      <c r="AH13">
        <f t="shared" si="12"/>
        <v>137.25</v>
      </c>
      <c r="AI13">
        <f t="shared" si="12"/>
        <v>135.51</v>
      </c>
      <c r="AJ13">
        <f t="shared" si="12"/>
        <v>136.04</v>
      </c>
      <c r="AK13">
        <f t="shared" si="12"/>
        <v>136.55000000000001</v>
      </c>
      <c r="AL13">
        <f t="shared" si="12"/>
        <v>134.76</v>
      </c>
      <c r="AM13">
        <f t="shared" si="12"/>
        <v>133.13999999999999</v>
      </c>
      <c r="AN13" t="e">
        <f t="shared" si="12"/>
        <v>#N/A</v>
      </c>
      <c r="AO13">
        <f t="shared" si="12"/>
        <v>130.81</v>
      </c>
      <c r="AP13">
        <f t="shared" si="12"/>
        <v>121.61</v>
      </c>
      <c r="AQ13">
        <f t="shared" si="12"/>
        <v>139.63999999999999</v>
      </c>
      <c r="AR13">
        <f t="shared" si="12"/>
        <v>128.34</v>
      </c>
      <c r="AS13">
        <f t="shared" si="12"/>
        <v>126.36</v>
      </c>
      <c r="AT13" t="e">
        <f t="shared" si="12"/>
        <v>#N/A</v>
      </c>
      <c r="AU13" t="e">
        <f t="shared" si="12"/>
        <v>#N/A</v>
      </c>
      <c r="AV13" t="e">
        <f t="shared" si="12"/>
        <v>#N/A</v>
      </c>
      <c r="AW13" t="e">
        <f t="shared" si="12"/>
        <v>#N/A</v>
      </c>
      <c r="AX13" t="e">
        <f t="shared" si="12"/>
        <v>#N/A</v>
      </c>
      <c r="AY13" t="e">
        <f t="shared" si="12"/>
        <v>#N/A</v>
      </c>
      <c r="AZ13" t="e">
        <f t="shared" si="12"/>
        <v>#N/A</v>
      </c>
      <c r="BA13" t="e">
        <f t="shared" si="12"/>
        <v>#N/A</v>
      </c>
      <c r="BB13" t="e">
        <f t="shared" si="12"/>
        <v>#N/A</v>
      </c>
      <c r="BC13" t="e">
        <f t="shared" si="12"/>
        <v>#N/A</v>
      </c>
      <c r="BD13" t="e">
        <f t="shared" si="12"/>
        <v>#N/A</v>
      </c>
      <c r="BE13" t="e">
        <f t="shared" si="12"/>
        <v>#N/A</v>
      </c>
      <c r="BF13" t="e">
        <f t="shared" si="12"/>
        <v>#N/A</v>
      </c>
      <c r="BG13" t="e">
        <f t="shared" si="12"/>
        <v>#N/A</v>
      </c>
      <c r="BH13" t="e">
        <f t="shared" si="12"/>
        <v>#N/A</v>
      </c>
      <c r="BI13" t="e">
        <f t="shared" si="12"/>
        <v>#N/A</v>
      </c>
      <c r="BJ13" t="e">
        <f t="shared" si="12"/>
        <v>#N/A</v>
      </c>
      <c r="BK13" t="e">
        <f t="shared" si="12"/>
        <v>#N/A</v>
      </c>
      <c r="BL13" t="e">
        <f t="shared" si="12"/>
        <v>#N/A</v>
      </c>
      <c r="BM13" t="e">
        <f t="shared" si="12"/>
        <v>#N/A</v>
      </c>
      <c r="BN13" t="e">
        <f t="shared" si="12"/>
        <v>#N/A</v>
      </c>
      <c r="BO13" t="e">
        <f t="shared" si="12"/>
        <v>#N/A</v>
      </c>
      <c r="BP13" t="e">
        <f t="shared" si="12"/>
        <v>#N/A</v>
      </c>
      <c r="BQ13" t="e">
        <f t="shared" si="12"/>
        <v>#N/A</v>
      </c>
      <c r="BR13" t="e">
        <f t="shared" si="12"/>
        <v>#N/A</v>
      </c>
      <c r="BS13" t="e">
        <f t="shared" si="12"/>
        <v>#N/A</v>
      </c>
      <c r="BT13" t="e">
        <f t="shared" si="12"/>
        <v>#N/A</v>
      </c>
      <c r="BU13" t="e">
        <f t="shared" si="12"/>
        <v>#N/A</v>
      </c>
      <c r="BV13" t="e">
        <f t="shared" si="6"/>
        <v>#N/A</v>
      </c>
      <c r="BW13" t="e">
        <f t="shared" si="6"/>
        <v>#N/A</v>
      </c>
      <c r="BX13" t="e">
        <f t="shared" si="6"/>
        <v>#N/A</v>
      </c>
      <c r="BY13" t="e">
        <f t="shared" si="6"/>
        <v>#N/A</v>
      </c>
      <c r="BZ13" t="e">
        <f t="shared" si="6"/>
        <v>#N/A</v>
      </c>
      <c r="CA13" t="e">
        <f t="shared" si="6"/>
        <v>#N/A</v>
      </c>
      <c r="CB13" t="e">
        <f t="shared" si="6"/>
        <v>#N/A</v>
      </c>
      <c r="CC13" t="e">
        <f t="shared" si="6"/>
        <v>#N/A</v>
      </c>
      <c r="CD13" t="e">
        <f t="shared" si="6"/>
        <v>#N/A</v>
      </c>
      <c r="CE13" t="e">
        <f t="shared" si="6"/>
        <v>#N/A</v>
      </c>
      <c r="CF13" t="e">
        <f t="shared" si="6"/>
        <v>#N/A</v>
      </c>
      <c r="CG13" t="e">
        <f t="shared" si="6"/>
        <v>#N/A</v>
      </c>
      <c r="CH13" t="e">
        <f t="shared" si="6"/>
        <v>#N/A</v>
      </c>
      <c r="CI13" t="e">
        <f t="shared" si="6"/>
        <v>#N/A</v>
      </c>
      <c r="CJ13" t="e">
        <f t="shared" si="6"/>
        <v>#N/A</v>
      </c>
      <c r="CK13" t="e">
        <f t="shared" si="6"/>
        <v>#N/A</v>
      </c>
      <c r="CL13" t="e">
        <f t="shared" si="6"/>
        <v>#N/A</v>
      </c>
      <c r="CM13" t="e">
        <f t="shared" si="6"/>
        <v>#N/A</v>
      </c>
      <c r="CN13" t="e">
        <f t="shared" si="6"/>
        <v>#N/A</v>
      </c>
      <c r="CO13" t="e">
        <f t="shared" si="6"/>
        <v>#N/A</v>
      </c>
      <c r="CP13" t="e">
        <f t="shared" si="6"/>
        <v>#N/A</v>
      </c>
      <c r="CQ13" t="e">
        <f t="shared" si="6"/>
        <v>#N/A</v>
      </c>
      <c r="CR13" t="e">
        <f t="shared" si="6"/>
        <v>#N/A</v>
      </c>
      <c r="CS13" t="e">
        <f t="shared" si="6"/>
        <v>#N/A</v>
      </c>
      <c r="CT13" t="e">
        <f t="shared" si="6"/>
        <v>#N/A</v>
      </c>
      <c r="CU13" t="e">
        <f t="shared" si="6"/>
        <v>#N/A</v>
      </c>
      <c r="CV13" t="e">
        <f t="shared" si="6"/>
        <v>#N/A</v>
      </c>
      <c r="CW13" t="e">
        <f t="shared" si="6"/>
        <v>#N/A</v>
      </c>
      <c r="CX13" t="e">
        <f t="shared" si="6"/>
        <v>#N/A</v>
      </c>
      <c r="CY13" t="e">
        <f t="shared" si="6"/>
        <v>#N/A</v>
      </c>
      <c r="CZ13" t="e">
        <f t="shared" si="6"/>
        <v>#N/A</v>
      </c>
      <c r="DA13" t="e">
        <f t="shared" si="6"/>
        <v>#N/A</v>
      </c>
      <c r="DB13" t="e">
        <f t="shared" si="6"/>
        <v>#N/A</v>
      </c>
      <c r="DC13" t="e">
        <f t="shared" si="6"/>
        <v>#N/A</v>
      </c>
      <c r="DD13" t="e">
        <f t="shared" si="6"/>
        <v>#N/A</v>
      </c>
      <c r="DE13" t="e">
        <f t="shared" si="6"/>
        <v>#N/A</v>
      </c>
      <c r="DF13" t="e">
        <f t="shared" si="6"/>
        <v>#N/A</v>
      </c>
      <c r="DG13" t="e">
        <f t="shared" si="6"/>
        <v>#N/A</v>
      </c>
      <c r="DH13" t="e">
        <f t="shared" si="6"/>
        <v>#N/A</v>
      </c>
      <c r="DI13" t="e">
        <f t="shared" si="6"/>
        <v>#N/A</v>
      </c>
      <c r="DJ13" t="e">
        <f t="shared" si="6"/>
        <v>#N/A</v>
      </c>
      <c r="DK13" t="e">
        <f t="shared" si="6"/>
        <v>#N/A</v>
      </c>
      <c r="DL13" t="e">
        <f t="shared" si="6"/>
        <v>#N/A</v>
      </c>
      <c r="DM13" t="e">
        <f t="shared" si="6"/>
        <v>#N/A</v>
      </c>
      <c r="DN13" t="e">
        <f t="shared" si="6"/>
        <v>#N/A</v>
      </c>
      <c r="DO13" t="e">
        <f t="shared" si="6"/>
        <v>#N/A</v>
      </c>
      <c r="DP13" t="e">
        <f t="shared" si="6"/>
        <v>#N/A</v>
      </c>
      <c r="DQ13" t="e">
        <f t="shared" si="6"/>
        <v>#N/A</v>
      </c>
      <c r="DR13" t="e">
        <f t="shared" si="6"/>
        <v>#N/A</v>
      </c>
      <c r="DS13" t="e">
        <f t="shared" si="6"/>
        <v>#N/A</v>
      </c>
      <c r="DT13" t="e">
        <f t="shared" si="6"/>
        <v>#N/A</v>
      </c>
      <c r="DU13" t="e">
        <f t="shared" si="6"/>
        <v>#N/A</v>
      </c>
      <c r="DV13" t="e">
        <f t="shared" si="6"/>
        <v>#N/A</v>
      </c>
      <c r="DW13" t="e">
        <f t="shared" si="6"/>
        <v>#N/A</v>
      </c>
      <c r="DX13" t="e">
        <f t="shared" si="6"/>
        <v>#N/A</v>
      </c>
      <c r="DY13" t="e">
        <f t="shared" si="6"/>
        <v>#N/A</v>
      </c>
      <c r="DZ13" t="e">
        <f t="shared" si="6"/>
        <v>#N/A</v>
      </c>
      <c r="EA13" t="e">
        <f t="shared" si="6"/>
        <v>#N/A</v>
      </c>
      <c r="EB13" t="e">
        <f t="shared" si="6"/>
        <v>#N/A</v>
      </c>
      <c r="EC13" t="e">
        <f t="shared" si="6"/>
        <v>#N/A</v>
      </c>
      <c r="ED13" t="e">
        <f t="shared" si="6"/>
        <v>#N/A</v>
      </c>
      <c r="EE13" t="e">
        <f t="shared" si="6"/>
        <v>#N/A</v>
      </c>
      <c r="EF13" t="e">
        <f t="shared" si="6"/>
        <v>#N/A</v>
      </c>
      <c r="EG13" t="e">
        <f t="shared" si="6"/>
        <v>#N/A</v>
      </c>
      <c r="EH13" t="e">
        <f t="shared" si="7"/>
        <v>#N/A</v>
      </c>
      <c r="EI13" t="e">
        <f t="shared" si="7"/>
        <v>#N/A</v>
      </c>
      <c r="EJ13" t="e">
        <f t="shared" si="7"/>
        <v>#N/A</v>
      </c>
      <c r="EK13" t="e">
        <f t="shared" si="7"/>
        <v>#N/A</v>
      </c>
      <c r="EL13" t="e">
        <f t="shared" si="7"/>
        <v>#N/A</v>
      </c>
      <c r="EM13" t="e">
        <f t="shared" si="7"/>
        <v>#N/A</v>
      </c>
      <c r="EN13" t="e">
        <f t="shared" si="7"/>
        <v>#N/A</v>
      </c>
      <c r="EO13" t="e">
        <f t="shared" si="7"/>
        <v>#N/A</v>
      </c>
      <c r="EP13" t="e">
        <f t="shared" si="7"/>
        <v>#N/A</v>
      </c>
      <c r="EQ13" t="e">
        <f t="shared" si="7"/>
        <v>#N/A</v>
      </c>
      <c r="ER13" t="e">
        <f t="shared" si="7"/>
        <v>#N/A</v>
      </c>
      <c r="ES13" t="e">
        <f t="shared" si="7"/>
        <v>#N/A</v>
      </c>
      <c r="ET13" t="e">
        <f t="shared" si="7"/>
        <v>#N/A</v>
      </c>
      <c r="EU13" t="e">
        <f t="shared" si="7"/>
        <v>#N/A</v>
      </c>
      <c r="EV13" t="e">
        <f t="shared" si="7"/>
        <v>#N/A</v>
      </c>
      <c r="EW13" t="e">
        <f t="shared" si="7"/>
        <v>#N/A</v>
      </c>
      <c r="EX13" t="e">
        <f t="shared" si="7"/>
        <v>#N/A</v>
      </c>
      <c r="EY13" t="e">
        <f t="shared" si="7"/>
        <v>#N/A</v>
      </c>
      <c r="EZ13" t="e">
        <f t="shared" si="7"/>
        <v>#N/A</v>
      </c>
      <c r="FA13" t="e">
        <f t="shared" si="7"/>
        <v>#N/A</v>
      </c>
      <c r="FB13" t="e">
        <f t="shared" si="7"/>
        <v>#N/A</v>
      </c>
      <c r="FC13" t="e">
        <f t="shared" si="7"/>
        <v>#N/A</v>
      </c>
      <c r="FD13" t="e">
        <f t="shared" si="7"/>
        <v>#N/A</v>
      </c>
      <c r="FE13" t="e">
        <f t="shared" si="7"/>
        <v>#N/A</v>
      </c>
      <c r="FF13" t="e">
        <f t="shared" si="7"/>
        <v>#N/A</v>
      </c>
      <c r="FG13" t="e">
        <f t="shared" si="7"/>
        <v>#N/A</v>
      </c>
      <c r="FH13" t="e">
        <f t="shared" si="7"/>
        <v>#N/A</v>
      </c>
      <c r="FI13" t="e">
        <f t="shared" si="7"/>
        <v>#N/A</v>
      </c>
      <c r="FJ13" t="e">
        <f t="shared" si="7"/>
        <v>#N/A</v>
      </c>
      <c r="FK13" t="e">
        <f t="shared" si="7"/>
        <v>#N/A</v>
      </c>
      <c r="FL13" t="e">
        <f t="shared" si="7"/>
        <v>#N/A</v>
      </c>
      <c r="FM13" t="e">
        <f t="shared" si="7"/>
        <v>#N/A</v>
      </c>
      <c r="FN13" t="e">
        <f t="shared" si="7"/>
        <v>#N/A</v>
      </c>
      <c r="FO13" t="e">
        <f t="shared" si="7"/>
        <v>#N/A</v>
      </c>
      <c r="FP13" t="e">
        <f t="shared" si="7"/>
        <v>#N/A</v>
      </c>
      <c r="FQ13" t="e">
        <f t="shared" si="7"/>
        <v>#N/A</v>
      </c>
      <c r="FR13" t="e">
        <f t="shared" si="7"/>
        <v>#N/A</v>
      </c>
      <c r="FS13" t="e">
        <f t="shared" si="7"/>
        <v>#N/A</v>
      </c>
      <c r="FT13" t="e">
        <f t="shared" si="7"/>
        <v>#N/A</v>
      </c>
      <c r="FU13" t="e">
        <f t="shared" si="7"/>
        <v>#N/A</v>
      </c>
      <c r="FV13" t="e">
        <f t="shared" si="7"/>
        <v>#N/A</v>
      </c>
      <c r="FW13" t="e">
        <f t="shared" si="7"/>
        <v>#N/A</v>
      </c>
      <c r="FX13" t="e">
        <f t="shared" si="7"/>
        <v>#N/A</v>
      </c>
      <c r="FY13" t="e">
        <f t="shared" si="7"/>
        <v>#N/A</v>
      </c>
      <c r="FZ13" t="e">
        <f t="shared" si="7"/>
        <v>#N/A</v>
      </c>
      <c r="GA13" t="e">
        <f t="shared" si="7"/>
        <v>#N/A</v>
      </c>
    </row>
    <row r="14" spans="1:183" x14ac:dyDescent="0.45">
      <c r="A14" t="str">
        <f t="shared" si="8"/>
        <v>Karambit Ultraviolet FT</v>
      </c>
      <c r="C14" cm="1">
        <f t="array" ref="C14">LOOKUP(2,1/(I14:GA14&lt;&gt;""),I14:GA14)</f>
        <v>303.31</v>
      </c>
      <c r="D14">
        <f t="shared" si="9"/>
        <v>45</v>
      </c>
      <c r="F14" s="4">
        <f t="shared" si="10"/>
        <v>6.2716793384954894E-2</v>
      </c>
      <c r="G14" s="3" cm="1">
        <f t="array" ref="G14">(C14-IF(ISNA(INDEX(I14:GA14,D14-22)),INDEX(I14:GA14,D14-23),INDEX(I14:GA14,D14-22)))/IF(ISNA(INDEX(I14:GA14,D14-22)),INDEX(I14:GA14,D14-23),INDEX(I14:GA14,D14-22))</f>
        <v>-4.7811891756137433E-2</v>
      </c>
      <c r="I14">
        <f t="shared" si="11"/>
        <v>285.41000000000003</v>
      </c>
      <c r="J14">
        <f t="shared" si="12"/>
        <v>287.26</v>
      </c>
      <c r="K14" t="e">
        <f t="shared" si="12"/>
        <v>#N/A</v>
      </c>
      <c r="L14">
        <f t="shared" si="12"/>
        <v>271.42</v>
      </c>
      <c r="M14" t="e">
        <f t="shared" si="12"/>
        <v>#N/A</v>
      </c>
      <c r="N14">
        <f t="shared" si="12"/>
        <v>271.47000000000003</v>
      </c>
      <c r="O14">
        <f t="shared" si="12"/>
        <v>279.3</v>
      </c>
      <c r="P14">
        <f t="shared" si="12"/>
        <v>274.42</v>
      </c>
      <c r="Q14">
        <f t="shared" si="12"/>
        <v>250.95</v>
      </c>
      <c r="R14">
        <f t="shared" si="12"/>
        <v>266.69</v>
      </c>
      <c r="S14">
        <f t="shared" si="12"/>
        <v>263.08999999999997</v>
      </c>
      <c r="T14">
        <f t="shared" si="12"/>
        <v>288.95999999999998</v>
      </c>
      <c r="U14">
        <f t="shared" si="12"/>
        <v>293.36</v>
      </c>
      <c r="V14">
        <f t="shared" si="12"/>
        <v>293.55</v>
      </c>
      <c r="W14">
        <f t="shared" si="12"/>
        <v>277.77</v>
      </c>
      <c r="X14">
        <f t="shared" si="12"/>
        <v>289.95</v>
      </c>
      <c r="Y14">
        <f t="shared" si="12"/>
        <v>289.83</v>
      </c>
      <c r="Z14">
        <f t="shared" si="12"/>
        <v>287.07</v>
      </c>
      <c r="AA14">
        <f t="shared" si="12"/>
        <v>297.75</v>
      </c>
      <c r="AB14">
        <f t="shared" si="12"/>
        <v>304.93</v>
      </c>
      <c r="AC14">
        <f t="shared" si="12"/>
        <v>288.73</v>
      </c>
      <c r="AD14">
        <f t="shared" si="12"/>
        <v>289.47000000000003</v>
      </c>
      <c r="AE14">
        <f t="shared" si="12"/>
        <v>318.54000000000002</v>
      </c>
      <c r="AF14">
        <f t="shared" si="12"/>
        <v>295.7</v>
      </c>
      <c r="AG14">
        <f t="shared" si="12"/>
        <v>303.02999999999997</v>
      </c>
      <c r="AH14">
        <f t="shared" si="12"/>
        <v>302.52999999999997</v>
      </c>
      <c r="AI14">
        <f t="shared" si="12"/>
        <v>270.95</v>
      </c>
      <c r="AJ14">
        <f t="shared" si="12"/>
        <v>288.39</v>
      </c>
      <c r="AK14">
        <f t="shared" si="12"/>
        <v>280.62</v>
      </c>
      <c r="AL14">
        <f t="shared" si="12"/>
        <v>278.73</v>
      </c>
      <c r="AM14">
        <f t="shared" si="12"/>
        <v>285.52999999999997</v>
      </c>
      <c r="AN14" t="e">
        <f t="shared" si="12"/>
        <v>#N/A</v>
      </c>
      <c r="AO14">
        <f t="shared" si="12"/>
        <v>293.39999999999998</v>
      </c>
      <c r="AP14">
        <f t="shared" si="12"/>
        <v>288.83</v>
      </c>
      <c r="AQ14">
        <f t="shared" si="12"/>
        <v>282.86</v>
      </c>
      <c r="AR14">
        <f t="shared" si="12"/>
        <v>298.38</v>
      </c>
      <c r="AS14">
        <f t="shared" si="12"/>
        <v>303.31</v>
      </c>
      <c r="AT14" t="e">
        <f t="shared" si="12"/>
        <v>#N/A</v>
      </c>
      <c r="AU14" t="e">
        <f t="shared" si="12"/>
        <v>#N/A</v>
      </c>
      <c r="AV14" t="e">
        <f t="shared" si="12"/>
        <v>#N/A</v>
      </c>
      <c r="AW14" t="e">
        <f t="shared" si="12"/>
        <v>#N/A</v>
      </c>
      <c r="AX14" t="e">
        <f t="shared" si="12"/>
        <v>#N/A</v>
      </c>
      <c r="AY14" t="e">
        <f t="shared" si="12"/>
        <v>#N/A</v>
      </c>
      <c r="AZ14" t="e">
        <f t="shared" si="12"/>
        <v>#N/A</v>
      </c>
      <c r="BA14" t="e">
        <f t="shared" si="12"/>
        <v>#N/A</v>
      </c>
      <c r="BB14" t="e">
        <f t="shared" si="12"/>
        <v>#N/A</v>
      </c>
      <c r="BC14" t="e">
        <f t="shared" si="12"/>
        <v>#N/A</v>
      </c>
      <c r="BD14" t="e">
        <f t="shared" si="12"/>
        <v>#N/A</v>
      </c>
      <c r="BE14" t="e">
        <f t="shared" si="12"/>
        <v>#N/A</v>
      </c>
      <c r="BF14" t="e">
        <f t="shared" si="12"/>
        <v>#N/A</v>
      </c>
      <c r="BG14" t="e">
        <f t="shared" si="12"/>
        <v>#N/A</v>
      </c>
      <c r="BH14" t="e">
        <f t="shared" si="12"/>
        <v>#N/A</v>
      </c>
      <c r="BI14" t="e">
        <f t="shared" si="12"/>
        <v>#N/A</v>
      </c>
      <c r="BJ14" t="e">
        <f t="shared" si="12"/>
        <v>#N/A</v>
      </c>
      <c r="BK14" t="e">
        <f t="shared" si="12"/>
        <v>#N/A</v>
      </c>
      <c r="BL14" t="e">
        <f t="shared" si="12"/>
        <v>#N/A</v>
      </c>
      <c r="BM14" t="e">
        <f t="shared" si="12"/>
        <v>#N/A</v>
      </c>
      <c r="BN14" t="e">
        <f t="shared" si="12"/>
        <v>#N/A</v>
      </c>
      <c r="BO14" t="e">
        <f t="shared" si="12"/>
        <v>#N/A</v>
      </c>
      <c r="BP14" t="e">
        <f t="shared" si="12"/>
        <v>#N/A</v>
      </c>
      <c r="BQ14" t="e">
        <f t="shared" si="12"/>
        <v>#N/A</v>
      </c>
      <c r="BR14" t="e">
        <f t="shared" si="12"/>
        <v>#N/A</v>
      </c>
      <c r="BS14" t="e">
        <f t="shared" si="12"/>
        <v>#N/A</v>
      </c>
      <c r="BT14" t="e">
        <f t="shared" si="12"/>
        <v>#N/A</v>
      </c>
      <c r="BU14" t="e">
        <f t="shared" si="12"/>
        <v>#N/A</v>
      </c>
      <c r="BV14" t="e">
        <f t="shared" si="6"/>
        <v>#N/A</v>
      </c>
      <c r="BW14" t="e">
        <f t="shared" si="6"/>
        <v>#N/A</v>
      </c>
      <c r="BX14" t="e">
        <f t="shared" si="6"/>
        <v>#N/A</v>
      </c>
      <c r="BY14" t="e">
        <f t="shared" si="6"/>
        <v>#N/A</v>
      </c>
      <c r="BZ14" t="e">
        <f t="shared" si="6"/>
        <v>#N/A</v>
      </c>
      <c r="CA14" t="e">
        <f t="shared" si="6"/>
        <v>#N/A</v>
      </c>
      <c r="CB14" t="e">
        <f t="shared" si="6"/>
        <v>#N/A</v>
      </c>
      <c r="CC14" t="e">
        <f t="shared" si="6"/>
        <v>#N/A</v>
      </c>
      <c r="CD14" t="e">
        <f t="shared" si="6"/>
        <v>#N/A</v>
      </c>
      <c r="CE14" t="e">
        <f t="shared" si="6"/>
        <v>#N/A</v>
      </c>
      <c r="CF14" t="e">
        <f t="shared" si="6"/>
        <v>#N/A</v>
      </c>
      <c r="CG14" t="e">
        <f t="shared" si="6"/>
        <v>#N/A</v>
      </c>
      <c r="CH14" t="e">
        <f t="shared" si="6"/>
        <v>#N/A</v>
      </c>
      <c r="CI14" t="e">
        <f t="shared" si="6"/>
        <v>#N/A</v>
      </c>
      <c r="CJ14" t="e">
        <f t="shared" si="6"/>
        <v>#N/A</v>
      </c>
      <c r="CK14" t="e">
        <f t="shared" si="6"/>
        <v>#N/A</v>
      </c>
      <c r="CL14" t="e">
        <f t="shared" si="6"/>
        <v>#N/A</v>
      </c>
      <c r="CM14" t="e">
        <f t="shared" si="6"/>
        <v>#N/A</v>
      </c>
      <c r="CN14" t="e">
        <f t="shared" si="6"/>
        <v>#N/A</v>
      </c>
      <c r="CO14" t="e">
        <f t="shared" si="6"/>
        <v>#N/A</v>
      </c>
      <c r="CP14" t="e">
        <f t="shared" si="6"/>
        <v>#N/A</v>
      </c>
      <c r="CQ14" t="e">
        <f t="shared" si="6"/>
        <v>#N/A</v>
      </c>
      <c r="CR14" t="e">
        <f t="shared" si="6"/>
        <v>#N/A</v>
      </c>
      <c r="CS14" t="e">
        <f t="shared" si="6"/>
        <v>#N/A</v>
      </c>
      <c r="CT14" t="e">
        <f t="shared" si="6"/>
        <v>#N/A</v>
      </c>
      <c r="CU14" t="e">
        <f t="shared" si="6"/>
        <v>#N/A</v>
      </c>
      <c r="CV14" t="e">
        <f t="shared" si="6"/>
        <v>#N/A</v>
      </c>
      <c r="CW14" t="e">
        <f t="shared" si="6"/>
        <v>#N/A</v>
      </c>
      <c r="CX14" t="e">
        <f t="shared" si="6"/>
        <v>#N/A</v>
      </c>
      <c r="CY14" t="e">
        <f t="shared" si="6"/>
        <v>#N/A</v>
      </c>
      <c r="CZ14" t="e">
        <f t="shared" si="6"/>
        <v>#N/A</v>
      </c>
      <c r="DA14" t="e">
        <f t="shared" si="6"/>
        <v>#N/A</v>
      </c>
      <c r="DB14" t="e">
        <f t="shared" si="6"/>
        <v>#N/A</v>
      </c>
      <c r="DC14" t="e">
        <f t="shared" si="6"/>
        <v>#N/A</v>
      </c>
      <c r="DD14" t="e">
        <f t="shared" si="6"/>
        <v>#N/A</v>
      </c>
      <c r="DE14" t="e">
        <f t="shared" si="6"/>
        <v>#N/A</v>
      </c>
      <c r="DF14" t="e">
        <f t="shared" si="6"/>
        <v>#N/A</v>
      </c>
      <c r="DG14" t="e">
        <f t="shared" si="6"/>
        <v>#N/A</v>
      </c>
      <c r="DH14" t="e">
        <f t="shared" si="6"/>
        <v>#N/A</v>
      </c>
      <c r="DI14" t="e">
        <f t="shared" si="6"/>
        <v>#N/A</v>
      </c>
      <c r="DJ14" t="e">
        <f t="shared" si="6"/>
        <v>#N/A</v>
      </c>
      <c r="DK14" t="e">
        <f t="shared" si="6"/>
        <v>#N/A</v>
      </c>
      <c r="DL14" t="e">
        <f t="shared" si="6"/>
        <v>#N/A</v>
      </c>
      <c r="DM14" t="e">
        <f t="shared" si="6"/>
        <v>#N/A</v>
      </c>
      <c r="DN14" t="e">
        <f t="shared" si="6"/>
        <v>#N/A</v>
      </c>
      <c r="DO14" t="e">
        <f t="shared" si="6"/>
        <v>#N/A</v>
      </c>
      <c r="DP14" t="e">
        <f t="shared" si="6"/>
        <v>#N/A</v>
      </c>
      <c r="DQ14" t="e">
        <f t="shared" si="6"/>
        <v>#N/A</v>
      </c>
      <c r="DR14" t="e">
        <f t="shared" si="6"/>
        <v>#N/A</v>
      </c>
      <c r="DS14" t="e">
        <f t="shared" si="6"/>
        <v>#N/A</v>
      </c>
      <c r="DT14" t="e">
        <f t="shared" si="6"/>
        <v>#N/A</v>
      </c>
      <c r="DU14" t="e">
        <f t="shared" si="6"/>
        <v>#N/A</v>
      </c>
      <c r="DV14" t="e">
        <f t="shared" si="6"/>
        <v>#N/A</v>
      </c>
      <c r="DW14" t="e">
        <f t="shared" si="6"/>
        <v>#N/A</v>
      </c>
      <c r="DX14" t="e">
        <f t="shared" si="6"/>
        <v>#N/A</v>
      </c>
      <c r="DY14" t="e">
        <f t="shared" si="6"/>
        <v>#N/A</v>
      </c>
      <c r="DZ14" t="e">
        <f t="shared" si="6"/>
        <v>#N/A</v>
      </c>
      <c r="EA14" t="e">
        <f t="shared" si="6"/>
        <v>#N/A</v>
      </c>
      <c r="EB14" t="e">
        <f t="shared" si="6"/>
        <v>#N/A</v>
      </c>
      <c r="EC14" t="e">
        <f t="shared" si="6"/>
        <v>#N/A</v>
      </c>
      <c r="ED14" t="e">
        <f t="shared" si="6"/>
        <v>#N/A</v>
      </c>
      <c r="EE14" t="e">
        <f t="shared" si="6"/>
        <v>#N/A</v>
      </c>
      <c r="EF14" t="e">
        <f t="shared" si="6"/>
        <v>#N/A</v>
      </c>
      <c r="EG14" t="e">
        <f t="shared" ref="EG14:GA14" si="13">IF(ISBLANK(EG6),NA(),ROUNDDOWN(EG6*0.75,2))</f>
        <v>#N/A</v>
      </c>
      <c r="EH14" t="e">
        <f t="shared" si="13"/>
        <v>#N/A</v>
      </c>
      <c r="EI14" t="e">
        <f t="shared" si="13"/>
        <v>#N/A</v>
      </c>
      <c r="EJ14" t="e">
        <f t="shared" si="13"/>
        <v>#N/A</v>
      </c>
      <c r="EK14" t="e">
        <f t="shared" si="13"/>
        <v>#N/A</v>
      </c>
      <c r="EL14" t="e">
        <f t="shared" si="13"/>
        <v>#N/A</v>
      </c>
      <c r="EM14" t="e">
        <f t="shared" si="13"/>
        <v>#N/A</v>
      </c>
      <c r="EN14" t="e">
        <f t="shared" si="13"/>
        <v>#N/A</v>
      </c>
      <c r="EO14" t="e">
        <f t="shared" si="13"/>
        <v>#N/A</v>
      </c>
      <c r="EP14" t="e">
        <f t="shared" si="13"/>
        <v>#N/A</v>
      </c>
      <c r="EQ14" t="e">
        <f t="shared" si="13"/>
        <v>#N/A</v>
      </c>
      <c r="ER14" t="e">
        <f t="shared" si="13"/>
        <v>#N/A</v>
      </c>
      <c r="ES14" t="e">
        <f t="shared" si="13"/>
        <v>#N/A</v>
      </c>
      <c r="ET14" t="e">
        <f t="shared" si="13"/>
        <v>#N/A</v>
      </c>
      <c r="EU14" t="e">
        <f t="shared" si="13"/>
        <v>#N/A</v>
      </c>
      <c r="EV14" t="e">
        <f t="shared" si="13"/>
        <v>#N/A</v>
      </c>
      <c r="EW14" t="e">
        <f t="shared" si="13"/>
        <v>#N/A</v>
      </c>
      <c r="EX14" t="e">
        <f t="shared" si="13"/>
        <v>#N/A</v>
      </c>
      <c r="EY14" t="e">
        <f t="shared" si="13"/>
        <v>#N/A</v>
      </c>
      <c r="EZ14" t="e">
        <f t="shared" si="13"/>
        <v>#N/A</v>
      </c>
      <c r="FA14" t="e">
        <f t="shared" si="13"/>
        <v>#N/A</v>
      </c>
      <c r="FB14" t="e">
        <f t="shared" si="13"/>
        <v>#N/A</v>
      </c>
      <c r="FC14" t="e">
        <f t="shared" si="13"/>
        <v>#N/A</v>
      </c>
      <c r="FD14" t="e">
        <f t="shared" si="13"/>
        <v>#N/A</v>
      </c>
      <c r="FE14" t="e">
        <f t="shared" si="13"/>
        <v>#N/A</v>
      </c>
      <c r="FF14" t="e">
        <f t="shared" si="13"/>
        <v>#N/A</v>
      </c>
      <c r="FG14" t="e">
        <f t="shared" si="13"/>
        <v>#N/A</v>
      </c>
      <c r="FH14" t="e">
        <f t="shared" si="13"/>
        <v>#N/A</v>
      </c>
      <c r="FI14" t="e">
        <f t="shared" si="13"/>
        <v>#N/A</v>
      </c>
      <c r="FJ14" t="e">
        <f t="shared" si="13"/>
        <v>#N/A</v>
      </c>
      <c r="FK14" t="e">
        <f t="shared" si="13"/>
        <v>#N/A</v>
      </c>
      <c r="FL14" t="e">
        <f t="shared" si="13"/>
        <v>#N/A</v>
      </c>
      <c r="FM14" t="e">
        <f t="shared" si="13"/>
        <v>#N/A</v>
      </c>
      <c r="FN14" t="e">
        <f t="shared" si="13"/>
        <v>#N/A</v>
      </c>
      <c r="FO14" t="e">
        <f t="shared" si="13"/>
        <v>#N/A</v>
      </c>
      <c r="FP14" t="e">
        <f t="shared" si="13"/>
        <v>#N/A</v>
      </c>
      <c r="FQ14" t="e">
        <f t="shared" si="13"/>
        <v>#N/A</v>
      </c>
      <c r="FR14" t="e">
        <f t="shared" si="13"/>
        <v>#N/A</v>
      </c>
      <c r="FS14" t="e">
        <f t="shared" si="13"/>
        <v>#N/A</v>
      </c>
      <c r="FT14" t="e">
        <f t="shared" si="13"/>
        <v>#N/A</v>
      </c>
      <c r="FU14" t="e">
        <f t="shared" si="13"/>
        <v>#N/A</v>
      </c>
      <c r="FV14" t="e">
        <f t="shared" si="13"/>
        <v>#N/A</v>
      </c>
      <c r="FW14" t="e">
        <f t="shared" si="13"/>
        <v>#N/A</v>
      </c>
      <c r="FX14" t="e">
        <f t="shared" si="13"/>
        <v>#N/A</v>
      </c>
      <c r="FY14" t="e">
        <f t="shared" si="13"/>
        <v>#N/A</v>
      </c>
      <c r="FZ14" t="e">
        <f t="shared" si="13"/>
        <v>#N/A</v>
      </c>
      <c r="GA14" t="e">
        <f t="shared" si="13"/>
        <v>#N/A</v>
      </c>
    </row>
    <row r="18" spans="1:183" x14ac:dyDescent="0.45">
      <c r="I18" s="1">
        <f>I10</f>
        <v>44331</v>
      </c>
      <c r="J18" s="1">
        <f t="shared" ref="J18:BU18" si="14">J10</f>
        <v>44332</v>
      </c>
      <c r="K18" s="1">
        <f t="shared" si="14"/>
        <v>44333</v>
      </c>
      <c r="L18" s="1">
        <f t="shared" si="14"/>
        <v>44334</v>
      </c>
      <c r="M18" s="1">
        <f t="shared" si="14"/>
        <v>44335</v>
      </c>
      <c r="N18" s="1">
        <f t="shared" si="14"/>
        <v>44336</v>
      </c>
      <c r="O18" s="1">
        <f t="shared" si="14"/>
        <v>44337</v>
      </c>
      <c r="P18" s="1">
        <f t="shared" si="14"/>
        <v>44338</v>
      </c>
      <c r="Q18" s="1">
        <f t="shared" si="14"/>
        <v>44339</v>
      </c>
      <c r="R18" s="1">
        <f t="shared" si="14"/>
        <v>44340</v>
      </c>
      <c r="S18" s="1">
        <f t="shared" si="14"/>
        <v>44341</v>
      </c>
      <c r="T18" s="1">
        <f t="shared" si="14"/>
        <v>44342</v>
      </c>
      <c r="U18" s="1">
        <f t="shared" si="14"/>
        <v>44343</v>
      </c>
      <c r="V18" s="1">
        <f t="shared" si="14"/>
        <v>44344</v>
      </c>
      <c r="W18" s="1">
        <f t="shared" si="14"/>
        <v>44345</v>
      </c>
      <c r="X18" s="1">
        <f t="shared" si="14"/>
        <v>44346</v>
      </c>
      <c r="Y18" s="1">
        <f t="shared" si="14"/>
        <v>44347</v>
      </c>
      <c r="Z18" s="1">
        <f t="shared" si="14"/>
        <v>44348</v>
      </c>
      <c r="AA18" s="1">
        <f t="shared" si="14"/>
        <v>44349</v>
      </c>
      <c r="AB18" s="1">
        <f t="shared" si="14"/>
        <v>44350</v>
      </c>
      <c r="AC18" s="1">
        <f t="shared" si="14"/>
        <v>44351</v>
      </c>
      <c r="AD18" s="1">
        <f t="shared" si="14"/>
        <v>44352</v>
      </c>
      <c r="AE18" s="1">
        <f t="shared" si="14"/>
        <v>44353</v>
      </c>
      <c r="AF18" s="1">
        <f t="shared" si="14"/>
        <v>44354</v>
      </c>
      <c r="AG18" s="1">
        <f t="shared" si="14"/>
        <v>44355</v>
      </c>
      <c r="AH18" s="1">
        <f t="shared" si="14"/>
        <v>44356</v>
      </c>
      <c r="AI18" s="1">
        <f t="shared" si="14"/>
        <v>44357</v>
      </c>
      <c r="AJ18" s="1">
        <f t="shared" si="14"/>
        <v>44358</v>
      </c>
      <c r="AK18" s="1">
        <f t="shared" si="14"/>
        <v>44359</v>
      </c>
      <c r="AL18" s="1">
        <f t="shared" si="14"/>
        <v>44360</v>
      </c>
      <c r="AM18" s="1">
        <f t="shared" si="14"/>
        <v>44361</v>
      </c>
      <c r="AN18" s="1">
        <f t="shared" si="14"/>
        <v>44362</v>
      </c>
      <c r="AO18" s="1">
        <f t="shared" si="14"/>
        <v>44363</v>
      </c>
      <c r="AP18" s="1">
        <f t="shared" si="14"/>
        <v>44364</v>
      </c>
      <c r="AQ18" s="1">
        <f t="shared" si="14"/>
        <v>44365</v>
      </c>
      <c r="AR18" s="1">
        <f t="shared" si="14"/>
        <v>44366</v>
      </c>
      <c r="AS18" s="1">
        <f t="shared" si="14"/>
        <v>44367</v>
      </c>
      <c r="AT18" s="1">
        <f t="shared" si="14"/>
        <v>44368</v>
      </c>
      <c r="AU18" s="1">
        <f t="shared" si="14"/>
        <v>44369</v>
      </c>
      <c r="AV18" s="1">
        <f t="shared" si="14"/>
        <v>44370</v>
      </c>
      <c r="AW18" s="1">
        <f t="shared" si="14"/>
        <v>44371</v>
      </c>
      <c r="AX18" s="1">
        <f t="shared" si="14"/>
        <v>44372</v>
      </c>
      <c r="AY18" s="1">
        <f t="shared" si="14"/>
        <v>44373</v>
      </c>
      <c r="AZ18" s="1">
        <f t="shared" si="14"/>
        <v>44374</v>
      </c>
      <c r="BA18" s="1">
        <f t="shared" si="14"/>
        <v>44375</v>
      </c>
      <c r="BB18" s="1">
        <f t="shared" si="14"/>
        <v>44376</v>
      </c>
      <c r="BC18" s="1">
        <f t="shared" si="14"/>
        <v>44377</v>
      </c>
      <c r="BD18" s="1">
        <f t="shared" si="14"/>
        <v>44378</v>
      </c>
      <c r="BE18" s="1">
        <f t="shared" si="14"/>
        <v>44379</v>
      </c>
      <c r="BF18" s="1">
        <f t="shared" si="14"/>
        <v>44380</v>
      </c>
      <c r="BG18" s="1">
        <f t="shared" si="14"/>
        <v>44381</v>
      </c>
      <c r="BH18" s="1">
        <f t="shared" si="14"/>
        <v>44382</v>
      </c>
      <c r="BI18" s="1">
        <f t="shared" si="14"/>
        <v>44383</v>
      </c>
      <c r="BJ18" s="1">
        <f t="shared" si="14"/>
        <v>44384</v>
      </c>
      <c r="BK18" s="1">
        <f t="shared" si="14"/>
        <v>44385</v>
      </c>
      <c r="BL18" s="1">
        <f t="shared" si="14"/>
        <v>44386</v>
      </c>
      <c r="BM18" s="1">
        <f t="shared" si="14"/>
        <v>44387</v>
      </c>
      <c r="BN18" s="1">
        <f t="shared" si="14"/>
        <v>44388</v>
      </c>
      <c r="BO18" s="1">
        <f t="shared" si="14"/>
        <v>44389</v>
      </c>
      <c r="BP18" s="1">
        <f t="shared" si="14"/>
        <v>44390</v>
      </c>
      <c r="BQ18" s="1">
        <f t="shared" si="14"/>
        <v>44391</v>
      </c>
      <c r="BR18" s="1">
        <f t="shared" si="14"/>
        <v>44392</v>
      </c>
      <c r="BS18" s="1">
        <f t="shared" si="14"/>
        <v>44393</v>
      </c>
      <c r="BT18" s="1">
        <f t="shared" si="14"/>
        <v>44394</v>
      </c>
      <c r="BU18" s="1">
        <f t="shared" si="14"/>
        <v>44395</v>
      </c>
      <c r="BV18" s="1">
        <f t="shared" ref="BV18:EG18" si="15">BV10</f>
        <v>44396</v>
      </c>
      <c r="BW18" s="1">
        <f t="shared" si="15"/>
        <v>44397</v>
      </c>
      <c r="BX18" s="1">
        <f t="shared" si="15"/>
        <v>44398</v>
      </c>
      <c r="BY18" s="1">
        <f t="shared" si="15"/>
        <v>44399</v>
      </c>
      <c r="BZ18" s="1">
        <f t="shared" si="15"/>
        <v>44400</v>
      </c>
      <c r="CA18" s="1">
        <f t="shared" si="15"/>
        <v>44401</v>
      </c>
      <c r="CB18" s="1">
        <f t="shared" si="15"/>
        <v>44402</v>
      </c>
      <c r="CC18" s="1">
        <f t="shared" si="15"/>
        <v>44403</v>
      </c>
      <c r="CD18" s="1">
        <f t="shared" si="15"/>
        <v>44404</v>
      </c>
      <c r="CE18" s="1">
        <f t="shared" si="15"/>
        <v>44405</v>
      </c>
      <c r="CF18" s="1">
        <f t="shared" si="15"/>
        <v>44406</v>
      </c>
      <c r="CG18" s="1">
        <f t="shared" si="15"/>
        <v>44407</v>
      </c>
      <c r="CH18" s="1">
        <f t="shared" si="15"/>
        <v>44408</v>
      </c>
      <c r="CI18" s="1">
        <f t="shared" si="15"/>
        <v>44409</v>
      </c>
      <c r="CJ18" s="1">
        <f t="shared" si="15"/>
        <v>44410</v>
      </c>
      <c r="CK18" s="1">
        <f t="shared" si="15"/>
        <v>44411</v>
      </c>
      <c r="CL18" s="1">
        <f t="shared" si="15"/>
        <v>44412</v>
      </c>
      <c r="CM18" s="1">
        <f t="shared" si="15"/>
        <v>44413</v>
      </c>
      <c r="CN18" s="1">
        <f t="shared" si="15"/>
        <v>44414</v>
      </c>
      <c r="CO18" s="1">
        <f t="shared" si="15"/>
        <v>44415</v>
      </c>
      <c r="CP18" s="1">
        <f t="shared" si="15"/>
        <v>44416</v>
      </c>
      <c r="CQ18" s="1">
        <f t="shared" si="15"/>
        <v>44417</v>
      </c>
      <c r="CR18" s="1">
        <f t="shared" si="15"/>
        <v>44418</v>
      </c>
      <c r="CS18" s="1">
        <f t="shared" si="15"/>
        <v>44419</v>
      </c>
      <c r="CT18" s="1">
        <f t="shared" si="15"/>
        <v>44420</v>
      </c>
      <c r="CU18" s="1">
        <f t="shared" si="15"/>
        <v>44421</v>
      </c>
      <c r="CV18" s="1">
        <f t="shared" si="15"/>
        <v>44422</v>
      </c>
      <c r="CW18" s="1">
        <f t="shared" si="15"/>
        <v>44423</v>
      </c>
      <c r="CX18" s="1">
        <f t="shared" si="15"/>
        <v>44424</v>
      </c>
      <c r="CY18" s="1">
        <f t="shared" si="15"/>
        <v>44425</v>
      </c>
      <c r="CZ18" s="1">
        <f t="shared" si="15"/>
        <v>44426</v>
      </c>
      <c r="DA18" s="1">
        <f t="shared" si="15"/>
        <v>44427</v>
      </c>
      <c r="DB18" s="1">
        <f t="shared" si="15"/>
        <v>44428</v>
      </c>
      <c r="DC18" s="1">
        <f t="shared" si="15"/>
        <v>44429</v>
      </c>
      <c r="DD18" s="1">
        <f t="shared" si="15"/>
        <v>44430</v>
      </c>
      <c r="DE18" s="1">
        <f t="shared" si="15"/>
        <v>44431</v>
      </c>
      <c r="DF18" s="1">
        <f t="shared" si="15"/>
        <v>44432</v>
      </c>
      <c r="DG18" s="1">
        <f t="shared" si="15"/>
        <v>44433</v>
      </c>
      <c r="DH18" s="1">
        <f t="shared" si="15"/>
        <v>44434</v>
      </c>
      <c r="DI18" s="1">
        <f t="shared" si="15"/>
        <v>44435</v>
      </c>
      <c r="DJ18" s="1">
        <f t="shared" si="15"/>
        <v>44436</v>
      </c>
      <c r="DK18" s="1">
        <f t="shared" si="15"/>
        <v>44437</v>
      </c>
      <c r="DL18" s="1">
        <f t="shared" si="15"/>
        <v>44438</v>
      </c>
      <c r="DM18" s="1">
        <f t="shared" si="15"/>
        <v>44439</v>
      </c>
      <c r="DN18" s="1">
        <f t="shared" si="15"/>
        <v>44440</v>
      </c>
      <c r="DO18" s="1">
        <f t="shared" si="15"/>
        <v>44441</v>
      </c>
      <c r="DP18" s="1">
        <f t="shared" si="15"/>
        <v>44442</v>
      </c>
      <c r="DQ18" s="1">
        <f t="shared" si="15"/>
        <v>44443</v>
      </c>
      <c r="DR18" s="1">
        <f t="shared" si="15"/>
        <v>44444</v>
      </c>
      <c r="DS18" s="1">
        <f t="shared" si="15"/>
        <v>44445</v>
      </c>
      <c r="DT18" s="1">
        <f t="shared" si="15"/>
        <v>44446</v>
      </c>
      <c r="DU18" s="1">
        <f t="shared" si="15"/>
        <v>44447</v>
      </c>
      <c r="DV18" s="1">
        <f t="shared" si="15"/>
        <v>44448</v>
      </c>
      <c r="DW18" s="1">
        <f t="shared" si="15"/>
        <v>44449</v>
      </c>
      <c r="DX18" s="1">
        <f t="shared" si="15"/>
        <v>44450</v>
      </c>
      <c r="DY18" s="1">
        <f t="shared" si="15"/>
        <v>44451</v>
      </c>
      <c r="DZ18" s="1">
        <f t="shared" si="15"/>
        <v>44452</v>
      </c>
      <c r="EA18" s="1">
        <f t="shared" si="15"/>
        <v>44453</v>
      </c>
      <c r="EB18" s="1">
        <f t="shared" si="15"/>
        <v>44454</v>
      </c>
      <c r="EC18" s="1">
        <f t="shared" si="15"/>
        <v>44455</v>
      </c>
      <c r="ED18" s="1">
        <f t="shared" si="15"/>
        <v>44456</v>
      </c>
      <c r="EE18" s="1">
        <f t="shared" si="15"/>
        <v>44457</v>
      </c>
      <c r="EF18" s="1">
        <f t="shared" si="15"/>
        <v>44458</v>
      </c>
      <c r="EG18" s="1">
        <f t="shared" si="15"/>
        <v>44459</v>
      </c>
      <c r="EH18" s="1">
        <f t="shared" ref="EH18:GA18" si="16">EH10</f>
        <v>44460</v>
      </c>
      <c r="EI18" s="1">
        <f t="shared" si="16"/>
        <v>44461</v>
      </c>
      <c r="EJ18" s="1">
        <f t="shared" si="16"/>
        <v>44462</v>
      </c>
      <c r="EK18" s="1">
        <f t="shared" si="16"/>
        <v>44463</v>
      </c>
      <c r="EL18" s="1">
        <f t="shared" si="16"/>
        <v>44464</v>
      </c>
      <c r="EM18" s="1">
        <f t="shared" si="16"/>
        <v>44465</v>
      </c>
      <c r="EN18" s="1">
        <f t="shared" si="16"/>
        <v>44466</v>
      </c>
      <c r="EO18" s="1">
        <f t="shared" si="16"/>
        <v>44467</v>
      </c>
      <c r="EP18" s="1">
        <f t="shared" si="16"/>
        <v>44468</v>
      </c>
      <c r="EQ18" s="1">
        <f t="shared" si="16"/>
        <v>44469</v>
      </c>
      <c r="ER18" s="1">
        <f t="shared" si="16"/>
        <v>44470</v>
      </c>
      <c r="ES18" s="1">
        <f t="shared" si="16"/>
        <v>44471</v>
      </c>
      <c r="ET18" s="1">
        <f t="shared" si="16"/>
        <v>44472</v>
      </c>
      <c r="EU18" s="1">
        <f t="shared" si="16"/>
        <v>44473</v>
      </c>
      <c r="EV18" s="1">
        <f t="shared" si="16"/>
        <v>44474</v>
      </c>
      <c r="EW18" s="1">
        <f t="shared" si="16"/>
        <v>44475</v>
      </c>
      <c r="EX18" s="1">
        <f t="shared" si="16"/>
        <v>44476</v>
      </c>
      <c r="EY18" s="1">
        <f t="shared" si="16"/>
        <v>44477</v>
      </c>
      <c r="EZ18" s="1">
        <f t="shared" si="16"/>
        <v>44478</v>
      </c>
      <c r="FA18" s="1">
        <f t="shared" si="16"/>
        <v>44479</v>
      </c>
      <c r="FB18" s="1">
        <f t="shared" si="16"/>
        <v>44480</v>
      </c>
      <c r="FC18" s="1">
        <f t="shared" si="16"/>
        <v>44481</v>
      </c>
      <c r="FD18" s="1">
        <f t="shared" si="16"/>
        <v>44482</v>
      </c>
      <c r="FE18" s="1">
        <f t="shared" si="16"/>
        <v>44483</v>
      </c>
      <c r="FF18" s="1">
        <f t="shared" si="16"/>
        <v>44484</v>
      </c>
      <c r="FG18" s="1">
        <f t="shared" si="16"/>
        <v>44485</v>
      </c>
      <c r="FH18" s="1">
        <f t="shared" si="16"/>
        <v>44486</v>
      </c>
      <c r="FI18" s="1">
        <f t="shared" si="16"/>
        <v>44487</v>
      </c>
      <c r="FJ18" s="1">
        <f t="shared" si="16"/>
        <v>44488</v>
      </c>
      <c r="FK18" s="1">
        <f t="shared" si="16"/>
        <v>44489</v>
      </c>
      <c r="FL18" s="1">
        <f t="shared" si="16"/>
        <v>44490</v>
      </c>
      <c r="FM18" s="1">
        <f t="shared" si="16"/>
        <v>44491</v>
      </c>
      <c r="FN18" s="1">
        <f t="shared" si="16"/>
        <v>44492</v>
      </c>
      <c r="FO18" s="1">
        <f t="shared" si="16"/>
        <v>44493</v>
      </c>
      <c r="FP18" s="1">
        <f t="shared" si="16"/>
        <v>44494</v>
      </c>
      <c r="FQ18" s="1">
        <f t="shared" si="16"/>
        <v>44495</v>
      </c>
      <c r="FR18" s="1">
        <f t="shared" si="16"/>
        <v>44496</v>
      </c>
      <c r="FS18" s="1">
        <f t="shared" si="16"/>
        <v>44497</v>
      </c>
      <c r="FT18" s="1">
        <f t="shared" si="16"/>
        <v>44498</v>
      </c>
      <c r="FU18" s="1">
        <f t="shared" si="16"/>
        <v>44499</v>
      </c>
      <c r="FV18" s="1">
        <f t="shared" si="16"/>
        <v>44500</v>
      </c>
      <c r="FW18" s="1">
        <f t="shared" si="16"/>
        <v>44501</v>
      </c>
      <c r="FX18" s="1">
        <f t="shared" si="16"/>
        <v>44502</v>
      </c>
      <c r="FY18" s="1">
        <f t="shared" si="16"/>
        <v>44503</v>
      </c>
      <c r="FZ18" s="1">
        <f t="shared" si="16"/>
        <v>44504</v>
      </c>
      <c r="GA18" s="1">
        <f t="shared" si="16"/>
        <v>44505</v>
      </c>
    </row>
    <row r="19" spans="1:183" x14ac:dyDescent="0.45">
      <c r="A19" t="s">
        <v>18</v>
      </c>
      <c r="C19" cm="1">
        <f t="array" ref="C19">LOOKUP(2,1/(I19:GA19&lt;&gt;""),I19:GA19)</f>
        <v>2273.65</v>
      </c>
      <c r="D19">
        <f>D$6</f>
        <v>45</v>
      </c>
      <c r="F19" s="4">
        <f t="shared" ref="F19" si="17">(C19-I19)/I19</f>
        <v>0.15235879657786988</v>
      </c>
      <c r="G19" s="3" cm="1">
        <f t="array" ref="G19">(C19-IF(ISNA(INDEX(I19:GA19,D19-22)),INDEX(I19:GA19,D19-23),INDEX(I19:GA19,D19-22)))/IF(ISNA(INDEX(I19:GA19,D19-22)),INDEX(I19:GA19,D19-23),INDEX(I19:GA19,D19-22))</f>
        <v>-1.218664465395131E-2</v>
      </c>
      <c r="I19">
        <f>IF(SUM(I3:I6)=0,NA(),SUM(I3:I6))</f>
        <v>1973.0399999999997</v>
      </c>
      <c r="J19">
        <f t="shared" ref="J19:BU19" si="18">IF(SUM(J3:J6)=0,NA(),SUM(J3:J6))</f>
        <v>1981.8999999999999</v>
      </c>
      <c r="K19" t="e">
        <f t="shared" si="18"/>
        <v>#N/A</v>
      </c>
      <c r="L19">
        <f t="shared" si="18"/>
        <v>2000.1100000000001</v>
      </c>
      <c r="M19" t="e">
        <f t="shared" si="18"/>
        <v>#N/A</v>
      </c>
      <c r="N19">
        <f t="shared" si="18"/>
        <v>2012.3300000000002</v>
      </c>
      <c r="O19">
        <f t="shared" si="18"/>
        <v>2033.0700000000002</v>
      </c>
      <c r="P19">
        <f t="shared" si="18"/>
        <v>1997.2199999999998</v>
      </c>
      <c r="Q19">
        <f t="shared" si="18"/>
        <v>2013.88</v>
      </c>
      <c r="R19">
        <f t="shared" si="18"/>
        <v>2043.2699999999998</v>
      </c>
      <c r="S19">
        <f t="shared" si="18"/>
        <v>2020.53</v>
      </c>
      <c r="T19">
        <f t="shared" si="18"/>
        <v>2205.54</v>
      </c>
      <c r="U19">
        <f t="shared" si="18"/>
        <v>2177.7400000000002</v>
      </c>
      <c r="V19">
        <f t="shared" si="18"/>
        <v>2165.3000000000002</v>
      </c>
      <c r="W19">
        <f t="shared" si="18"/>
        <v>2132.02</v>
      </c>
      <c r="X19">
        <f t="shared" si="18"/>
        <v>2137.7199999999998</v>
      </c>
      <c r="Y19">
        <f t="shared" si="18"/>
        <v>2110.66</v>
      </c>
      <c r="Z19">
        <f t="shared" si="18"/>
        <v>2114.9700000000003</v>
      </c>
      <c r="AA19">
        <f t="shared" si="18"/>
        <v>2140.1000000000004</v>
      </c>
      <c r="AB19">
        <f t="shared" si="18"/>
        <v>2154.6799999999998</v>
      </c>
      <c r="AC19">
        <f t="shared" si="18"/>
        <v>2100.75</v>
      </c>
      <c r="AD19">
        <f t="shared" si="18"/>
        <v>2175.81</v>
      </c>
      <c r="AE19">
        <f t="shared" si="18"/>
        <v>2301.6999999999998</v>
      </c>
      <c r="AF19">
        <f t="shared" si="18"/>
        <v>2249.21</v>
      </c>
      <c r="AG19">
        <f t="shared" si="18"/>
        <v>2257.7600000000002</v>
      </c>
      <c r="AH19">
        <f t="shared" si="18"/>
        <v>2243.5100000000002</v>
      </c>
      <c r="AI19">
        <f t="shared" si="18"/>
        <v>2223.92</v>
      </c>
      <c r="AJ19">
        <f t="shared" si="18"/>
        <v>2249.7599999999998</v>
      </c>
      <c r="AK19">
        <f t="shared" si="18"/>
        <v>2249.04</v>
      </c>
      <c r="AL19">
        <f t="shared" si="18"/>
        <v>2244.13</v>
      </c>
      <c r="AM19">
        <f t="shared" si="18"/>
        <v>2212.4699999999998</v>
      </c>
      <c r="AN19" t="e">
        <f t="shared" si="18"/>
        <v>#N/A</v>
      </c>
      <c r="AO19">
        <f t="shared" si="18"/>
        <v>2279</v>
      </c>
      <c r="AP19">
        <f t="shared" si="18"/>
        <v>2263.0100000000002</v>
      </c>
      <c r="AQ19">
        <f t="shared" si="18"/>
        <v>2295.92</v>
      </c>
      <c r="AR19">
        <f t="shared" si="18"/>
        <v>2271.39</v>
      </c>
      <c r="AS19">
        <f t="shared" si="18"/>
        <v>2273.65</v>
      </c>
      <c r="AT19" t="e">
        <f t="shared" si="18"/>
        <v>#N/A</v>
      </c>
      <c r="AU19" t="e">
        <f t="shared" si="18"/>
        <v>#N/A</v>
      </c>
      <c r="AV19" t="e">
        <f t="shared" si="18"/>
        <v>#N/A</v>
      </c>
      <c r="AW19" t="e">
        <f t="shared" si="18"/>
        <v>#N/A</v>
      </c>
      <c r="AX19" t="e">
        <f t="shared" si="18"/>
        <v>#N/A</v>
      </c>
      <c r="AY19" t="e">
        <f t="shared" si="18"/>
        <v>#N/A</v>
      </c>
      <c r="AZ19" t="e">
        <f t="shared" si="18"/>
        <v>#N/A</v>
      </c>
      <c r="BA19" t="e">
        <f t="shared" si="18"/>
        <v>#N/A</v>
      </c>
      <c r="BB19" t="e">
        <f t="shared" si="18"/>
        <v>#N/A</v>
      </c>
      <c r="BC19" t="e">
        <f t="shared" si="18"/>
        <v>#N/A</v>
      </c>
      <c r="BD19" t="e">
        <f t="shared" si="18"/>
        <v>#N/A</v>
      </c>
      <c r="BE19" t="e">
        <f t="shared" si="18"/>
        <v>#N/A</v>
      </c>
      <c r="BF19" t="e">
        <f t="shared" si="18"/>
        <v>#N/A</v>
      </c>
      <c r="BG19" t="e">
        <f t="shared" si="18"/>
        <v>#N/A</v>
      </c>
      <c r="BH19" t="e">
        <f t="shared" si="18"/>
        <v>#N/A</v>
      </c>
      <c r="BI19" t="e">
        <f t="shared" si="18"/>
        <v>#N/A</v>
      </c>
      <c r="BJ19" t="e">
        <f t="shared" si="18"/>
        <v>#N/A</v>
      </c>
      <c r="BK19" t="e">
        <f t="shared" si="18"/>
        <v>#N/A</v>
      </c>
      <c r="BL19" t="e">
        <f t="shared" si="18"/>
        <v>#N/A</v>
      </c>
      <c r="BM19" t="e">
        <f t="shared" si="18"/>
        <v>#N/A</v>
      </c>
      <c r="BN19" t="e">
        <f t="shared" si="18"/>
        <v>#N/A</v>
      </c>
      <c r="BO19" t="e">
        <f t="shared" si="18"/>
        <v>#N/A</v>
      </c>
      <c r="BP19" t="e">
        <f t="shared" si="18"/>
        <v>#N/A</v>
      </c>
      <c r="BQ19" t="e">
        <f t="shared" si="18"/>
        <v>#N/A</v>
      </c>
      <c r="BR19" t="e">
        <f t="shared" si="18"/>
        <v>#N/A</v>
      </c>
      <c r="BS19" t="e">
        <f t="shared" si="18"/>
        <v>#N/A</v>
      </c>
      <c r="BT19" t="e">
        <f t="shared" si="18"/>
        <v>#N/A</v>
      </c>
      <c r="BU19" t="e">
        <f t="shared" si="18"/>
        <v>#N/A</v>
      </c>
      <c r="BV19" t="e">
        <f t="shared" ref="BV19:EG19" si="19">IF(SUM(BV3:BV6)=0,NA(),SUM(BV3:BV6))</f>
        <v>#N/A</v>
      </c>
      <c r="BW19" t="e">
        <f t="shared" si="19"/>
        <v>#N/A</v>
      </c>
      <c r="BX19" t="e">
        <f t="shared" si="19"/>
        <v>#N/A</v>
      </c>
      <c r="BY19" t="e">
        <f t="shared" si="19"/>
        <v>#N/A</v>
      </c>
      <c r="BZ19" t="e">
        <f t="shared" si="19"/>
        <v>#N/A</v>
      </c>
      <c r="CA19" t="e">
        <f t="shared" si="19"/>
        <v>#N/A</v>
      </c>
      <c r="CB19" t="e">
        <f t="shared" si="19"/>
        <v>#N/A</v>
      </c>
      <c r="CC19" t="e">
        <f t="shared" si="19"/>
        <v>#N/A</v>
      </c>
      <c r="CD19" t="e">
        <f t="shared" si="19"/>
        <v>#N/A</v>
      </c>
      <c r="CE19" t="e">
        <f t="shared" si="19"/>
        <v>#N/A</v>
      </c>
      <c r="CF19" t="e">
        <f t="shared" si="19"/>
        <v>#N/A</v>
      </c>
      <c r="CG19" t="e">
        <f t="shared" si="19"/>
        <v>#N/A</v>
      </c>
      <c r="CH19" t="e">
        <f t="shared" si="19"/>
        <v>#N/A</v>
      </c>
      <c r="CI19" t="e">
        <f t="shared" si="19"/>
        <v>#N/A</v>
      </c>
      <c r="CJ19" t="e">
        <f t="shared" si="19"/>
        <v>#N/A</v>
      </c>
      <c r="CK19" t="e">
        <f t="shared" si="19"/>
        <v>#N/A</v>
      </c>
      <c r="CL19" t="e">
        <f t="shared" si="19"/>
        <v>#N/A</v>
      </c>
      <c r="CM19" t="e">
        <f t="shared" si="19"/>
        <v>#N/A</v>
      </c>
      <c r="CN19" t="e">
        <f t="shared" si="19"/>
        <v>#N/A</v>
      </c>
      <c r="CO19" t="e">
        <f t="shared" si="19"/>
        <v>#N/A</v>
      </c>
      <c r="CP19" t="e">
        <f t="shared" si="19"/>
        <v>#N/A</v>
      </c>
      <c r="CQ19" t="e">
        <f t="shared" si="19"/>
        <v>#N/A</v>
      </c>
      <c r="CR19" t="e">
        <f t="shared" si="19"/>
        <v>#N/A</v>
      </c>
      <c r="CS19" t="e">
        <f t="shared" si="19"/>
        <v>#N/A</v>
      </c>
      <c r="CT19" t="e">
        <f t="shared" si="19"/>
        <v>#N/A</v>
      </c>
      <c r="CU19" t="e">
        <f t="shared" si="19"/>
        <v>#N/A</v>
      </c>
      <c r="CV19" t="e">
        <f t="shared" si="19"/>
        <v>#N/A</v>
      </c>
      <c r="CW19" t="e">
        <f t="shared" si="19"/>
        <v>#N/A</v>
      </c>
      <c r="CX19" t="e">
        <f t="shared" si="19"/>
        <v>#N/A</v>
      </c>
      <c r="CY19" t="e">
        <f t="shared" si="19"/>
        <v>#N/A</v>
      </c>
      <c r="CZ19" t="e">
        <f t="shared" si="19"/>
        <v>#N/A</v>
      </c>
      <c r="DA19" t="e">
        <f t="shared" si="19"/>
        <v>#N/A</v>
      </c>
      <c r="DB19" t="e">
        <f t="shared" si="19"/>
        <v>#N/A</v>
      </c>
      <c r="DC19" t="e">
        <f t="shared" si="19"/>
        <v>#N/A</v>
      </c>
      <c r="DD19" t="e">
        <f t="shared" si="19"/>
        <v>#N/A</v>
      </c>
      <c r="DE19" t="e">
        <f t="shared" si="19"/>
        <v>#N/A</v>
      </c>
      <c r="DF19" t="e">
        <f t="shared" si="19"/>
        <v>#N/A</v>
      </c>
      <c r="DG19" t="e">
        <f t="shared" si="19"/>
        <v>#N/A</v>
      </c>
      <c r="DH19" t="e">
        <f t="shared" si="19"/>
        <v>#N/A</v>
      </c>
      <c r="DI19" t="e">
        <f t="shared" si="19"/>
        <v>#N/A</v>
      </c>
      <c r="DJ19" t="e">
        <f t="shared" si="19"/>
        <v>#N/A</v>
      </c>
      <c r="DK19" t="e">
        <f t="shared" si="19"/>
        <v>#N/A</v>
      </c>
      <c r="DL19" t="e">
        <f t="shared" si="19"/>
        <v>#N/A</v>
      </c>
      <c r="DM19" t="e">
        <f t="shared" si="19"/>
        <v>#N/A</v>
      </c>
      <c r="DN19" t="e">
        <f t="shared" si="19"/>
        <v>#N/A</v>
      </c>
      <c r="DO19" t="e">
        <f t="shared" si="19"/>
        <v>#N/A</v>
      </c>
      <c r="DP19" t="e">
        <f t="shared" si="19"/>
        <v>#N/A</v>
      </c>
      <c r="DQ19" t="e">
        <f t="shared" si="19"/>
        <v>#N/A</v>
      </c>
      <c r="DR19" t="e">
        <f t="shared" si="19"/>
        <v>#N/A</v>
      </c>
      <c r="DS19" t="e">
        <f t="shared" si="19"/>
        <v>#N/A</v>
      </c>
      <c r="DT19" t="e">
        <f t="shared" si="19"/>
        <v>#N/A</v>
      </c>
      <c r="DU19" t="e">
        <f t="shared" si="19"/>
        <v>#N/A</v>
      </c>
      <c r="DV19" t="e">
        <f t="shared" si="19"/>
        <v>#N/A</v>
      </c>
      <c r="DW19" t="e">
        <f t="shared" si="19"/>
        <v>#N/A</v>
      </c>
      <c r="DX19" t="e">
        <f t="shared" si="19"/>
        <v>#N/A</v>
      </c>
      <c r="DY19" t="e">
        <f t="shared" si="19"/>
        <v>#N/A</v>
      </c>
      <c r="DZ19" t="e">
        <f t="shared" si="19"/>
        <v>#N/A</v>
      </c>
      <c r="EA19" t="e">
        <f t="shared" si="19"/>
        <v>#N/A</v>
      </c>
      <c r="EB19" t="e">
        <f t="shared" si="19"/>
        <v>#N/A</v>
      </c>
      <c r="EC19" t="e">
        <f t="shared" si="19"/>
        <v>#N/A</v>
      </c>
      <c r="ED19" t="e">
        <f t="shared" si="19"/>
        <v>#N/A</v>
      </c>
      <c r="EE19" t="e">
        <f t="shared" si="19"/>
        <v>#N/A</v>
      </c>
      <c r="EF19" t="e">
        <f t="shared" si="19"/>
        <v>#N/A</v>
      </c>
      <c r="EG19" t="e">
        <f t="shared" si="19"/>
        <v>#N/A</v>
      </c>
      <c r="EH19" t="e">
        <f t="shared" ref="EH19:GA19" si="20">IF(SUM(EH3:EH6)=0,NA(),SUM(EH3:EH6))</f>
        <v>#N/A</v>
      </c>
      <c r="EI19" t="e">
        <f t="shared" si="20"/>
        <v>#N/A</v>
      </c>
      <c r="EJ19" t="e">
        <f t="shared" si="20"/>
        <v>#N/A</v>
      </c>
      <c r="EK19" t="e">
        <f t="shared" si="20"/>
        <v>#N/A</v>
      </c>
      <c r="EL19" t="e">
        <f t="shared" si="20"/>
        <v>#N/A</v>
      </c>
      <c r="EM19" t="e">
        <f t="shared" si="20"/>
        <v>#N/A</v>
      </c>
      <c r="EN19" t="e">
        <f t="shared" si="20"/>
        <v>#N/A</v>
      </c>
      <c r="EO19" t="e">
        <f t="shared" si="20"/>
        <v>#N/A</v>
      </c>
      <c r="EP19" t="e">
        <f t="shared" si="20"/>
        <v>#N/A</v>
      </c>
      <c r="EQ19" t="e">
        <f t="shared" si="20"/>
        <v>#N/A</v>
      </c>
      <c r="ER19" t="e">
        <f t="shared" si="20"/>
        <v>#N/A</v>
      </c>
      <c r="ES19" t="e">
        <f t="shared" si="20"/>
        <v>#N/A</v>
      </c>
      <c r="ET19" t="e">
        <f t="shared" si="20"/>
        <v>#N/A</v>
      </c>
      <c r="EU19" t="e">
        <f t="shared" si="20"/>
        <v>#N/A</v>
      </c>
      <c r="EV19" t="e">
        <f t="shared" si="20"/>
        <v>#N/A</v>
      </c>
      <c r="EW19" t="e">
        <f t="shared" si="20"/>
        <v>#N/A</v>
      </c>
      <c r="EX19" t="e">
        <f t="shared" si="20"/>
        <v>#N/A</v>
      </c>
      <c r="EY19" t="e">
        <f t="shared" si="20"/>
        <v>#N/A</v>
      </c>
      <c r="EZ19" t="e">
        <f t="shared" si="20"/>
        <v>#N/A</v>
      </c>
      <c r="FA19" t="e">
        <f t="shared" si="20"/>
        <v>#N/A</v>
      </c>
      <c r="FB19" t="e">
        <f t="shared" si="20"/>
        <v>#N/A</v>
      </c>
      <c r="FC19" t="e">
        <f t="shared" si="20"/>
        <v>#N/A</v>
      </c>
      <c r="FD19" t="e">
        <f t="shared" si="20"/>
        <v>#N/A</v>
      </c>
      <c r="FE19" t="e">
        <f t="shared" si="20"/>
        <v>#N/A</v>
      </c>
      <c r="FF19" t="e">
        <f t="shared" si="20"/>
        <v>#N/A</v>
      </c>
      <c r="FG19" t="e">
        <f t="shared" si="20"/>
        <v>#N/A</v>
      </c>
      <c r="FH19" t="e">
        <f t="shared" si="20"/>
        <v>#N/A</v>
      </c>
      <c r="FI19" t="e">
        <f t="shared" si="20"/>
        <v>#N/A</v>
      </c>
      <c r="FJ19" t="e">
        <f t="shared" si="20"/>
        <v>#N/A</v>
      </c>
      <c r="FK19" t="e">
        <f t="shared" si="20"/>
        <v>#N/A</v>
      </c>
      <c r="FL19" t="e">
        <f t="shared" si="20"/>
        <v>#N/A</v>
      </c>
      <c r="FM19" t="e">
        <f t="shared" si="20"/>
        <v>#N/A</v>
      </c>
      <c r="FN19" t="e">
        <f t="shared" si="20"/>
        <v>#N/A</v>
      </c>
      <c r="FO19" t="e">
        <f t="shared" si="20"/>
        <v>#N/A</v>
      </c>
      <c r="FP19" t="e">
        <f t="shared" si="20"/>
        <v>#N/A</v>
      </c>
      <c r="FQ19" t="e">
        <f t="shared" si="20"/>
        <v>#N/A</v>
      </c>
      <c r="FR19" t="e">
        <f t="shared" si="20"/>
        <v>#N/A</v>
      </c>
      <c r="FS19" t="e">
        <f t="shared" si="20"/>
        <v>#N/A</v>
      </c>
      <c r="FT19" t="e">
        <f t="shared" si="20"/>
        <v>#N/A</v>
      </c>
      <c r="FU19" t="e">
        <f t="shared" si="20"/>
        <v>#N/A</v>
      </c>
      <c r="FV19" t="e">
        <f t="shared" si="20"/>
        <v>#N/A</v>
      </c>
      <c r="FW19" t="e">
        <f t="shared" si="20"/>
        <v>#N/A</v>
      </c>
      <c r="FX19" t="e">
        <f t="shared" si="20"/>
        <v>#N/A</v>
      </c>
      <c r="FY19" t="e">
        <f t="shared" si="20"/>
        <v>#N/A</v>
      </c>
      <c r="FZ19" t="e">
        <f t="shared" si="20"/>
        <v>#N/A</v>
      </c>
      <c r="GA19" t="e">
        <f t="shared" si="20"/>
        <v>#N/A</v>
      </c>
    </row>
    <row r="20" spans="1:183" x14ac:dyDescent="0.45">
      <c r="A20" t="s">
        <v>55</v>
      </c>
      <c r="C20" cm="1">
        <f t="array" ref="C20">LOOKUP(2,1/(I20:GA20&lt;&gt;""),I20:GA20)</f>
        <v>1705.2199999999998</v>
      </c>
      <c r="D20">
        <f>D$6</f>
        <v>45</v>
      </c>
      <c r="F20" s="4">
        <f t="shared" ref="F20" si="21">(C20-I20)/I20</f>
        <v>0.15235475783398741</v>
      </c>
      <c r="G20" s="3" cm="1">
        <f t="array" ref="G20">(C20-IF(ISNA(INDEX(I20:GA20,D20-22)),INDEX(I20:GA20,D20-23),INDEX(I20:GA20,D20-22)))/IF(ISNA(INDEX(I20:GA20,D20-22)),INDEX(I20:GA20,D20-23),INDEX(I20:GA20,D20-22))</f>
        <v>-1.2188198764960198E-2</v>
      </c>
      <c r="I20">
        <f>SUM(I11:I14)</f>
        <v>1479.7700000000002</v>
      </c>
      <c r="J20">
        <f t="shared" ref="J20:BU20" si="22">SUM(J11:J14)</f>
        <v>1486.41</v>
      </c>
      <c r="K20" t="e">
        <f t="shared" si="22"/>
        <v>#N/A</v>
      </c>
      <c r="L20">
        <f t="shared" si="22"/>
        <v>1500.0700000000002</v>
      </c>
      <c r="M20" t="e">
        <f t="shared" si="22"/>
        <v>#N/A</v>
      </c>
      <c r="N20">
        <f t="shared" si="22"/>
        <v>1509.23</v>
      </c>
      <c r="O20">
        <f t="shared" si="22"/>
        <v>1524.78</v>
      </c>
      <c r="P20">
        <f t="shared" si="22"/>
        <v>1497.89</v>
      </c>
      <c r="Q20">
        <f t="shared" si="22"/>
        <v>1510.39</v>
      </c>
      <c r="R20">
        <f t="shared" si="22"/>
        <v>1532.4500000000003</v>
      </c>
      <c r="S20">
        <f t="shared" si="22"/>
        <v>1515.39</v>
      </c>
      <c r="T20">
        <f t="shared" si="22"/>
        <v>1654.1299999999999</v>
      </c>
      <c r="U20">
        <f t="shared" si="22"/>
        <v>1633.29</v>
      </c>
      <c r="V20">
        <f t="shared" si="22"/>
        <v>1623.95</v>
      </c>
      <c r="W20">
        <f t="shared" si="22"/>
        <v>1599</v>
      </c>
      <c r="X20">
        <f t="shared" si="22"/>
        <v>1603.28</v>
      </c>
      <c r="Y20">
        <f t="shared" si="22"/>
        <v>1582.97</v>
      </c>
      <c r="Z20">
        <f t="shared" si="22"/>
        <v>1586.21</v>
      </c>
      <c r="AA20">
        <f t="shared" si="22"/>
        <v>1605.06</v>
      </c>
      <c r="AB20">
        <f t="shared" si="22"/>
        <v>1615.9900000000002</v>
      </c>
      <c r="AC20">
        <f t="shared" si="22"/>
        <v>1575.5500000000002</v>
      </c>
      <c r="AD20">
        <f t="shared" si="22"/>
        <v>1631.85</v>
      </c>
      <c r="AE20">
        <f t="shared" si="22"/>
        <v>1726.26</v>
      </c>
      <c r="AF20">
        <f t="shared" si="22"/>
        <v>1686.89</v>
      </c>
      <c r="AG20">
        <f t="shared" si="22"/>
        <v>1693.3</v>
      </c>
      <c r="AH20">
        <f t="shared" si="22"/>
        <v>1682.62</v>
      </c>
      <c r="AI20">
        <f t="shared" si="22"/>
        <v>1667.93</v>
      </c>
      <c r="AJ20">
        <f t="shared" si="22"/>
        <v>1687.31</v>
      </c>
      <c r="AK20">
        <f t="shared" si="22"/>
        <v>1686.7599999999998</v>
      </c>
      <c r="AL20">
        <f t="shared" si="22"/>
        <v>1683.08</v>
      </c>
      <c r="AM20">
        <f t="shared" si="22"/>
        <v>1659.3499999999997</v>
      </c>
      <c r="AN20" t="e">
        <f t="shared" si="22"/>
        <v>#N/A</v>
      </c>
      <c r="AO20">
        <f t="shared" si="22"/>
        <v>1709.2399999999998</v>
      </c>
      <c r="AP20">
        <f t="shared" si="22"/>
        <v>1697.2399999999998</v>
      </c>
      <c r="AQ20">
        <f t="shared" si="22"/>
        <v>1721.9300000000003</v>
      </c>
      <c r="AR20">
        <f t="shared" si="22"/>
        <v>1703.5299999999997</v>
      </c>
      <c r="AS20">
        <f t="shared" si="22"/>
        <v>1705.2199999999998</v>
      </c>
      <c r="AT20" t="e">
        <f t="shared" si="22"/>
        <v>#N/A</v>
      </c>
      <c r="AU20" t="e">
        <f t="shared" si="22"/>
        <v>#N/A</v>
      </c>
      <c r="AV20" t="e">
        <f t="shared" si="22"/>
        <v>#N/A</v>
      </c>
      <c r="AW20" t="e">
        <f t="shared" si="22"/>
        <v>#N/A</v>
      </c>
      <c r="AX20" t="e">
        <f t="shared" si="22"/>
        <v>#N/A</v>
      </c>
      <c r="AY20" t="e">
        <f t="shared" si="22"/>
        <v>#N/A</v>
      </c>
      <c r="AZ20" t="e">
        <f t="shared" si="22"/>
        <v>#N/A</v>
      </c>
      <c r="BA20" t="e">
        <f t="shared" si="22"/>
        <v>#N/A</v>
      </c>
      <c r="BB20" t="e">
        <f t="shared" si="22"/>
        <v>#N/A</v>
      </c>
      <c r="BC20" t="e">
        <f t="shared" si="22"/>
        <v>#N/A</v>
      </c>
      <c r="BD20" t="e">
        <f t="shared" si="22"/>
        <v>#N/A</v>
      </c>
      <c r="BE20" t="e">
        <f t="shared" si="22"/>
        <v>#N/A</v>
      </c>
      <c r="BF20" t="e">
        <f t="shared" si="22"/>
        <v>#N/A</v>
      </c>
      <c r="BG20" t="e">
        <f t="shared" si="22"/>
        <v>#N/A</v>
      </c>
      <c r="BH20" t="e">
        <f t="shared" si="22"/>
        <v>#N/A</v>
      </c>
      <c r="BI20" t="e">
        <f t="shared" si="22"/>
        <v>#N/A</v>
      </c>
      <c r="BJ20" t="e">
        <f t="shared" si="22"/>
        <v>#N/A</v>
      </c>
      <c r="BK20" t="e">
        <f t="shared" si="22"/>
        <v>#N/A</v>
      </c>
      <c r="BL20" t="e">
        <f t="shared" si="22"/>
        <v>#N/A</v>
      </c>
      <c r="BM20" t="e">
        <f t="shared" si="22"/>
        <v>#N/A</v>
      </c>
      <c r="BN20" t="e">
        <f t="shared" si="22"/>
        <v>#N/A</v>
      </c>
      <c r="BO20" t="e">
        <f t="shared" si="22"/>
        <v>#N/A</v>
      </c>
      <c r="BP20" t="e">
        <f t="shared" si="22"/>
        <v>#N/A</v>
      </c>
      <c r="BQ20" t="e">
        <f t="shared" si="22"/>
        <v>#N/A</v>
      </c>
      <c r="BR20" t="e">
        <f t="shared" si="22"/>
        <v>#N/A</v>
      </c>
      <c r="BS20" t="e">
        <f t="shared" si="22"/>
        <v>#N/A</v>
      </c>
      <c r="BT20" t="e">
        <f t="shared" si="22"/>
        <v>#N/A</v>
      </c>
      <c r="BU20" t="e">
        <f t="shared" si="22"/>
        <v>#N/A</v>
      </c>
      <c r="BV20" t="e">
        <f t="shared" ref="BV20:EG20" si="23">SUM(BV11:BV14)</f>
        <v>#N/A</v>
      </c>
      <c r="BW20" t="e">
        <f t="shared" si="23"/>
        <v>#N/A</v>
      </c>
      <c r="BX20" t="e">
        <f t="shared" si="23"/>
        <v>#N/A</v>
      </c>
      <c r="BY20" t="e">
        <f t="shared" si="23"/>
        <v>#N/A</v>
      </c>
      <c r="BZ20" t="e">
        <f t="shared" si="23"/>
        <v>#N/A</v>
      </c>
      <c r="CA20" t="e">
        <f t="shared" si="23"/>
        <v>#N/A</v>
      </c>
      <c r="CB20" t="e">
        <f t="shared" si="23"/>
        <v>#N/A</v>
      </c>
      <c r="CC20" t="e">
        <f t="shared" si="23"/>
        <v>#N/A</v>
      </c>
      <c r="CD20" t="e">
        <f t="shared" si="23"/>
        <v>#N/A</v>
      </c>
      <c r="CE20" t="e">
        <f t="shared" si="23"/>
        <v>#N/A</v>
      </c>
      <c r="CF20" t="e">
        <f t="shared" si="23"/>
        <v>#N/A</v>
      </c>
      <c r="CG20" t="e">
        <f t="shared" si="23"/>
        <v>#N/A</v>
      </c>
      <c r="CH20" t="e">
        <f t="shared" si="23"/>
        <v>#N/A</v>
      </c>
      <c r="CI20" t="e">
        <f t="shared" si="23"/>
        <v>#N/A</v>
      </c>
      <c r="CJ20" t="e">
        <f t="shared" si="23"/>
        <v>#N/A</v>
      </c>
      <c r="CK20" t="e">
        <f t="shared" si="23"/>
        <v>#N/A</v>
      </c>
      <c r="CL20" t="e">
        <f t="shared" si="23"/>
        <v>#N/A</v>
      </c>
      <c r="CM20" t="e">
        <f t="shared" si="23"/>
        <v>#N/A</v>
      </c>
      <c r="CN20" t="e">
        <f t="shared" si="23"/>
        <v>#N/A</v>
      </c>
      <c r="CO20" t="e">
        <f t="shared" si="23"/>
        <v>#N/A</v>
      </c>
      <c r="CP20" t="e">
        <f t="shared" si="23"/>
        <v>#N/A</v>
      </c>
      <c r="CQ20" t="e">
        <f t="shared" si="23"/>
        <v>#N/A</v>
      </c>
      <c r="CR20" t="e">
        <f t="shared" si="23"/>
        <v>#N/A</v>
      </c>
      <c r="CS20" t="e">
        <f t="shared" si="23"/>
        <v>#N/A</v>
      </c>
      <c r="CT20" t="e">
        <f t="shared" si="23"/>
        <v>#N/A</v>
      </c>
      <c r="CU20" t="e">
        <f t="shared" si="23"/>
        <v>#N/A</v>
      </c>
      <c r="CV20" t="e">
        <f t="shared" si="23"/>
        <v>#N/A</v>
      </c>
      <c r="CW20" t="e">
        <f t="shared" si="23"/>
        <v>#N/A</v>
      </c>
      <c r="CX20" t="e">
        <f t="shared" si="23"/>
        <v>#N/A</v>
      </c>
      <c r="CY20" t="e">
        <f t="shared" si="23"/>
        <v>#N/A</v>
      </c>
      <c r="CZ20" t="e">
        <f t="shared" si="23"/>
        <v>#N/A</v>
      </c>
      <c r="DA20" t="e">
        <f t="shared" si="23"/>
        <v>#N/A</v>
      </c>
      <c r="DB20" t="e">
        <f t="shared" si="23"/>
        <v>#N/A</v>
      </c>
      <c r="DC20" t="e">
        <f t="shared" si="23"/>
        <v>#N/A</v>
      </c>
      <c r="DD20" t="e">
        <f t="shared" si="23"/>
        <v>#N/A</v>
      </c>
      <c r="DE20" t="e">
        <f t="shared" si="23"/>
        <v>#N/A</v>
      </c>
      <c r="DF20" t="e">
        <f t="shared" si="23"/>
        <v>#N/A</v>
      </c>
      <c r="DG20" t="e">
        <f t="shared" si="23"/>
        <v>#N/A</v>
      </c>
      <c r="DH20" t="e">
        <f t="shared" si="23"/>
        <v>#N/A</v>
      </c>
      <c r="DI20" t="e">
        <f t="shared" si="23"/>
        <v>#N/A</v>
      </c>
      <c r="DJ20" t="e">
        <f t="shared" si="23"/>
        <v>#N/A</v>
      </c>
      <c r="DK20" t="e">
        <f t="shared" si="23"/>
        <v>#N/A</v>
      </c>
      <c r="DL20" t="e">
        <f t="shared" si="23"/>
        <v>#N/A</v>
      </c>
      <c r="DM20" t="e">
        <f t="shared" si="23"/>
        <v>#N/A</v>
      </c>
      <c r="DN20" t="e">
        <f t="shared" si="23"/>
        <v>#N/A</v>
      </c>
      <c r="DO20" t="e">
        <f t="shared" si="23"/>
        <v>#N/A</v>
      </c>
      <c r="DP20" t="e">
        <f t="shared" si="23"/>
        <v>#N/A</v>
      </c>
      <c r="DQ20" t="e">
        <f t="shared" si="23"/>
        <v>#N/A</v>
      </c>
      <c r="DR20" t="e">
        <f t="shared" si="23"/>
        <v>#N/A</v>
      </c>
      <c r="DS20" t="e">
        <f t="shared" si="23"/>
        <v>#N/A</v>
      </c>
      <c r="DT20" t="e">
        <f t="shared" si="23"/>
        <v>#N/A</v>
      </c>
      <c r="DU20" t="e">
        <f t="shared" si="23"/>
        <v>#N/A</v>
      </c>
      <c r="DV20" t="e">
        <f t="shared" si="23"/>
        <v>#N/A</v>
      </c>
      <c r="DW20" t="e">
        <f t="shared" si="23"/>
        <v>#N/A</v>
      </c>
      <c r="DX20" t="e">
        <f t="shared" si="23"/>
        <v>#N/A</v>
      </c>
      <c r="DY20" t="e">
        <f t="shared" si="23"/>
        <v>#N/A</v>
      </c>
      <c r="DZ20" t="e">
        <f t="shared" si="23"/>
        <v>#N/A</v>
      </c>
      <c r="EA20" t="e">
        <f t="shared" si="23"/>
        <v>#N/A</v>
      </c>
      <c r="EB20" t="e">
        <f t="shared" si="23"/>
        <v>#N/A</v>
      </c>
      <c r="EC20" t="e">
        <f t="shared" si="23"/>
        <v>#N/A</v>
      </c>
      <c r="ED20" t="e">
        <f t="shared" si="23"/>
        <v>#N/A</v>
      </c>
      <c r="EE20" t="e">
        <f t="shared" si="23"/>
        <v>#N/A</v>
      </c>
      <c r="EF20" t="e">
        <f t="shared" si="23"/>
        <v>#N/A</v>
      </c>
      <c r="EG20" t="e">
        <f t="shared" si="23"/>
        <v>#N/A</v>
      </c>
      <c r="EH20" t="e">
        <f t="shared" ref="EH20:GA20" si="24">SUM(EH11:EH14)</f>
        <v>#N/A</v>
      </c>
      <c r="EI20" t="e">
        <f t="shared" si="24"/>
        <v>#N/A</v>
      </c>
      <c r="EJ20" t="e">
        <f t="shared" si="24"/>
        <v>#N/A</v>
      </c>
      <c r="EK20" t="e">
        <f t="shared" si="24"/>
        <v>#N/A</v>
      </c>
      <c r="EL20" t="e">
        <f t="shared" si="24"/>
        <v>#N/A</v>
      </c>
      <c r="EM20" t="e">
        <f t="shared" si="24"/>
        <v>#N/A</v>
      </c>
      <c r="EN20" t="e">
        <f t="shared" si="24"/>
        <v>#N/A</v>
      </c>
      <c r="EO20" t="e">
        <f t="shared" si="24"/>
        <v>#N/A</v>
      </c>
      <c r="EP20" t="e">
        <f t="shared" si="24"/>
        <v>#N/A</v>
      </c>
      <c r="EQ20" t="e">
        <f t="shared" si="24"/>
        <v>#N/A</v>
      </c>
      <c r="ER20" t="e">
        <f t="shared" si="24"/>
        <v>#N/A</v>
      </c>
      <c r="ES20" t="e">
        <f t="shared" si="24"/>
        <v>#N/A</v>
      </c>
      <c r="ET20" t="e">
        <f t="shared" si="24"/>
        <v>#N/A</v>
      </c>
      <c r="EU20" t="e">
        <f t="shared" si="24"/>
        <v>#N/A</v>
      </c>
      <c r="EV20" t="e">
        <f t="shared" si="24"/>
        <v>#N/A</v>
      </c>
      <c r="EW20" t="e">
        <f t="shared" si="24"/>
        <v>#N/A</v>
      </c>
      <c r="EX20" t="e">
        <f t="shared" si="24"/>
        <v>#N/A</v>
      </c>
      <c r="EY20" t="e">
        <f t="shared" si="24"/>
        <v>#N/A</v>
      </c>
      <c r="EZ20" t="e">
        <f t="shared" si="24"/>
        <v>#N/A</v>
      </c>
      <c r="FA20" t="e">
        <f t="shared" si="24"/>
        <v>#N/A</v>
      </c>
      <c r="FB20" t="e">
        <f t="shared" si="24"/>
        <v>#N/A</v>
      </c>
      <c r="FC20" t="e">
        <f t="shared" si="24"/>
        <v>#N/A</v>
      </c>
      <c r="FD20" t="e">
        <f t="shared" si="24"/>
        <v>#N/A</v>
      </c>
      <c r="FE20" t="e">
        <f t="shared" si="24"/>
        <v>#N/A</v>
      </c>
      <c r="FF20" t="e">
        <f t="shared" si="24"/>
        <v>#N/A</v>
      </c>
      <c r="FG20" t="e">
        <f t="shared" si="24"/>
        <v>#N/A</v>
      </c>
      <c r="FH20" t="e">
        <f t="shared" si="24"/>
        <v>#N/A</v>
      </c>
      <c r="FI20" t="e">
        <f t="shared" si="24"/>
        <v>#N/A</v>
      </c>
      <c r="FJ20" t="e">
        <f t="shared" si="24"/>
        <v>#N/A</v>
      </c>
      <c r="FK20" t="e">
        <f t="shared" si="24"/>
        <v>#N/A</v>
      </c>
      <c r="FL20" t="e">
        <f t="shared" si="24"/>
        <v>#N/A</v>
      </c>
      <c r="FM20" t="e">
        <f t="shared" si="24"/>
        <v>#N/A</v>
      </c>
      <c r="FN20" t="e">
        <f t="shared" si="24"/>
        <v>#N/A</v>
      </c>
      <c r="FO20" t="e">
        <f t="shared" si="24"/>
        <v>#N/A</v>
      </c>
      <c r="FP20" t="e">
        <f t="shared" si="24"/>
        <v>#N/A</v>
      </c>
      <c r="FQ20" t="e">
        <f t="shared" si="24"/>
        <v>#N/A</v>
      </c>
      <c r="FR20" t="e">
        <f t="shared" si="24"/>
        <v>#N/A</v>
      </c>
      <c r="FS20" t="e">
        <f t="shared" si="24"/>
        <v>#N/A</v>
      </c>
      <c r="FT20" t="e">
        <f t="shared" si="24"/>
        <v>#N/A</v>
      </c>
      <c r="FU20" t="e">
        <f t="shared" si="24"/>
        <v>#N/A</v>
      </c>
      <c r="FV20" t="e">
        <f t="shared" si="24"/>
        <v>#N/A</v>
      </c>
      <c r="FW20" t="e">
        <f t="shared" si="24"/>
        <v>#N/A</v>
      </c>
      <c r="FX20" t="e">
        <f t="shared" si="24"/>
        <v>#N/A</v>
      </c>
      <c r="FY20" t="e">
        <f t="shared" si="24"/>
        <v>#N/A</v>
      </c>
      <c r="FZ20" t="e">
        <f t="shared" si="24"/>
        <v>#N/A</v>
      </c>
      <c r="GA20" t="e">
        <f t="shared" si="24"/>
        <v>#N/A</v>
      </c>
    </row>
  </sheetData>
  <conditionalFormatting sqref="F3">
    <cfRule type="cellIs" dxfId="119" priority="51" operator="greaterThan">
      <formula>0.2</formula>
    </cfRule>
    <cfRule type="cellIs" dxfId="118" priority="52" operator="between">
      <formula>0.05</formula>
      <formula>0.2</formula>
    </cfRule>
    <cfRule type="cellIs" dxfId="117" priority="53" operator="between">
      <formula>-0.05</formula>
      <formula>0.05</formula>
    </cfRule>
    <cfRule type="cellIs" dxfId="116" priority="54" operator="between">
      <formula>-0.2</formula>
      <formula>-0.05</formula>
    </cfRule>
    <cfRule type="cellIs" dxfId="115" priority="55" operator="lessThan">
      <formula>-0.2</formula>
    </cfRule>
  </conditionalFormatting>
  <conditionalFormatting sqref="F4:F6">
    <cfRule type="cellIs" dxfId="114" priority="46" operator="greaterThan">
      <formula>0.2</formula>
    </cfRule>
    <cfRule type="cellIs" dxfId="113" priority="47" operator="between">
      <formula>0.05</formula>
      <formula>0.2</formula>
    </cfRule>
    <cfRule type="cellIs" dxfId="112" priority="48" operator="between">
      <formula>-0.05</formula>
      <formula>0.05</formula>
    </cfRule>
    <cfRule type="cellIs" dxfId="111" priority="49" operator="between">
      <formula>-0.2</formula>
      <formula>-0.05</formula>
    </cfRule>
    <cfRule type="cellIs" dxfId="110" priority="50" operator="lessThan">
      <formula>-0.2</formula>
    </cfRule>
  </conditionalFormatting>
  <conditionalFormatting sqref="G3:G6">
    <cfRule type="cellIs" dxfId="109" priority="41" operator="greaterThan">
      <formula>0.2</formula>
    </cfRule>
    <cfRule type="cellIs" dxfId="108" priority="42" operator="between">
      <formula>0.05</formula>
      <formula>0.2</formula>
    </cfRule>
    <cfRule type="cellIs" dxfId="107" priority="43" operator="between">
      <formula>-0.05</formula>
      <formula>0.05</formula>
    </cfRule>
    <cfRule type="cellIs" dxfId="106" priority="44" operator="between">
      <formula>-0.2</formula>
      <formula>-0.05</formula>
    </cfRule>
    <cfRule type="cellIs" dxfId="105" priority="45" operator="lessThan">
      <formula>-0.2</formula>
    </cfRule>
  </conditionalFormatting>
  <conditionalFormatting sqref="F11:F14">
    <cfRule type="cellIs" dxfId="104" priority="36" operator="greaterThan">
      <formula>0.2</formula>
    </cfRule>
    <cfRule type="cellIs" dxfId="103" priority="37" operator="between">
      <formula>0.05</formula>
      <formula>0.2</formula>
    </cfRule>
    <cfRule type="cellIs" dxfId="102" priority="38" operator="between">
      <formula>-0.05</formula>
      <formula>0.05</formula>
    </cfRule>
    <cfRule type="cellIs" dxfId="101" priority="39" operator="between">
      <formula>-0.2</formula>
      <formula>-0.05</formula>
    </cfRule>
    <cfRule type="cellIs" dxfId="100" priority="40" operator="lessThan">
      <formula>-0.2</formula>
    </cfRule>
  </conditionalFormatting>
  <conditionalFormatting sqref="F19:F20">
    <cfRule type="cellIs" dxfId="99" priority="31" operator="greaterThan">
      <formula>0.2</formula>
    </cfRule>
    <cfRule type="cellIs" dxfId="98" priority="32" operator="between">
      <formula>0.05</formula>
      <formula>0.2</formula>
    </cfRule>
    <cfRule type="cellIs" dxfId="97" priority="33" operator="between">
      <formula>-0.05</formula>
      <formula>0.05</formula>
    </cfRule>
    <cfRule type="cellIs" dxfId="96" priority="34" operator="between">
      <formula>-0.2</formula>
      <formula>-0.05</formula>
    </cfRule>
    <cfRule type="cellIs" dxfId="95" priority="35" operator="lessThan">
      <formula>-0.2</formula>
    </cfRule>
  </conditionalFormatting>
  <conditionalFormatting sqref="G11">
    <cfRule type="cellIs" dxfId="94" priority="26" operator="greaterThan">
      <formula>0.2</formula>
    </cfRule>
    <cfRule type="cellIs" dxfId="93" priority="27" operator="between">
      <formula>0.05</formula>
      <formula>0.2</formula>
    </cfRule>
    <cfRule type="cellIs" dxfId="92" priority="28" operator="between">
      <formula>-0.05</formula>
      <formula>0.05</formula>
    </cfRule>
    <cfRule type="cellIs" dxfId="91" priority="29" operator="between">
      <formula>-0.2</formula>
      <formula>-0.05</formula>
    </cfRule>
    <cfRule type="cellIs" dxfId="90" priority="30" operator="lessThan">
      <formula>-0.2</formula>
    </cfRule>
  </conditionalFormatting>
  <conditionalFormatting sqref="G19">
    <cfRule type="cellIs" dxfId="89" priority="21" operator="greaterThan">
      <formula>0.2</formula>
    </cfRule>
    <cfRule type="cellIs" dxfId="88" priority="22" operator="between">
      <formula>0.05</formula>
      <formula>0.2</formula>
    </cfRule>
    <cfRule type="cellIs" dxfId="87" priority="23" operator="between">
      <formula>-0.05</formula>
      <formula>0.05</formula>
    </cfRule>
    <cfRule type="cellIs" dxfId="86" priority="24" operator="between">
      <formula>-0.2</formula>
      <formula>-0.05</formula>
    </cfRule>
    <cfRule type="cellIs" dxfId="85" priority="25" operator="lessThan">
      <formula>-0.2</formula>
    </cfRule>
  </conditionalFormatting>
  <conditionalFormatting sqref="G20">
    <cfRule type="cellIs" dxfId="84" priority="16" operator="greaterThan">
      <formula>0.2</formula>
    </cfRule>
    <cfRule type="cellIs" dxfId="83" priority="17" operator="between">
      <formula>0.05</formula>
      <formula>0.2</formula>
    </cfRule>
    <cfRule type="cellIs" dxfId="82" priority="18" operator="between">
      <formula>-0.05</formula>
      <formula>0.05</formula>
    </cfRule>
    <cfRule type="cellIs" dxfId="81" priority="19" operator="between">
      <formula>-0.2</formula>
      <formula>-0.05</formula>
    </cfRule>
    <cfRule type="cellIs" dxfId="80" priority="20" operator="lessThan">
      <formula>-0.2</formula>
    </cfRule>
  </conditionalFormatting>
  <conditionalFormatting sqref="G12">
    <cfRule type="cellIs" dxfId="79" priority="11" operator="greaterThan">
      <formula>0.2</formula>
    </cfRule>
    <cfRule type="cellIs" dxfId="78" priority="12" operator="between">
      <formula>0.05</formula>
      <formula>0.2</formula>
    </cfRule>
    <cfRule type="cellIs" dxfId="77" priority="13" operator="between">
      <formula>-0.05</formula>
      <formula>0.05</formula>
    </cfRule>
    <cfRule type="cellIs" dxfId="76" priority="14" operator="between">
      <formula>-0.2</formula>
      <formula>-0.05</formula>
    </cfRule>
    <cfRule type="cellIs" dxfId="75" priority="15" operator="lessThan">
      <formula>-0.2</formula>
    </cfRule>
  </conditionalFormatting>
  <conditionalFormatting sqref="G13">
    <cfRule type="cellIs" dxfId="74" priority="6" operator="greaterThan">
      <formula>0.2</formula>
    </cfRule>
    <cfRule type="cellIs" dxfId="73" priority="7" operator="between">
      <formula>0.05</formula>
      <formula>0.2</formula>
    </cfRule>
    <cfRule type="cellIs" dxfId="72" priority="8" operator="between">
      <formula>-0.05</formula>
      <formula>0.05</formula>
    </cfRule>
    <cfRule type="cellIs" dxfId="71" priority="9" operator="between">
      <formula>-0.2</formula>
      <formula>-0.05</formula>
    </cfRule>
    <cfRule type="cellIs" dxfId="70" priority="10" operator="lessThan">
      <formula>-0.2</formula>
    </cfRule>
  </conditionalFormatting>
  <conditionalFormatting sqref="G14">
    <cfRule type="cellIs" dxfId="69" priority="1" operator="greaterThan">
      <formula>0.2</formula>
    </cfRule>
    <cfRule type="cellIs" dxfId="68" priority="2" operator="between">
      <formula>0.05</formula>
      <formula>0.2</formula>
    </cfRule>
    <cfRule type="cellIs" dxfId="67" priority="3" operator="between">
      <formula>-0.05</formula>
      <formula>0.05</formula>
    </cfRule>
    <cfRule type="cellIs" dxfId="66" priority="4" operator="between">
      <formula>-0.2</formula>
      <formula>-0.05</formula>
    </cfRule>
    <cfRule type="cellIs" dxfId="65" priority="5" operator="lessThan">
      <formula>-0.2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A7AF-8B2B-46DA-8DE3-B505BF52D3B1}">
  <dimension ref="A1:GA26"/>
  <sheetViews>
    <sheetView zoomScale="80" zoomScaleNormal="80" workbookViewId="0">
      <pane xSplit="7" topLeftCell="H1" activePane="topRight" state="frozen"/>
      <selection pane="topRight" activeCell="I2" sqref="I2:GA9"/>
    </sheetView>
  </sheetViews>
  <sheetFormatPr defaultRowHeight="14.25" x14ac:dyDescent="0.45"/>
  <cols>
    <col min="1" max="1" width="24.06640625" customWidth="1"/>
    <col min="2" max="183" width="11.19921875" customWidth="1"/>
  </cols>
  <sheetData>
    <row r="1" spans="1:183" x14ac:dyDescent="0.45">
      <c r="A1" t="s">
        <v>56</v>
      </c>
    </row>
    <row r="2" spans="1:183" x14ac:dyDescent="0.45">
      <c r="C2" t="s">
        <v>57</v>
      </c>
      <c r="D2" t="s">
        <v>45</v>
      </c>
      <c r="F2" t="s">
        <v>58</v>
      </c>
      <c r="G2" t="s">
        <v>46</v>
      </c>
      <c r="I2" s="1">
        <f>Knife!I2</f>
        <v>44331</v>
      </c>
      <c r="J2" s="1">
        <f>Knife!J2</f>
        <v>44332</v>
      </c>
      <c r="K2" s="1">
        <f>Knife!K2</f>
        <v>44333</v>
      </c>
      <c r="L2" s="1">
        <f>Knife!L2</f>
        <v>44334</v>
      </c>
      <c r="M2" s="1">
        <f>Knife!M2</f>
        <v>44335</v>
      </c>
      <c r="N2" s="1">
        <f>Knife!N2</f>
        <v>44336</v>
      </c>
      <c r="O2" s="1">
        <f>Knife!O2</f>
        <v>44337</v>
      </c>
      <c r="P2" s="1">
        <f>Knife!P2</f>
        <v>44338</v>
      </c>
      <c r="Q2" s="1">
        <f>Knife!Q2</f>
        <v>44339</v>
      </c>
      <c r="R2" s="1">
        <f>Knife!R2</f>
        <v>44340</v>
      </c>
      <c r="S2" s="1">
        <f>Knife!S2</f>
        <v>44341</v>
      </c>
      <c r="T2" s="1">
        <f>Knife!T2</f>
        <v>44342</v>
      </c>
      <c r="U2" s="1">
        <f>Knife!U2</f>
        <v>44343</v>
      </c>
      <c r="V2" s="1">
        <f>Knife!V2</f>
        <v>44344</v>
      </c>
      <c r="W2" s="1">
        <f>Knife!W2</f>
        <v>44345</v>
      </c>
      <c r="X2" s="1">
        <f>Knife!X2</f>
        <v>44346</v>
      </c>
      <c r="Y2" s="1">
        <f>Knife!Y2</f>
        <v>44347</v>
      </c>
      <c r="Z2" s="1">
        <f>Knife!Z2</f>
        <v>44348</v>
      </c>
      <c r="AA2" s="1">
        <f>Knife!AA2</f>
        <v>44349</v>
      </c>
      <c r="AB2" s="1">
        <f>Knife!AB2</f>
        <v>44350</v>
      </c>
      <c r="AC2" s="1">
        <f>Knife!AC2</f>
        <v>44351</v>
      </c>
      <c r="AD2" s="1">
        <f>Knife!AD2</f>
        <v>44352</v>
      </c>
      <c r="AE2" s="1">
        <f>Knife!AE2</f>
        <v>44353</v>
      </c>
      <c r="AF2" s="1">
        <f>Knife!AF2</f>
        <v>44354</v>
      </c>
      <c r="AG2" s="1">
        <f>Knife!AG2</f>
        <v>44355</v>
      </c>
      <c r="AH2" s="1">
        <f>Knife!AH2</f>
        <v>44356</v>
      </c>
      <c r="AI2" s="1">
        <f>Knife!AI2</f>
        <v>44357</v>
      </c>
      <c r="AJ2" s="1">
        <f>Knife!AJ2</f>
        <v>44358</v>
      </c>
      <c r="AK2" s="1">
        <f>Knife!AK2</f>
        <v>44359</v>
      </c>
      <c r="AL2" s="1">
        <f>Knife!AL2</f>
        <v>44360</v>
      </c>
      <c r="AM2" s="1">
        <f>Knife!AM2</f>
        <v>44361</v>
      </c>
      <c r="AN2" s="1">
        <f>Knife!AN2</f>
        <v>44362</v>
      </c>
      <c r="AO2" s="1">
        <f>Knife!AO2</f>
        <v>44363</v>
      </c>
      <c r="AP2" s="1">
        <f>Knife!AP2</f>
        <v>44364</v>
      </c>
      <c r="AQ2" s="1">
        <f>Knife!AQ2</f>
        <v>44365</v>
      </c>
      <c r="AR2" s="1">
        <f>Knife!AR2</f>
        <v>44366</v>
      </c>
      <c r="AS2" s="1">
        <f>Knife!AS2</f>
        <v>44367</v>
      </c>
      <c r="AT2" s="1">
        <f>Knife!AT2</f>
        <v>44368</v>
      </c>
      <c r="AU2" s="1">
        <f>Knife!AU2</f>
        <v>44369</v>
      </c>
      <c r="AV2" s="1">
        <f>Knife!AV2</f>
        <v>44370</v>
      </c>
      <c r="AW2" s="1">
        <f>Knife!AW2</f>
        <v>44371</v>
      </c>
      <c r="AX2" s="1">
        <f>Knife!AX2</f>
        <v>44372</v>
      </c>
      <c r="AY2" s="1">
        <f>Knife!AY2</f>
        <v>44373</v>
      </c>
      <c r="AZ2" s="1">
        <f>Knife!AZ2</f>
        <v>44374</v>
      </c>
      <c r="BA2" s="1">
        <f>Knife!BA2</f>
        <v>44375</v>
      </c>
      <c r="BB2" s="1">
        <f>Knife!BB2</f>
        <v>44376</v>
      </c>
      <c r="BC2" s="1">
        <f>Knife!BC2</f>
        <v>44377</v>
      </c>
      <c r="BD2" s="1">
        <f>Knife!BD2</f>
        <v>44378</v>
      </c>
      <c r="BE2" s="1">
        <f>Knife!BE2</f>
        <v>44379</v>
      </c>
      <c r="BF2" s="1">
        <f>Knife!BF2</f>
        <v>44380</v>
      </c>
      <c r="BG2" s="1">
        <f>Knife!BG2</f>
        <v>44381</v>
      </c>
      <c r="BH2" s="1">
        <f>Knife!BH2</f>
        <v>44382</v>
      </c>
      <c r="BI2" s="1">
        <f>Knife!BI2</f>
        <v>44383</v>
      </c>
      <c r="BJ2" s="1">
        <f>Knife!BJ2</f>
        <v>44384</v>
      </c>
      <c r="BK2" s="1">
        <f>Knife!BK2</f>
        <v>44385</v>
      </c>
      <c r="BL2" s="1">
        <f>Knife!BL2</f>
        <v>44386</v>
      </c>
      <c r="BM2" s="1">
        <f>Knife!BM2</f>
        <v>44387</v>
      </c>
      <c r="BN2" s="1">
        <f>Knife!BN2</f>
        <v>44388</v>
      </c>
      <c r="BO2" s="1">
        <f>Knife!BO2</f>
        <v>44389</v>
      </c>
      <c r="BP2" s="1">
        <f>Knife!BP2</f>
        <v>44390</v>
      </c>
      <c r="BQ2" s="1">
        <f>Knife!BQ2</f>
        <v>44391</v>
      </c>
      <c r="BR2" s="1">
        <f>Knife!BR2</f>
        <v>44392</v>
      </c>
      <c r="BS2" s="1">
        <f>Knife!BS2</f>
        <v>44393</v>
      </c>
      <c r="BT2" s="1">
        <f>Knife!BT2</f>
        <v>44394</v>
      </c>
      <c r="BU2" s="1">
        <f>Knife!BU2</f>
        <v>44395</v>
      </c>
      <c r="BV2" s="1">
        <f>Knife!BV2</f>
        <v>44396</v>
      </c>
      <c r="BW2" s="1">
        <f>Knife!BW2</f>
        <v>44397</v>
      </c>
      <c r="BX2" s="1">
        <f>Knife!BX2</f>
        <v>44398</v>
      </c>
      <c r="BY2" s="1">
        <f>Knife!BY2</f>
        <v>44399</v>
      </c>
      <c r="BZ2" s="1">
        <f>Knife!BZ2</f>
        <v>44400</v>
      </c>
      <c r="CA2" s="1">
        <f>Knife!CA2</f>
        <v>44401</v>
      </c>
      <c r="CB2" s="1">
        <f>Knife!CB2</f>
        <v>44402</v>
      </c>
      <c r="CC2" s="1">
        <f>Knife!CC2</f>
        <v>44403</v>
      </c>
      <c r="CD2" s="1">
        <f>Knife!CD2</f>
        <v>44404</v>
      </c>
      <c r="CE2" s="1">
        <f>Knife!CE2</f>
        <v>44405</v>
      </c>
      <c r="CF2" s="1">
        <f>Knife!CF2</f>
        <v>44406</v>
      </c>
      <c r="CG2" s="1">
        <f>Knife!CG2</f>
        <v>44407</v>
      </c>
      <c r="CH2" s="1">
        <f>Knife!CH2</f>
        <v>44408</v>
      </c>
      <c r="CI2" s="1">
        <f>Knife!CI2</f>
        <v>44409</v>
      </c>
      <c r="CJ2" s="1">
        <f>Knife!CJ2</f>
        <v>44410</v>
      </c>
      <c r="CK2" s="1">
        <f>Knife!CK2</f>
        <v>44411</v>
      </c>
      <c r="CL2" s="1">
        <f>Knife!CL2</f>
        <v>44412</v>
      </c>
      <c r="CM2" s="1">
        <f>Knife!CM2</f>
        <v>44413</v>
      </c>
      <c r="CN2" s="1">
        <f>Knife!CN2</f>
        <v>44414</v>
      </c>
      <c r="CO2" s="1">
        <f>Knife!CO2</f>
        <v>44415</v>
      </c>
      <c r="CP2" s="1">
        <f>Knife!CP2</f>
        <v>44416</v>
      </c>
      <c r="CQ2" s="1">
        <f>Knife!CQ2</f>
        <v>44417</v>
      </c>
      <c r="CR2" s="1">
        <f>Knife!CR2</f>
        <v>44418</v>
      </c>
      <c r="CS2" s="1">
        <f>Knife!CS2</f>
        <v>44419</v>
      </c>
      <c r="CT2" s="1">
        <f>Knife!CT2</f>
        <v>44420</v>
      </c>
      <c r="CU2" s="1">
        <f>Knife!CU2</f>
        <v>44421</v>
      </c>
      <c r="CV2" s="1">
        <f>Knife!CV2</f>
        <v>44422</v>
      </c>
      <c r="CW2" s="1">
        <f>Knife!CW2</f>
        <v>44423</v>
      </c>
      <c r="CX2" s="1">
        <f>Knife!CX2</f>
        <v>44424</v>
      </c>
      <c r="CY2" s="1">
        <f>Knife!CY2</f>
        <v>44425</v>
      </c>
      <c r="CZ2" s="1">
        <f>Knife!CZ2</f>
        <v>44426</v>
      </c>
      <c r="DA2" s="1">
        <f>Knife!DA2</f>
        <v>44427</v>
      </c>
      <c r="DB2" s="1">
        <f>Knife!DB2</f>
        <v>44428</v>
      </c>
      <c r="DC2" s="1">
        <f>Knife!DC2</f>
        <v>44429</v>
      </c>
      <c r="DD2" s="1">
        <f>Knife!DD2</f>
        <v>44430</v>
      </c>
      <c r="DE2" s="1">
        <f>Knife!DE2</f>
        <v>44431</v>
      </c>
      <c r="DF2" s="1">
        <f>Knife!DF2</f>
        <v>44432</v>
      </c>
      <c r="DG2" s="1">
        <f>Knife!DG2</f>
        <v>44433</v>
      </c>
      <c r="DH2" s="1">
        <f>Knife!DH2</f>
        <v>44434</v>
      </c>
      <c r="DI2" s="1">
        <f>Knife!DI2</f>
        <v>44435</v>
      </c>
      <c r="DJ2" s="1">
        <f>Knife!DJ2</f>
        <v>44436</v>
      </c>
      <c r="DK2" s="1">
        <f>Knife!DK2</f>
        <v>44437</v>
      </c>
      <c r="DL2" s="1">
        <f>Knife!DL2</f>
        <v>44438</v>
      </c>
      <c r="DM2" s="1">
        <f>Knife!DM2</f>
        <v>44439</v>
      </c>
      <c r="DN2" s="1">
        <f>Knife!DN2</f>
        <v>44440</v>
      </c>
      <c r="DO2" s="1">
        <f>Knife!DO2</f>
        <v>44441</v>
      </c>
      <c r="DP2" s="1">
        <f>Knife!DP2</f>
        <v>44442</v>
      </c>
      <c r="DQ2" s="1">
        <f>Knife!DQ2</f>
        <v>44443</v>
      </c>
      <c r="DR2" s="1">
        <f>Knife!DR2</f>
        <v>44444</v>
      </c>
      <c r="DS2" s="1">
        <f>Knife!DS2</f>
        <v>44445</v>
      </c>
      <c r="DT2" s="1">
        <f>Knife!DT2</f>
        <v>44446</v>
      </c>
      <c r="DU2" s="1">
        <f>Knife!DU2</f>
        <v>44447</v>
      </c>
      <c r="DV2" s="1">
        <f>Knife!DV2</f>
        <v>44448</v>
      </c>
      <c r="DW2" s="1">
        <f>Knife!DW2</f>
        <v>44449</v>
      </c>
      <c r="DX2" s="1">
        <f>Knife!DX2</f>
        <v>44450</v>
      </c>
      <c r="DY2" s="1">
        <f>Knife!DY2</f>
        <v>44451</v>
      </c>
      <c r="DZ2" s="1">
        <f>Knife!DZ2</f>
        <v>44452</v>
      </c>
      <c r="EA2" s="1">
        <f>Knife!EA2</f>
        <v>44453</v>
      </c>
      <c r="EB2" s="1">
        <f>Knife!EB2</f>
        <v>44454</v>
      </c>
      <c r="EC2" s="1">
        <f>Knife!EC2</f>
        <v>44455</v>
      </c>
      <c r="ED2" s="1">
        <f>Knife!ED2</f>
        <v>44456</v>
      </c>
      <c r="EE2" s="1">
        <f>Knife!EE2</f>
        <v>44457</v>
      </c>
      <c r="EF2" s="1">
        <f>Knife!EF2</f>
        <v>44458</v>
      </c>
      <c r="EG2" s="1">
        <f>Knife!EG2</f>
        <v>44459</v>
      </c>
      <c r="EH2" s="1">
        <f>Knife!EH2</f>
        <v>44460</v>
      </c>
      <c r="EI2" s="1">
        <f>Knife!EI2</f>
        <v>44461</v>
      </c>
      <c r="EJ2" s="1">
        <f>Knife!EJ2</f>
        <v>44462</v>
      </c>
      <c r="EK2" s="1">
        <f>Knife!EK2</f>
        <v>44463</v>
      </c>
      <c r="EL2" s="1">
        <f>Knife!EL2</f>
        <v>44464</v>
      </c>
      <c r="EM2" s="1">
        <f>Knife!EM2</f>
        <v>44465</v>
      </c>
      <c r="EN2" s="1">
        <f>Knife!EN2</f>
        <v>44466</v>
      </c>
      <c r="EO2" s="1">
        <f>Knife!EO2</f>
        <v>44467</v>
      </c>
      <c r="EP2" s="1">
        <f>Knife!EP2</f>
        <v>44468</v>
      </c>
      <c r="EQ2" s="1">
        <f>Knife!EQ2</f>
        <v>44469</v>
      </c>
      <c r="ER2" s="1">
        <f>Knife!ER2</f>
        <v>44470</v>
      </c>
      <c r="ES2" s="1">
        <f>Knife!ES2</f>
        <v>44471</v>
      </c>
      <c r="ET2" s="1">
        <f>Knife!ET2</f>
        <v>44472</v>
      </c>
      <c r="EU2" s="1">
        <f>Knife!EU2</f>
        <v>44473</v>
      </c>
      <c r="EV2" s="1">
        <f>Knife!EV2</f>
        <v>44474</v>
      </c>
      <c r="EW2" s="1">
        <f>Knife!EW2</f>
        <v>44475</v>
      </c>
      <c r="EX2" s="1">
        <f>Knife!EX2</f>
        <v>44476</v>
      </c>
      <c r="EY2" s="1">
        <f>Knife!EY2</f>
        <v>44477</v>
      </c>
      <c r="EZ2" s="1">
        <f>Knife!EZ2</f>
        <v>44478</v>
      </c>
      <c r="FA2" s="1">
        <f>Knife!FA2</f>
        <v>44479</v>
      </c>
      <c r="FB2" s="1">
        <f>Knife!FB2</f>
        <v>44480</v>
      </c>
      <c r="FC2" s="1">
        <f>Knife!FC2</f>
        <v>44481</v>
      </c>
      <c r="FD2" s="1">
        <f>Knife!FD2</f>
        <v>44482</v>
      </c>
      <c r="FE2" s="1">
        <f>Knife!FE2</f>
        <v>44483</v>
      </c>
      <c r="FF2" s="1">
        <f>Knife!FF2</f>
        <v>44484</v>
      </c>
      <c r="FG2" s="1">
        <f>Knife!FG2</f>
        <v>44485</v>
      </c>
      <c r="FH2" s="1">
        <f>Knife!FH2</f>
        <v>44486</v>
      </c>
      <c r="FI2" s="1">
        <f>Knife!FI2</f>
        <v>44487</v>
      </c>
      <c r="FJ2" s="1">
        <f>Knife!FJ2</f>
        <v>44488</v>
      </c>
      <c r="FK2" s="1">
        <f>Knife!FK2</f>
        <v>44489</v>
      </c>
      <c r="FL2" s="1">
        <f>Knife!FL2</f>
        <v>44490</v>
      </c>
      <c r="FM2" s="1">
        <f>Knife!FM2</f>
        <v>44491</v>
      </c>
      <c r="FN2" s="1">
        <f>Knife!FN2</f>
        <v>44492</v>
      </c>
      <c r="FO2" s="1">
        <f>Knife!FO2</f>
        <v>44493</v>
      </c>
      <c r="FP2" s="1">
        <f>Knife!FP2</f>
        <v>44494</v>
      </c>
      <c r="FQ2" s="1">
        <f>Knife!FQ2</f>
        <v>44495</v>
      </c>
      <c r="FR2" s="1">
        <f>Knife!FR2</f>
        <v>44496</v>
      </c>
      <c r="FS2" s="1">
        <f>Knife!FS2</f>
        <v>44497</v>
      </c>
      <c r="FT2" s="1">
        <f>Knife!FT2</f>
        <v>44498</v>
      </c>
      <c r="FU2" s="1">
        <f>Knife!FU2</f>
        <v>44499</v>
      </c>
      <c r="FV2" s="1">
        <f>Knife!FV2</f>
        <v>44500</v>
      </c>
      <c r="FW2" s="1">
        <f>Knife!FW2</f>
        <v>44501</v>
      </c>
      <c r="FX2" s="1">
        <f>Knife!FX2</f>
        <v>44502</v>
      </c>
      <c r="FY2" s="1">
        <f>Knife!FY2</f>
        <v>44503</v>
      </c>
      <c r="FZ2" s="1">
        <f>Knife!FZ2</f>
        <v>44504</v>
      </c>
      <c r="GA2" s="1">
        <f>Knife!GA2</f>
        <v>44505</v>
      </c>
    </row>
    <row r="3" spans="1:183" x14ac:dyDescent="0.45">
      <c r="A3" s="7" t="s">
        <v>59</v>
      </c>
      <c r="C3" cm="1">
        <f t="array" ref="C3">LOOKUP(2,1/(I3:GA3&lt;&gt;""),I3:GA3)</f>
        <v>7.07</v>
      </c>
      <c r="D3" cm="1">
        <f t="array" ref="D3">SUMPRODUCT(MAX((I3:GA3&lt;&gt;"")*COLUMN(I3:GA3)))</f>
        <v>45</v>
      </c>
      <c r="F3" s="4">
        <f>(C3-I3)/I3</f>
        <v>-5.354752342704143E-2</v>
      </c>
      <c r="G3" s="3" cm="1">
        <f t="array" ref="G3">(C3-IF(ISNA(INDEX(I3:GA3,D3-22)),INDEX(I3:GA3,D3-23),INDEX(I3:GA3,D3-22)))/IF(ISNA(INDEX(I3:GA3,D3-22)),INDEX(I3:GA3,D3-23),INDEX(I3:GA3,D3-22))</f>
        <v>7.1225071225072241E-3</v>
      </c>
      <c r="I3">
        <v>7.47</v>
      </c>
      <c r="J3">
        <v>7.52</v>
      </c>
      <c r="L3">
        <v>7.36</v>
      </c>
      <c r="N3">
        <v>7.24</v>
      </c>
      <c r="O3">
        <v>7.42</v>
      </c>
      <c r="P3">
        <v>7.21</v>
      </c>
      <c r="Q3">
        <v>7.03</v>
      </c>
      <c r="R3">
        <v>7.44</v>
      </c>
      <c r="S3">
        <v>7.33</v>
      </c>
      <c r="T3">
        <v>6.98</v>
      </c>
      <c r="U3">
        <v>6.95</v>
      </c>
      <c r="V3">
        <v>6.92</v>
      </c>
      <c r="W3">
        <v>7.05</v>
      </c>
      <c r="X3">
        <v>6.62</v>
      </c>
      <c r="Y3">
        <v>6.71</v>
      </c>
      <c r="Z3">
        <v>7.14</v>
      </c>
      <c r="AA3">
        <v>6.86</v>
      </c>
      <c r="AB3">
        <v>7.3</v>
      </c>
      <c r="AC3">
        <v>7.04</v>
      </c>
      <c r="AD3">
        <v>6.9</v>
      </c>
      <c r="AE3">
        <v>7.02</v>
      </c>
      <c r="AF3">
        <v>7.37</v>
      </c>
      <c r="AG3">
        <v>7.3</v>
      </c>
      <c r="AH3">
        <v>7.22</v>
      </c>
      <c r="AI3">
        <v>6.99</v>
      </c>
      <c r="AJ3">
        <v>6.85</v>
      </c>
      <c r="AK3">
        <v>7.14</v>
      </c>
      <c r="AL3">
        <v>7.02</v>
      </c>
      <c r="AM3">
        <v>6.63</v>
      </c>
      <c r="AO3">
        <v>7.16</v>
      </c>
      <c r="AP3">
        <v>6.84</v>
      </c>
      <c r="AQ3">
        <v>7.09</v>
      </c>
      <c r="AR3">
        <v>7.09</v>
      </c>
      <c r="AS3">
        <v>7.07</v>
      </c>
    </row>
    <row r="4" spans="1:183" x14ac:dyDescent="0.45">
      <c r="A4" s="7" t="s">
        <v>60</v>
      </c>
      <c r="C4" cm="1">
        <f t="array" ref="C4">LOOKUP(2,1/(I4:GA4&lt;&gt;""),I4:GA4)</f>
        <v>7.08</v>
      </c>
      <c r="D4" cm="1">
        <f t="array" ref="D4">SUMPRODUCT(MAX((I4:GA4&lt;&gt;"")*COLUMN(I4:GA4)))</f>
        <v>45</v>
      </c>
      <c r="F4" s="4">
        <f t="shared" ref="F4:F9" si="0">(C4-I4)/I4</f>
        <v>3.9647577092511085E-2</v>
      </c>
      <c r="G4" s="3" cm="1">
        <f t="array" ref="G4">(C4-IF(ISNA(INDEX(I4:GA4,D4-22)),INDEX(I4:GA4,D4-23),INDEX(I4:GA4,D4-22)))/IF(ISNA(INDEX(I4:GA4,D4-22)),INDEX(I4:GA4,D4-23),INDEX(I4:GA4,D4-22))</f>
        <v>-6.8421052631578896E-2</v>
      </c>
      <c r="I4">
        <v>6.81</v>
      </c>
      <c r="J4">
        <v>7.26</v>
      </c>
      <c r="L4">
        <v>7.22</v>
      </c>
      <c r="N4">
        <v>6.73</v>
      </c>
      <c r="O4">
        <v>6.71</v>
      </c>
      <c r="P4">
        <v>6.73</v>
      </c>
      <c r="Q4">
        <v>6.97</v>
      </c>
      <c r="R4">
        <v>7.34</v>
      </c>
      <c r="S4">
        <v>7.18</v>
      </c>
      <c r="T4">
        <v>6.93</v>
      </c>
      <c r="U4">
        <v>6.5</v>
      </c>
      <c r="V4">
        <v>6.4</v>
      </c>
      <c r="W4">
        <v>7.28</v>
      </c>
      <c r="X4">
        <v>7.32</v>
      </c>
      <c r="Y4">
        <v>7.71</v>
      </c>
      <c r="Z4">
        <v>7.27</v>
      </c>
      <c r="AA4">
        <v>7.36</v>
      </c>
      <c r="AB4">
        <v>7.14</v>
      </c>
      <c r="AC4">
        <v>7.32</v>
      </c>
      <c r="AD4">
        <v>7.2</v>
      </c>
      <c r="AE4">
        <v>7.6</v>
      </c>
      <c r="AF4">
        <v>7.54</v>
      </c>
      <c r="AG4">
        <v>7.66</v>
      </c>
      <c r="AH4">
        <v>7.49</v>
      </c>
      <c r="AI4">
        <v>7.08</v>
      </c>
      <c r="AJ4">
        <v>7.24</v>
      </c>
      <c r="AK4">
        <v>7.41</v>
      </c>
      <c r="AL4">
        <v>7.1</v>
      </c>
      <c r="AM4">
        <v>7.33</v>
      </c>
      <c r="AO4">
        <v>6.91</v>
      </c>
      <c r="AP4">
        <v>7.03</v>
      </c>
      <c r="AQ4">
        <v>7.38</v>
      </c>
      <c r="AR4">
        <v>7.19</v>
      </c>
      <c r="AS4">
        <v>7.08</v>
      </c>
    </row>
    <row r="5" spans="1:183" x14ac:dyDescent="0.45">
      <c r="A5" s="7" t="s">
        <v>61</v>
      </c>
      <c r="C5" cm="1">
        <f t="array" ref="C5">LOOKUP(2,1/(I5:GA5&lt;&gt;""),I5:GA5)</f>
        <v>73.540000000000006</v>
      </c>
      <c r="D5" cm="1">
        <f t="array" ref="D5">SUMPRODUCT(MAX((I5:GA5&lt;&gt;"")*COLUMN(I5:GA5)))</f>
        <v>45</v>
      </c>
      <c r="F5" s="4">
        <f t="shared" si="0"/>
        <v>-7.2894168466521607E-3</v>
      </c>
      <c r="G5" s="3" cm="1">
        <f t="array" ref="G5">(C5-IF(ISNA(INDEX(I5:GA5,D5-22)),INDEX(I5:GA5,D5-23),INDEX(I5:GA5,D5-22)))/IF(ISNA(INDEX(I5:GA5,D5-22)),INDEX(I5:GA5,D5-23),INDEX(I5:GA5,D5-22))</f>
        <v>-4.2323219169162651E-2</v>
      </c>
      <c r="I5">
        <v>74.08</v>
      </c>
      <c r="J5">
        <v>71.31</v>
      </c>
      <c r="L5">
        <v>71.88</v>
      </c>
      <c r="N5">
        <v>71.23</v>
      </c>
      <c r="O5">
        <v>70.58</v>
      </c>
      <c r="P5">
        <v>65.36</v>
      </c>
      <c r="Q5">
        <v>73.31</v>
      </c>
      <c r="R5">
        <v>73.31</v>
      </c>
      <c r="S5">
        <v>72.87</v>
      </c>
      <c r="T5">
        <v>84.58</v>
      </c>
      <c r="U5">
        <v>84.44</v>
      </c>
      <c r="V5">
        <v>75.84</v>
      </c>
      <c r="W5">
        <v>76.16</v>
      </c>
      <c r="X5">
        <v>69.569999999999993</v>
      </c>
      <c r="Y5">
        <v>74.78</v>
      </c>
      <c r="Z5">
        <v>75.67</v>
      </c>
      <c r="AA5">
        <v>83.34</v>
      </c>
      <c r="AB5">
        <v>78.56</v>
      </c>
      <c r="AC5">
        <v>78.23</v>
      </c>
      <c r="AD5">
        <v>78.48</v>
      </c>
      <c r="AE5">
        <v>76.790000000000006</v>
      </c>
      <c r="AF5">
        <v>79.09</v>
      </c>
      <c r="AG5">
        <v>85.65</v>
      </c>
      <c r="AH5">
        <v>78.77</v>
      </c>
      <c r="AI5">
        <v>75</v>
      </c>
      <c r="AJ5">
        <v>74.31</v>
      </c>
      <c r="AK5">
        <v>78.83</v>
      </c>
      <c r="AL5">
        <v>78.819999999999993</v>
      </c>
      <c r="AM5">
        <v>67.58</v>
      </c>
      <c r="AO5">
        <v>73.14</v>
      </c>
      <c r="AP5">
        <v>72.540000000000006</v>
      </c>
      <c r="AQ5">
        <v>69.97</v>
      </c>
      <c r="AR5">
        <v>75.739999999999995</v>
      </c>
      <c r="AS5">
        <v>73.540000000000006</v>
      </c>
    </row>
    <row r="6" spans="1:183" x14ac:dyDescent="0.45">
      <c r="A6" s="7" t="s">
        <v>62</v>
      </c>
      <c r="C6" cm="1">
        <f t="array" ref="C6">LOOKUP(2,1/(I6:GA6&lt;&gt;""),I6:GA6)</f>
        <v>3</v>
      </c>
      <c r="D6" cm="1">
        <f t="array" ref="D6">SUMPRODUCT(MAX((I6:GA6&lt;&gt;"")*COLUMN(I6:GA6)))</f>
        <v>45</v>
      </c>
      <c r="F6" s="4">
        <f t="shared" si="0"/>
        <v>-7.1207430340557265E-2</v>
      </c>
      <c r="G6" s="3" cm="1">
        <f t="array" ref="G6">(C6-IF(ISNA(INDEX(I6:GA6,D6-22)),INDEX(I6:GA6,D6-23),INDEX(I6:GA6,D6-22)))/IF(ISNA(INDEX(I6:GA6,D6-22)),INDEX(I6:GA6,D6-23),INDEX(I6:GA6,D6-22))</f>
        <v>-4.7619047619047596E-2</v>
      </c>
      <c r="I6">
        <v>3.23</v>
      </c>
      <c r="J6">
        <v>3.14</v>
      </c>
      <c r="L6">
        <v>3.5</v>
      </c>
      <c r="N6">
        <v>3.27</v>
      </c>
      <c r="O6">
        <v>3.28</v>
      </c>
      <c r="P6">
        <v>3.41</v>
      </c>
      <c r="Q6">
        <v>3.47</v>
      </c>
      <c r="R6">
        <v>3.16</v>
      </c>
      <c r="S6">
        <v>3.26</v>
      </c>
      <c r="T6">
        <v>3.28</v>
      </c>
      <c r="U6">
        <v>3.29</v>
      </c>
      <c r="V6">
        <v>3.38</v>
      </c>
      <c r="W6">
        <v>3.25</v>
      </c>
      <c r="X6">
        <v>3.26</v>
      </c>
      <c r="Y6">
        <v>3.19</v>
      </c>
      <c r="Z6">
        <v>3.39</v>
      </c>
      <c r="AA6">
        <v>3.14</v>
      </c>
      <c r="AB6">
        <v>3.14</v>
      </c>
      <c r="AC6">
        <v>3.13</v>
      </c>
      <c r="AD6">
        <v>2.92</v>
      </c>
      <c r="AE6">
        <v>3.15</v>
      </c>
      <c r="AF6">
        <v>2.99</v>
      </c>
      <c r="AG6">
        <v>2.89</v>
      </c>
      <c r="AH6">
        <v>3.17</v>
      </c>
      <c r="AI6">
        <v>3.17</v>
      </c>
      <c r="AJ6">
        <v>3.26</v>
      </c>
      <c r="AK6">
        <v>3.25</v>
      </c>
      <c r="AL6">
        <v>3.15</v>
      </c>
      <c r="AM6">
        <v>3.17</v>
      </c>
      <c r="AO6">
        <v>2.94</v>
      </c>
      <c r="AP6">
        <v>3.07</v>
      </c>
      <c r="AQ6">
        <v>3.12</v>
      </c>
      <c r="AR6">
        <v>2.95</v>
      </c>
      <c r="AS6">
        <v>3</v>
      </c>
    </row>
    <row r="7" spans="1:183" x14ac:dyDescent="0.45">
      <c r="A7" s="7" t="s">
        <v>63</v>
      </c>
      <c r="C7" cm="1">
        <f t="array" ref="C7">LOOKUP(2,1/(I7:GA7&lt;&gt;""),I7:GA7)</f>
        <v>56.97</v>
      </c>
      <c r="D7" cm="1">
        <f t="array" ref="D7">SUMPRODUCT(MAX((I7:GA7&lt;&gt;"")*COLUMN(I7:GA7)))</f>
        <v>45</v>
      </c>
      <c r="F7" s="4">
        <f t="shared" si="0"/>
        <v>8.3697926574091655E-2</v>
      </c>
      <c r="G7" s="3" cm="1">
        <f t="array" ref="G7">(C7-IF(ISNA(INDEX(I7:GA7,D7-22)),INDEX(I7:GA7,D7-23),INDEX(I7:GA7,D7-22)))/IF(ISNA(INDEX(I7:GA7,D7-22)),INDEX(I7:GA7,D7-23),INDEX(I7:GA7,D7-22))</f>
        <v>5.1689126822964684E-2</v>
      </c>
      <c r="I7">
        <v>52.57</v>
      </c>
      <c r="J7">
        <v>50.84</v>
      </c>
      <c r="L7">
        <v>61.12</v>
      </c>
      <c r="N7">
        <v>54.92</v>
      </c>
      <c r="O7">
        <v>54.99</v>
      </c>
      <c r="P7">
        <v>52.25</v>
      </c>
      <c r="Q7">
        <v>56.03</v>
      </c>
      <c r="R7">
        <v>55.57</v>
      </c>
      <c r="S7">
        <v>54.76</v>
      </c>
      <c r="T7">
        <v>54.99</v>
      </c>
      <c r="U7">
        <v>54.7</v>
      </c>
      <c r="V7">
        <v>52.32</v>
      </c>
      <c r="W7">
        <v>54.62</v>
      </c>
      <c r="X7">
        <v>55.38</v>
      </c>
      <c r="Y7">
        <v>53.77</v>
      </c>
      <c r="Z7">
        <v>56.08</v>
      </c>
      <c r="AA7">
        <v>56.08</v>
      </c>
      <c r="AB7">
        <v>57.36</v>
      </c>
      <c r="AC7">
        <v>55.4</v>
      </c>
      <c r="AD7">
        <v>55.27</v>
      </c>
      <c r="AE7">
        <v>54.17</v>
      </c>
      <c r="AF7">
        <v>54.77</v>
      </c>
      <c r="AG7">
        <v>55.31</v>
      </c>
      <c r="AH7">
        <v>55.82</v>
      </c>
      <c r="AI7">
        <v>55.54</v>
      </c>
      <c r="AJ7">
        <v>56.84</v>
      </c>
      <c r="AK7">
        <v>57.3</v>
      </c>
      <c r="AL7">
        <v>59.89</v>
      </c>
      <c r="AM7">
        <v>57.73</v>
      </c>
      <c r="AO7">
        <v>57.74</v>
      </c>
      <c r="AP7">
        <v>58.36</v>
      </c>
      <c r="AQ7">
        <v>56.78</v>
      </c>
      <c r="AR7">
        <v>57.68</v>
      </c>
      <c r="AS7">
        <v>56.97</v>
      </c>
    </row>
    <row r="8" spans="1:183" x14ac:dyDescent="0.45">
      <c r="A8" s="7" t="s">
        <v>64</v>
      </c>
      <c r="C8" cm="1">
        <f t="array" ref="C8">LOOKUP(2,1/(I8:GA8&lt;&gt;""),I8:GA8)</f>
        <v>45.72</v>
      </c>
      <c r="D8" cm="1">
        <f t="array" ref="D8">SUMPRODUCT(MAX((I8:GA8&lt;&gt;"")*COLUMN(I8:GA8)))</f>
        <v>45</v>
      </c>
      <c r="F8" s="4">
        <f t="shared" si="0"/>
        <v>-2.7234042553191513E-2</v>
      </c>
      <c r="G8" s="3" cm="1">
        <f t="array" ref="G8">(C8-IF(ISNA(INDEX(I8:GA8,D8-22)),INDEX(I8:GA8,D8-23),INDEX(I8:GA8,D8-22)))/IF(ISNA(INDEX(I8:GA8,D8-22)),INDEX(I8:GA8,D8-23),INDEX(I8:GA8,D8-22))</f>
        <v>-4.130845040889073E-2</v>
      </c>
      <c r="I8">
        <v>47</v>
      </c>
      <c r="J8">
        <v>45.93</v>
      </c>
      <c r="L8">
        <v>44.54</v>
      </c>
      <c r="N8">
        <v>45.51</v>
      </c>
      <c r="O8">
        <v>46.05</v>
      </c>
      <c r="P8">
        <v>46.08</v>
      </c>
      <c r="Q8">
        <v>46.57</v>
      </c>
      <c r="R8">
        <v>47.69</v>
      </c>
      <c r="S8">
        <v>44.11</v>
      </c>
      <c r="T8">
        <v>44.01</v>
      </c>
      <c r="U8">
        <v>45.22</v>
      </c>
      <c r="V8">
        <v>46.55</v>
      </c>
      <c r="W8">
        <v>46.98</v>
      </c>
      <c r="X8">
        <v>43.94</v>
      </c>
      <c r="Y8">
        <v>46.39</v>
      </c>
      <c r="Z8">
        <v>46.37</v>
      </c>
      <c r="AA8">
        <v>47.84</v>
      </c>
      <c r="AB8">
        <v>44.88</v>
      </c>
      <c r="AC8">
        <v>48.07</v>
      </c>
      <c r="AD8">
        <v>48.33</v>
      </c>
      <c r="AE8">
        <v>47.69</v>
      </c>
      <c r="AF8">
        <v>46.01</v>
      </c>
      <c r="AG8">
        <v>47.06</v>
      </c>
      <c r="AH8">
        <v>45.28</v>
      </c>
      <c r="AI8">
        <v>42.61</v>
      </c>
      <c r="AJ8">
        <v>46.48</v>
      </c>
      <c r="AK8">
        <v>45.71</v>
      </c>
      <c r="AL8">
        <v>47.04</v>
      </c>
      <c r="AM8">
        <v>47.29</v>
      </c>
      <c r="AO8">
        <v>43.7</v>
      </c>
      <c r="AP8">
        <v>44.32</v>
      </c>
      <c r="AQ8">
        <v>44.73</v>
      </c>
      <c r="AR8">
        <v>44.31</v>
      </c>
      <c r="AS8">
        <v>45.72</v>
      </c>
    </row>
    <row r="9" spans="1:183" x14ac:dyDescent="0.45">
      <c r="A9" s="7" t="s">
        <v>65</v>
      </c>
      <c r="C9" cm="1">
        <f t="array" ref="C9">LOOKUP(2,1/(I9:GA9&lt;&gt;""),I9:GA9)</f>
        <v>4.32</v>
      </c>
      <c r="D9" cm="1">
        <f t="array" ref="D9">SUMPRODUCT(MAX((I9:GA9&lt;&gt;"")*COLUMN(I9:GA9)))</f>
        <v>45</v>
      </c>
      <c r="F9" s="4">
        <f t="shared" si="0"/>
        <v>2.3201856148493448E-3</v>
      </c>
      <c r="G9" s="3" cm="1">
        <f t="array" ref="G9">(C9-IF(ISNA(INDEX(I9:GA9,D9-22)),INDEX(I9:GA9,D9-23),INDEX(I9:GA9,D9-22)))/IF(ISNA(INDEX(I9:GA9,D9-22)),INDEX(I9:GA9,D9-23),INDEX(I9:GA9,D9-22))</f>
        <v>2.6128266033254233E-2</v>
      </c>
      <c r="I9">
        <v>4.3099999999999996</v>
      </c>
      <c r="J9">
        <v>4.54</v>
      </c>
      <c r="L9">
        <v>4.37</v>
      </c>
      <c r="N9">
        <v>4.41</v>
      </c>
      <c r="O9">
        <v>4.16</v>
      </c>
      <c r="P9">
        <v>4.4000000000000004</v>
      </c>
      <c r="Q9">
        <v>4.7300000000000004</v>
      </c>
      <c r="R9">
        <v>4.6900000000000004</v>
      </c>
      <c r="S9">
        <v>4.54</v>
      </c>
      <c r="T9">
        <v>4.53</v>
      </c>
      <c r="U9">
        <v>4.55</v>
      </c>
      <c r="V9">
        <v>4.22</v>
      </c>
      <c r="W9">
        <v>4.3899999999999997</v>
      </c>
      <c r="X9">
        <v>4.2300000000000004</v>
      </c>
      <c r="Y9">
        <v>4.0599999999999996</v>
      </c>
      <c r="Z9">
        <v>4.2300000000000004</v>
      </c>
      <c r="AA9">
        <v>4.62</v>
      </c>
      <c r="AB9">
        <v>4.07</v>
      </c>
      <c r="AC9">
        <v>4.3</v>
      </c>
      <c r="AD9">
        <v>4.2300000000000004</v>
      </c>
      <c r="AE9">
        <v>4.21</v>
      </c>
      <c r="AF9">
        <v>4.25</v>
      </c>
      <c r="AG9">
        <v>4.25</v>
      </c>
      <c r="AH9">
        <v>4.22</v>
      </c>
      <c r="AI9">
        <v>4.2699999999999996</v>
      </c>
      <c r="AJ9">
        <v>4.43</v>
      </c>
      <c r="AK9">
        <v>4.25</v>
      </c>
      <c r="AL9">
        <v>4.18</v>
      </c>
      <c r="AM9">
        <v>4.38</v>
      </c>
      <c r="AO9">
        <v>4.32</v>
      </c>
      <c r="AP9">
        <v>4.37</v>
      </c>
      <c r="AQ9">
        <v>4.05</v>
      </c>
      <c r="AR9">
        <v>4.0199999999999996</v>
      </c>
      <c r="AS9">
        <v>4.32</v>
      </c>
    </row>
    <row r="13" spans="1:183" x14ac:dyDescent="0.45">
      <c r="I13" s="1">
        <f>I2</f>
        <v>44331</v>
      </c>
      <c r="J13" s="1">
        <f t="shared" ref="J13:BU13" si="1">J2</f>
        <v>44332</v>
      </c>
      <c r="K13" s="1">
        <f t="shared" si="1"/>
        <v>44333</v>
      </c>
      <c r="L13" s="1">
        <f t="shared" si="1"/>
        <v>44334</v>
      </c>
      <c r="M13" s="1">
        <f t="shared" si="1"/>
        <v>44335</v>
      </c>
      <c r="N13" s="1">
        <f t="shared" si="1"/>
        <v>44336</v>
      </c>
      <c r="O13" s="1">
        <f t="shared" si="1"/>
        <v>44337</v>
      </c>
      <c r="P13" s="1">
        <f t="shared" si="1"/>
        <v>44338</v>
      </c>
      <c r="Q13" s="1">
        <f t="shared" si="1"/>
        <v>44339</v>
      </c>
      <c r="R13" s="1">
        <f t="shared" si="1"/>
        <v>44340</v>
      </c>
      <c r="S13" s="1">
        <f t="shared" si="1"/>
        <v>44341</v>
      </c>
      <c r="T13" s="1">
        <f t="shared" si="1"/>
        <v>44342</v>
      </c>
      <c r="U13" s="1">
        <f t="shared" si="1"/>
        <v>44343</v>
      </c>
      <c r="V13" s="1">
        <f t="shared" si="1"/>
        <v>44344</v>
      </c>
      <c r="W13" s="1">
        <f t="shared" si="1"/>
        <v>44345</v>
      </c>
      <c r="X13" s="1">
        <f t="shared" si="1"/>
        <v>44346</v>
      </c>
      <c r="Y13" s="1">
        <f t="shared" si="1"/>
        <v>44347</v>
      </c>
      <c r="Z13" s="1">
        <f t="shared" si="1"/>
        <v>44348</v>
      </c>
      <c r="AA13" s="1">
        <f t="shared" si="1"/>
        <v>44349</v>
      </c>
      <c r="AB13" s="1">
        <f t="shared" si="1"/>
        <v>44350</v>
      </c>
      <c r="AC13" s="1">
        <f t="shared" si="1"/>
        <v>44351</v>
      </c>
      <c r="AD13" s="1">
        <f t="shared" si="1"/>
        <v>44352</v>
      </c>
      <c r="AE13" s="1">
        <f t="shared" si="1"/>
        <v>44353</v>
      </c>
      <c r="AF13" s="1">
        <f t="shared" si="1"/>
        <v>44354</v>
      </c>
      <c r="AG13" s="1">
        <f t="shared" si="1"/>
        <v>44355</v>
      </c>
      <c r="AH13" s="1">
        <f t="shared" si="1"/>
        <v>44356</v>
      </c>
      <c r="AI13" s="1">
        <f t="shared" si="1"/>
        <v>44357</v>
      </c>
      <c r="AJ13" s="1">
        <f t="shared" si="1"/>
        <v>44358</v>
      </c>
      <c r="AK13" s="1">
        <f t="shared" si="1"/>
        <v>44359</v>
      </c>
      <c r="AL13" s="1">
        <f t="shared" si="1"/>
        <v>44360</v>
      </c>
      <c r="AM13" s="1">
        <f t="shared" si="1"/>
        <v>44361</v>
      </c>
      <c r="AN13" s="1">
        <f t="shared" si="1"/>
        <v>44362</v>
      </c>
      <c r="AO13" s="1">
        <f t="shared" si="1"/>
        <v>44363</v>
      </c>
      <c r="AP13" s="1">
        <f t="shared" si="1"/>
        <v>44364</v>
      </c>
      <c r="AQ13" s="1">
        <f t="shared" si="1"/>
        <v>44365</v>
      </c>
      <c r="AR13" s="1">
        <f t="shared" si="1"/>
        <v>44366</v>
      </c>
      <c r="AS13" s="1">
        <f t="shared" si="1"/>
        <v>44367</v>
      </c>
      <c r="AT13" s="1">
        <f t="shared" si="1"/>
        <v>44368</v>
      </c>
      <c r="AU13" s="1">
        <f t="shared" si="1"/>
        <v>44369</v>
      </c>
      <c r="AV13" s="1">
        <f t="shared" si="1"/>
        <v>44370</v>
      </c>
      <c r="AW13" s="1">
        <f t="shared" si="1"/>
        <v>44371</v>
      </c>
      <c r="AX13" s="1">
        <f t="shared" si="1"/>
        <v>44372</v>
      </c>
      <c r="AY13" s="1">
        <f t="shared" si="1"/>
        <v>44373</v>
      </c>
      <c r="AZ13" s="1">
        <f t="shared" si="1"/>
        <v>44374</v>
      </c>
      <c r="BA13" s="1">
        <f t="shared" si="1"/>
        <v>44375</v>
      </c>
      <c r="BB13" s="1">
        <f t="shared" si="1"/>
        <v>44376</v>
      </c>
      <c r="BC13" s="1">
        <f t="shared" si="1"/>
        <v>44377</v>
      </c>
      <c r="BD13" s="1">
        <f t="shared" si="1"/>
        <v>44378</v>
      </c>
      <c r="BE13" s="1">
        <f t="shared" si="1"/>
        <v>44379</v>
      </c>
      <c r="BF13" s="1">
        <f t="shared" si="1"/>
        <v>44380</v>
      </c>
      <c r="BG13" s="1">
        <f t="shared" si="1"/>
        <v>44381</v>
      </c>
      <c r="BH13" s="1">
        <f t="shared" si="1"/>
        <v>44382</v>
      </c>
      <c r="BI13" s="1">
        <f t="shared" si="1"/>
        <v>44383</v>
      </c>
      <c r="BJ13" s="1">
        <f t="shared" si="1"/>
        <v>44384</v>
      </c>
      <c r="BK13" s="1">
        <f t="shared" si="1"/>
        <v>44385</v>
      </c>
      <c r="BL13" s="1">
        <f t="shared" si="1"/>
        <v>44386</v>
      </c>
      <c r="BM13" s="1">
        <f t="shared" si="1"/>
        <v>44387</v>
      </c>
      <c r="BN13" s="1">
        <f t="shared" si="1"/>
        <v>44388</v>
      </c>
      <c r="BO13" s="1">
        <f t="shared" si="1"/>
        <v>44389</v>
      </c>
      <c r="BP13" s="1">
        <f t="shared" si="1"/>
        <v>44390</v>
      </c>
      <c r="BQ13" s="1">
        <f t="shared" si="1"/>
        <v>44391</v>
      </c>
      <c r="BR13" s="1">
        <f t="shared" si="1"/>
        <v>44392</v>
      </c>
      <c r="BS13" s="1">
        <f t="shared" si="1"/>
        <v>44393</v>
      </c>
      <c r="BT13" s="1">
        <f t="shared" si="1"/>
        <v>44394</v>
      </c>
      <c r="BU13" s="1">
        <f t="shared" si="1"/>
        <v>44395</v>
      </c>
      <c r="BV13" s="1">
        <f t="shared" ref="BV13:EG13" si="2">BV2</f>
        <v>44396</v>
      </c>
      <c r="BW13" s="1">
        <f t="shared" si="2"/>
        <v>44397</v>
      </c>
      <c r="BX13" s="1">
        <f t="shared" si="2"/>
        <v>44398</v>
      </c>
      <c r="BY13" s="1">
        <f t="shared" si="2"/>
        <v>44399</v>
      </c>
      <c r="BZ13" s="1">
        <f t="shared" si="2"/>
        <v>44400</v>
      </c>
      <c r="CA13" s="1">
        <f t="shared" si="2"/>
        <v>44401</v>
      </c>
      <c r="CB13" s="1">
        <f t="shared" si="2"/>
        <v>44402</v>
      </c>
      <c r="CC13" s="1">
        <f t="shared" si="2"/>
        <v>44403</v>
      </c>
      <c r="CD13" s="1">
        <f t="shared" si="2"/>
        <v>44404</v>
      </c>
      <c r="CE13" s="1">
        <f t="shared" si="2"/>
        <v>44405</v>
      </c>
      <c r="CF13" s="1">
        <f t="shared" si="2"/>
        <v>44406</v>
      </c>
      <c r="CG13" s="1">
        <f t="shared" si="2"/>
        <v>44407</v>
      </c>
      <c r="CH13" s="1">
        <f t="shared" si="2"/>
        <v>44408</v>
      </c>
      <c r="CI13" s="1">
        <f t="shared" si="2"/>
        <v>44409</v>
      </c>
      <c r="CJ13" s="1">
        <f t="shared" si="2"/>
        <v>44410</v>
      </c>
      <c r="CK13" s="1">
        <f t="shared" si="2"/>
        <v>44411</v>
      </c>
      <c r="CL13" s="1">
        <f t="shared" si="2"/>
        <v>44412</v>
      </c>
      <c r="CM13" s="1">
        <f t="shared" si="2"/>
        <v>44413</v>
      </c>
      <c r="CN13" s="1">
        <f t="shared" si="2"/>
        <v>44414</v>
      </c>
      <c r="CO13" s="1">
        <f t="shared" si="2"/>
        <v>44415</v>
      </c>
      <c r="CP13" s="1">
        <f t="shared" si="2"/>
        <v>44416</v>
      </c>
      <c r="CQ13" s="1">
        <f t="shared" si="2"/>
        <v>44417</v>
      </c>
      <c r="CR13" s="1">
        <f t="shared" si="2"/>
        <v>44418</v>
      </c>
      <c r="CS13" s="1">
        <f t="shared" si="2"/>
        <v>44419</v>
      </c>
      <c r="CT13" s="1">
        <f t="shared" si="2"/>
        <v>44420</v>
      </c>
      <c r="CU13" s="1">
        <f t="shared" si="2"/>
        <v>44421</v>
      </c>
      <c r="CV13" s="1">
        <f t="shared" si="2"/>
        <v>44422</v>
      </c>
      <c r="CW13" s="1">
        <f t="shared" si="2"/>
        <v>44423</v>
      </c>
      <c r="CX13" s="1">
        <f t="shared" si="2"/>
        <v>44424</v>
      </c>
      <c r="CY13" s="1">
        <f t="shared" si="2"/>
        <v>44425</v>
      </c>
      <c r="CZ13" s="1">
        <f t="shared" si="2"/>
        <v>44426</v>
      </c>
      <c r="DA13" s="1">
        <f t="shared" si="2"/>
        <v>44427</v>
      </c>
      <c r="DB13" s="1">
        <f t="shared" si="2"/>
        <v>44428</v>
      </c>
      <c r="DC13" s="1">
        <f t="shared" si="2"/>
        <v>44429</v>
      </c>
      <c r="DD13" s="1">
        <f t="shared" si="2"/>
        <v>44430</v>
      </c>
      <c r="DE13" s="1">
        <f t="shared" si="2"/>
        <v>44431</v>
      </c>
      <c r="DF13" s="1">
        <f t="shared" si="2"/>
        <v>44432</v>
      </c>
      <c r="DG13" s="1">
        <f t="shared" si="2"/>
        <v>44433</v>
      </c>
      <c r="DH13" s="1">
        <f t="shared" si="2"/>
        <v>44434</v>
      </c>
      <c r="DI13" s="1">
        <f t="shared" si="2"/>
        <v>44435</v>
      </c>
      <c r="DJ13" s="1">
        <f t="shared" si="2"/>
        <v>44436</v>
      </c>
      <c r="DK13" s="1">
        <f t="shared" si="2"/>
        <v>44437</v>
      </c>
      <c r="DL13" s="1">
        <f t="shared" si="2"/>
        <v>44438</v>
      </c>
      <c r="DM13" s="1">
        <f t="shared" si="2"/>
        <v>44439</v>
      </c>
      <c r="DN13" s="1">
        <f t="shared" si="2"/>
        <v>44440</v>
      </c>
      <c r="DO13" s="1">
        <f t="shared" si="2"/>
        <v>44441</v>
      </c>
      <c r="DP13" s="1">
        <f t="shared" si="2"/>
        <v>44442</v>
      </c>
      <c r="DQ13" s="1">
        <f t="shared" si="2"/>
        <v>44443</v>
      </c>
      <c r="DR13" s="1">
        <f t="shared" si="2"/>
        <v>44444</v>
      </c>
      <c r="DS13" s="1">
        <f t="shared" si="2"/>
        <v>44445</v>
      </c>
      <c r="DT13" s="1">
        <f t="shared" si="2"/>
        <v>44446</v>
      </c>
      <c r="DU13" s="1">
        <f t="shared" si="2"/>
        <v>44447</v>
      </c>
      <c r="DV13" s="1">
        <f t="shared" si="2"/>
        <v>44448</v>
      </c>
      <c r="DW13" s="1">
        <f t="shared" si="2"/>
        <v>44449</v>
      </c>
      <c r="DX13" s="1">
        <f t="shared" si="2"/>
        <v>44450</v>
      </c>
      <c r="DY13" s="1">
        <f t="shared" si="2"/>
        <v>44451</v>
      </c>
      <c r="DZ13" s="1">
        <f t="shared" si="2"/>
        <v>44452</v>
      </c>
      <c r="EA13" s="1">
        <f t="shared" si="2"/>
        <v>44453</v>
      </c>
      <c r="EB13" s="1">
        <f t="shared" si="2"/>
        <v>44454</v>
      </c>
      <c r="EC13" s="1">
        <f t="shared" si="2"/>
        <v>44455</v>
      </c>
      <c r="ED13" s="1">
        <f t="shared" si="2"/>
        <v>44456</v>
      </c>
      <c r="EE13" s="1">
        <f t="shared" si="2"/>
        <v>44457</v>
      </c>
      <c r="EF13" s="1">
        <f t="shared" si="2"/>
        <v>44458</v>
      </c>
      <c r="EG13" s="1">
        <f t="shared" si="2"/>
        <v>44459</v>
      </c>
      <c r="EH13" s="1">
        <f t="shared" ref="EH13:GA13" si="3">EH2</f>
        <v>44460</v>
      </c>
      <c r="EI13" s="1">
        <f t="shared" si="3"/>
        <v>44461</v>
      </c>
      <c r="EJ13" s="1">
        <f t="shared" si="3"/>
        <v>44462</v>
      </c>
      <c r="EK13" s="1">
        <f t="shared" si="3"/>
        <v>44463</v>
      </c>
      <c r="EL13" s="1">
        <f t="shared" si="3"/>
        <v>44464</v>
      </c>
      <c r="EM13" s="1">
        <f t="shared" si="3"/>
        <v>44465</v>
      </c>
      <c r="EN13" s="1">
        <f t="shared" si="3"/>
        <v>44466</v>
      </c>
      <c r="EO13" s="1">
        <f t="shared" si="3"/>
        <v>44467</v>
      </c>
      <c r="EP13" s="1">
        <f t="shared" si="3"/>
        <v>44468</v>
      </c>
      <c r="EQ13" s="1">
        <f t="shared" si="3"/>
        <v>44469</v>
      </c>
      <c r="ER13" s="1">
        <f t="shared" si="3"/>
        <v>44470</v>
      </c>
      <c r="ES13" s="1">
        <f t="shared" si="3"/>
        <v>44471</v>
      </c>
      <c r="ET13" s="1">
        <f t="shared" si="3"/>
        <v>44472</v>
      </c>
      <c r="EU13" s="1">
        <f t="shared" si="3"/>
        <v>44473</v>
      </c>
      <c r="EV13" s="1">
        <f t="shared" si="3"/>
        <v>44474</v>
      </c>
      <c r="EW13" s="1">
        <f t="shared" si="3"/>
        <v>44475</v>
      </c>
      <c r="EX13" s="1">
        <f t="shared" si="3"/>
        <v>44476</v>
      </c>
      <c r="EY13" s="1">
        <f t="shared" si="3"/>
        <v>44477</v>
      </c>
      <c r="EZ13" s="1">
        <f t="shared" si="3"/>
        <v>44478</v>
      </c>
      <c r="FA13" s="1">
        <f t="shared" si="3"/>
        <v>44479</v>
      </c>
      <c r="FB13" s="1">
        <f t="shared" si="3"/>
        <v>44480</v>
      </c>
      <c r="FC13" s="1">
        <f t="shared" si="3"/>
        <v>44481</v>
      </c>
      <c r="FD13" s="1">
        <f t="shared" si="3"/>
        <v>44482</v>
      </c>
      <c r="FE13" s="1">
        <f t="shared" si="3"/>
        <v>44483</v>
      </c>
      <c r="FF13" s="1">
        <f t="shared" si="3"/>
        <v>44484</v>
      </c>
      <c r="FG13" s="1">
        <f t="shared" si="3"/>
        <v>44485</v>
      </c>
      <c r="FH13" s="1">
        <f t="shared" si="3"/>
        <v>44486</v>
      </c>
      <c r="FI13" s="1">
        <f t="shared" si="3"/>
        <v>44487</v>
      </c>
      <c r="FJ13" s="1">
        <f t="shared" si="3"/>
        <v>44488</v>
      </c>
      <c r="FK13" s="1">
        <f t="shared" si="3"/>
        <v>44489</v>
      </c>
      <c r="FL13" s="1">
        <f t="shared" si="3"/>
        <v>44490</v>
      </c>
      <c r="FM13" s="1">
        <f t="shared" si="3"/>
        <v>44491</v>
      </c>
      <c r="FN13" s="1">
        <f t="shared" si="3"/>
        <v>44492</v>
      </c>
      <c r="FO13" s="1">
        <f t="shared" si="3"/>
        <v>44493</v>
      </c>
      <c r="FP13" s="1">
        <f t="shared" si="3"/>
        <v>44494</v>
      </c>
      <c r="FQ13" s="1">
        <f t="shared" si="3"/>
        <v>44495</v>
      </c>
      <c r="FR13" s="1">
        <f t="shared" si="3"/>
        <v>44496</v>
      </c>
      <c r="FS13" s="1">
        <f t="shared" si="3"/>
        <v>44497</v>
      </c>
      <c r="FT13" s="1">
        <f t="shared" si="3"/>
        <v>44498</v>
      </c>
      <c r="FU13" s="1">
        <f t="shared" si="3"/>
        <v>44499</v>
      </c>
      <c r="FV13" s="1">
        <f t="shared" si="3"/>
        <v>44500</v>
      </c>
      <c r="FW13" s="1">
        <f t="shared" si="3"/>
        <v>44501</v>
      </c>
      <c r="FX13" s="1">
        <f t="shared" si="3"/>
        <v>44502</v>
      </c>
      <c r="FY13" s="1">
        <f t="shared" si="3"/>
        <v>44503</v>
      </c>
      <c r="FZ13" s="1">
        <f t="shared" si="3"/>
        <v>44504</v>
      </c>
      <c r="GA13" s="1">
        <f t="shared" si="3"/>
        <v>44505</v>
      </c>
    </row>
    <row r="14" spans="1:183" x14ac:dyDescent="0.45">
      <c r="A14" t="str">
        <f>A3</f>
        <v>Fewer Dream MW</v>
      </c>
      <c r="C14" cm="1">
        <f t="array" ref="C14">LOOKUP(2,1/(I14:GA14&lt;&gt;""),I14:GA14)</f>
        <v>5.3</v>
      </c>
      <c r="D14">
        <f>D$6</f>
        <v>45</v>
      </c>
      <c r="F14" s="4">
        <f t="shared" ref="F14" si="4">(C14-I14)/I14</f>
        <v>-5.3571428571428541E-2</v>
      </c>
      <c r="G14" s="3" cm="1">
        <f t="array" ref="G14">(C14-IF(ISNA(INDEX(I14:GA14,D14-22)),INDEX(I14:GA14,D14-23),INDEX(I14:GA14,D14-22)))/IF(ISNA(INDEX(I14:GA14,D14-22)),INDEX(I14:GA14,D14-23),INDEX(I14:GA14,D14-22))</f>
        <v>7.6045627376425924E-3</v>
      </c>
      <c r="I14">
        <f>IF(ISBLANK(I3),NA(),ROUNDDOWN(I3*0.75,2))</f>
        <v>5.6</v>
      </c>
      <c r="J14">
        <f t="shared" ref="J14:BU15" si="5">IF(ISBLANK(J3),NA(),ROUNDDOWN(J3*0.75,2))</f>
        <v>5.64</v>
      </c>
      <c r="K14" t="e">
        <f t="shared" si="5"/>
        <v>#N/A</v>
      </c>
      <c r="L14">
        <f t="shared" si="5"/>
        <v>5.52</v>
      </c>
      <c r="M14" t="e">
        <f t="shared" si="5"/>
        <v>#N/A</v>
      </c>
      <c r="N14">
        <f t="shared" si="5"/>
        <v>5.43</v>
      </c>
      <c r="O14">
        <f t="shared" si="5"/>
        <v>5.56</v>
      </c>
      <c r="P14">
        <f t="shared" si="5"/>
        <v>5.4</v>
      </c>
      <c r="Q14">
        <f t="shared" si="5"/>
        <v>5.27</v>
      </c>
      <c r="R14">
        <f t="shared" si="5"/>
        <v>5.58</v>
      </c>
      <c r="S14">
        <f t="shared" si="5"/>
        <v>5.49</v>
      </c>
      <c r="T14">
        <f t="shared" si="5"/>
        <v>5.23</v>
      </c>
      <c r="U14">
        <f t="shared" si="5"/>
        <v>5.21</v>
      </c>
      <c r="V14">
        <f t="shared" si="5"/>
        <v>5.19</v>
      </c>
      <c r="W14">
        <f t="shared" si="5"/>
        <v>5.28</v>
      </c>
      <c r="X14">
        <f t="shared" si="5"/>
        <v>4.96</v>
      </c>
      <c r="Y14">
        <f t="shared" si="5"/>
        <v>5.03</v>
      </c>
      <c r="Z14">
        <f t="shared" si="5"/>
        <v>5.35</v>
      </c>
      <c r="AA14">
        <f t="shared" si="5"/>
        <v>5.14</v>
      </c>
      <c r="AB14">
        <f t="shared" si="5"/>
        <v>5.47</v>
      </c>
      <c r="AC14">
        <f t="shared" si="5"/>
        <v>5.28</v>
      </c>
      <c r="AD14">
        <f t="shared" si="5"/>
        <v>5.17</v>
      </c>
      <c r="AE14">
        <f t="shared" si="5"/>
        <v>5.26</v>
      </c>
      <c r="AF14">
        <f t="shared" si="5"/>
        <v>5.52</v>
      </c>
      <c r="AG14">
        <f t="shared" si="5"/>
        <v>5.47</v>
      </c>
      <c r="AH14">
        <f t="shared" si="5"/>
        <v>5.41</v>
      </c>
      <c r="AI14">
        <f t="shared" si="5"/>
        <v>5.24</v>
      </c>
      <c r="AJ14">
        <f t="shared" si="5"/>
        <v>5.13</v>
      </c>
      <c r="AK14">
        <f t="shared" si="5"/>
        <v>5.35</v>
      </c>
      <c r="AL14">
        <f t="shared" si="5"/>
        <v>5.26</v>
      </c>
      <c r="AM14">
        <f t="shared" si="5"/>
        <v>4.97</v>
      </c>
      <c r="AN14" t="e">
        <f t="shared" si="5"/>
        <v>#N/A</v>
      </c>
      <c r="AO14">
        <f t="shared" si="5"/>
        <v>5.37</v>
      </c>
      <c r="AP14">
        <f t="shared" si="5"/>
        <v>5.13</v>
      </c>
      <c r="AQ14">
        <f t="shared" si="5"/>
        <v>5.31</v>
      </c>
      <c r="AR14">
        <f t="shared" si="5"/>
        <v>5.31</v>
      </c>
      <c r="AS14">
        <f t="shared" si="5"/>
        <v>5.3</v>
      </c>
      <c r="AT14" t="e">
        <f t="shared" si="5"/>
        <v>#N/A</v>
      </c>
      <c r="AU14" t="e">
        <f t="shared" si="5"/>
        <v>#N/A</v>
      </c>
      <c r="AV14" t="e">
        <f t="shared" si="5"/>
        <v>#N/A</v>
      </c>
      <c r="AW14" t="e">
        <f t="shared" si="5"/>
        <v>#N/A</v>
      </c>
      <c r="AX14" t="e">
        <f t="shared" si="5"/>
        <v>#N/A</v>
      </c>
      <c r="AY14" t="e">
        <f t="shared" si="5"/>
        <v>#N/A</v>
      </c>
      <c r="AZ14" t="e">
        <f t="shared" si="5"/>
        <v>#N/A</v>
      </c>
      <c r="BA14" t="e">
        <f t="shared" si="5"/>
        <v>#N/A</v>
      </c>
      <c r="BB14" t="e">
        <f t="shared" si="5"/>
        <v>#N/A</v>
      </c>
      <c r="BC14" t="e">
        <f t="shared" si="5"/>
        <v>#N/A</v>
      </c>
      <c r="BD14" t="e">
        <f t="shared" si="5"/>
        <v>#N/A</v>
      </c>
      <c r="BE14" t="e">
        <f t="shared" si="5"/>
        <v>#N/A</v>
      </c>
      <c r="BF14" t="e">
        <f t="shared" si="5"/>
        <v>#N/A</v>
      </c>
      <c r="BG14" t="e">
        <f t="shared" si="5"/>
        <v>#N/A</v>
      </c>
      <c r="BH14" t="e">
        <f t="shared" si="5"/>
        <v>#N/A</v>
      </c>
      <c r="BI14" t="e">
        <f t="shared" si="5"/>
        <v>#N/A</v>
      </c>
      <c r="BJ14" t="e">
        <f t="shared" si="5"/>
        <v>#N/A</v>
      </c>
      <c r="BK14" t="e">
        <f t="shared" si="5"/>
        <v>#N/A</v>
      </c>
      <c r="BL14" t="e">
        <f t="shared" si="5"/>
        <v>#N/A</v>
      </c>
      <c r="BM14" t="e">
        <f t="shared" si="5"/>
        <v>#N/A</v>
      </c>
      <c r="BN14" t="e">
        <f t="shared" si="5"/>
        <v>#N/A</v>
      </c>
      <c r="BO14" t="e">
        <f t="shared" si="5"/>
        <v>#N/A</v>
      </c>
      <c r="BP14" t="e">
        <f t="shared" si="5"/>
        <v>#N/A</v>
      </c>
      <c r="BQ14" t="e">
        <f t="shared" si="5"/>
        <v>#N/A</v>
      </c>
      <c r="BR14" t="e">
        <f t="shared" si="5"/>
        <v>#N/A</v>
      </c>
      <c r="BS14" t="e">
        <f t="shared" si="5"/>
        <v>#N/A</v>
      </c>
      <c r="BT14" t="e">
        <f t="shared" si="5"/>
        <v>#N/A</v>
      </c>
      <c r="BU14" t="e">
        <f t="shared" si="5"/>
        <v>#N/A</v>
      </c>
      <c r="BV14" t="e">
        <f t="shared" ref="BV14:EG17" si="6">IF(ISBLANK(BV3),NA(),ROUNDDOWN(BV3*0.75,2))</f>
        <v>#N/A</v>
      </c>
      <c r="BW14" t="e">
        <f t="shared" si="6"/>
        <v>#N/A</v>
      </c>
      <c r="BX14" t="e">
        <f t="shared" si="6"/>
        <v>#N/A</v>
      </c>
      <c r="BY14" t="e">
        <f t="shared" si="6"/>
        <v>#N/A</v>
      </c>
      <c r="BZ14" t="e">
        <f t="shared" si="6"/>
        <v>#N/A</v>
      </c>
      <c r="CA14" t="e">
        <f t="shared" si="6"/>
        <v>#N/A</v>
      </c>
      <c r="CB14" t="e">
        <f t="shared" si="6"/>
        <v>#N/A</v>
      </c>
      <c r="CC14" t="e">
        <f t="shared" si="6"/>
        <v>#N/A</v>
      </c>
      <c r="CD14" t="e">
        <f t="shared" si="6"/>
        <v>#N/A</v>
      </c>
      <c r="CE14" t="e">
        <f t="shared" si="6"/>
        <v>#N/A</v>
      </c>
      <c r="CF14" t="e">
        <f t="shared" si="6"/>
        <v>#N/A</v>
      </c>
      <c r="CG14" t="e">
        <f t="shared" si="6"/>
        <v>#N/A</v>
      </c>
      <c r="CH14" t="e">
        <f t="shared" si="6"/>
        <v>#N/A</v>
      </c>
      <c r="CI14" t="e">
        <f t="shared" si="6"/>
        <v>#N/A</v>
      </c>
      <c r="CJ14" t="e">
        <f t="shared" si="6"/>
        <v>#N/A</v>
      </c>
      <c r="CK14" t="e">
        <f t="shared" si="6"/>
        <v>#N/A</v>
      </c>
      <c r="CL14" t="e">
        <f t="shared" si="6"/>
        <v>#N/A</v>
      </c>
      <c r="CM14" t="e">
        <f t="shared" si="6"/>
        <v>#N/A</v>
      </c>
      <c r="CN14" t="e">
        <f t="shared" si="6"/>
        <v>#N/A</v>
      </c>
      <c r="CO14" t="e">
        <f t="shared" si="6"/>
        <v>#N/A</v>
      </c>
      <c r="CP14" t="e">
        <f t="shared" si="6"/>
        <v>#N/A</v>
      </c>
      <c r="CQ14" t="e">
        <f t="shared" si="6"/>
        <v>#N/A</v>
      </c>
      <c r="CR14" t="e">
        <f t="shared" si="6"/>
        <v>#N/A</v>
      </c>
      <c r="CS14" t="e">
        <f t="shared" si="6"/>
        <v>#N/A</v>
      </c>
      <c r="CT14" t="e">
        <f t="shared" si="6"/>
        <v>#N/A</v>
      </c>
      <c r="CU14" t="e">
        <f t="shared" si="6"/>
        <v>#N/A</v>
      </c>
      <c r="CV14" t="e">
        <f t="shared" si="6"/>
        <v>#N/A</v>
      </c>
      <c r="CW14" t="e">
        <f t="shared" si="6"/>
        <v>#N/A</v>
      </c>
      <c r="CX14" t="e">
        <f t="shared" si="6"/>
        <v>#N/A</v>
      </c>
      <c r="CY14" t="e">
        <f t="shared" si="6"/>
        <v>#N/A</v>
      </c>
      <c r="CZ14" t="e">
        <f t="shared" si="6"/>
        <v>#N/A</v>
      </c>
      <c r="DA14" t="e">
        <f t="shared" si="6"/>
        <v>#N/A</v>
      </c>
      <c r="DB14" t="e">
        <f t="shared" si="6"/>
        <v>#N/A</v>
      </c>
      <c r="DC14" t="e">
        <f t="shared" si="6"/>
        <v>#N/A</v>
      </c>
      <c r="DD14" t="e">
        <f t="shared" si="6"/>
        <v>#N/A</v>
      </c>
      <c r="DE14" t="e">
        <f t="shared" si="6"/>
        <v>#N/A</v>
      </c>
      <c r="DF14" t="e">
        <f t="shared" si="6"/>
        <v>#N/A</v>
      </c>
      <c r="DG14" t="e">
        <f t="shared" si="6"/>
        <v>#N/A</v>
      </c>
      <c r="DH14" t="e">
        <f t="shared" si="6"/>
        <v>#N/A</v>
      </c>
      <c r="DI14" t="e">
        <f t="shared" si="6"/>
        <v>#N/A</v>
      </c>
      <c r="DJ14" t="e">
        <f t="shared" si="6"/>
        <v>#N/A</v>
      </c>
      <c r="DK14" t="e">
        <f t="shared" si="6"/>
        <v>#N/A</v>
      </c>
      <c r="DL14" t="e">
        <f t="shared" si="6"/>
        <v>#N/A</v>
      </c>
      <c r="DM14" t="e">
        <f t="shared" si="6"/>
        <v>#N/A</v>
      </c>
      <c r="DN14" t="e">
        <f t="shared" si="6"/>
        <v>#N/A</v>
      </c>
      <c r="DO14" t="e">
        <f t="shared" si="6"/>
        <v>#N/A</v>
      </c>
      <c r="DP14" t="e">
        <f t="shared" si="6"/>
        <v>#N/A</v>
      </c>
      <c r="DQ14" t="e">
        <f t="shared" si="6"/>
        <v>#N/A</v>
      </c>
      <c r="DR14" t="e">
        <f t="shared" si="6"/>
        <v>#N/A</v>
      </c>
      <c r="DS14" t="e">
        <f t="shared" si="6"/>
        <v>#N/A</v>
      </c>
      <c r="DT14" t="e">
        <f t="shared" si="6"/>
        <v>#N/A</v>
      </c>
      <c r="DU14" t="e">
        <f t="shared" si="6"/>
        <v>#N/A</v>
      </c>
      <c r="DV14" t="e">
        <f t="shared" si="6"/>
        <v>#N/A</v>
      </c>
      <c r="DW14" t="e">
        <f t="shared" si="6"/>
        <v>#N/A</v>
      </c>
      <c r="DX14" t="e">
        <f t="shared" si="6"/>
        <v>#N/A</v>
      </c>
      <c r="DY14" t="e">
        <f t="shared" si="6"/>
        <v>#N/A</v>
      </c>
      <c r="DZ14" t="e">
        <f t="shared" si="6"/>
        <v>#N/A</v>
      </c>
      <c r="EA14" t="e">
        <f t="shared" si="6"/>
        <v>#N/A</v>
      </c>
      <c r="EB14" t="e">
        <f t="shared" si="6"/>
        <v>#N/A</v>
      </c>
      <c r="EC14" t="e">
        <f t="shared" si="6"/>
        <v>#N/A</v>
      </c>
      <c r="ED14" t="e">
        <f t="shared" si="6"/>
        <v>#N/A</v>
      </c>
      <c r="EE14" t="e">
        <f t="shared" si="6"/>
        <v>#N/A</v>
      </c>
      <c r="EF14" t="e">
        <f t="shared" si="6"/>
        <v>#N/A</v>
      </c>
      <c r="EG14" t="e">
        <f t="shared" si="6"/>
        <v>#N/A</v>
      </c>
      <c r="EH14" t="e">
        <f t="shared" ref="EH14:GA16" si="7">IF(ISBLANK(EH3),NA(),ROUNDDOWN(EH3*0.75,2))</f>
        <v>#N/A</v>
      </c>
      <c r="EI14" t="e">
        <f t="shared" si="7"/>
        <v>#N/A</v>
      </c>
      <c r="EJ14" t="e">
        <f t="shared" si="7"/>
        <v>#N/A</v>
      </c>
      <c r="EK14" t="e">
        <f t="shared" si="7"/>
        <v>#N/A</v>
      </c>
      <c r="EL14" t="e">
        <f t="shared" si="7"/>
        <v>#N/A</v>
      </c>
      <c r="EM14" t="e">
        <f t="shared" si="7"/>
        <v>#N/A</v>
      </c>
      <c r="EN14" t="e">
        <f t="shared" si="7"/>
        <v>#N/A</v>
      </c>
      <c r="EO14" t="e">
        <f t="shared" si="7"/>
        <v>#N/A</v>
      </c>
      <c r="EP14" t="e">
        <f t="shared" si="7"/>
        <v>#N/A</v>
      </c>
      <c r="EQ14" t="e">
        <f t="shared" si="7"/>
        <v>#N/A</v>
      </c>
      <c r="ER14" t="e">
        <f t="shared" si="7"/>
        <v>#N/A</v>
      </c>
      <c r="ES14" t="e">
        <f t="shared" si="7"/>
        <v>#N/A</v>
      </c>
      <c r="ET14" t="e">
        <f t="shared" si="7"/>
        <v>#N/A</v>
      </c>
      <c r="EU14" t="e">
        <f t="shared" si="7"/>
        <v>#N/A</v>
      </c>
      <c r="EV14" t="e">
        <f t="shared" si="7"/>
        <v>#N/A</v>
      </c>
      <c r="EW14" t="e">
        <f t="shared" si="7"/>
        <v>#N/A</v>
      </c>
      <c r="EX14" t="e">
        <f t="shared" si="7"/>
        <v>#N/A</v>
      </c>
      <c r="EY14" t="e">
        <f t="shared" si="7"/>
        <v>#N/A</v>
      </c>
      <c r="EZ14" t="e">
        <f t="shared" si="7"/>
        <v>#N/A</v>
      </c>
      <c r="FA14" t="e">
        <f t="shared" si="7"/>
        <v>#N/A</v>
      </c>
      <c r="FB14" t="e">
        <f t="shared" si="7"/>
        <v>#N/A</v>
      </c>
      <c r="FC14" t="e">
        <f t="shared" si="7"/>
        <v>#N/A</v>
      </c>
      <c r="FD14" t="e">
        <f t="shared" si="7"/>
        <v>#N/A</v>
      </c>
      <c r="FE14" t="e">
        <f t="shared" si="7"/>
        <v>#N/A</v>
      </c>
      <c r="FF14" t="e">
        <f t="shared" si="7"/>
        <v>#N/A</v>
      </c>
      <c r="FG14" t="e">
        <f t="shared" si="7"/>
        <v>#N/A</v>
      </c>
      <c r="FH14" t="e">
        <f t="shared" si="7"/>
        <v>#N/A</v>
      </c>
      <c r="FI14" t="e">
        <f t="shared" si="7"/>
        <v>#N/A</v>
      </c>
      <c r="FJ14" t="e">
        <f t="shared" si="7"/>
        <v>#N/A</v>
      </c>
      <c r="FK14" t="e">
        <f t="shared" si="7"/>
        <v>#N/A</v>
      </c>
      <c r="FL14" t="e">
        <f t="shared" si="7"/>
        <v>#N/A</v>
      </c>
      <c r="FM14" t="e">
        <f t="shared" si="7"/>
        <v>#N/A</v>
      </c>
      <c r="FN14" t="e">
        <f t="shared" si="7"/>
        <v>#N/A</v>
      </c>
      <c r="FO14" t="e">
        <f t="shared" si="7"/>
        <v>#N/A</v>
      </c>
      <c r="FP14" t="e">
        <f t="shared" si="7"/>
        <v>#N/A</v>
      </c>
      <c r="FQ14" t="e">
        <f t="shared" si="7"/>
        <v>#N/A</v>
      </c>
      <c r="FR14" t="e">
        <f t="shared" si="7"/>
        <v>#N/A</v>
      </c>
      <c r="FS14" t="e">
        <f t="shared" si="7"/>
        <v>#N/A</v>
      </c>
      <c r="FT14" t="e">
        <f t="shared" si="7"/>
        <v>#N/A</v>
      </c>
      <c r="FU14" t="e">
        <f t="shared" si="7"/>
        <v>#N/A</v>
      </c>
      <c r="FV14" t="e">
        <f t="shared" si="7"/>
        <v>#N/A</v>
      </c>
      <c r="FW14" t="e">
        <f t="shared" si="7"/>
        <v>#N/A</v>
      </c>
      <c r="FX14" t="e">
        <f t="shared" si="7"/>
        <v>#N/A</v>
      </c>
      <c r="FY14" t="e">
        <f t="shared" si="7"/>
        <v>#N/A</v>
      </c>
      <c r="FZ14" t="e">
        <f t="shared" si="7"/>
        <v>#N/A</v>
      </c>
      <c r="GA14" t="e">
        <f t="shared" si="7"/>
        <v>#N/A</v>
      </c>
    </row>
    <row r="15" spans="1:183" x14ac:dyDescent="0.45">
      <c r="A15" t="str">
        <f t="shared" ref="A15:A20" si="8">A4</f>
        <v>Elite Build FT</v>
      </c>
      <c r="C15" cm="1">
        <f t="array" ref="C15">LOOKUP(2,1/(I15:GA15&lt;&gt;""),I15:GA15)</f>
        <v>5.31</v>
      </c>
      <c r="D15">
        <f t="shared" ref="D15:D20" si="9">D$6</f>
        <v>45</v>
      </c>
      <c r="F15" s="4">
        <f t="shared" ref="F15:F20" si="10">(C15-I15)/I15</f>
        <v>4.1176470588235287E-2</v>
      </c>
      <c r="G15" s="3" cm="1">
        <f t="array" ref="G15">(C15-IF(ISNA(INDEX(I15:GA15,D15-22)),INDEX(I15:GA15,D15-23),INDEX(I15:GA15,D15-22)))/IF(ISNA(INDEX(I15:GA15,D15-22)),INDEX(I15:GA15,D15-23),INDEX(I15:GA15,D15-22))</f>
        <v>-6.8421052631579049E-2</v>
      </c>
      <c r="I15">
        <f t="shared" ref="I15:X20" si="11">IF(ISBLANK(I4),NA(),ROUNDDOWN(I4*0.75,2))</f>
        <v>5.0999999999999996</v>
      </c>
      <c r="J15">
        <f t="shared" si="11"/>
        <v>5.44</v>
      </c>
      <c r="K15" t="e">
        <f t="shared" si="11"/>
        <v>#N/A</v>
      </c>
      <c r="L15">
        <f t="shared" si="11"/>
        <v>5.41</v>
      </c>
      <c r="M15" t="e">
        <f t="shared" si="11"/>
        <v>#N/A</v>
      </c>
      <c r="N15">
        <f t="shared" si="11"/>
        <v>5.04</v>
      </c>
      <c r="O15">
        <f t="shared" si="11"/>
        <v>5.03</v>
      </c>
      <c r="P15">
        <f t="shared" si="11"/>
        <v>5.04</v>
      </c>
      <c r="Q15">
        <f t="shared" si="11"/>
        <v>5.22</v>
      </c>
      <c r="R15">
        <f t="shared" si="11"/>
        <v>5.5</v>
      </c>
      <c r="S15">
        <f t="shared" si="11"/>
        <v>5.38</v>
      </c>
      <c r="T15">
        <f t="shared" si="11"/>
        <v>5.19</v>
      </c>
      <c r="U15">
        <f t="shared" si="11"/>
        <v>4.87</v>
      </c>
      <c r="V15">
        <f t="shared" si="11"/>
        <v>4.8</v>
      </c>
      <c r="W15">
        <f t="shared" si="11"/>
        <v>5.46</v>
      </c>
      <c r="X15">
        <f t="shared" si="11"/>
        <v>5.49</v>
      </c>
      <c r="Y15">
        <f t="shared" si="5"/>
        <v>5.78</v>
      </c>
      <c r="Z15">
        <f t="shared" si="5"/>
        <v>5.45</v>
      </c>
      <c r="AA15">
        <f t="shared" si="5"/>
        <v>5.52</v>
      </c>
      <c r="AB15">
        <f t="shared" si="5"/>
        <v>5.35</v>
      </c>
      <c r="AC15">
        <f t="shared" si="5"/>
        <v>5.49</v>
      </c>
      <c r="AD15">
        <f t="shared" si="5"/>
        <v>5.4</v>
      </c>
      <c r="AE15">
        <f t="shared" si="5"/>
        <v>5.7</v>
      </c>
      <c r="AF15">
        <f t="shared" si="5"/>
        <v>5.65</v>
      </c>
      <c r="AG15">
        <f t="shared" si="5"/>
        <v>5.74</v>
      </c>
      <c r="AH15">
        <f t="shared" si="5"/>
        <v>5.61</v>
      </c>
      <c r="AI15">
        <f t="shared" si="5"/>
        <v>5.31</v>
      </c>
      <c r="AJ15">
        <f t="shared" si="5"/>
        <v>5.43</v>
      </c>
      <c r="AK15">
        <f t="shared" si="5"/>
        <v>5.55</v>
      </c>
      <c r="AL15">
        <f t="shared" si="5"/>
        <v>5.32</v>
      </c>
      <c r="AM15">
        <f t="shared" si="5"/>
        <v>5.49</v>
      </c>
      <c r="AN15" t="e">
        <f t="shared" si="5"/>
        <v>#N/A</v>
      </c>
      <c r="AO15">
        <f t="shared" si="5"/>
        <v>5.18</v>
      </c>
      <c r="AP15">
        <f t="shared" si="5"/>
        <v>5.27</v>
      </c>
      <c r="AQ15">
        <f t="shared" si="5"/>
        <v>5.53</v>
      </c>
      <c r="AR15">
        <f t="shared" si="5"/>
        <v>5.39</v>
      </c>
      <c r="AS15">
        <f t="shared" si="5"/>
        <v>5.31</v>
      </c>
      <c r="AT15" t="e">
        <f t="shared" si="5"/>
        <v>#N/A</v>
      </c>
      <c r="AU15" t="e">
        <f t="shared" si="5"/>
        <v>#N/A</v>
      </c>
      <c r="AV15" t="e">
        <f t="shared" si="5"/>
        <v>#N/A</v>
      </c>
      <c r="AW15" t="e">
        <f t="shared" si="5"/>
        <v>#N/A</v>
      </c>
      <c r="AX15" t="e">
        <f t="shared" si="5"/>
        <v>#N/A</v>
      </c>
      <c r="AY15" t="e">
        <f t="shared" si="5"/>
        <v>#N/A</v>
      </c>
      <c r="AZ15" t="e">
        <f t="shared" si="5"/>
        <v>#N/A</v>
      </c>
      <c r="BA15" t="e">
        <f t="shared" si="5"/>
        <v>#N/A</v>
      </c>
      <c r="BB15" t="e">
        <f t="shared" si="5"/>
        <v>#N/A</v>
      </c>
      <c r="BC15" t="e">
        <f t="shared" si="5"/>
        <v>#N/A</v>
      </c>
      <c r="BD15" t="e">
        <f t="shared" si="5"/>
        <v>#N/A</v>
      </c>
      <c r="BE15" t="e">
        <f t="shared" si="5"/>
        <v>#N/A</v>
      </c>
      <c r="BF15" t="e">
        <f t="shared" si="5"/>
        <v>#N/A</v>
      </c>
      <c r="BG15" t="e">
        <f t="shared" si="5"/>
        <v>#N/A</v>
      </c>
      <c r="BH15" t="e">
        <f t="shared" si="5"/>
        <v>#N/A</v>
      </c>
      <c r="BI15" t="e">
        <f t="shared" si="5"/>
        <v>#N/A</v>
      </c>
      <c r="BJ15" t="e">
        <f t="shared" si="5"/>
        <v>#N/A</v>
      </c>
      <c r="BK15" t="e">
        <f t="shared" si="5"/>
        <v>#N/A</v>
      </c>
      <c r="BL15" t="e">
        <f t="shared" si="5"/>
        <v>#N/A</v>
      </c>
      <c r="BM15" t="e">
        <f t="shared" si="5"/>
        <v>#N/A</v>
      </c>
      <c r="BN15" t="e">
        <f t="shared" si="5"/>
        <v>#N/A</v>
      </c>
      <c r="BO15" t="e">
        <f t="shared" si="5"/>
        <v>#N/A</v>
      </c>
      <c r="BP15" t="e">
        <f t="shared" si="5"/>
        <v>#N/A</v>
      </c>
      <c r="BQ15" t="e">
        <f t="shared" si="5"/>
        <v>#N/A</v>
      </c>
      <c r="BR15" t="e">
        <f t="shared" si="5"/>
        <v>#N/A</v>
      </c>
      <c r="BS15" t="e">
        <f t="shared" si="5"/>
        <v>#N/A</v>
      </c>
      <c r="BT15" t="e">
        <f t="shared" si="5"/>
        <v>#N/A</v>
      </c>
      <c r="BU15" t="e">
        <f t="shared" si="5"/>
        <v>#N/A</v>
      </c>
      <c r="BV15" t="e">
        <f t="shared" si="6"/>
        <v>#N/A</v>
      </c>
      <c r="BW15" t="e">
        <f t="shared" si="6"/>
        <v>#N/A</v>
      </c>
      <c r="BX15" t="e">
        <f t="shared" si="6"/>
        <v>#N/A</v>
      </c>
      <c r="BY15" t="e">
        <f t="shared" si="6"/>
        <v>#N/A</v>
      </c>
      <c r="BZ15" t="e">
        <f t="shared" si="6"/>
        <v>#N/A</v>
      </c>
      <c r="CA15" t="e">
        <f t="shared" si="6"/>
        <v>#N/A</v>
      </c>
      <c r="CB15" t="e">
        <f t="shared" si="6"/>
        <v>#N/A</v>
      </c>
      <c r="CC15" t="e">
        <f t="shared" si="6"/>
        <v>#N/A</v>
      </c>
      <c r="CD15" t="e">
        <f t="shared" si="6"/>
        <v>#N/A</v>
      </c>
      <c r="CE15" t="e">
        <f t="shared" si="6"/>
        <v>#N/A</v>
      </c>
      <c r="CF15" t="e">
        <f t="shared" si="6"/>
        <v>#N/A</v>
      </c>
      <c r="CG15" t="e">
        <f t="shared" si="6"/>
        <v>#N/A</v>
      </c>
      <c r="CH15" t="e">
        <f t="shared" si="6"/>
        <v>#N/A</v>
      </c>
      <c r="CI15" t="e">
        <f t="shared" si="6"/>
        <v>#N/A</v>
      </c>
      <c r="CJ15" t="e">
        <f t="shared" si="6"/>
        <v>#N/A</v>
      </c>
      <c r="CK15" t="e">
        <f t="shared" si="6"/>
        <v>#N/A</v>
      </c>
      <c r="CL15" t="e">
        <f t="shared" si="6"/>
        <v>#N/A</v>
      </c>
      <c r="CM15" t="e">
        <f t="shared" si="6"/>
        <v>#N/A</v>
      </c>
      <c r="CN15" t="e">
        <f t="shared" si="6"/>
        <v>#N/A</v>
      </c>
      <c r="CO15" t="e">
        <f t="shared" si="6"/>
        <v>#N/A</v>
      </c>
      <c r="CP15" t="e">
        <f t="shared" si="6"/>
        <v>#N/A</v>
      </c>
      <c r="CQ15" t="e">
        <f t="shared" si="6"/>
        <v>#N/A</v>
      </c>
      <c r="CR15" t="e">
        <f t="shared" si="6"/>
        <v>#N/A</v>
      </c>
      <c r="CS15" t="e">
        <f t="shared" si="6"/>
        <v>#N/A</v>
      </c>
      <c r="CT15" t="e">
        <f t="shared" si="6"/>
        <v>#N/A</v>
      </c>
      <c r="CU15" t="e">
        <f t="shared" si="6"/>
        <v>#N/A</v>
      </c>
      <c r="CV15" t="e">
        <f t="shared" si="6"/>
        <v>#N/A</v>
      </c>
      <c r="CW15" t="e">
        <f t="shared" si="6"/>
        <v>#N/A</v>
      </c>
      <c r="CX15" t="e">
        <f t="shared" si="6"/>
        <v>#N/A</v>
      </c>
      <c r="CY15" t="e">
        <f t="shared" si="6"/>
        <v>#N/A</v>
      </c>
      <c r="CZ15" t="e">
        <f t="shared" si="6"/>
        <v>#N/A</v>
      </c>
      <c r="DA15" t="e">
        <f t="shared" si="6"/>
        <v>#N/A</v>
      </c>
      <c r="DB15" t="e">
        <f t="shared" si="6"/>
        <v>#N/A</v>
      </c>
      <c r="DC15" t="e">
        <f t="shared" si="6"/>
        <v>#N/A</v>
      </c>
      <c r="DD15" t="e">
        <f t="shared" si="6"/>
        <v>#N/A</v>
      </c>
      <c r="DE15" t="e">
        <f t="shared" si="6"/>
        <v>#N/A</v>
      </c>
      <c r="DF15" t="e">
        <f t="shared" si="6"/>
        <v>#N/A</v>
      </c>
      <c r="DG15" t="e">
        <f t="shared" si="6"/>
        <v>#N/A</v>
      </c>
      <c r="DH15" t="e">
        <f t="shared" si="6"/>
        <v>#N/A</v>
      </c>
      <c r="DI15" t="e">
        <f t="shared" si="6"/>
        <v>#N/A</v>
      </c>
      <c r="DJ15" t="e">
        <f t="shared" si="6"/>
        <v>#N/A</v>
      </c>
      <c r="DK15" t="e">
        <f t="shared" si="6"/>
        <v>#N/A</v>
      </c>
      <c r="DL15" t="e">
        <f t="shared" si="6"/>
        <v>#N/A</v>
      </c>
      <c r="DM15" t="e">
        <f t="shared" si="6"/>
        <v>#N/A</v>
      </c>
      <c r="DN15" t="e">
        <f t="shared" si="6"/>
        <v>#N/A</v>
      </c>
      <c r="DO15" t="e">
        <f t="shared" si="6"/>
        <v>#N/A</v>
      </c>
      <c r="DP15" t="e">
        <f t="shared" si="6"/>
        <v>#N/A</v>
      </c>
      <c r="DQ15" t="e">
        <f t="shared" si="6"/>
        <v>#N/A</v>
      </c>
      <c r="DR15" t="e">
        <f t="shared" si="6"/>
        <v>#N/A</v>
      </c>
      <c r="DS15" t="e">
        <f t="shared" si="6"/>
        <v>#N/A</v>
      </c>
      <c r="DT15" t="e">
        <f t="shared" si="6"/>
        <v>#N/A</v>
      </c>
      <c r="DU15" t="e">
        <f t="shared" si="6"/>
        <v>#N/A</v>
      </c>
      <c r="DV15" t="e">
        <f t="shared" si="6"/>
        <v>#N/A</v>
      </c>
      <c r="DW15" t="e">
        <f t="shared" si="6"/>
        <v>#N/A</v>
      </c>
      <c r="DX15" t="e">
        <f t="shared" si="6"/>
        <v>#N/A</v>
      </c>
      <c r="DY15" t="e">
        <f t="shared" si="6"/>
        <v>#N/A</v>
      </c>
      <c r="DZ15" t="e">
        <f t="shared" si="6"/>
        <v>#N/A</v>
      </c>
      <c r="EA15" t="e">
        <f t="shared" si="6"/>
        <v>#N/A</v>
      </c>
      <c r="EB15" t="e">
        <f t="shared" si="6"/>
        <v>#N/A</v>
      </c>
      <c r="EC15" t="e">
        <f t="shared" si="6"/>
        <v>#N/A</v>
      </c>
      <c r="ED15" t="e">
        <f t="shared" si="6"/>
        <v>#N/A</v>
      </c>
      <c r="EE15" t="e">
        <f t="shared" si="6"/>
        <v>#N/A</v>
      </c>
      <c r="EF15" t="e">
        <f t="shared" si="6"/>
        <v>#N/A</v>
      </c>
      <c r="EG15" t="e">
        <f t="shared" si="6"/>
        <v>#N/A</v>
      </c>
      <c r="EH15" t="e">
        <f t="shared" si="7"/>
        <v>#N/A</v>
      </c>
      <c r="EI15" t="e">
        <f t="shared" si="7"/>
        <v>#N/A</v>
      </c>
      <c r="EJ15" t="e">
        <f t="shared" si="7"/>
        <v>#N/A</v>
      </c>
      <c r="EK15" t="e">
        <f t="shared" si="7"/>
        <v>#N/A</v>
      </c>
      <c r="EL15" t="e">
        <f t="shared" si="7"/>
        <v>#N/A</v>
      </c>
      <c r="EM15" t="e">
        <f t="shared" si="7"/>
        <v>#N/A</v>
      </c>
      <c r="EN15" t="e">
        <f t="shared" si="7"/>
        <v>#N/A</v>
      </c>
      <c r="EO15" t="e">
        <f t="shared" si="7"/>
        <v>#N/A</v>
      </c>
      <c r="EP15" t="e">
        <f t="shared" si="7"/>
        <v>#N/A</v>
      </c>
      <c r="EQ15" t="e">
        <f t="shared" si="7"/>
        <v>#N/A</v>
      </c>
      <c r="ER15" t="e">
        <f t="shared" si="7"/>
        <v>#N/A</v>
      </c>
      <c r="ES15" t="e">
        <f t="shared" si="7"/>
        <v>#N/A</v>
      </c>
      <c r="ET15" t="e">
        <f t="shared" si="7"/>
        <v>#N/A</v>
      </c>
      <c r="EU15" t="e">
        <f t="shared" si="7"/>
        <v>#N/A</v>
      </c>
      <c r="EV15" t="e">
        <f t="shared" si="7"/>
        <v>#N/A</v>
      </c>
      <c r="EW15" t="e">
        <f t="shared" si="7"/>
        <v>#N/A</v>
      </c>
      <c r="EX15" t="e">
        <f t="shared" si="7"/>
        <v>#N/A</v>
      </c>
      <c r="EY15" t="e">
        <f t="shared" si="7"/>
        <v>#N/A</v>
      </c>
      <c r="EZ15" t="e">
        <f t="shared" si="7"/>
        <v>#N/A</v>
      </c>
      <c r="FA15" t="e">
        <f t="shared" si="7"/>
        <v>#N/A</v>
      </c>
      <c r="FB15" t="e">
        <f t="shared" si="7"/>
        <v>#N/A</v>
      </c>
      <c r="FC15" t="e">
        <f t="shared" si="7"/>
        <v>#N/A</v>
      </c>
      <c r="FD15" t="e">
        <f t="shared" si="7"/>
        <v>#N/A</v>
      </c>
      <c r="FE15" t="e">
        <f t="shared" si="7"/>
        <v>#N/A</v>
      </c>
      <c r="FF15" t="e">
        <f t="shared" si="7"/>
        <v>#N/A</v>
      </c>
      <c r="FG15" t="e">
        <f t="shared" si="7"/>
        <v>#N/A</v>
      </c>
      <c r="FH15" t="e">
        <f t="shared" si="7"/>
        <v>#N/A</v>
      </c>
      <c r="FI15" t="e">
        <f t="shared" si="7"/>
        <v>#N/A</v>
      </c>
      <c r="FJ15" t="e">
        <f t="shared" si="7"/>
        <v>#N/A</v>
      </c>
      <c r="FK15" t="e">
        <f t="shared" si="7"/>
        <v>#N/A</v>
      </c>
      <c r="FL15" t="e">
        <f t="shared" si="7"/>
        <v>#N/A</v>
      </c>
      <c r="FM15" t="e">
        <f t="shared" si="7"/>
        <v>#N/A</v>
      </c>
      <c r="FN15" t="e">
        <f t="shared" si="7"/>
        <v>#N/A</v>
      </c>
      <c r="FO15" t="e">
        <f t="shared" si="7"/>
        <v>#N/A</v>
      </c>
      <c r="FP15" t="e">
        <f t="shared" si="7"/>
        <v>#N/A</v>
      </c>
      <c r="FQ15" t="e">
        <f t="shared" si="7"/>
        <v>#N/A</v>
      </c>
      <c r="FR15" t="e">
        <f t="shared" si="7"/>
        <v>#N/A</v>
      </c>
      <c r="FS15" t="e">
        <f t="shared" si="7"/>
        <v>#N/A</v>
      </c>
      <c r="FT15" t="e">
        <f t="shared" si="7"/>
        <v>#N/A</v>
      </c>
      <c r="FU15" t="e">
        <f t="shared" si="7"/>
        <v>#N/A</v>
      </c>
      <c r="FV15" t="e">
        <f t="shared" si="7"/>
        <v>#N/A</v>
      </c>
      <c r="FW15" t="e">
        <f t="shared" si="7"/>
        <v>#N/A</v>
      </c>
      <c r="FX15" t="e">
        <f t="shared" si="7"/>
        <v>#N/A</v>
      </c>
      <c r="FY15" t="e">
        <f t="shared" si="7"/>
        <v>#N/A</v>
      </c>
      <c r="FZ15" t="e">
        <f t="shared" si="7"/>
        <v>#N/A</v>
      </c>
      <c r="GA15" t="e">
        <f t="shared" si="7"/>
        <v>#N/A</v>
      </c>
    </row>
    <row r="16" spans="1:183" x14ac:dyDescent="0.45">
      <c r="A16" t="str">
        <f t="shared" si="8"/>
        <v>Stattrak Hyper Beast FT</v>
      </c>
      <c r="C16" cm="1">
        <f t="array" ref="C16">LOOKUP(2,1/(I16:GA16&lt;&gt;""),I16:GA16)</f>
        <v>55.15</v>
      </c>
      <c r="D16">
        <f t="shared" si="9"/>
        <v>45</v>
      </c>
      <c r="F16" s="4">
        <f t="shared" si="10"/>
        <v>-7.3794096472282883E-3</v>
      </c>
      <c r="G16" s="3" cm="1">
        <f t="array" ref="G16">(C16-IF(ISNA(INDEX(I16:GA16,D16-22)),INDEX(I16:GA16,D16-23),INDEX(I16:GA16,D16-22)))/IF(ISNA(INDEX(I16:GA16,D16-22)),INDEX(I16:GA16,D16-23),INDEX(I16:GA16,D16-22))</f>
        <v>-4.2368466747699333E-2</v>
      </c>
      <c r="I16">
        <f t="shared" si="11"/>
        <v>55.56</v>
      </c>
      <c r="J16">
        <f t="shared" ref="J16:BU19" si="12">IF(ISBLANK(J5),NA(),ROUNDDOWN(J5*0.75,2))</f>
        <v>53.48</v>
      </c>
      <c r="K16" t="e">
        <f t="shared" si="12"/>
        <v>#N/A</v>
      </c>
      <c r="L16">
        <f t="shared" si="12"/>
        <v>53.91</v>
      </c>
      <c r="M16" t="e">
        <f t="shared" si="12"/>
        <v>#N/A</v>
      </c>
      <c r="N16">
        <f t="shared" si="12"/>
        <v>53.42</v>
      </c>
      <c r="O16">
        <f t="shared" si="12"/>
        <v>52.93</v>
      </c>
      <c r="P16">
        <f t="shared" si="12"/>
        <v>49.02</v>
      </c>
      <c r="Q16">
        <f t="shared" si="12"/>
        <v>54.98</v>
      </c>
      <c r="R16">
        <f t="shared" si="12"/>
        <v>54.98</v>
      </c>
      <c r="S16">
        <f t="shared" si="12"/>
        <v>54.65</v>
      </c>
      <c r="T16">
        <f t="shared" si="12"/>
        <v>63.43</v>
      </c>
      <c r="U16">
        <f t="shared" si="12"/>
        <v>63.33</v>
      </c>
      <c r="V16">
        <f t="shared" si="12"/>
        <v>56.88</v>
      </c>
      <c r="W16">
        <f t="shared" si="12"/>
        <v>57.12</v>
      </c>
      <c r="X16">
        <f t="shared" si="12"/>
        <v>52.17</v>
      </c>
      <c r="Y16">
        <f t="shared" si="12"/>
        <v>56.08</v>
      </c>
      <c r="Z16">
        <f t="shared" si="12"/>
        <v>56.75</v>
      </c>
      <c r="AA16">
        <f t="shared" si="12"/>
        <v>62.5</v>
      </c>
      <c r="AB16">
        <f t="shared" si="12"/>
        <v>58.92</v>
      </c>
      <c r="AC16">
        <f t="shared" si="12"/>
        <v>58.67</v>
      </c>
      <c r="AD16">
        <f t="shared" si="12"/>
        <v>58.86</v>
      </c>
      <c r="AE16">
        <f t="shared" si="12"/>
        <v>57.59</v>
      </c>
      <c r="AF16">
        <f t="shared" si="12"/>
        <v>59.31</v>
      </c>
      <c r="AG16">
        <f t="shared" si="12"/>
        <v>64.23</v>
      </c>
      <c r="AH16">
        <f t="shared" si="12"/>
        <v>59.07</v>
      </c>
      <c r="AI16">
        <f t="shared" si="12"/>
        <v>56.25</v>
      </c>
      <c r="AJ16">
        <f t="shared" si="12"/>
        <v>55.73</v>
      </c>
      <c r="AK16">
        <f t="shared" si="12"/>
        <v>59.12</v>
      </c>
      <c r="AL16">
        <f t="shared" si="12"/>
        <v>59.11</v>
      </c>
      <c r="AM16">
        <f t="shared" si="12"/>
        <v>50.68</v>
      </c>
      <c r="AN16" t="e">
        <f t="shared" si="12"/>
        <v>#N/A</v>
      </c>
      <c r="AO16">
        <f t="shared" si="12"/>
        <v>54.85</v>
      </c>
      <c r="AP16">
        <f t="shared" si="12"/>
        <v>54.4</v>
      </c>
      <c r="AQ16">
        <f t="shared" si="12"/>
        <v>52.47</v>
      </c>
      <c r="AR16">
        <f t="shared" si="12"/>
        <v>56.8</v>
      </c>
      <c r="AS16">
        <f t="shared" si="12"/>
        <v>55.15</v>
      </c>
      <c r="AT16" t="e">
        <f t="shared" si="12"/>
        <v>#N/A</v>
      </c>
      <c r="AU16" t="e">
        <f t="shared" si="12"/>
        <v>#N/A</v>
      </c>
      <c r="AV16" t="e">
        <f t="shared" si="12"/>
        <v>#N/A</v>
      </c>
      <c r="AW16" t="e">
        <f t="shared" si="12"/>
        <v>#N/A</v>
      </c>
      <c r="AX16" t="e">
        <f t="shared" si="12"/>
        <v>#N/A</v>
      </c>
      <c r="AY16" t="e">
        <f t="shared" si="12"/>
        <v>#N/A</v>
      </c>
      <c r="AZ16" t="e">
        <f t="shared" si="12"/>
        <v>#N/A</v>
      </c>
      <c r="BA16" t="e">
        <f t="shared" si="12"/>
        <v>#N/A</v>
      </c>
      <c r="BB16" t="e">
        <f t="shared" si="12"/>
        <v>#N/A</v>
      </c>
      <c r="BC16" t="e">
        <f t="shared" si="12"/>
        <v>#N/A</v>
      </c>
      <c r="BD16" t="e">
        <f t="shared" si="12"/>
        <v>#N/A</v>
      </c>
      <c r="BE16" t="e">
        <f t="shared" si="12"/>
        <v>#N/A</v>
      </c>
      <c r="BF16" t="e">
        <f t="shared" si="12"/>
        <v>#N/A</v>
      </c>
      <c r="BG16" t="e">
        <f t="shared" si="12"/>
        <v>#N/A</v>
      </c>
      <c r="BH16" t="e">
        <f t="shared" si="12"/>
        <v>#N/A</v>
      </c>
      <c r="BI16" t="e">
        <f t="shared" si="12"/>
        <v>#N/A</v>
      </c>
      <c r="BJ16" t="e">
        <f t="shared" si="12"/>
        <v>#N/A</v>
      </c>
      <c r="BK16" t="e">
        <f t="shared" si="12"/>
        <v>#N/A</v>
      </c>
      <c r="BL16" t="e">
        <f t="shared" si="12"/>
        <v>#N/A</v>
      </c>
      <c r="BM16" t="e">
        <f t="shared" si="12"/>
        <v>#N/A</v>
      </c>
      <c r="BN16" t="e">
        <f t="shared" si="12"/>
        <v>#N/A</v>
      </c>
      <c r="BO16" t="e">
        <f t="shared" si="12"/>
        <v>#N/A</v>
      </c>
      <c r="BP16" t="e">
        <f t="shared" si="12"/>
        <v>#N/A</v>
      </c>
      <c r="BQ16" t="e">
        <f t="shared" si="12"/>
        <v>#N/A</v>
      </c>
      <c r="BR16" t="e">
        <f t="shared" si="12"/>
        <v>#N/A</v>
      </c>
      <c r="BS16" t="e">
        <f t="shared" si="12"/>
        <v>#N/A</v>
      </c>
      <c r="BT16" t="e">
        <f t="shared" si="12"/>
        <v>#N/A</v>
      </c>
      <c r="BU16" t="e">
        <f t="shared" si="12"/>
        <v>#N/A</v>
      </c>
      <c r="BV16" t="e">
        <f t="shared" si="6"/>
        <v>#N/A</v>
      </c>
      <c r="BW16" t="e">
        <f t="shared" si="6"/>
        <v>#N/A</v>
      </c>
      <c r="BX16" t="e">
        <f t="shared" si="6"/>
        <v>#N/A</v>
      </c>
      <c r="BY16" t="e">
        <f t="shared" si="6"/>
        <v>#N/A</v>
      </c>
      <c r="BZ16" t="e">
        <f t="shared" si="6"/>
        <v>#N/A</v>
      </c>
      <c r="CA16" t="e">
        <f t="shared" si="6"/>
        <v>#N/A</v>
      </c>
      <c r="CB16" t="e">
        <f t="shared" si="6"/>
        <v>#N/A</v>
      </c>
      <c r="CC16" t="e">
        <f t="shared" si="6"/>
        <v>#N/A</v>
      </c>
      <c r="CD16" t="e">
        <f t="shared" si="6"/>
        <v>#N/A</v>
      </c>
      <c r="CE16" t="e">
        <f t="shared" si="6"/>
        <v>#N/A</v>
      </c>
      <c r="CF16" t="e">
        <f t="shared" si="6"/>
        <v>#N/A</v>
      </c>
      <c r="CG16" t="e">
        <f t="shared" si="6"/>
        <v>#N/A</v>
      </c>
      <c r="CH16" t="e">
        <f t="shared" si="6"/>
        <v>#N/A</v>
      </c>
      <c r="CI16" t="e">
        <f t="shared" si="6"/>
        <v>#N/A</v>
      </c>
      <c r="CJ16" t="e">
        <f t="shared" si="6"/>
        <v>#N/A</v>
      </c>
      <c r="CK16" t="e">
        <f t="shared" si="6"/>
        <v>#N/A</v>
      </c>
      <c r="CL16" t="e">
        <f t="shared" si="6"/>
        <v>#N/A</v>
      </c>
      <c r="CM16" t="e">
        <f t="shared" si="6"/>
        <v>#N/A</v>
      </c>
      <c r="CN16" t="e">
        <f t="shared" si="6"/>
        <v>#N/A</v>
      </c>
      <c r="CO16" t="e">
        <f t="shared" si="6"/>
        <v>#N/A</v>
      </c>
      <c r="CP16" t="e">
        <f t="shared" si="6"/>
        <v>#N/A</v>
      </c>
      <c r="CQ16" t="e">
        <f t="shared" si="6"/>
        <v>#N/A</v>
      </c>
      <c r="CR16" t="e">
        <f t="shared" si="6"/>
        <v>#N/A</v>
      </c>
      <c r="CS16" t="e">
        <f t="shared" si="6"/>
        <v>#N/A</v>
      </c>
      <c r="CT16" t="e">
        <f t="shared" si="6"/>
        <v>#N/A</v>
      </c>
      <c r="CU16" t="e">
        <f t="shared" si="6"/>
        <v>#N/A</v>
      </c>
      <c r="CV16" t="e">
        <f t="shared" si="6"/>
        <v>#N/A</v>
      </c>
      <c r="CW16" t="e">
        <f t="shared" si="6"/>
        <v>#N/A</v>
      </c>
      <c r="CX16" t="e">
        <f t="shared" si="6"/>
        <v>#N/A</v>
      </c>
      <c r="CY16" t="e">
        <f t="shared" si="6"/>
        <v>#N/A</v>
      </c>
      <c r="CZ16" t="e">
        <f t="shared" si="6"/>
        <v>#N/A</v>
      </c>
      <c r="DA16" t="e">
        <f t="shared" si="6"/>
        <v>#N/A</v>
      </c>
      <c r="DB16" t="e">
        <f t="shared" si="6"/>
        <v>#N/A</v>
      </c>
      <c r="DC16" t="e">
        <f t="shared" si="6"/>
        <v>#N/A</v>
      </c>
      <c r="DD16" t="e">
        <f t="shared" si="6"/>
        <v>#N/A</v>
      </c>
      <c r="DE16" t="e">
        <f t="shared" si="6"/>
        <v>#N/A</v>
      </c>
      <c r="DF16" t="e">
        <f t="shared" si="6"/>
        <v>#N/A</v>
      </c>
      <c r="DG16" t="e">
        <f t="shared" si="6"/>
        <v>#N/A</v>
      </c>
      <c r="DH16" t="e">
        <f t="shared" si="6"/>
        <v>#N/A</v>
      </c>
      <c r="DI16" t="e">
        <f t="shared" si="6"/>
        <v>#N/A</v>
      </c>
      <c r="DJ16" t="e">
        <f t="shared" si="6"/>
        <v>#N/A</v>
      </c>
      <c r="DK16" t="e">
        <f t="shared" si="6"/>
        <v>#N/A</v>
      </c>
      <c r="DL16" t="e">
        <f t="shared" si="6"/>
        <v>#N/A</v>
      </c>
      <c r="DM16" t="e">
        <f t="shared" si="6"/>
        <v>#N/A</v>
      </c>
      <c r="DN16" t="e">
        <f t="shared" si="6"/>
        <v>#N/A</v>
      </c>
      <c r="DO16" t="e">
        <f t="shared" si="6"/>
        <v>#N/A</v>
      </c>
      <c r="DP16" t="e">
        <f t="shared" si="6"/>
        <v>#N/A</v>
      </c>
      <c r="DQ16" t="e">
        <f t="shared" si="6"/>
        <v>#N/A</v>
      </c>
      <c r="DR16" t="e">
        <f t="shared" si="6"/>
        <v>#N/A</v>
      </c>
      <c r="DS16" t="e">
        <f t="shared" si="6"/>
        <v>#N/A</v>
      </c>
      <c r="DT16" t="e">
        <f t="shared" si="6"/>
        <v>#N/A</v>
      </c>
      <c r="DU16" t="e">
        <f t="shared" si="6"/>
        <v>#N/A</v>
      </c>
      <c r="DV16" t="e">
        <f t="shared" si="6"/>
        <v>#N/A</v>
      </c>
      <c r="DW16" t="e">
        <f t="shared" si="6"/>
        <v>#N/A</v>
      </c>
      <c r="DX16" t="e">
        <f t="shared" si="6"/>
        <v>#N/A</v>
      </c>
      <c r="DY16" t="e">
        <f t="shared" si="6"/>
        <v>#N/A</v>
      </c>
      <c r="DZ16" t="e">
        <f t="shared" si="6"/>
        <v>#N/A</v>
      </c>
      <c r="EA16" t="e">
        <f t="shared" si="6"/>
        <v>#N/A</v>
      </c>
      <c r="EB16" t="e">
        <f t="shared" si="6"/>
        <v>#N/A</v>
      </c>
      <c r="EC16" t="e">
        <f t="shared" si="6"/>
        <v>#N/A</v>
      </c>
      <c r="ED16" t="e">
        <f t="shared" si="6"/>
        <v>#N/A</v>
      </c>
      <c r="EE16" t="e">
        <f t="shared" si="6"/>
        <v>#N/A</v>
      </c>
      <c r="EF16" t="e">
        <f t="shared" si="6"/>
        <v>#N/A</v>
      </c>
      <c r="EG16" t="e">
        <f t="shared" si="6"/>
        <v>#N/A</v>
      </c>
      <c r="EH16" t="e">
        <f t="shared" si="7"/>
        <v>#N/A</v>
      </c>
      <c r="EI16" t="e">
        <f t="shared" si="7"/>
        <v>#N/A</v>
      </c>
      <c r="EJ16" t="e">
        <f t="shared" si="7"/>
        <v>#N/A</v>
      </c>
      <c r="EK16" t="e">
        <f t="shared" si="7"/>
        <v>#N/A</v>
      </c>
      <c r="EL16" t="e">
        <f t="shared" si="7"/>
        <v>#N/A</v>
      </c>
      <c r="EM16" t="e">
        <f t="shared" si="7"/>
        <v>#N/A</v>
      </c>
      <c r="EN16" t="e">
        <f t="shared" si="7"/>
        <v>#N/A</v>
      </c>
      <c r="EO16" t="e">
        <f t="shared" si="7"/>
        <v>#N/A</v>
      </c>
      <c r="EP16" t="e">
        <f t="shared" si="7"/>
        <v>#N/A</v>
      </c>
      <c r="EQ16" t="e">
        <f t="shared" si="7"/>
        <v>#N/A</v>
      </c>
      <c r="ER16" t="e">
        <f t="shared" si="7"/>
        <v>#N/A</v>
      </c>
      <c r="ES16" t="e">
        <f t="shared" si="7"/>
        <v>#N/A</v>
      </c>
      <c r="ET16" t="e">
        <f t="shared" si="7"/>
        <v>#N/A</v>
      </c>
      <c r="EU16" t="e">
        <f t="shared" si="7"/>
        <v>#N/A</v>
      </c>
      <c r="EV16" t="e">
        <f t="shared" si="7"/>
        <v>#N/A</v>
      </c>
      <c r="EW16" t="e">
        <f t="shared" si="7"/>
        <v>#N/A</v>
      </c>
      <c r="EX16" t="e">
        <f t="shared" si="7"/>
        <v>#N/A</v>
      </c>
      <c r="EY16" t="e">
        <f t="shared" si="7"/>
        <v>#N/A</v>
      </c>
      <c r="EZ16" t="e">
        <f t="shared" si="7"/>
        <v>#N/A</v>
      </c>
      <c r="FA16" t="e">
        <f t="shared" si="7"/>
        <v>#N/A</v>
      </c>
      <c r="FB16" t="e">
        <f t="shared" si="7"/>
        <v>#N/A</v>
      </c>
      <c r="FC16" t="e">
        <f t="shared" si="7"/>
        <v>#N/A</v>
      </c>
      <c r="FD16" t="e">
        <f t="shared" si="7"/>
        <v>#N/A</v>
      </c>
      <c r="FE16" t="e">
        <f t="shared" si="7"/>
        <v>#N/A</v>
      </c>
      <c r="FF16" t="e">
        <f t="shared" si="7"/>
        <v>#N/A</v>
      </c>
      <c r="FG16" t="e">
        <f t="shared" si="7"/>
        <v>#N/A</v>
      </c>
      <c r="FH16" t="e">
        <f t="shared" si="7"/>
        <v>#N/A</v>
      </c>
      <c r="FI16" t="e">
        <f t="shared" si="7"/>
        <v>#N/A</v>
      </c>
      <c r="FJ16" t="e">
        <f t="shared" si="7"/>
        <v>#N/A</v>
      </c>
      <c r="FK16" t="e">
        <f t="shared" si="7"/>
        <v>#N/A</v>
      </c>
      <c r="FL16" t="e">
        <f t="shared" si="7"/>
        <v>#N/A</v>
      </c>
      <c r="FM16" t="e">
        <f t="shared" si="7"/>
        <v>#N/A</v>
      </c>
      <c r="FN16" t="e">
        <f t="shared" si="7"/>
        <v>#N/A</v>
      </c>
      <c r="FO16" t="e">
        <f t="shared" si="7"/>
        <v>#N/A</v>
      </c>
      <c r="FP16" t="e">
        <f t="shared" si="7"/>
        <v>#N/A</v>
      </c>
      <c r="FQ16" t="e">
        <f t="shared" si="7"/>
        <v>#N/A</v>
      </c>
      <c r="FR16" t="e">
        <f t="shared" si="7"/>
        <v>#N/A</v>
      </c>
      <c r="FS16" t="e">
        <f t="shared" si="7"/>
        <v>#N/A</v>
      </c>
      <c r="FT16" t="e">
        <f t="shared" si="7"/>
        <v>#N/A</v>
      </c>
      <c r="FU16" t="e">
        <f t="shared" si="7"/>
        <v>#N/A</v>
      </c>
      <c r="FV16" t="e">
        <f t="shared" si="7"/>
        <v>#N/A</v>
      </c>
      <c r="FW16" t="e">
        <f t="shared" si="7"/>
        <v>#N/A</v>
      </c>
      <c r="FX16" t="e">
        <f t="shared" si="7"/>
        <v>#N/A</v>
      </c>
      <c r="FY16" t="e">
        <f t="shared" si="7"/>
        <v>#N/A</v>
      </c>
      <c r="FZ16" t="e">
        <f t="shared" si="7"/>
        <v>#N/A</v>
      </c>
      <c r="GA16" t="e">
        <f t="shared" si="7"/>
        <v>#N/A</v>
      </c>
    </row>
    <row r="17" spans="1:183" x14ac:dyDescent="0.45">
      <c r="A17" t="str">
        <f t="shared" si="8"/>
        <v>Mortis MW</v>
      </c>
      <c r="C17" cm="1">
        <f t="array" ref="C17">LOOKUP(2,1/(I17:GA17&lt;&gt;""),I17:GA17)</f>
        <v>2.25</v>
      </c>
      <c r="D17">
        <f t="shared" si="9"/>
        <v>45</v>
      </c>
      <c r="F17" s="4">
        <f t="shared" si="10"/>
        <v>-7.0247933884297495E-2</v>
      </c>
      <c r="G17" s="3" cm="1">
        <f t="array" ref="G17">(C17-IF(ISNA(INDEX(I17:GA17,D17-22)),INDEX(I17:GA17,D17-23),INDEX(I17:GA17,D17-22)))/IF(ISNA(INDEX(I17:GA17,D17-22)),INDEX(I17:GA17,D17-23),INDEX(I17:GA17,D17-22))</f>
        <v>-4.6610169491525376E-2</v>
      </c>
      <c r="I17">
        <f t="shared" si="11"/>
        <v>2.42</v>
      </c>
      <c r="J17">
        <f t="shared" si="12"/>
        <v>2.35</v>
      </c>
      <c r="K17" t="e">
        <f t="shared" si="12"/>
        <v>#N/A</v>
      </c>
      <c r="L17">
        <f t="shared" si="12"/>
        <v>2.62</v>
      </c>
      <c r="M17" t="e">
        <f t="shared" si="12"/>
        <v>#N/A</v>
      </c>
      <c r="N17">
        <f t="shared" si="12"/>
        <v>2.4500000000000002</v>
      </c>
      <c r="O17">
        <f t="shared" si="12"/>
        <v>2.46</v>
      </c>
      <c r="P17">
        <f t="shared" si="12"/>
        <v>2.5499999999999998</v>
      </c>
      <c r="Q17">
        <f t="shared" si="12"/>
        <v>2.6</v>
      </c>
      <c r="R17">
        <f t="shared" si="12"/>
        <v>2.37</v>
      </c>
      <c r="S17">
        <f t="shared" si="12"/>
        <v>2.44</v>
      </c>
      <c r="T17">
        <f t="shared" si="12"/>
        <v>2.46</v>
      </c>
      <c r="U17">
        <f t="shared" si="12"/>
        <v>2.46</v>
      </c>
      <c r="V17">
        <f t="shared" si="12"/>
        <v>2.5299999999999998</v>
      </c>
      <c r="W17">
        <f t="shared" si="12"/>
        <v>2.4300000000000002</v>
      </c>
      <c r="X17">
        <f t="shared" si="12"/>
        <v>2.44</v>
      </c>
      <c r="Y17">
        <f t="shared" si="12"/>
        <v>2.39</v>
      </c>
      <c r="Z17">
        <f t="shared" si="12"/>
        <v>2.54</v>
      </c>
      <c r="AA17">
        <f t="shared" si="12"/>
        <v>2.35</v>
      </c>
      <c r="AB17">
        <f t="shared" si="12"/>
        <v>2.35</v>
      </c>
      <c r="AC17">
        <f t="shared" si="12"/>
        <v>2.34</v>
      </c>
      <c r="AD17">
        <f t="shared" si="12"/>
        <v>2.19</v>
      </c>
      <c r="AE17">
        <f t="shared" si="12"/>
        <v>2.36</v>
      </c>
      <c r="AF17">
        <f t="shared" si="12"/>
        <v>2.2400000000000002</v>
      </c>
      <c r="AG17">
        <f t="shared" si="12"/>
        <v>2.16</v>
      </c>
      <c r="AH17">
        <f t="shared" si="12"/>
        <v>2.37</v>
      </c>
      <c r="AI17">
        <f t="shared" si="12"/>
        <v>2.37</v>
      </c>
      <c r="AJ17">
        <f t="shared" si="12"/>
        <v>2.44</v>
      </c>
      <c r="AK17">
        <f t="shared" si="12"/>
        <v>2.4300000000000002</v>
      </c>
      <c r="AL17">
        <f t="shared" si="12"/>
        <v>2.36</v>
      </c>
      <c r="AM17">
        <f t="shared" si="12"/>
        <v>2.37</v>
      </c>
      <c r="AN17" t="e">
        <f t="shared" si="12"/>
        <v>#N/A</v>
      </c>
      <c r="AO17">
        <f t="shared" si="12"/>
        <v>2.2000000000000002</v>
      </c>
      <c r="AP17">
        <f t="shared" si="12"/>
        <v>2.2999999999999998</v>
      </c>
      <c r="AQ17">
        <f t="shared" si="12"/>
        <v>2.34</v>
      </c>
      <c r="AR17">
        <f t="shared" si="12"/>
        <v>2.21</v>
      </c>
      <c r="AS17">
        <f t="shared" si="12"/>
        <v>2.25</v>
      </c>
      <c r="AT17" t="e">
        <f t="shared" si="12"/>
        <v>#N/A</v>
      </c>
      <c r="AU17" t="e">
        <f t="shared" si="12"/>
        <v>#N/A</v>
      </c>
      <c r="AV17" t="e">
        <f t="shared" si="12"/>
        <v>#N/A</v>
      </c>
      <c r="AW17" t="e">
        <f t="shared" si="12"/>
        <v>#N/A</v>
      </c>
      <c r="AX17" t="e">
        <f t="shared" si="12"/>
        <v>#N/A</v>
      </c>
      <c r="AY17" t="e">
        <f t="shared" si="12"/>
        <v>#N/A</v>
      </c>
      <c r="AZ17" t="e">
        <f t="shared" si="12"/>
        <v>#N/A</v>
      </c>
      <c r="BA17" t="e">
        <f t="shared" si="12"/>
        <v>#N/A</v>
      </c>
      <c r="BB17" t="e">
        <f t="shared" si="12"/>
        <v>#N/A</v>
      </c>
      <c r="BC17" t="e">
        <f t="shared" si="12"/>
        <v>#N/A</v>
      </c>
      <c r="BD17" t="e">
        <f t="shared" si="12"/>
        <v>#N/A</v>
      </c>
      <c r="BE17" t="e">
        <f t="shared" si="12"/>
        <v>#N/A</v>
      </c>
      <c r="BF17" t="e">
        <f t="shared" si="12"/>
        <v>#N/A</v>
      </c>
      <c r="BG17" t="e">
        <f t="shared" si="12"/>
        <v>#N/A</v>
      </c>
      <c r="BH17" t="e">
        <f t="shared" si="12"/>
        <v>#N/A</v>
      </c>
      <c r="BI17" t="e">
        <f t="shared" si="12"/>
        <v>#N/A</v>
      </c>
      <c r="BJ17" t="e">
        <f t="shared" si="12"/>
        <v>#N/A</v>
      </c>
      <c r="BK17" t="e">
        <f t="shared" si="12"/>
        <v>#N/A</v>
      </c>
      <c r="BL17" t="e">
        <f t="shared" si="12"/>
        <v>#N/A</v>
      </c>
      <c r="BM17" t="e">
        <f t="shared" si="12"/>
        <v>#N/A</v>
      </c>
      <c r="BN17" t="e">
        <f t="shared" si="12"/>
        <v>#N/A</v>
      </c>
      <c r="BO17" t="e">
        <f t="shared" si="12"/>
        <v>#N/A</v>
      </c>
      <c r="BP17" t="e">
        <f t="shared" si="12"/>
        <v>#N/A</v>
      </c>
      <c r="BQ17" t="e">
        <f t="shared" si="12"/>
        <v>#N/A</v>
      </c>
      <c r="BR17" t="e">
        <f t="shared" si="12"/>
        <v>#N/A</v>
      </c>
      <c r="BS17" t="e">
        <f t="shared" si="12"/>
        <v>#N/A</v>
      </c>
      <c r="BT17" t="e">
        <f t="shared" si="12"/>
        <v>#N/A</v>
      </c>
      <c r="BU17" t="e">
        <f t="shared" si="12"/>
        <v>#N/A</v>
      </c>
      <c r="BV17" t="e">
        <f t="shared" si="6"/>
        <v>#N/A</v>
      </c>
      <c r="BW17" t="e">
        <f t="shared" si="6"/>
        <v>#N/A</v>
      </c>
      <c r="BX17" t="e">
        <f t="shared" si="6"/>
        <v>#N/A</v>
      </c>
      <c r="BY17" t="e">
        <f t="shared" si="6"/>
        <v>#N/A</v>
      </c>
      <c r="BZ17" t="e">
        <f t="shared" si="6"/>
        <v>#N/A</v>
      </c>
      <c r="CA17" t="e">
        <f t="shared" si="6"/>
        <v>#N/A</v>
      </c>
      <c r="CB17" t="e">
        <f t="shared" si="6"/>
        <v>#N/A</v>
      </c>
      <c r="CC17" t="e">
        <f t="shared" si="6"/>
        <v>#N/A</v>
      </c>
      <c r="CD17" t="e">
        <f t="shared" si="6"/>
        <v>#N/A</v>
      </c>
      <c r="CE17" t="e">
        <f t="shared" si="6"/>
        <v>#N/A</v>
      </c>
      <c r="CF17" t="e">
        <f t="shared" si="6"/>
        <v>#N/A</v>
      </c>
      <c r="CG17" t="e">
        <f t="shared" si="6"/>
        <v>#N/A</v>
      </c>
      <c r="CH17" t="e">
        <f t="shared" si="6"/>
        <v>#N/A</v>
      </c>
      <c r="CI17" t="e">
        <f t="shared" si="6"/>
        <v>#N/A</v>
      </c>
      <c r="CJ17" t="e">
        <f t="shared" si="6"/>
        <v>#N/A</v>
      </c>
      <c r="CK17" t="e">
        <f t="shared" si="6"/>
        <v>#N/A</v>
      </c>
      <c r="CL17" t="e">
        <f t="shared" si="6"/>
        <v>#N/A</v>
      </c>
      <c r="CM17" t="e">
        <f t="shared" si="6"/>
        <v>#N/A</v>
      </c>
      <c r="CN17" t="e">
        <f t="shared" si="6"/>
        <v>#N/A</v>
      </c>
      <c r="CO17" t="e">
        <f t="shared" si="6"/>
        <v>#N/A</v>
      </c>
      <c r="CP17" t="e">
        <f t="shared" si="6"/>
        <v>#N/A</v>
      </c>
      <c r="CQ17" t="e">
        <f t="shared" si="6"/>
        <v>#N/A</v>
      </c>
      <c r="CR17" t="e">
        <f t="shared" si="6"/>
        <v>#N/A</v>
      </c>
      <c r="CS17" t="e">
        <f t="shared" si="6"/>
        <v>#N/A</v>
      </c>
      <c r="CT17" t="e">
        <f t="shared" si="6"/>
        <v>#N/A</v>
      </c>
      <c r="CU17" t="e">
        <f t="shared" si="6"/>
        <v>#N/A</v>
      </c>
      <c r="CV17" t="e">
        <f t="shared" si="6"/>
        <v>#N/A</v>
      </c>
      <c r="CW17" t="e">
        <f t="shared" si="6"/>
        <v>#N/A</v>
      </c>
      <c r="CX17" t="e">
        <f t="shared" si="6"/>
        <v>#N/A</v>
      </c>
      <c r="CY17" t="e">
        <f t="shared" si="6"/>
        <v>#N/A</v>
      </c>
      <c r="CZ17" t="e">
        <f t="shared" si="6"/>
        <v>#N/A</v>
      </c>
      <c r="DA17" t="e">
        <f t="shared" si="6"/>
        <v>#N/A</v>
      </c>
      <c r="DB17" t="e">
        <f t="shared" si="6"/>
        <v>#N/A</v>
      </c>
      <c r="DC17" t="e">
        <f t="shared" si="6"/>
        <v>#N/A</v>
      </c>
      <c r="DD17" t="e">
        <f t="shared" si="6"/>
        <v>#N/A</v>
      </c>
      <c r="DE17" t="e">
        <f t="shared" si="6"/>
        <v>#N/A</v>
      </c>
      <c r="DF17" t="e">
        <f t="shared" si="6"/>
        <v>#N/A</v>
      </c>
      <c r="DG17" t="e">
        <f t="shared" si="6"/>
        <v>#N/A</v>
      </c>
      <c r="DH17" t="e">
        <f t="shared" si="6"/>
        <v>#N/A</v>
      </c>
      <c r="DI17" t="e">
        <f t="shared" si="6"/>
        <v>#N/A</v>
      </c>
      <c r="DJ17" t="e">
        <f t="shared" si="6"/>
        <v>#N/A</v>
      </c>
      <c r="DK17" t="e">
        <f t="shared" si="6"/>
        <v>#N/A</v>
      </c>
      <c r="DL17" t="e">
        <f t="shared" si="6"/>
        <v>#N/A</v>
      </c>
      <c r="DM17" t="e">
        <f t="shared" si="6"/>
        <v>#N/A</v>
      </c>
      <c r="DN17" t="e">
        <f t="shared" si="6"/>
        <v>#N/A</v>
      </c>
      <c r="DO17" t="e">
        <f t="shared" si="6"/>
        <v>#N/A</v>
      </c>
      <c r="DP17" t="e">
        <f t="shared" si="6"/>
        <v>#N/A</v>
      </c>
      <c r="DQ17" t="e">
        <f t="shared" si="6"/>
        <v>#N/A</v>
      </c>
      <c r="DR17" t="e">
        <f t="shared" si="6"/>
        <v>#N/A</v>
      </c>
      <c r="DS17" t="e">
        <f t="shared" si="6"/>
        <v>#N/A</v>
      </c>
      <c r="DT17" t="e">
        <f t="shared" si="6"/>
        <v>#N/A</v>
      </c>
      <c r="DU17" t="e">
        <f t="shared" si="6"/>
        <v>#N/A</v>
      </c>
      <c r="DV17" t="e">
        <f t="shared" si="6"/>
        <v>#N/A</v>
      </c>
      <c r="DW17" t="e">
        <f t="shared" si="6"/>
        <v>#N/A</v>
      </c>
      <c r="DX17" t="e">
        <f t="shared" si="6"/>
        <v>#N/A</v>
      </c>
      <c r="DY17" t="e">
        <f t="shared" si="6"/>
        <v>#N/A</v>
      </c>
      <c r="DZ17" t="e">
        <f t="shared" si="6"/>
        <v>#N/A</v>
      </c>
      <c r="EA17" t="e">
        <f t="shared" si="6"/>
        <v>#N/A</v>
      </c>
      <c r="EB17" t="e">
        <f t="shared" si="6"/>
        <v>#N/A</v>
      </c>
      <c r="EC17" t="e">
        <f t="shared" si="6"/>
        <v>#N/A</v>
      </c>
      <c r="ED17" t="e">
        <f t="shared" si="6"/>
        <v>#N/A</v>
      </c>
      <c r="EE17" t="e">
        <f t="shared" si="6"/>
        <v>#N/A</v>
      </c>
      <c r="EF17" t="e">
        <f t="shared" si="6"/>
        <v>#N/A</v>
      </c>
      <c r="EG17" t="e">
        <f t="shared" ref="EG17:GA20" si="13">IF(ISBLANK(EG6),NA(),ROUNDDOWN(EG6*0.75,2))</f>
        <v>#N/A</v>
      </c>
      <c r="EH17" t="e">
        <f t="shared" si="13"/>
        <v>#N/A</v>
      </c>
      <c r="EI17" t="e">
        <f t="shared" si="13"/>
        <v>#N/A</v>
      </c>
      <c r="EJ17" t="e">
        <f t="shared" si="13"/>
        <v>#N/A</v>
      </c>
      <c r="EK17" t="e">
        <f t="shared" si="13"/>
        <v>#N/A</v>
      </c>
      <c r="EL17" t="e">
        <f t="shared" si="13"/>
        <v>#N/A</v>
      </c>
      <c r="EM17" t="e">
        <f t="shared" si="13"/>
        <v>#N/A</v>
      </c>
      <c r="EN17" t="e">
        <f t="shared" si="13"/>
        <v>#N/A</v>
      </c>
      <c r="EO17" t="e">
        <f t="shared" si="13"/>
        <v>#N/A</v>
      </c>
      <c r="EP17" t="e">
        <f t="shared" si="13"/>
        <v>#N/A</v>
      </c>
      <c r="EQ17" t="e">
        <f t="shared" si="13"/>
        <v>#N/A</v>
      </c>
      <c r="ER17" t="e">
        <f t="shared" si="13"/>
        <v>#N/A</v>
      </c>
      <c r="ES17" t="e">
        <f t="shared" si="13"/>
        <v>#N/A</v>
      </c>
      <c r="ET17" t="e">
        <f t="shared" si="13"/>
        <v>#N/A</v>
      </c>
      <c r="EU17" t="e">
        <f t="shared" si="13"/>
        <v>#N/A</v>
      </c>
      <c r="EV17" t="e">
        <f t="shared" si="13"/>
        <v>#N/A</v>
      </c>
      <c r="EW17" t="e">
        <f t="shared" si="13"/>
        <v>#N/A</v>
      </c>
      <c r="EX17" t="e">
        <f t="shared" si="13"/>
        <v>#N/A</v>
      </c>
      <c r="EY17" t="e">
        <f t="shared" si="13"/>
        <v>#N/A</v>
      </c>
      <c r="EZ17" t="e">
        <f t="shared" si="13"/>
        <v>#N/A</v>
      </c>
      <c r="FA17" t="e">
        <f t="shared" si="13"/>
        <v>#N/A</v>
      </c>
      <c r="FB17" t="e">
        <f t="shared" si="13"/>
        <v>#N/A</v>
      </c>
      <c r="FC17" t="e">
        <f t="shared" si="13"/>
        <v>#N/A</v>
      </c>
      <c r="FD17" t="e">
        <f t="shared" si="13"/>
        <v>#N/A</v>
      </c>
      <c r="FE17" t="e">
        <f t="shared" si="13"/>
        <v>#N/A</v>
      </c>
      <c r="FF17" t="e">
        <f t="shared" si="13"/>
        <v>#N/A</v>
      </c>
      <c r="FG17" t="e">
        <f t="shared" si="13"/>
        <v>#N/A</v>
      </c>
      <c r="FH17" t="e">
        <f t="shared" si="13"/>
        <v>#N/A</v>
      </c>
      <c r="FI17" t="e">
        <f t="shared" si="13"/>
        <v>#N/A</v>
      </c>
      <c r="FJ17" t="e">
        <f t="shared" si="13"/>
        <v>#N/A</v>
      </c>
      <c r="FK17" t="e">
        <f t="shared" si="13"/>
        <v>#N/A</v>
      </c>
      <c r="FL17" t="e">
        <f t="shared" si="13"/>
        <v>#N/A</v>
      </c>
      <c r="FM17" t="e">
        <f t="shared" si="13"/>
        <v>#N/A</v>
      </c>
      <c r="FN17" t="e">
        <f t="shared" si="13"/>
        <v>#N/A</v>
      </c>
      <c r="FO17" t="e">
        <f t="shared" si="13"/>
        <v>#N/A</v>
      </c>
      <c r="FP17" t="e">
        <f t="shared" si="13"/>
        <v>#N/A</v>
      </c>
      <c r="FQ17" t="e">
        <f t="shared" si="13"/>
        <v>#N/A</v>
      </c>
      <c r="FR17" t="e">
        <f t="shared" si="13"/>
        <v>#N/A</v>
      </c>
      <c r="FS17" t="e">
        <f t="shared" si="13"/>
        <v>#N/A</v>
      </c>
      <c r="FT17" t="e">
        <f t="shared" si="13"/>
        <v>#N/A</v>
      </c>
      <c r="FU17" t="e">
        <f t="shared" si="13"/>
        <v>#N/A</v>
      </c>
      <c r="FV17" t="e">
        <f t="shared" si="13"/>
        <v>#N/A</v>
      </c>
      <c r="FW17" t="e">
        <f t="shared" si="13"/>
        <v>#N/A</v>
      </c>
      <c r="FX17" t="e">
        <f t="shared" si="13"/>
        <v>#N/A</v>
      </c>
      <c r="FY17" t="e">
        <f t="shared" si="13"/>
        <v>#N/A</v>
      </c>
      <c r="FZ17" t="e">
        <f t="shared" si="13"/>
        <v>#N/A</v>
      </c>
      <c r="GA17" t="e">
        <f t="shared" si="13"/>
        <v>#N/A</v>
      </c>
    </row>
    <row r="18" spans="1:183" x14ac:dyDescent="0.45">
      <c r="A18" t="str">
        <f t="shared" si="8"/>
        <v>Boom MW</v>
      </c>
      <c r="C18" cm="1">
        <f t="array" ref="C18">LOOKUP(2,1/(I18:GA18&lt;&gt;""),I18:GA18)</f>
        <v>42.72</v>
      </c>
      <c r="D18">
        <f t="shared" si="9"/>
        <v>45</v>
      </c>
      <c r="F18" s="4">
        <f t="shared" si="10"/>
        <v>8.3713850837138434E-2</v>
      </c>
      <c r="G18" s="3" cm="1">
        <f t="array" ref="G18">(C18-IF(ISNA(INDEX(I18:GA18,D18-22)),INDEX(I18:GA18,D18-23),INDEX(I18:GA18,D18-22)))/IF(ISNA(INDEX(I18:GA18,D18-22)),INDEX(I18:GA18,D18-23),INDEX(I18:GA18,D18-22))</f>
        <v>5.1698670605613034E-2</v>
      </c>
      <c r="I18">
        <f t="shared" si="11"/>
        <v>39.42</v>
      </c>
      <c r="J18">
        <f t="shared" si="12"/>
        <v>38.130000000000003</v>
      </c>
      <c r="K18" t="e">
        <f t="shared" si="12"/>
        <v>#N/A</v>
      </c>
      <c r="L18">
        <f t="shared" si="12"/>
        <v>45.84</v>
      </c>
      <c r="M18" t="e">
        <f t="shared" si="12"/>
        <v>#N/A</v>
      </c>
      <c r="N18">
        <f t="shared" si="12"/>
        <v>41.19</v>
      </c>
      <c r="O18">
        <f t="shared" si="12"/>
        <v>41.24</v>
      </c>
      <c r="P18">
        <f t="shared" si="12"/>
        <v>39.18</v>
      </c>
      <c r="Q18">
        <f t="shared" si="12"/>
        <v>42.02</v>
      </c>
      <c r="R18">
        <f t="shared" si="12"/>
        <v>41.67</v>
      </c>
      <c r="S18">
        <f t="shared" si="12"/>
        <v>41.07</v>
      </c>
      <c r="T18">
        <f t="shared" si="12"/>
        <v>41.24</v>
      </c>
      <c r="U18">
        <f t="shared" si="12"/>
        <v>41.02</v>
      </c>
      <c r="V18">
        <f t="shared" si="12"/>
        <v>39.24</v>
      </c>
      <c r="W18">
        <f t="shared" si="12"/>
        <v>40.96</v>
      </c>
      <c r="X18">
        <f t="shared" si="12"/>
        <v>41.53</v>
      </c>
      <c r="Y18">
        <f t="shared" si="12"/>
        <v>40.32</v>
      </c>
      <c r="Z18">
        <f t="shared" si="12"/>
        <v>42.06</v>
      </c>
      <c r="AA18">
        <f t="shared" si="12"/>
        <v>42.06</v>
      </c>
      <c r="AB18">
        <f t="shared" si="12"/>
        <v>43.02</v>
      </c>
      <c r="AC18">
        <f t="shared" si="12"/>
        <v>41.55</v>
      </c>
      <c r="AD18">
        <f t="shared" si="12"/>
        <v>41.45</v>
      </c>
      <c r="AE18">
        <f t="shared" si="12"/>
        <v>40.619999999999997</v>
      </c>
      <c r="AF18">
        <f t="shared" si="12"/>
        <v>41.07</v>
      </c>
      <c r="AG18">
        <f t="shared" si="12"/>
        <v>41.48</v>
      </c>
      <c r="AH18">
        <f t="shared" si="12"/>
        <v>41.86</v>
      </c>
      <c r="AI18">
        <f t="shared" si="12"/>
        <v>41.65</v>
      </c>
      <c r="AJ18">
        <f t="shared" si="12"/>
        <v>42.63</v>
      </c>
      <c r="AK18">
        <f t="shared" si="12"/>
        <v>42.97</v>
      </c>
      <c r="AL18">
        <f t="shared" si="12"/>
        <v>44.91</v>
      </c>
      <c r="AM18">
        <f t="shared" si="12"/>
        <v>43.29</v>
      </c>
      <c r="AN18" t="e">
        <f t="shared" si="12"/>
        <v>#N/A</v>
      </c>
      <c r="AO18">
        <f t="shared" si="12"/>
        <v>43.3</v>
      </c>
      <c r="AP18">
        <f t="shared" si="12"/>
        <v>43.77</v>
      </c>
      <c r="AQ18">
        <f t="shared" si="12"/>
        <v>42.58</v>
      </c>
      <c r="AR18">
        <f t="shared" si="12"/>
        <v>43.26</v>
      </c>
      <c r="AS18">
        <f t="shared" si="12"/>
        <v>42.72</v>
      </c>
      <c r="AT18" t="e">
        <f t="shared" si="12"/>
        <v>#N/A</v>
      </c>
      <c r="AU18" t="e">
        <f t="shared" si="12"/>
        <v>#N/A</v>
      </c>
      <c r="AV18" t="e">
        <f t="shared" si="12"/>
        <v>#N/A</v>
      </c>
      <c r="AW18" t="e">
        <f t="shared" si="12"/>
        <v>#N/A</v>
      </c>
      <c r="AX18" t="e">
        <f t="shared" si="12"/>
        <v>#N/A</v>
      </c>
      <c r="AY18" t="e">
        <f t="shared" si="12"/>
        <v>#N/A</v>
      </c>
      <c r="AZ18" t="e">
        <f t="shared" si="12"/>
        <v>#N/A</v>
      </c>
      <c r="BA18" t="e">
        <f t="shared" si="12"/>
        <v>#N/A</v>
      </c>
      <c r="BB18" t="e">
        <f t="shared" si="12"/>
        <v>#N/A</v>
      </c>
      <c r="BC18" t="e">
        <f t="shared" si="12"/>
        <v>#N/A</v>
      </c>
      <c r="BD18" t="e">
        <f t="shared" si="12"/>
        <v>#N/A</v>
      </c>
      <c r="BE18" t="e">
        <f t="shared" si="12"/>
        <v>#N/A</v>
      </c>
      <c r="BF18" t="e">
        <f t="shared" si="12"/>
        <v>#N/A</v>
      </c>
      <c r="BG18" t="e">
        <f t="shared" si="12"/>
        <v>#N/A</v>
      </c>
      <c r="BH18" t="e">
        <f t="shared" si="12"/>
        <v>#N/A</v>
      </c>
      <c r="BI18" t="e">
        <f t="shared" si="12"/>
        <v>#N/A</v>
      </c>
      <c r="BJ18" t="e">
        <f t="shared" si="12"/>
        <v>#N/A</v>
      </c>
      <c r="BK18" t="e">
        <f t="shared" si="12"/>
        <v>#N/A</v>
      </c>
      <c r="BL18" t="e">
        <f t="shared" si="12"/>
        <v>#N/A</v>
      </c>
      <c r="BM18" t="e">
        <f t="shared" si="12"/>
        <v>#N/A</v>
      </c>
      <c r="BN18" t="e">
        <f t="shared" si="12"/>
        <v>#N/A</v>
      </c>
      <c r="BO18" t="e">
        <f t="shared" si="12"/>
        <v>#N/A</v>
      </c>
      <c r="BP18" t="e">
        <f t="shared" si="12"/>
        <v>#N/A</v>
      </c>
      <c r="BQ18" t="e">
        <f t="shared" si="12"/>
        <v>#N/A</v>
      </c>
      <c r="BR18" t="e">
        <f t="shared" si="12"/>
        <v>#N/A</v>
      </c>
      <c r="BS18" t="e">
        <f t="shared" si="12"/>
        <v>#N/A</v>
      </c>
      <c r="BT18" t="e">
        <f t="shared" si="12"/>
        <v>#N/A</v>
      </c>
      <c r="BU18" t="e">
        <f t="shared" si="12"/>
        <v>#N/A</v>
      </c>
      <c r="BV18" t="e">
        <f t="shared" ref="BV18:EG20" si="14">IF(ISBLANK(BV7),NA(),ROUNDDOWN(BV7*0.75,2))</f>
        <v>#N/A</v>
      </c>
      <c r="BW18" t="e">
        <f t="shared" si="14"/>
        <v>#N/A</v>
      </c>
      <c r="BX18" t="e">
        <f t="shared" si="14"/>
        <v>#N/A</v>
      </c>
      <c r="BY18" t="e">
        <f t="shared" si="14"/>
        <v>#N/A</v>
      </c>
      <c r="BZ18" t="e">
        <f t="shared" si="14"/>
        <v>#N/A</v>
      </c>
      <c r="CA18" t="e">
        <f t="shared" si="14"/>
        <v>#N/A</v>
      </c>
      <c r="CB18" t="e">
        <f t="shared" si="14"/>
        <v>#N/A</v>
      </c>
      <c r="CC18" t="e">
        <f t="shared" si="14"/>
        <v>#N/A</v>
      </c>
      <c r="CD18" t="e">
        <f t="shared" si="14"/>
        <v>#N/A</v>
      </c>
      <c r="CE18" t="e">
        <f t="shared" si="14"/>
        <v>#N/A</v>
      </c>
      <c r="CF18" t="e">
        <f t="shared" si="14"/>
        <v>#N/A</v>
      </c>
      <c r="CG18" t="e">
        <f t="shared" si="14"/>
        <v>#N/A</v>
      </c>
      <c r="CH18" t="e">
        <f t="shared" si="14"/>
        <v>#N/A</v>
      </c>
      <c r="CI18" t="e">
        <f t="shared" si="14"/>
        <v>#N/A</v>
      </c>
      <c r="CJ18" t="e">
        <f t="shared" si="14"/>
        <v>#N/A</v>
      </c>
      <c r="CK18" t="e">
        <f t="shared" si="14"/>
        <v>#N/A</v>
      </c>
      <c r="CL18" t="e">
        <f t="shared" si="14"/>
        <v>#N/A</v>
      </c>
      <c r="CM18" t="e">
        <f t="shared" si="14"/>
        <v>#N/A</v>
      </c>
      <c r="CN18" t="e">
        <f t="shared" si="14"/>
        <v>#N/A</v>
      </c>
      <c r="CO18" t="e">
        <f t="shared" si="14"/>
        <v>#N/A</v>
      </c>
      <c r="CP18" t="e">
        <f t="shared" si="14"/>
        <v>#N/A</v>
      </c>
      <c r="CQ18" t="e">
        <f t="shared" si="14"/>
        <v>#N/A</v>
      </c>
      <c r="CR18" t="e">
        <f t="shared" si="14"/>
        <v>#N/A</v>
      </c>
      <c r="CS18" t="e">
        <f t="shared" si="14"/>
        <v>#N/A</v>
      </c>
      <c r="CT18" t="e">
        <f t="shared" si="14"/>
        <v>#N/A</v>
      </c>
      <c r="CU18" t="e">
        <f t="shared" si="14"/>
        <v>#N/A</v>
      </c>
      <c r="CV18" t="e">
        <f t="shared" si="14"/>
        <v>#N/A</v>
      </c>
      <c r="CW18" t="e">
        <f t="shared" si="14"/>
        <v>#N/A</v>
      </c>
      <c r="CX18" t="e">
        <f t="shared" si="14"/>
        <v>#N/A</v>
      </c>
      <c r="CY18" t="e">
        <f t="shared" si="14"/>
        <v>#N/A</v>
      </c>
      <c r="CZ18" t="e">
        <f t="shared" si="14"/>
        <v>#N/A</v>
      </c>
      <c r="DA18" t="e">
        <f t="shared" si="14"/>
        <v>#N/A</v>
      </c>
      <c r="DB18" t="e">
        <f t="shared" si="14"/>
        <v>#N/A</v>
      </c>
      <c r="DC18" t="e">
        <f t="shared" si="14"/>
        <v>#N/A</v>
      </c>
      <c r="DD18" t="e">
        <f t="shared" si="14"/>
        <v>#N/A</v>
      </c>
      <c r="DE18" t="e">
        <f t="shared" si="14"/>
        <v>#N/A</v>
      </c>
      <c r="DF18" t="e">
        <f t="shared" si="14"/>
        <v>#N/A</v>
      </c>
      <c r="DG18" t="e">
        <f t="shared" si="14"/>
        <v>#N/A</v>
      </c>
      <c r="DH18" t="e">
        <f t="shared" si="14"/>
        <v>#N/A</v>
      </c>
      <c r="DI18" t="e">
        <f t="shared" si="14"/>
        <v>#N/A</v>
      </c>
      <c r="DJ18" t="e">
        <f t="shared" si="14"/>
        <v>#N/A</v>
      </c>
      <c r="DK18" t="e">
        <f t="shared" si="14"/>
        <v>#N/A</v>
      </c>
      <c r="DL18" t="e">
        <f t="shared" si="14"/>
        <v>#N/A</v>
      </c>
      <c r="DM18" t="e">
        <f t="shared" si="14"/>
        <v>#N/A</v>
      </c>
      <c r="DN18" t="e">
        <f t="shared" si="14"/>
        <v>#N/A</v>
      </c>
      <c r="DO18" t="e">
        <f t="shared" si="14"/>
        <v>#N/A</v>
      </c>
      <c r="DP18" t="e">
        <f t="shared" si="14"/>
        <v>#N/A</v>
      </c>
      <c r="DQ18" t="e">
        <f t="shared" si="14"/>
        <v>#N/A</v>
      </c>
      <c r="DR18" t="e">
        <f t="shared" si="14"/>
        <v>#N/A</v>
      </c>
      <c r="DS18" t="e">
        <f t="shared" si="14"/>
        <v>#N/A</v>
      </c>
      <c r="DT18" t="e">
        <f t="shared" si="14"/>
        <v>#N/A</v>
      </c>
      <c r="DU18" t="e">
        <f t="shared" si="14"/>
        <v>#N/A</v>
      </c>
      <c r="DV18" t="e">
        <f t="shared" si="14"/>
        <v>#N/A</v>
      </c>
      <c r="DW18" t="e">
        <f t="shared" si="14"/>
        <v>#N/A</v>
      </c>
      <c r="DX18" t="e">
        <f t="shared" si="14"/>
        <v>#N/A</v>
      </c>
      <c r="DY18" t="e">
        <f t="shared" si="14"/>
        <v>#N/A</v>
      </c>
      <c r="DZ18" t="e">
        <f t="shared" si="14"/>
        <v>#N/A</v>
      </c>
      <c r="EA18" t="e">
        <f t="shared" si="14"/>
        <v>#N/A</v>
      </c>
      <c r="EB18" t="e">
        <f t="shared" si="14"/>
        <v>#N/A</v>
      </c>
      <c r="EC18" t="e">
        <f t="shared" si="14"/>
        <v>#N/A</v>
      </c>
      <c r="ED18" t="e">
        <f t="shared" si="14"/>
        <v>#N/A</v>
      </c>
      <c r="EE18" t="e">
        <f t="shared" si="14"/>
        <v>#N/A</v>
      </c>
      <c r="EF18" t="e">
        <f t="shared" si="14"/>
        <v>#N/A</v>
      </c>
      <c r="EG18" t="e">
        <f t="shared" si="14"/>
        <v>#N/A</v>
      </c>
      <c r="EH18" t="e">
        <f t="shared" si="13"/>
        <v>#N/A</v>
      </c>
      <c r="EI18" t="e">
        <f t="shared" si="13"/>
        <v>#N/A</v>
      </c>
      <c r="EJ18" t="e">
        <f t="shared" si="13"/>
        <v>#N/A</v>
      </c>
      <c r="EK18" t="e">
        <f t="shared" si="13"/>
        <v>#N/A</v>
      </c>
      <c r="EL18" t="e">
        <f t="shared" si="13"/>
        <v>#N/A</v>
      </c>
      <c r="EM18" t="e">
        <f t="shared" si="13"/>
        <v>#N/A</v>
      </c>
      <c r="EN18" t="e">
        <f t="shared" si="13"/>
        <v>#N/A</v>
      </c>
      <c r="EO18" t="e">
        <f t="shared" si="13"/>
        <v>#N/A</v>
      </c>
      <c r="EP18" t="e">
        <f t="shared" si="13"/>
        <v>#N/A</v>
      </c>
      <c r="EQ18" t="e">
        <f t="shared" si="13"/>
        <v>#N/A</v>
      </c>
      <c r="ER18" t="e">
        <f t="shared" si="13"/>
        <v>#N/A</v>
      </c>
      <c r="ES18" t="e">
        <f t="shared" si="13"/>
        <v>#N/A</v>
      </c>
      <c r="ET18" t="e">
        <f t="shared" si="13"/>
        <v>#N/A</v>
      </c>
      <c r="EU18" t="e">
        <f t="shared" si="13"/>
        <v>#N/A</v>
      </c>
      <c r="EV18" t="e">
        <f t="shared" si="13"/>
        <v>#N/A</v>
      </c>
      <c r="EW18" t="e">
        <f t="shared" si="13"/>
        <v>#N/A</v>
      </c>
      <c r="EX18" t="e">
        <f t="shared" si="13"/>
        <v>#N/A</v>
      </c>
      <c r="EY18" t="e">
        <f t="shared" si="13"/>
        <v>#N/A</v>
      </c>
      <c r="EZ18" t="e">
        <f t="shared" si="13"/>
        <v>#N/A</v>
      </c>
      <c r="FA18" t="e">
        <f t="shared" si="13"/>
        <v>#N/A</v>
      </c>
      <c r="FB18" t="e">
        <f t="shared" si="13"/>
        <v>#N/A</v>
      </c>
      <c r="FC18" t="e">
        <f t="shared" si="13"/>
        <v>#N/A</v>
      </c>
      <c r="FD18" t="e">
        <f t="shared" si="13"/>
        <v>#N/A</v>
      </c>
      <c r="FE18" t="e">
        <f t="shared" si="13"/>
        <v>#N/A</v>
      </c>
      <c r="FF18" t="e">
        <f t="shared" si="13"/>
        <v>#N/A</v>
      </c>
      <c r="FG18" t="e">
        <f t="shared" si="13"/>
        <v>#N/A</v>
      </c>
      <c r="FH18" t="e">
        <f t="shared" si="13"/>
        <v>#N/A</v>
      </c>
      <c r="FI18" t="e">
        <f t="shared" si="13"/>
        <v>#N/A</v>
      </c>
      <c r="FJ18" t="e">
        <f t="shared" si="13"/>
        <v>#N/A</v>
      </c>
      <c r="FK18" t="e">
        <f t="shared" si="13"/>
        <v>#N/A</v>
      </c>
      <c r="FL18" t="e">
        <f t="shared" si="13"/>
        <v>#N/A</v>
      </c>
      <c r="FM18" t="e">
        <f t="shared" si="13"/>
        <v>#N/A</v>
      </c>
      <c r="FN18" t="e">
        <f t="shared" si="13"/>
        <v>#N/A</v>
      </c>
      <c r="FO18" t="e">
        <f t="shared" si="13"/>
        <v>#N/A</v>
      </c>
      <c r="FP18" t="e">
        <f t="shared" si="13"/>
        <v>#N/A</v>
      </c>
      <c r="FQ18" t="e">
        <f t="shared" si="13"/>
        <v>#N/A</v>
      </c>
      <c r="FR18" t="e">
        <f t="shared" si="13"/>
        <v>#N/A</v>
      </c>
      <c r="FS18" t="e">
        <f t="shared" si="13"/>
        <v>#N/A</v>
      </c>
      <c r="FT18" t="e">
        <f t="shared" si="13"/>
        <v>#N/A</v>
      </c>
      <c r="FU18" t="e">
        <f t="shared" si="13"/>
        <v>#N/A</v>
      </c>
      <c r="FV18" t="e">
        <f t="shared" si="13"/>
        <v>#N/A</v>
      </c>
      <c r="FW18" t="e">
        <f t="shared" si="13"/>
        <v>#N/A</v>
      </c>
      <c r="FX18" t="e">
        <f t="shared" si="13"/>
        <v>#N/A</v>
      </c>
      <c r="FY18" t="e">
        <f t="shared" si="13"/>
        <v>#N/A</v>
      </c>
      <c r="FZ18" t="e">
        <f t="shared" si="13"/>
        <v>#N/A</v>
      </c>
      <c r="GA18" t="e">
        <f t="shared" si="13"/>
        <v>#N/A</v>
      </c>
    </row>
    <row r="19" spans="1:183" x14ac:dyDescent="0.45">
      <c r="A19" t="str">
        <f t="shared" si="8"/>
        <v>Neo-Noir FN</v>
      </c>
      <c r="C19" cm="1">
        <f t="array" ref="C19">LOOKUP(2,1/(I19:GA19&lt;&gt;""),I19:GA19)</f>
        <v>34.29</v>
      </c>
      <c r="D19">
        <f t="shared" si="9"/>
        <v>45</v>
      </c>
      <c r="F19" s="4">
        <f t="shared" si="10"/>
        <v>-2.7234042553191513E-2</v>
      </c>
      <c r="G19" s="3" cm="1">
        <f t="array" ref="G19">(C19-IF(ISNA(INDEX(I19:GA19,D19-22)),INDEX(I19:GA19,D19-23),INDEX(I19:GA19,D19-22)))/IF(ISNA(INDEX(I19:GA19,D19-22)),INDEX(I19:GA19,D19-23),INDEX(I19:GA19,D19-22))</f>
        <v>-4.1107382550335539E-2</v>
      </c>
      <c r="I19">
        <f t="shared" si="11"/>
        <v>35.25</v>
      </c>
      <c r="J19">
        <f t="shared" si="12"/>
        <v>34.44</v>
      </c>
      <c r="K19" t="e">
        <f t="shared" si="12"/>
        <v>#N/A</v>
      </c>
      <c r="L19">
        <f t="shared" si="12"/>
        <v>33.4</v>
      </c>
      <c r="M19" t="e">
        <f t="shared" si="12"/>
        <v>#N/A</v>
      </c>
      <c r="N19">
        <f t="shared" si="12"/>
        <v>34.130000000000003</v>
      </c>
      <c r="O19">
        <f t="shared" si="12"/>
        <v>34.53</v>
      </c>
      <c r="P19">
        <f t="shared" si="12"/>
        <v>34.56</v>
      </c>
      <c r="Q19">
        <f t="shared" si="12"/>
        <v>34.92</v>
      </c>
      <c r="R19">
        <f t="shared" si="12"/>
        <v>35.76</v>
      </c>
      <c r="S19">
        <f t="shared" si="12"/>
        <v>33.08</v>
      </c>
      <c r="T19">
        <f t="shared" si="12"/>
        <v>33</v>
      </c>
      <c r="U19">
        <f t="shared" si="12"/>
        <v>33.909999999999997</v>
      </c>
      <c r="V19">
        <f t="shared" si="12"/>
        <v>34.909999999999997</v>
      </c>
      <c r="W19">
        <f t="shared" si="12"/>
        <v>35.229999999999997</v>
      </c>
      <c r="X19">
        <f t="shared" si="12"/>
        <v>32.950000000000003</v>
      </c>
      <c r="Y19">
        <f t="shared" si="12"/>
        <v>34.79</v>
      </c>
      <c r="Z19">
        <f t="shared" si="12"/>
        <v>34.770000000000003</v>
      </c>
      <c r="AA19">
        <f t="shared" si="12"/>
        <v>35.880000000000003</v>
      </c>
      <c r="AB19">
        <f t="shared" si="12"/>
        <v>33.659999999999997</v>
      </c>
      <c r="AC19">
        <f t="shared" si="12"/>
        <v>36.049999999999997</v>
      </c>
      <c r="AD19">
        <f t="shared" si="12"/>
        <v>36.24</v>
      </c>
      <c r="AE19">
        <f t="shared" si="12"/>
        <v>35.76</v>
      </c>
      <c r="AF19">
        <f t="shared" si="12"/>
        <v>34.5</v>
      </c>
      <c r="AG19">
        <f t="shared" si="12"/>
        <v>35.29</v>
      </c>
      <c r="AH19">
        <f t="shared" si="12"/>
        <v>33.96</v>
      </c>
      <c r="AI19">
        <f t="shared" si="12"/>
        <v>31.95</v>
      </c>
      <c r="AJ19">
        <f t="shared" si="12"/>
        <v>34.86</v>
      </c>
      <c r="AK19">
        <f t="shared" si="12"/>
        <v>34.28</v>
      </c>
      <c r="AL19">
        <f t="shared" si="12"/>
        <v>35.28</v>
      </c>
      <c r="AM19">
        <f t="shared" si="12"/>
        <v>35.46</v>
      </c>
      <c r="AN19" t="e">
        <f t="shared" si="12"/>
        <v>#N/A</v>
      </c>
      <c r="AO19">
        <f t="shared" si="12"/>
        <v>32.770000000000003</v>
      </c>
      <c r="AP19">
        <f t="shared" si="12"/>
        <v>33.24</v>
      </c>
      <c r="AQ19">
        <f t="shared" si="12"/>
        <v>33.54</v>
      </c>
      <c r="AR19">
        <f t="shared" si="12"/>
        <v>33.229999999999997</v>
      </c>
      <c r="AS19">
        <f t="shared" si="12"/>
        <v>34.29</v>
      </c>
      <c r="AT19" t="e">
        <f t="shared" si="12"/>
        <v>#N/A</v>
      </c>
      <c r="AU19" t="e">
        <f t="shared" si="12"/>
        <v>#N/A</v>
      </c>
      <c r="AV19" t="e">
        <f t="shared" si="12"/>
        <v>#N/A</v>
      </c>
      <c r="AW19" t="e">
        <f t="shared" si="12"/>
        <v>#N/A</v>
      </c>
      <c r="AX19" t="e">
        <f t="shared" si="12"/>
        <v>#N/A</v>
      </c>
      <c r="AY19" t="e">
        <f t="shared" si="12"/>
        <v>#N/A</v>
      </c>
      <c r="AZ19" t="e">
        <f t="shared" si="12"/>
        <v>#N/A</v>
      </c>
      <c r="BA19" t="e">
        <f t="shared" si="12"/>
        <v>#N/A</v>
      </c>
      <c r="BB19" t="e">
        <f t="shared" si="12"/>
        <v>#N/A</v>
      </c>
      <c r="BC19" t="e">
        <f t="shared" si="12"/>
        <v>#N/A</v>
      </c>
      <c r="BD19" t="e">
        <f t="shared" si="12"/>
        <v>#N/A</v>
      </c>
      <c r="BE19" t="e">
        <f t="shared" si="12"/>
        <v>#N/A</v>
      </c>
      <c r="BF19" t="e">
        <f t="shared" si="12"/>
        <v>#N/A</v>
      </c>
      <c r="BG19" t="e">
        <f t="shared" si="12"/>
        <v>#N/A</v>
      </c>
      <c r="BH19" t="e">
        <f t="shared" si="12"/>
        <v>#N/A</v>
      </c>
      <c r="BI19" t="e">
        <f t="shared" si="12"/>
        <v>#N/A</v>
      </c>
      <c r="BJ19" t="e">
        <f t="shared" si="12"/>
        <v>#N/A</v>
      </c>
      <c r="BK19" t="e">
        <f t="shared" si="12"/>
        <v>#N/A</v>
      </c>
      <c r="BL19" t="e">
        <f t="shared" si="12"/>
        <v>#N/A</v>
      </c>
      <c r="BM19" t="e">
        <f t="shared" si="12"/>
        <v>#N/A</v>
      </c>
      <c r="BN19" t="e">
        <f t="shared" si="12"/>
        <v>#N/A</v>
      </c>
      <c r="BO19" t="e">
        <f t="shared" si="12"/>
        <v>#N/A</v>
      </c>
      <c r="BP19" t="e">
        <f t="shared" si="12"/>
        <v>#N/A</v>
      </c>
      <c r="BQ19" t="e">
        <f t="shared" si="12"/>
        <v>#N/A</v>
      </c>
      <c r="BR19" t="e">
        <f t="shared" si="12"/>
        <v>#N/A</v>
      </c>
      <c r="BS19" t="e">
        <f t="shared" si="12"/>
        <v>#N/A</v>
      </c>
      <c r="BT19" t="e">
        <f t="shared" si="12"/>
        <v>#N/A</v>
      </c>
      <c r="BU19" t="e">
        <f t="shared" ref="BU19:EF20" si="15">IF(ISBLANK(BU8),NA(),ROUNDDOWN(BU8*0.75,2))</f>
        <v>#N/A</v>
      </c>
      <c r="BV19" t="e">
        <f t="shared" si="15"/>
        <v>#N/A</v>
      </c>
      <c r="BW19" t="e">
        <f t="shared" si="15"/>
        <v>#N/A</v>
      </c>
      <c r="BX19" t="e">
        <f t="shared" si="15"/>
        <v>#N/A</v>
      </c>
      <c r="BY19" t="e">
        <f t="shared" si="15"/>
        <v>#N/A</v>
      </c>
      <c r="BZ19" t="e">
        <f t="shared" si="15"/>
        <v>#N/A</v>
      </c>
      <c r="CA19" t="e">
        <f t="shared" si="15"/>
        <v>#N/A</v>
      </c>
      <c r="CB19" t="e">
        <f t="shared" si="15"/>
        <v>#N/A</v>
      </c>
      <c r="CC19" t="e">
        <f t="shared" si="15"/>
        <v>#N/A</v>
      </c>
      <c r="CD19" t="e">
        <f t="shared" si="15"/>
        <v>#N/A</v>
      </c>
      <c r="CE19" t="e">
        <f t="shared" si="15"/>
        <v>#N/A</v>
      </c>
      <c r="CF19" t="e">
        <f t="shared" si="15"/>
        <v>#N/A</v>
      </c>
      <c r="CG19" t="e">
        <f t="shared" si="15"/>
        <v>#N/A</v>
      </c>
      <c r="CH19" t="e">
        <f t="shared" si="15"/>
        <v>#N/A</v>
      </c>
      <c r="CI19" t="e">
        <f t="shared" si="15"/>
        <v>#N/A</v>
      </c>
      <c r="CJ19" t="e">
        <f t="shared" si="15"/>
        <v>#N/A</v>
      </c>
      <c r="CK19" t="e">
        <f t="shared" si="15"/>
        <v>#N/A</v>
      </c>
      <c r="CL19" t="e">
        <f t="shared" si="15"/>
        <v>#N/A</v>
      </c>
      <c r="CM19" t="e">
        <f t="shared" si="15"/>
        <v>#N/A</v>
      </c>
      <c r="CN19" t="e">
        <f t="shared" si="15"/>
        <v>#N/A</v>
      </c>
      <c r="CO19" t="e">
        <f t="shared" si="15"/>
        <v>#N/A</v>
      </c>
      <c r="CP19" t="e">
        <f t="shared" si="15"/>
        <v>#N/A</v>
      </c>
      <c r="CQ19" t="e">
        <f t="shared" si="15"/>
        <v>#N/A</v>
      </c>
      <c r="CR19" t="e">
        <f t="shared" si="15"/>
        <v>#N/A</v>
      </c>
      <c r="CS19" t="e">
        <f t="shared" si="15"/>
        <v>#N/A</v>
      </c>
      <c r="CT19" t="e">
        <f t="shared" si="15"/>
        <v>#N/A</v>
      </c>
      <c r="CU19" t="e">
        <f t="shared" si="15"/>
        <v>#N/A</v>
      </c>
      <c r="CV19" t="e">
        <f t="shared" si="15"/>
        <v>#N/A</v>
      </c>
      <c r="CW19" t="e">
        <f t="shared" si="15"/>
        <v>#N/A</v>
      </c>
      <c r="CX19" t="e">
        <f t="shared" si="15"/>
        <v>#N/A</v>
      </c>
      <c r="CY19" t="e">
        <f t="shared" si="15"/>
        <v>#N/A</v>
      </c>
      <c r="CZ19" t="e">
        <f t="shared" si="15"/>
        <v>#N/A</v>
      </c>
      <c r="DA19" t="e">
        <f t="shared" si="15"/>
        <v>#N/A</v>
      </c>
      <c r="DB19" t="e">
        <f t="shared" si="15"/>
        <v>#N/A</v>
      </c>
      <c r="DC19" t="e">
        <f t="shared" si="15"/>
        <v>#N/A</v>
      </c>
      <c r="DD19" t="e">
        <f t="shared" si="15"/>
        <v>#N/A</v>
      </c>
      <c r="DE19" t="e">
        <f t="shared" si="15"/>
        <v>#N/A</v>
      </c>
      <c r="DF19" t="e">
        <f t="shared" si="15"/>
        <v>#N/A</v>
      </c>
      <c r="DG19" t="e">
        <f t="shared" si="15"/>
        <v>#N/A</v>
      </c>
      <c r="DH19" t="e">
        <f t="shared" si="15"/>
        <v>#N/A</v>
      </c>
      <c r="DI19" t="e">
        <f t="shared" si="15"/>
        <v>#N/A</v>
      </c>
      <c r="DJ19" t="e">
        <f t="shared" si="15"/>
        <v>#N/A</v>
      </c>
      <c r="DK19" t="e">
        <f t="shared" si="15"/>
        <v>#N/A</v>
      </c>
      <c r="DL19" t="e">
        <f t="shared" si="15"/>
        <v>#N/A</v>
      </c>
      <c r="DM19" t="e">
        <f t="shared" si="15"/>
        <v>#N/A</v>
      </c>
      <c r="DN19" t="e">
        <f t="shared" si="15"/>
        <v>#N/A</v>
      </c>
      <c r="DO19" t="e">
        <f t="shared" si="15"/>
        <v>#N/A</v>
      </c>
      <c r="DP19" t="e">
        <f t="shared" si="15"/>
        <v>#N/A</v>
      </c>
      <c r="DQ19" t="e">
        <f t="shared" si="15"/>
        <v>#N/A</v>
      </c>
      <c r="DR19" t="e">
        <f t="shared" si="15"/>
        <v>#N/A</v>
      </c>
      <c r="DS19" t="e">
        <f t="shared" si="15"/>
        <v>#N/A</v>
      </c>
      <c r="DT19" t="e">
        <f t="shared" si="15"/>
        <v>#N/A</v>
      </c>
      <c r="DU19" t="e">
        <f t="shared" si="15"/>
        <v>#N/A</v>
      </c>
      <c r="DV19" t="e">
        <f t="shared" si="15"/>
        <v>#N/A</v>
      </c>
      <c r="DW19" t="e">
        <f t="shared" si="15"/>
        <v>#N/A</v>
      </c>
      <c r="DX19" t="e">
        <f t="shared" si="15"/>
        <v>#N/A</v>
      </c>
      <c r="DY19" t="e">
        <f t="shared" si="15"/>
        <v>#N/A</v>
      </c>
      <c r="DZ19" t="e">
        <f t="shared" si="15"/>
        <v>#N/A</v>
      </c>
      <c r="EA19" t="e">
        <f t="shared" si="15"/>
        <v>#N/A</v>
      </c>
      <c r="EB19" t="e">
        <f t="shared" si="15"/>
        <v>#N/A</v>
      </c>
      <c r="EC19" t="e">
        <f t="shared" si="15"/>
        <v>#N/A</v>
      </c>
      <c r="ED19" t="e">
        <f t="shared" si="15"/>
        <v>#N/A</v>
      </c>
      <c r="EE19" t="e">
        <f t="shared" si="15"/>
        <v>#N/A</v>
      </c>
      <c r="EF19" t="e">
        <f t="shared" si="15"/>
        <v>#N/A</v>
      </c>
      <c r="EG19" t="e">
        <f t="shared" si="14"/>
        <v>#N/A</v>
      </c>
      <c r="EH19" t="e">
        <f t="shared" si="13"/>
        <v>#N/A</v>
      </c>
      <c r="EI19" t="e">
        <f t="shared" si="13"/>
        <v>#N/A</v>
      </c>
      <c r="EJ19" t="e">
        <f t="shared" si="13"/>
        <v>#N/A</v>
      </c>
      <c r="EK19" t="e">
        <f t="shared" si="13"/>
        <v>#N/A</v>
      </c>
      <c r="EL19" t="e">
        <f t="shared" si="13"/>
        <v>#N/A</v>
      </c>
      <c r="EM19" t="e">
        <f t="shared" si="13"/>
        <v>#N/A</v>
      </c>
      <c r="EN19" t="e">
        <f t="shared" si="13"/>
        <v>#N/A</v>
      </c>
      <c r="EO19" t="e">
        <f t="shared" si="13"/>
        <v>#N/A</v>
      </c>
      <c r="EP19" t="e">
        <f t="shared" si="13"/>
        <v>#N/A</v>
      </c>
      <c r="EQ19" t="e">
        <f t="shared" si="13"/>
        <v>#N/A</v>
      </c>
      <c r="ER19" t="e">
        <f t="shared" si="13"/>
        <v>#N/A</v>
      </c>
      <c r="ES19" t="e">
        <f t="shared" si="13"/>
        <v>#N/A</v>
      </c>
      <c r="ET19" t="e">
        <f t="shared" si="13"/>
        <v>#N/A</v>
      </c>
      <c r="EU19" t="e">
        <f t="shared" si="13"/>
        <v>#N/A</v>
      </c>
      <c r="EV19" t="e">
        <f t="shared" si="13"/>
        <v>#N/A</v>
      </c>
      <c r="EW19" t="e">
        <f t="shared" si="13"/>
        <v>#N/A</v>
      </c>
      <c r="EX19" t="e">
        <f t="shared" si="13"/>
        <v>#N/A</v>
      </c>
      <c r="EY19" t="e">
        <f t="shared" si="13"/>
        <v>#N/A</v>
      </c>
      <c r="EZ19" t="e">
        <f t="shared" si="13"/>
        <v>#N/A</v>
      </c>
      <c r="FA19" t="e">
        <f t="shared" si="13"/>
        <v>#N/A</v>
      </c>
      <c r="FB19" t="e">
        <f t="shared" si="13"/>
        <v>#N/A</v>
      </c>
      <c r="FC19" t="e">
        <f t="shared" si="13"/>
        <v>#N/A</v>
      </c>
      <c r="FD19" t="e">
        <f t="shared" si="13"/>
        <v>#N/A</v>
      </c>
      <c r="FE19" t="e">
        <f t="shared" si="13"/>
        <v>#N/A</v>
      </c>
      <c r="FF19" t="e">
        <f t="shared" si="13"/>
        <v>#N/A</v>
      </c>
      <c r="FG19" t="e">
        <f t="shared" si="13"/>
        <v>#N/A</v>
      </c>
      <c r="FH19" t="e">
        <f t="shared" si="13"/>
        <v>#N/A</v>
      </c>
      <c r="FI19" t="e">
        <f t="shared" si="13"/>
        <v>#N/A</v>
      </c>
      <c r="FJ19" t="e">
        <f t="shared" si="13"/>
        <v>#N/A</v>
      </c>
      <c r="FK19" t="e">
        <f t="shared" si="13"/>
        <v>#N/A</v>
      </c>
      <c r="FL19" t="e">
        <f t="shared" si="13"/>
        <v>#N/A</v>
      </c>
      <c r="FM19" t="e">
        <f t="shared" si="13"/>
        <v>#N/A</v>
      </c>
      <c r="FN19" t="e">
        <f t="shared" si="13"/>
        <v>#N/A</v>
      </c>
      <c r="FO19" t="e">
        <f t="shared" si="13"/>
        <v>#N/A</v>
      </c>
      <c r="FP19" t="e">
        <f t="shared" si="13"/>
        <v>#N/A</v>
      </c>
      <c r="FQ19" t="e">
        <f t="shared" si="13"/>
        <v>#N/A</v>
      </c>
      <c r="FR19" t="e">
        <f t="shared" si="13"/>
        <v>#N/A</v>
      </c>
      <c r="FS19" t="e">
        <f t="shared" si="13"/>
        <v>#N/A</v>
      </c>
      <c r="FT19" t="e">
        <f t="shared" si="13"/>
        <v>#N/A</v>
      </c>
      <c r="FU19" t="e">
        <f t="shared" si="13"/>
        <v>#N/A</v>
      </c>
      <c r="FV19" t="e">
        <f t="shared" si="13"/>
        <v>#N/A</v>
      </c>
      <c r="FW19" t="e">
        <f t="shared" si="13"/>
        <v>#N/A</v>
      </c>
      <c r="FX19" t="e">
        <f t="shared" si="13"/>
        <v>#N/A</v>
      </c>
      <c r="FY19" t="e">
        <f t="shared" si="13"/>
        <v>#N/A</v>
      </c>
      <c r="FZ19" t="e">
        <f t="shared" si="13"/>
        <v>#N/A</v>
      </c>
      <c r="GA19" t="e">
        <f t="shared" si="13"/>
        <v>#N/A</v>
      </c>
    </row>
    <row r="20" spans="1:183" x14ac:dyDescent="0.45">
      <c r="A20" t="str">
        <f t="shared" si="8"/>
        <v>Atheris MW</v>
      </c>
      <c r="C20" cm="1">
        <f t="array" ref="C20">LOOKUP(2,1/(I20:GA20&lt;&gt;""),I20:GA20)</f>
        <v>3.24</v>
      </c>
      <c r="D20">
        <f t="shared" si="9"/>
        <v>45</v>
      </c>
      <c r="F20" s="4">
        <f t="shared" si="10"/>
        <v>3.0959752321982137E-3</v>
      </c>
      <c r="G20" s="3" cm="1">
        <f t="array" ref="G20">(C20-IF(ISNA(INDEX(I20:GA20,D20-22)),INDEX(I20:GA20,D20-23),INDEX(I20:GA20,D20-22)))/IF(ISNA(INDEX(I20:GA20,D20-22)),INDEX(I20:GA20,D20-23),INDEX(I20:GA20,D20-22))</f>
        <v>2.8571428571428668E-2</v>
      </c>
      <c r="I20">
        <f t="shared" si="11"/>
        <v>3.23</v>
      </c>
      <c r="J20">
        <f t="shared" ref="J20:BU20" si="16">IF(ISBLANK(J9),NA(),ROUNDDOWN(J9*0.75,2))</f>
        <v>3.4</v>
      </c>
      <c r="K20" t="e">
        <f t="shared" si="16"/>
        <v>#N/A</v>
      </c>
      <c r="L20">
        <f t="shared" si="16"/>
        <v>3.27</v>
      </c>
      <c r="M20" t="e">
        <f t="shared" si="16"/>
        <v>#N/A</v>
      </c>
      <c r="N20">
        <f t="shared" si="16"/>
        <v>3.3</v>
      </c>
      <c r="O20">
        <f t="shared" si="16"/>
        <v>3.12</v>
      </c>
      <c r="P20">
        <f t="shared" si="16"/>
        <v>3.3</v>
      </c>
      <c r="Q20">
        <f t="shared" si="16"/>
        <v>3.54</v>
      </c>
      <c r="R20">
        <f t="shared" si="16"/>
        <v>3.51</v>
      </c>
      <c r="S20">
        <f t="shared" si="16"/>
        <v>3.4</v>
      </c>
      <c r="T20">
        <f t="shared" si="16"/>
        <v>3.39</v>
      </c>
      <c r="U20">
        <f t="shared" si="16"/>
        <v>3.41</v>
      </c>
      <c r="V20">
        <f t="shared" si="16"/>
        <v>3.16</v>
      </c>
      <c r="W20">
        <f t="shared" si="16"/>
        <v>3.29</v>
      </c>
      <c r="X20">
        <f t="shared" si="16"/>
        <v>3.17</v>
      </c>
      <c r="Y20">
        <f t="shared" si="16"/>
        <v>3.04</v>
      </c>
      <c r="Z20">
        <f t="shared" si="16"/>
        <v>3.17</v>
      </c>
      <c r="AA20">
        <f t="shared" si="16"/>
        <v>3.46</v>
      </c>
      <c r="AB20">
        <f t="shared" si="16"/>
        <v>3.05</v>
      </c>
      <c r="AC20">
        <f t="shared" si="16"/>
        <v>3.22</v>
      </c>
      <c r="AD20">
        <f t="shared" si="16"/>
        <v>3.17</v>
      </c>
      <c r="AE20">
        <f t="shared" si="16"/>
        <v>3.15</v>
      </c>
      <c r="AF20">
        <f t="shared" si="16"/>
        <v>3.18</v>
      </c>
      <c r="AG20">
        <f t="shared" si="16"/>
        <v>3.18</v>
      </c>
      <c r="AH20">
        <f t="shared" si="16"/>
        <v>3.16</v>
      </c>
      <c r="AI20">
        <f t="shared" si="16"/>
        <v>3.2</v>
      </c>
      <c r="AJ20">
        <f t="shared" si="16"/>
        <v>3.32</v>
      </c>
      <c r="AK20">
        <f t="shared" si="16"/>
        <v>3.18</v>
      </c>
      <c r="AL20">
        <f t="shared" si="16"/>
        <v>3.13</v>
      </c>
      <c r="AM20">
        <f t="shared" si="16"/>
        <v>3.28</v>
      </c>
      <c r="AN20" t="e">
        <f t="shared" si="16"/>
        <v>#N/A</v>
      </c>
      <c r="AO20">
        <f t="shared" si="16"/>
        <v>3.24</v>
      </c>
      <c r="AP20">
        <f t="shared" si="16"/>
        <v>3.27</v>
      </c>
      <c r="AQ20">
        <f t="shared" si="16"/>
        <v>3.03</v>
      </c>
      <c r="AR20">
        <f t="shared" si="16"/>
        <v>3.01</v>
      </c>
      <c r="AS20">
        <f t="shared" si="16"/>
        <v>3.24</v>
      </c>
      <c r="AT20" t="e">
        <f t="shared" si="16"/>
        <v>#N/A</v>
      </c>
      <c r="AU20" t="e">
        <f t="shared" si="16"/>
        <v>#N/A</v>
      </c>
      <c r="AV20" t="e">
        <f t="shared" si="16"/>
        <v>#N/A</v>
      </c>
      <c r="AW20" t="e">
        <f t="shared" si="16"/>
        <v>#N/A</v>
      </c>
      <c r="AX20" t="e">
        <f t="shared" si="16"/>
        <v>#N/A</v>
      </c>
      <c r="AY20" t="e">
        <f t="shared" si="16"/>
        <v>#N/A</v>
      </c>
      <c r="AZ20" t="e">
        <f t="shared" si="16"/>
        <v>#N/A</v>
      </c>
      <c r="BA20" t="e">
        <f t="shared" si="16"/>
        <v>#N/A</v>
      </c>
      <c r="BB20" t="e">
        <f t="shared" si="16"/>
        <v>#N/A</v>
      </c>
      <c r="BC20" t="e">
        <f t="shared" si="16"/>
        <v>#N/A</v>
      </c>
      <c r="BD20" t="e">
        <f t="shared" si="16"/>
        <v>#N/A</v>
      </c>
      <c r="BE20" t="e">
        <f t="shared" si="16"/>
        <v>#N/A</v>
      </c>
      <c r="BF20" t="e">
        <f t="shared" si="16"/>
        <v>#N/A</v>
      </c>
      <c r="BG20" t="e">
        <f t="shared" si="16"/>
        <v>#N/A</v>
      </c>
      <c r="BH20" t="e">
        <f t="shared" si="16"/>
        <v>#N/A</v>
      </c>
      <c r="BI20" t="e">
        <f t="shared" si="16"/>
        <v>#N/A</v>
      </c>
      <c r="BJ20" t="e">
        <f t="shared" si="16"/>
        <v>#N/A</v>
      </c>
      <c r="BK20" t="e">
        <f t="shared" si="16"/>
        <v>#N/A</v>
      </c>
      <c r="BL20" t="e">
        <f t="shared" si="16"/>
        <v>#N/A</v>
      </c>
      <c r="BM20" t="e">
        <f t="shared" si="16"/>
        <v>#N/A</v>
      </c>
      <c r="BN20" t="e">
        <f t="shared" si="16"/>
        <v>#N/A</v>
      </c>
      <c r="BO20" t="e">
        <f t="shared" si="16"/>
        <v>#N/A</v>
      </c>
      <c r="BP20" t="e">
        <f t="shared" si="16"/>
        <v>#N/A</v>
      </c>
      <c r="BQ20" t="e">
        <f t="shared" si="16"/>
        <v>#N/A</v>
      </c>
      <c r="BR20" t="e">
        <f t="shared" si="16"/>
        <v>#N/A</v>
      </c>
      <c r="BS20" t="e">
        <f t="shared" si="16"/>
        <v>#N/A</v>
      </c>
      <c r="BT20" t="e">
        <f t="shared" si="16"/>
        <v>#N/A</v>
      </c>
      <c r="BU20" t="e">
        <f t="shared" si="16"/>
        <v>#N/A</v>
      </c>
      <c r="BV20" t="e">
        <f t="shared" si="15"/>
        <v>#N/A</v>
      </c>
      <c r="BW20" t="e">
        <f t="shared" si="15"/>
        <v>#N/A</v>
      </c>
      <c r="BX20" t="e">
        <f t="shared" si="15"/>
        <v>#N/A</v>
      </c>
      <c r="BY20" t="e">
        <f t="shared" si="15"/>
        <v>#N/A</v>
      </c>
      <c r="BZ20" t="e">
        <f t="shared" si="15"/>
        <v>#N/A</v>
      </c>
      <c r="CA20" t="e">
        <f t="shared" si="15"/>
        <v>#N/A</v>
      </c>
      <c r="CB20" t="e">
        <f t="shared" si="15"/>
        <v>#N/A</v>
      </c>
      <c r="CC20" t="e">
        <f t="shared" si="15"/>
        <v>#N/A</v>
      </c>
      <c r="CD20" t="e">
        <f t="shared" si="15"/>
        <v>#N/A</v>
      </c>
      <c r="CE20" t="e">
        <f t="shared" si="15"/>
        <v>#N/A</v>
      </c>
      <c r="CF20" t="e">
        <f t="shared" si="15"/>
        <v>#N/A</v>
      </c>
      <c r="CG20" t="e">
        <f t="shared" si="15"/>
        <v>#N/A</v>
      </c>
      <c r="CH20" t="e">
        <f t="shared" si="15"/>
        <v>#N/A</v>
      </c>
      <c r="CI20" t="e">
        <f t="shared" si="15"/>
        <v>#N/A</v>
      </c>
      <c r="CJ20" t="e">
        <f t="shared" si="15"/>
        <v>#N/A</v>
      </c>
      <c r="CK20" t="e">
        <f t="shared" si="15"/>
        <v>#N/A</v>
      </c>
      <c r="CL20" t="e">
        <f t="shared" si="15"/>
        <v>#N/A</v>
      </c>
      <c r="CM20" t="e">
        <f t="shared" si="15"/>
        <v>#N/A</v>
      </c>
      <c r="CN20" t="e">
        <f t="shared" si="15"/>
        <v>#N/A</v>
      </c>
      <c r="CO20" t="e">
        <f t="shared" si="15"/>
        <v>#N/A</v>
      </c>
      <c r="CP20" t="e">
        <f t="shared" si="15"/>
        <v>#N/A</v>
      </c>
      <c r="CQ20" t="e">
        <f t="shared" si="15"/>
        <v>#N/A</v>
      </c>
      <c r="CR20" t="e">
        <f t="shared" si="15"/>
        <v>#N/A</v>
      </c>
      <c r="CS20" t="e">
        <f t="shared" si="15"/>
        <v>#N/A</v>
      </c>
      <c r="CT20" t="e">
        <f t="shared" si="15"/>
        <v>#N/A</v>
      </c>
      <c r="CU20" t="e">
        <f t="shared" si="15"/>
        <v>#N/A</v>
      </c>
      <c r="CV20" t="e">
        <f t="shared" si="15"/>
        <v>#N/A</v>
      </c>
      <c r="CW20" t="e">
        <f t="shared" si="15"/>
        <v>#N/A</v>
      </c>
      <c r="CX20" t="e">
        <f t="shared" si="15"/>
        <v>#N/A</v>
      </c>
      <c r="CY20" t="e">
        <f t="shared" si="15"/>
        <v>#N/A</v>
      </c>
      <c r="CZ20" t="e">
        <f t="shared" si="15"/>
        <v>#N/A</v>
      </c>
      <c r="DA20" t="e">
        <f t="shared" si="15"/>
        <v>#N/A</v>
      </c>
      <c r="DB20" t="e">
        <f t="shared" si="15"/>
        <v>#N/A</v>
      </c>
      <c r="DC20" t="e">
        <f t="shared" si="15"/>
        <v>#N/A</v>
      </c>
      <c r="DD20" t="e">
        <f t="shared" si="15"/>
        <v>#N/A</v>
      </c>
      <c r="DE20" t="e">
        <f t="shared" si="15"/>
        <v>#N/A</v>
      </c>
      <c r="DF20" t="e">
        <f t="shared" si="15"/>
        <v>#N/A</v>
      </c>
      <c r="DG20" t="e">
        <f t="shared" si="15"/>
        <v>#N/A</v>
      </c>
      <c r="DH20" t="e">
        <f t="shared" si="15"/>
        <v>#N/A</v>
      </c>
      <c r="DI20" t="e">
        <f t="shared" si="15"/>
        <v>#N/A</v>
      </c>
      <c r="DJ20" t="e">
        <f t="shared" si="15"/>
        <v>#N/A</v>
      </c>
      <c r="DK20" t="e">
        <f t="shared" si="15"/>
        <v>#N/A</v>
      </c>
      <c r="DL20" t="e">
        <f t="shared" si="15"/>
        <v>#N/A</v>
      </c>
      <c r="DM20" t="e">
        <f t="shared" si="15"/>
        <v>#N/A</v>
      </c>
      <c r="DN20" t="e">
        <f t="shared" si="15"/>
        <v>#N/A</v>
      </c>
      <c r="DO20" t="e">
        <f t="shared" si="15"/>
        <v>#N/A</v>
      </c>
      <c r="DP20" t="e">
        <f t="shared" si="15"/>
        <v>#N/A</v>
      </c>
      <c r="DQ20" t="e">
        <f t="shared" si="15"/>
        <v>#N/A</v>
      </c>
      <c r="DR20" t="e">
        <f t="shared" si="15"/>
        <v>#N/A</v>
      </c>
      <c r="DS20" t="e">
        <f t="shared" si="15"/>
        <v>#N/A</v>
      </c>
      <c r="DT20" t="e">
        <f t="shared" si="15"/>
        <v>#N/A</v>
      </c>
      <c r="DU20" t="e">
        <f t="shared" si="15"/>
        <v>#N/A</v>
      </c>
      <c r="DV20" t="e">
        <f t="shared" si="15"/>
        <v>#N/A</v>
      </c>
      <c r="DW20" t="e">
        <f t="shared" si="15"/>
        <v>#N/A</v>
      </c>
      <c r="DX20" t="e">
        <f t="shared" si="15"/>
        <v>#N/A</v>
      </c>
      <c r="DY20" t="e">
        <f t="shared" si="15"/>
        <v>#N/A</v>
      </c>
      <c r="DZ20" t="e">
        <f t="shared" si="15"/>
        <v>#N/A</v>
      </c>
      <c r="EA20" t="e">
        <f t="shared" si="15"/>
        <v>#N/A</v>
      </c>
      <c r="EB20" t="e">
        <f t="shared" si="15"/>
        <v>#N/A</v>
      </c>
      <c r="EC20" t="e">
        <f t="shared" si="15"/>
        <v>#N/A</v>
      </c>
      <c r="ED20" t="e">
        <f t="shared" si="15"/>
        <v>#N/A</v>
      </c>
      <c r="EE20" t="e">
        <f t="shared" si="15"/>
        <v>#N/A</v>
      </c>
      <c r="EF20" t="e">
        <f t="shared" si="15"/>
        <v>#N/A</v>
      </c>
      <c r="EG20" t="e">
        <f t="shared" si="14"/>
        <v>#N/A</v>
      </c>
      <c r="EH20" t="e">
        <f t="shared" si="13"/>
        <v>#N/A</v>
      </c>
      <c r="EI20" t="e">
        <f t="shared" si="13"/>
        <v>#N/A</v>
      </c>
      <c r="EJ20" t="e">
        <f t="shared" si="13"/>
        <v>#N/A</v>
      </c>
      <c r="EK20" t="e">
        <f t="shared" si="13"/>
        <v>#N/A</v>
      </c>
      <c r="EL20" t="e">
        <f t="shared" si="13"/>
        <v>#N/A</v>
      </c>
      <c r="EM20" t="e">
        <f t="shared" si="13"/>
        <v>#N/A</v>
      </c>
      <c r="EN20" t="e">
        <f t="shared" si="13"/>
        <v>#N/A</v>
      </c>
      <c r="EO20" t="e">
        <f t="shared" si="13"/>
        <v>#N/A</v>
      </c>
      <c r="EP20" t="e">
        <f t="shared" si="13"/>
        <v>#N/A</v>
      </c>
      <c r="EQ20" t="e">
        <f t="shared" si="13"/>
        <v>#N/A</v>
      </c>
      <c r="ER20" t="e">
        <f t="shared" si="13"/>
        <v>#N/A</v>
      </c>
      <c r="ES20" t="e">
        <f t="shared" si="13"/>
        <v>#N/A</v>
      </c>
      <c r="ET20" t="e">
        <f t="shared" si="13"/>
        <v>#N/A</v>
      </c>
      <c r="EU20" t="e">
        <f t="shared" si="13"/>
        <v>#N/A</v>
      </c>
      <c r="EV20" t="e">
        <f t="shared" si="13"/>
        <v>#N/A</v>
      </c>
      <c r="EW20" t="e">
        <f t="shared" si="13"/>
        <v>#N/A</v>
      </c>
      <c r="EX20" t="e">
        <f t="shared" si="13"/>
        <v>#N/A</v>
      </c>
      <c r="EY20" t="e">
        <f t="shared" si="13"/>
        <v>#N/A</v>
      </c>
      <c r="EZ20" t="e">
        <f t="shared" si="13"/>
        <v>#N/A</v>
      </c>
      <c r="FA20" t="e">
        <f t="shared" si="13"/>
        <v>#N/A</v>
      </c>
      <c r="FB20" t="e">
        <f t="shared" si="13"/>
        <v>#N/A</v>
      </c>
      <c r="FC20" t="e">
        <f t="shared" si="13"/>
        <v>#N/A</v>
      </c>
      <c r="FD20" t="e">
        <f t="shared" si="13"/>
        <v>#N/A</v>
      </c>
      <c r="FE20" t="e">
        <f t="shared" si="13"/>
        <v>#N/A</v>
      </c>
      <c r="FF20" t="e">
        <f t="shared" si="13"/>
        <v>#N/A</v>
      </c>
      <c r="FG20" t="e">
        <f t="shared" si="13"/>
        <v>#N/A</v>
      </c>
      <c r="FH20" t="e">
        <f t="shared" si="13"/>
        <v>#N/A</v>
      </c>
      <c r="FI20" t="e">
        <f t="shared" si="13"/>
        <v>#N/A</v>
      </c>
      <c r="FJ20" t="e">
        <f t="shared" si="13"/>
        <v>#N/A</v>
      </c>
      <c r="FK20" t="e">
        <f t="shared" si="13"/>
        <v>#N/A</v>
      </c>
      <c r="FL20" t="e">
        <f t="shared" si="13"/>
        <v>#N/A</v>
      </c>
      <c r="FM20" t="e">
        <f t="shared" si="13"/>
        <v>#N/A</v>
      </c>
      <c r="FN20" t="e">
        <f t="shared" si="13"/>
        <v>#N/A</v>
      </c>
      <c r="FO20" t="e">
        <f t="shared" si="13"/>
        <v>#N/A</v>
      </c>
      <c r="FP20" t="e">
        <f t="shared" si="13"/>
        <v>#N/A</v>
      </c>
      <c r="FQ20" t="e">
        <f t="shared" si="13"/>
        <v>#N/A</v>
      </c>
      <c r="FR20" t="e">
        <f t="shared" si="13"/>
        <v>#N/A</v>
      </c>
      <c r="FS20" t="e">
        <f t="shared" si="13"/>
        <v>#N/A</v>
      </c>
      <c r="FT20" t="e">
        <f t="shared" si="13"/>
        <v>#N/A</v>
      </c>
      <c r="FU20" t="e">
        <f t="shared" si="13"/>
        <v>#N/A</v>
      </c>
      <c r="FV20" t="e">
        <f t="shared" si="13"/>
        <v>#N/A</v>
      </c>
      <c r="FW20" t="e">
        <f t="shared" si="13"/>
        <v>#N/A</v>
      </c>
      <c r="FX20" t="e">
        <f t="shared" si="13"/>
        <v>#N/A</v>
      </c>
      <c r="FY20" t="e">
        <f t="shared" si="13"/>
        <v>#N/A</v>
      </c>
      <c r="FZ20" t="e">
        <f t="shared" si="13"/>
        <v>#N/A</v>
      </c>
      <c r="GA20" t="e">
        <f t="shared" si="13"/>
        <v>#N/A</v>
      </c>
    </row>
    <row r="24" spans="1:183" x14ac:dyDescent="0.45">
      <c r="I24" s="1">
        <f>I13</f>
        <v>44331</v>
      </c>
      <c r="J24" s="1">
        <f t="shared" ref="J24:BU24" si="17">J13</f>
        <v>44332</v>
      </c>
      <c r="K24" s="1">
        <f t="shared" si="17"/>
        <v>44333</v>
      </c>
      <c r="L24" s="1">
        <f t="shared" si="17"/>
        <v>44334</v>
      </c>
      <c r="M24" s="1">
        <f t="shared" si="17"/>
        <v>44335</v>
      </c>
      <c r="N24" s="1">
        <f t="shared" si="17"/>
        <v>44336</v>
      </c>
      <c r="O24" s="1">
        <f t="shared" si="17"/>
        <v>44337</v>
      </c>
      <c r="P24" s="1">
        <f t="shared" si="17"/>
        <v>44338</v>
      </c>
      <c r="Q24" s="1">
        <f t="shared" si="17"/>
        <v>44339</v>
      </c>
      <c r="R24" s="1">
        <f t="shared" si="17"/>
        <v>44340</v>
      </c>
      <c r="S24" s="1">
        <f t="shared" si="17"/>
        <v>44341</v>
      </c>
      <c r="T24" s="1">
        <f t="shared" si="17"/>
        <v>44342</v>
      </c>
      <c r="U24" s="1">
        <f t="shared" si="17"/>
        <v>44343</v>
      </c>
      <c r="V24" s="1">
        <f t="shared" si="17"/>
        <v>44344</v>
      </c>
      <c r="W24" s="1">
        <f t="shared" si="17"/>
        <v>44345</v>
      </c>
      <c r="X24" s="1">
        <f t="shared" si="17"/>
        <v>44346</v>
      </c>
      <c r="Y24" s="1">
        <f t="shared" si="17"/>
        <v>44347</v>
      </c>
      <c r="Z24" s="1">
        <f t="shared" si="17"/>
        <v>44348</v>
      </c>
      <c r="AA24" s="1">
        <f t="shared" si="17"/>
        <v>44349</v>
      </c>
      <c r="AB24" s="1">
        <f t="shared" si="17"/>
        <v>44350</v>
      </c>
      <c r="AC24" s="1">
        <f t="shared" si="17"/>
        <v>44351</v>
      </c>
      <c r="AD24" s="1">
        <f t="shared" si="17"/>
        <v>44352</v>
      </c>
      <c r="AE24" s="1">
        <f t="shared" si="17"/>
        <v>44353</v>
      </c>
      <c r="AF24" s="1">
        <f t="shared" si="17"/>
        <v>44354</v>
      </c>
      <c r="AG24" s="1">
        <f t="shared" si="17"/>
        <v>44355</v>
      </c>
      <c r="AH24" s="1">
        <f t="shared" si="17"/>
        <v>44356</v>
      </c>
      <c r="AI24" s="1">
        <f t="shared" si="17"/>
        <v>44357</v>
      </c>
      <c r="AJ24" s="1">
        <f t="shared" si="17"/>
        <v>44358</v>
      </c>
      <c r="AK24" s="1">
        <f t="shared" si="17"/>
        <v>44359</v>
      </c>
      <c r="AL24" s="1">
        <f t="shared" si="17"/>
        <v>44360</v>
      </c>
      <c r="AM24" s="1">
        <f t="shared" si="17"/>
        <v>44361</v>
      </c>
      <c r="AN24" s="1">
        <f t="shared" si="17"/>
        <v>44362</v>
      </c>
      <c r="AO24" s="1">
        <f t="shared" si="17"/>
        <v>44363</v>
      </c>
      <c r="AP24" s="1">
        <f t="shared" si="17"/>
        <v>44364</v>
      </c>
      <c r="AQ24" s="1">
        <f t="shared" si="17"/>
        <v>44365</v>
      </c>
      <c r="AR24" s="1">
        <f t="shared" si="17"/>
        <v>44366</v>
      </c>
      <c r="AS24" s="1">
        <f t="shared" si="17"/>
        <v>44367</v>
      </c>
      <c r="AT24" s="1">
        <f t="shared" si="17"/>
        <v>44368</v>
      </c>
      <c r="AU24" s="1">
        <f t="shared" si="17"/>
        <v>44369</v>
      </c>
      <c r="AV24" s="1">
        <f t="shared" si="17"/>
        <v>44370</v>
      </c>
      <c r="AW24" s="1">
        <f t="shared" si="17"/>
        <v>44371</v>
      </c>
      <c r="AX24" s="1">
        <f t="shared" si="17"/>
        <v>44372</v>
      </c>
      <c r="AY24" s="1">
        <f t="shared" si="17"/>
        <v>44373</v>
      </c>
      <c r="AZ24" s="1">
        <f t="shared" si="17"/>
        <v>44374</v>
      </c>
      <c r="BA24" s="1">
        <f t="shared" si="17"/>
        <v>44375</v>
      </c>
      <c r="BB24" s="1">
        <f t="shared" si="17"/>
        <v>44376</v>
      </c>
      <c r="BC24" s="1">
        <f t="shared" si="17"/>
        <v>44377</v>
      </c>
      <c r="BD24" s="1">
        <f t="shared" si="17"/>
        <v>44378</v>
      </c>
      <c r="BE24" s="1">
        <f t="shared" si="17"/>
        <v>44379</v>
      </c>
      <c r="BF24" s="1">
        <f t="shared" si="17"/>
        <v>44380</v>
      </c>
      <c r="BG24" s="1">
        <f t="shared" si="17"/>
        <v>44381</v>
      </c>
      <c r="BH24" s="1">
        <f t="shared" si="17"/>
        <v>44382</v>
      </c>
      <c r="BI24" s="1">
        <f t="shared" si="17"/>
        <v>44383</v>
      </c>
      <c r="BJ24" s="1">
        <f t="shared" si="17"/>
        <v>44384</v>
      </c>
      <c r="BK24" s="1">
        <f t="shared" si="17"/>
        <v>44385</v>
      </c>
      <c r="BL24" s="1">
        <f t="shared" si="17"/>
        <v>44386</v>
      </c>
      <c r="BM24" s="1">
        <f t="shared" si="17"/>
        <v>44387</v>
      </c>
      <c r="BN24" s="1">
        <f t="shared" si="17"/>
        <v>44388</v>
      </c>
      <c r="BO24" s="1">
        <f t="shared" si="17"/>
        <v>44389</v>
      </c>
      <c r="BP24" s="1">
        <f t="shared" si="17"/>
        <v>44390</v>
      </c>
      <c r="BQ24" s="1">
        <f t="shared" si="17"/>
        <v>44391</v>
      </c>
      <c r="BR24" s="1">
        <f t="shared" si="17"/>
        <v>44392</v>
      </c>
      <c r="BS24" s="1">
        <f t="shared" si="17"/>
        <v>44393</v>
      </c>
      <c r="BT24" s="1">
        <f t="shared" si="17"/>
        <v>44394</v>
      </c>
      <c r="BU24" s="1">
        <f t="shared" si="17"/>
        <v>44395</v>
      </c>
      <c r="BV24" s="1">
        <f t="shared" ref="BV24:EG24" si="18">BV13</f>
        <v>44396</v>
      </c>
      <c r="BW24" s="1">
        <f t="shared" si="18"/>
        <v>44397</v>
      </c>
      <c r="BX24" s="1">
        <f t="shared" si="18"/>
        <v>44398</v>
      </c>
      <c r="BY24" s="1">
        <f t="shared" si="18"/>
        <v>44399</v>
      </c>
      <c r="BZ24" s="1">
        <f t="shared" si="18"/>
        <v>44400</v>
      </c>
      <c r="CA24" s="1">
        <f t="shared" si="18"/>
        <v>44401</v>
      </c>
      <c r="CB24" s="1">
        <f t="shared" si="18"/>
        <v>44402</v>
      </c>
      <c r="CC24" s="1">
        <f t="shared" si="18"/>
        <v>44403</v>
      </c>
      <c r="CD24" s="1">
        <f t="shared" si="18"/>
        <v>44404</v>
      </c>
      <c r="CE24" s="1">
        <f t="shared" si="18"/>
        <v>44405</v>
      </c>
      <c r="CF24" s="1">
        <f t="shared" si="18"/>
        <v>44406</v>
      </c>
      <c r="CG24" s="1">
        <f t="shared" si="18"/>
        <v>44407</v>
      </c>
      <c r="CH24" s="1">
        <f t="shared" si="18"/>
        <v>44408</v>
      </c>
      <c r="CI24" s="1">
        <f t="shared" si="18"/>
        <v>44409</v>
      </c>
      <c r="CJ24" s="1">
        <f t="shared" si="18"/>
        <v>44410</v>
      </c>
      <c r="CK24" s="1">
        <f t="shared" si="18"/>
        <v>44411</v>
      </c>
      <c r="CL24" s="1">
        <f t="shared" si="18"/>
        <v>44412</v>
      </c>
      <c r="CM24" s="1">
        <f t="shared" si="18"/>
        <v>44413</v>
      </c>
      <c r="CN24" s="1">
        <f t="shared" si="18"/>
        <v>44414</v>
      </c>
      <c r="CO24" s="1">
        <f t="shared" si="18"/>
        <v>44415</v>
      </c>
      <c r="CP24" s="1">
        <f t="shared" si="18"/>
        <v>44416</v>
      </c>
      <c r="CQ24" s="1">
        <f t="shared" si="18"/>
        <v>44417</v>
      </c>
      <c r="CR24" s="1">
        <f t="shared" si="18"/>
        <v>44418</v>
      </c>
      <c r="CS24" s="1">
        <f t="shared" si="18"/>
        <v>44419</v>
      </c>
      <c r="CT24" s="1">
        <f t="shared" si="18"/>
        <v>44420</v>
      </c>
      <c r="CU24" s="1">
        <f t="shared" si="18"/>
        <v>44421</v>
      </c>
      <c r="CV24" s="1">
        <f t="shared" si="18"/>
        <v>44422</v>
      </c>
      <c r="CW24" s="1">
        <f t="shared" si="18"/>
        <v>44423</v>
      </c>
      <c r="CX24" s="1">
        <f t="shared" si="18"/>
        <v>44424</v>
      </c>
      <c r="CY24" s="1">
        <f t="shared" si="18"/>
        <v>44425</v>
      </c>
      <c r="CZ24" s="1">
        <f t="shared" si="18"/>
        <v>44426</v>
      </c>
      <c r="DA24" s="1">
        <f t="shared" si="18"/>
        <v>44427</v>
      </c>
      <c r="DB24" s="1">
        <f t="shared" si="18"/>
        <v>44428</v>
      </c>
      <c r="DC24" s="1">
        <f t="shared" si="18"/>
        <v>44429</v>
      </c>
      <c r="DD24" s="1">
        <f t="shared" si="18"/>
        <v>44430</v>
      </c>
      <c r="DE24" s="1">
        <f t="shared" si="18"/>
        <v>44431</v>
      </c>
      <c r="DF24" s="1">
        <f t="shared" si="18"/>
        <v>44432</v>
      </c>
      <c r="DG24" s="1">
        <f t="shared" si="18"/>
        <v>44433</v>
      </c>
      <c r="DH24" s="1">
        <f t="shared" si="18"/>
        <v>44434</v>
      </c>
      <c r="DI24" s="1">
        <f t="shared" si="18"/>
        <v>44435</v>
      </c>
      <c r="DJ24" s="1">
        <f t="shared" si="18"/>
        <v>44436</v>
      </c>
      <c r="DK24" s="1">
        <f t="shared" si="18"/>
        <v>44437</v>
      </c>
      <c r="DL24" s="1">
        <f t="shared" si="18"/>
        <v>44438</v>
      </c>
      <c r="DM24" s="1">
        <f t="shared" si="18"/>
        <v>44439</v>
      </c>
      <c r="DN24" s="1">
        <f t="shared" si="18"/>
        <v>44440</v>
      </c>
      <c r="DO24" s="1">
        <f t="shared" si="18"/>
        <v>44441</v>
      </c>
      <c r="DP24" s="1">
        <f t="shared" si="18"/>
        <v>44442</v>
      </c>
      <c r="DQ24" s="1">
        <f t="shared" si="18"/>
        <v>44443</v>
      </c>
      <c r="DR24" s="1">
        <f t="shared" si="18"/>
        <v>44444</v>
      </c>
      <c r="DS24" s="1">
        <f t="shared" si="18"/>
        <v>44445</v>
      </c>
      <c r="DT24" s="1">
        <f t="shared" si="18"/>
        <v>44446</v>
      </c>
      <c r="DU24" s="1">
        <f t="shared" si="18"/>
        <v>44447</v>
      </c>
      <c r="DV24" s="1">
        <f t="shared" si="18"/>
        <v>44448</v>
      </c>
      <c r="DW24" s="1">
        <f t="shared" si="18"/>
        <v>44449</v>
      </c>
      <c r="DX24" s="1">
        <f t="shared" si="18"/>
        <v>44450</v>
      </c>
      <c r="DY24" s="1">
        <f t="shared" si="18"/>
        <v>44451</v>
      </c>
      <c r="DZ24" s="1">
        <f t="shared" si="18"/>
        <v>44452</v>
      </c>
      <c r="EA24" s="1">
        <f t="shared" si="18"/>
        <v>44453</v>
      </c>
      <c r="EB24" s="1">
        <f t="shared" si="18"/>
        <v>44454</v>
      </c>
      <c r="EC24" s="1">
        <f t="shared" si="18"/>
        <v>44455</v>
      </c>
      <c r="ED24" s="1">
        <f t="shared" si="18"/>
        <v>44456</v>
      </c>
      <c r="EE24" s="1">
        <f t="shared" si="18"/>
        <v>44457</v>
      </c>
      <c r="EF24" s="1">
        <f t="shared" si="18"/>
        <v>44458</v>
      </c>
      <c r="EG24" s="1">
        <f t="shared" si="18"/>
        <v>44459</v>
      </c>
      <c r="EH24" s="1">
        <f t="shared" ref="EH24:GA24" si="19">EH13</f>
        <v>44460</v>
      </c>
      <c r="EI24" s="1">
        <f t="shared" si="19"/>
        <v>44461</v>
      </c>
      <c r="EJ24" s="1">
        <f t="shared" si="19"/>
        <v>44462</v>
      </c>
      <c r="EK24" s="1">
        <f t="shared" si="19"/>
        <v>44463</v>
      </c>
      <c r="EL24" s="1">
        <f t="shared" si="19"/>
        <v>44464</v>
      </c>
      <c r="EM24" s="1">
        <f t="shared" si="19"/>
        <v>44465</v>
      </c>
      <c r="EN24" s="1">
        <f t="shared" si="19"/>
        <v>44466</v>
      </c>
      <c r="EO24" s="1">
        <f t="shared" si="19"/>
        <v>44467</v>
      </c>
      <c r="EP24" s="1">
        <f t="shared" si="19"/>
        <v>44468</v>
      </c>
      <c r="EQ24" s="1">
        <f t="shared" si="19"/>
        <v>44469</v>
      </c>
      <c r="ER24" s="1">
        <f t="shared" si="19"/>
        <v>44470</v>
      </c>
      <c r="ES24" s="1">
        <f t="shared" si="19"/>
        <v>44471</v>
      </c>
      <c r="ET24" s="1">
        <f t="shared" si="19"/>
        <v>44472</v>
      </c>
      <c r="EU24" s="1">
        <f t="shared" si="19"/>
        <v>44473</v>
      </c>
      <c r="EV24" s="1">
        <f t="shared" si="19"/>
        <v>44474</v>
      </c>
      <c r="EW24" s="1">
        <f t="shared" si="19"/>
        <v>44475</v>
      </c>
      <c r="EX24" s="1">
        <f t="shared" si="19"/>
        <v>44476</v>
      </c>
      <c r="EY24" s="1">
        <f t="shared" si="19"/>
        <v>44477</v>
      </c>
      <c r="EZ24" s="1">
        <f t="shared" si="19"/>
        <v>44478</v>
      </c>
      <c r="FA24" s="1">
        <f t="shared" si="19"/>
        <v>44479</v>
      </c>
      <c r="FB24" s="1">
        <f t="shared" si="19"/>
        <v>44480</v>
      </c>
      <c r="FC24" s="1">
        <f t="shared" si="19"/>
        <v>44481</v>
      </c>
      <c r="FD24" s="1">
        <f t="shared" si="19"/>
        <v>44482</v>
      </c>
      <c r="FE24" s="1">
        <f t="shared" si="19"/>
        <v>44483</v>
      </c>
      <c r="FF24" s="1">
        <f t="shared" si="19"/>
        <v>44484</v>
      </c>
      <c r="FG24" s="1">
        <f t="shared" si="19"/>
        <v>44485</v>
      </c>
      <c r="FH24" s="1">
        <f t="shared" si="19"/>
        <v>44486</v>
      </c>
      <c r="FI24" s="1">
        <f t="shared" si="19"/>
        <v>44487</v>
      </c>
      <c r="FJ24" s="1">
        <f t="shared" si="19"/>
        <v>44488</v>
      </c>
      <c r="FK24" s="1">
        <f t="shared" si="19"/>
        <v>44489</v>
      </c>
      <c r="FL24" s="1">
        <f t="shared" si="19"/>
        <v>44490</v>
      </c>
      <c r="FM24" s="1">
        <f t="shared" si="19"/>
        <v>44491</v>
      </c>
      <c r="FN24" s="1">
        <f t="shared" si="19"/>
        <v>44492</v>
      </c>
      <c r="FO24" s="1">
        <f t="shared" si="19"/>
        <v>44493</v>
      </c>
      <c r="FP24" s="1">
        <f t="shared" si="19"/>
        <v>44494</v>
      </c>
      <c r="FQ24" s="1">
        <f t="shared" si="19"/>
        <v>44495</v>
      </c>
      <c r="FR24" s="1">
        <f t="shared" si="19"/>
        <v>44496</v>
      </c>
      <c r="FS24" s="1">
        <f t="shared" si="19"/>
        <v>44497</v>
      </c>
      <c r="FT24" s="1">
        <f t="shared" si="19"/>
        <v>44498</v>
      </c>
      <c r="FU24" s="1">
        <f t="shared" si="19"/>
        <v>44499</v>
      </c>
      <c r="FV24" s="1">
        <f t="shared" si="19"/>
        <v>44500</v>
      </c>
      <c r="FW24" s="1">
        <f t="shared" si="19"/>
        <v>44501</v>
      </c>
      <c r="FX24" s="1">
        <f t="shared" si="19"/>
        <v>44502</v>
      </c>
      <c r="FY24" s="1">
        <f t="shared" si="19"/>
        <v>44503</v>
      </c>
      <c r="FZ24" s="1">
        <f t="shared" si="19"/>
        <v>44504</v>
      </c>
      <c r="GA24" s="1">
        <f t="shared" si="19"/>
        <v>44505</v>
      </c>
    </row>
    <row r="25" spans="1:183" x14ac:dyDescent="0.45">
      <c r="A25" t="s">
        <v>18</v>
      </c>
      <c r="C25" cm="1">
        <f t="array" ref="C25">LOOKUP(2,1/(I25:GA25&lt;&gt;""),I25:GA25)</f>
        <v>197.70000000000002</v>
      </c>
      <c r="D25">
        <f>D$6</f>
        <v>45</v>
      </c>
      <c r="F25" s="4">
        <f>(C25-I25)/I25</f>
        <v>1.140840026602557E-2</v>
      </c>
      <c r="G25" s="3" cm="1">
        <f t="array" ref="G25">(C25-IF(ISNA(INDEX(I25:GA25,D25-22)),INDEX(I25:GA25,D25-23),INDEX(I25:GA25,D25-22)))/IF(ISNA(INDEX(I25:GA25,D25-22)),INDEX(I25:GA25,D25-23),INDEX(I25:GA25,D25-22))</f>
        <v>-1.4603997408164315E-2</v>
      </c>
      <c r="I25">
        <f>IF(SUM(I3:I9)=0,NA(),SUM(I3:I9))</f>
        <v>195.47</v>
      </c>
      <c r="J25">
        <f t="shared" ref="J25:BU25" si="20">IF(SUM(J3:J9)=0,NA(),SUM(J3:J9))</f>
        <v>190.54</v>
      </c>
      <c r="K25" t="e">
        <f t="shared" si="20"/>
        <v>#N/A</v>
      </c>
      <c r="L25">
        <f t="shared" si="20"/>
        <v>199.98999999999998</v>
      </c>
      <c r="M25" t="e">
        <f t="shared" si="20"/>
        <v>#N/A</v>
      </c>
      <c r="N25">
        <f t="shared" si="20"/>
        <v>193.30999999999997</v>
      </c>
      <c r="O25">
        <f t="shared" si="20"/>
        <v>193.18999999999997</v>
      </c>
      <c r="P25">
        <f t="shared" si="20"/>
        <v>185.43999999999997</v>
      </c>
      <c r="Q25">
        <f t="shared" si="20"/>
        <v>198.10999999999999</v>
      </c>
      <c r="R25">
        <f t="shared" si="20"/>
        <v>199.2</v>
      </c>
      <c r="S25">
        <f t="shared" si="20"/>
        <v>194.04999999999998</v>
      </c>
      <c r="T25">
        <f t="shared" si="20"/>
        <v>205.29999999999998</v>
      </c>
      <c r="U25">
        <f t="shared" si="20"/>
        <v>205.65</v>
      </c>
      <c r="V25">
        <f t="shared" si="20"/>
        <v>195.62999999999997</v>
      </c>
      <c r="W25">
        <f t="shared" si="20"/>
        <v>199.72999999999996</v>
      </c>
      <c r="X25">
        <f t="shared" si="20"/>
        <v>190.32</v>
      </c>
      <c r="Y25">
        <f t="shared" si="20"/>
        <v>196.61</v>
      </c>
      <c r="Z25">
        <f t="shared" si="20"/>
        <v>200.15</v>
      </c>
      <c r="AA25">
        <f t="shared" si="20"/>
        <v>209.24</v>
      </c>
      <c r="AB25">
        <f t="shared" si="20"/>
        <v>202.45</v>
      </c>
      <c r="AC25">
        <f t="shared" si="20"/>
        <v>203.49</v>
      </c>
      <c r="AD25">
        <f t="shared" si="20"/>
        <v>203.33</v>
      </c>
      <c r="AE25">
        <f t="shared" si="20"/>
        <v>200.63000000000002</v>
      </c>
      <c r="AF25">
        <f t="shared" si="20"/>
        <v>202.01999999999998</v>
      </c>
      <c r="AG25">
        <f t="shared" si="20"/>
        <v>210.12</v>
      </c>
      <c r="AH25">
        <f t="shared" si="20"/>
        <v>201.97</v>
      </c>
      <c r="AI25">
        <f t="shared" si="20"/>
        <v>194.66</v>
      </c>
      <c r="AJ25">
        <f t="shared" si="20"/>
        <v>199.41</v>
      </c>
      <c r="AK25">
        <f t="shared" si="20"/>
        <v>203.89000000000001</v>
      </c>
      <c r="AL25">
        <f t="shared" si="20"/>
        <v>207.20000000000002</v>
      </c>
      <c r="AM25">
        <f t="shared" si="20"/>
        <v>194.10999999999999</v>
      </c>
      <c r="AN25" t="e">
        <f t="shared" si="20"/>
        <v>#N/A</v>
      </c>
      <c r="AO25">
        <f t="shared" si="20"/>
        <v>195.91000000000003</v>
      </c>
      <c r="AP25">
        <f t="shared" si="20"/>
        <v>196.53</v>
      </c>
      <c r="AQ25">
        <f t="shared" si="20"/>
        <v>193.12</v>
      </c>
      <c r="AR25">
        <f t="shared" si="20"/>
        <v>198.98000000000002</v>
      </c>
      <c r="AS25">
        <f t="shared" si="20"/>
        <v>197.70000000000002</v>
      </c>
      <c r="AT25" t="e">
        <f t="shared" si="20"/>
        <v>#N/A</v>
      </c>
      <c r="AU25" t="e">
        <f t="shared" si="20"/>
        <v>#N/A</v>
      </c>
      <c r="AV25" t="e">
        <f t="shared" si="20"/>
        <v>#N/A</v>
      </c>
      <c r="AW25" t="e">
        <f t="shared" si="20"/>
        <v>#N/A</v>
      </c>
      <c r="AX25" t="e">
        <f t="shared" si="20"/>
        <v>#N/A</v>
      </c>
      <c r="AY25" t="e">
        <f t="shared" si="20"/>
        <v>#N/A</v>
      </c>
      <c r="AZ25" t="e">
        <f t="shared" si="20"/>
        <v>#N/A</v>
      </c>
      <c r="BA25" t="e">
        <f t="shared" si="20"/>
        <v>#N/A</v>
      </c>
      <c r="BB25" t="e">
        <f t="shared" si="20"/>
        <v>#N/A</v>
      </c>
      <c r="BC25" t="e">
        <f t="shared" si="20"/>
        <v>#N/A</v>
      </c>
      <c r="BD25" t="e">
        <f t="shared" si="20"/>
        <v>#N/A</v>
      </c>
      <c r="BE25" t="e">
        <f t="shared" si="20"/>
        <v>#N/A</v>
      </c>
      <c r="BF25" t="e">
        <f t="shared" si="20"/>
        <v>#N/A</v>
      </c>
      <c r="BG25" t="e">
        <f t="shared" si="20"/>
        <v>#N/A</v>
      </c>
      <c r="BH25" t="e">
        <f t="shared" si="20"/>
        <v>#N/A</v>
      </c>
      <c r="BI25" t="e">
        <f t="shared" si="20"/>
        <v>#N/A</v>
      </c>
      <c r="BJ25" t="e">
        <f t="shared" si="20"/>
        <v>#N/A</v>
      </c>
      <c r="BK25" t="e">
        <f t="shared" si="20"/>
        <v>#N/A</v>
      </c>
      <c r="BL25" t="e">
        <f t="shared" si="20"/>
        <v>#N/A</v>
      </c>
      <c r="BM25" t="e">
        <f t="shared" si="20"/>
        <v>#N/A</v>
      </c>
      <c r="BN25" t="e">
        <f t="shared" si="20"/>
        <v>#N/A</v>
      </c>
      <c r="BO25" t="e">
        <f t="shared" si="20"/>
        <v>#N/A</v>
      </c>
      <c r="BP25" t="e">
        <f t="shared" si="20"/>
        <v>#N/A</v>
      </c>
      <c r="BQ25" t="e">
        <f t="shared" si="20"/>
        <v>#N/A</v>
      </c>
      <c r="BR25" t="e">
        <f t="shared" si="20"/>
        <v>#N/A</v>
      </c>
      <c r="BS25" t="e">
        <f t="shared" si="20"/>
        <v>#N/A</v>
      </c>
      <c r="BT25" t="e">
        <f t="shared" si="20"/>
        <v>#N/A</v>
      </c>
      <c r="BU25" t="e">
        <f t="shared" si="20"/>
        <v>#N/A</v>
      </c>
      <c r="BV25" t="e">
        <f t="shared" ref="BV25:EG25" si="21">IF(SUM(BV3:BV9)=0,NA(),SUM(BV3:BV9))</f>
        <v>#N/A</v>
      </c>
      <c r="BW25" t="e">
        <f t="shared" si="21"/>
        <v>#N/A</v>
      </c>
      <c r="BX25" t="e">
        <f t="shared" si="21"/>
        <v>#N/A</v>
      </c>
      <c r="BY25" t="e">
        <f t="shared" si="21"/>
        <v>#N/A</v>
      </c>
      <c r="BZ25" t="e">
        <f t="shared" si="21"/>
        <v>#N/A</v>
      </c>
      <c r="CA25" t="e">
        <f t="shared" si="21"/>
        <v>#N/A</v>
      </c>
      <c r="CB25" t="e">
        <f t="shared" si="21"/>
        <v>#N/A</v>
      </c>
      <c r="CC25" t="e">
        <f t="shared" si="21"/>
        <v>#N/A</v>
      </c>
      <c r="CD25" t="e">
        <f t="shared" si="21"/>
        <v>#N/A</v>
      </c>
      <c r="CE25" t="e">
        <f t="shared" si="21"/>
        <v>#N/A</v>
      </c>
      <c r="CF25" t="e">
        <f t="shared" si="21"/>
        <v>#N/A</v>
      </c>
      <c r="CG25" t="e">
        <f t="shared" si="21"/>
        <v>#N/A</v>
      </c>
      <c r="CH25" t="e">
        <f t="shared" si="21"/>
        <v>#N/A</v>
      </c>
      <c r="CI25" t="e">
        <f t="shared" si="21"/>
        <v>#N/A</v>
      </c>
      <c r="CJ25" t="e">
        <f t="shared" si="21"/>
        <v>#N/A</v>
      </c>
      <c r="CK25" t="e">
        <f t="shared" si="21"/>
        <v>#N/A</v>
      </c>
      <c r="CL25" t="e">
        <f t="shared" si="21"/>
        <v>#N/A</v>
      </c>
      <c r="CM25" t="e">
        <f t="shared" si="21"/>
        <v>#N/A</v>
      </c>
      <c r="CN25" t="e">
        <f t="shared" si="21"/>
        <v>#N/A</v>
      </c>
      <c r="CO25" t="e">
        <f t="shared" si="21"/>
        <v>#N/A</v>
      </c>
      <c r="CP25" t="e">
        <f t="shared" si="21"/>
        <v>#N/A</v>
      </c>
      <c r="CQ25" t="e">
        <f t="shared" si="21"/>
        <v>#N/A</v>
      </c>
      <c r="CR25" t="e">
        <f t="shared" si="21"/>
        <v>#N/A</v>
      </c>
      <c r="CS25" t="e">
        <f t="shared" si="21"/>
        <v>#N/A</v>
      </c>
      <c r="CT25" t="e">
        <f t="shared" si="21"/>
        <v>#N/A</v>
      </c>
      <c r="CU25" t="e">
        <f t="shared" si="21"/>
        <v>#N/A</v>
      </c>
      <c r="CV25" t="e">
        <f t="shared" si="21"/>
        <v>#N/A</v>
      </c>
      <c r="CW25" t="e">
        <f t="shared" si="21"/>
        <v>#N/A</v>
      </c>
      <c r="CX25" t="e">
        <f t="shared" si="21"/>
        <v>#N/A</v>
      </c>
      <c r="CY25" t="e">
        <f t="shared" si="21"/>
        <v>#N/A</v>
      </c>
      <c r="CZ25" t="e">
        <f t="shared" si="21"/>
        <v>#N/A</v>
      </c>
      <c r="DA25" t="e">
        <f t="shared" si="21"/>
        <v>#N/A</v>
      </c>
      <c r="DB25" t="e">
        <f t="shared" si="21"/>
        <v>#N/A</v>
      </c>
      <c r="DC25" t="e">
        <f t="shared" si="21"/>
        <v>#N/A</v>
      </c>
      <c r="DD25" t="e">
        <f t="shared" si="21"/>
        <v>#N/A</v>
      </c>
      <c r="DE25" t="e">
        <f t="shared" si="21"/>
        <v>#N/A</v>
      </c>
      <c r="DF25" t="e">
        <f t="shared" si="21"/>
        <v>#N/A</v>
      </c>
      <c r="DG25" t="e">
        <f t="shared" si="21"/>
        <v>#N/A</v>
      </c>
      <c r="DH25" t="e">
        <f t="shared" si="21"/>
        <v>#N/A</v>
      </c>
      <c r="DI25" t="e">
        <f t="shared" si="21"/>
        <v>#N/A</v>
      </c>
      <c r="DJ25" t="e">
        <f t="shared" si="21"/>
        <v>#N/A</v>
      </c>
      <c r="DK25" t="e">
        <f t="shared" si="21"/>
        <v>#N/A</v>
      </c>
      <c r="DL25" t="e">
        <f t="shared" si="21"/>
        <v>#N/A</v>
      </c>
      <c r="DM25" t="e">
        <f t="shared" si="21"/>
        <v>#N/A</v>
      </c>
      <c r="DN25" t="e">
        <f t="shared" si="21"/>
        <v>#N/A</v>
      </c>
      <c r="DO25" t="e">
        <f t="shared" si="21"/>
        <v>#N/A</v>
      </c>
      <c r="DP25" t="e">
        <f t="shared" si="21"/>
        <v>#N/A</v>
      </c>
      <c r="DQ25" t="e">
        <f t="shared" si="21"/>
        <v>#N/A</v>
      </c>
      <c r="DR25" t="e">
        <f t="shared" si="21"/>
        <v>#N/A</v>
      </c>
      <c r="DS25" t="e">
        <f t="shared" si="21"/>
        <v>#N/A</v>
      </c>
      <c r="DT25" t="e">
        <f t="shared" si="21"/>
        <v>#N/A</v>
      </c>
      <c r="DU25" t="e">
        <f t="shared" si="21"/>
        <v>#N/A</v>
      </c>
      <c r="DV25" t="e">
        <f t="shared" si="21"/>
        <v>#N/A</v>
      </c>
      <c r="DW25" t="e">
        <f t="shared" si="21"/>
        <v>#N/A</v>
      </c>
      <c r="DX25" t="e">
        <f t="shared" si="21"/>
        <v>#N/A</v>
      </c>
      <c r="DY25" t="e">
        <f t="shared" si="21"/>
        <v>#N/A</v>
      </c>
      <c r="DZ25" t="e">
        <f t="shared" si="21"/>
        <v>#N/A</v>
      </c>
      <c r="EA25" t="e">
        <f t="shared" si="21"/>
        <v>#N/A</v>
      </c>
      <c r="EB25" t="e">
        <f t="shared" si="21"/>
        <v>#N/A</v>
      </c>
      <c r="EC25" t="e">
        <f t="shared" si="21"/>
        <v>#N/A</v>
      </c>
      <c r="ED25" t="e">
        <f t="shared" si="21"/>
        <v>#N/A</v>
      </c>
      <c r="EE25" t="e">
        <f t="shared" si="21"/>
        <v>#N/A</v>
      </c>
      <c r="EF25" t="e">
        <f t="shared" si="21"/>
        <v>#N/A</v>
      </c>
      <c r="EG25" t="e">
        <f t="shared" si="21"/>
        <v>#N/A</v>
      </c>
      <c r="EH25" t="e">
        <f t="shared" ref="EH25:GA25" si="22">IF(SUM(EH3:EH9)=0,NA(),SUM(EH3:EH9))</f>
        <v>#N/A</v>
      </c>
      <c r="EI25" t="e">
        <f t="shared" si="22"/>
        <v>#N/A</v>
      </c>
      <c r="EJ25" t="e">
        <f t="shared" si="22"/>
        <v>#N/A</v>
      </c>
      <c r="EK25" t="e">
        <f t="shared" si="22"/>
        <v>#N/A</v>
      </c>
      <c r="EL25" t="e">
        <f t="shared" si="22"/>
        <v>#N/A</v>
      </c>
      <c r="EM25" t="e">
        <f t="shared" si="22"/>
        <v>#N/A</v>
      </c>
      <c r="EN25" t="e">
        <f t="shared" si="22"/>
        <v>#N/A</v>
      </c>
      <c r="EO25" t="e">
        <f t="shared" si="22"/>
        <v>#N/A</v>
      </c>
      <c r="EP25" t="e">
        <f t="shared" si="22"/>
        <v>#N/A</v>
      </c>
      <c r="EQ25" t="e">
        <f t="shared" si="22"/>
        <v>#N/A</v>
      </c>
      <c r="ER25" t="e">
        <f t="shared" si="22"/>
        <v>#N/A</v>
      </c>
      <c r="ES25" t="e">
        <f t="shared" si="22"/>
        <v>#N/A</v>
      </c>
      <c r="ET25" t="e">
        <f t="shared" si="22"/>
        <v>#N/A</v>
      </c>
      <c r="EU25" t="e">
        <f t="shared" si="22"/>
        <v>#N/A</v>
      </c>
      <c r="EV25" t="e">
        <f t="shared" si="22"/>
        <v>#N/A</v>
      </c>
      <c r="EW25" t="e">
        <f t="shared" si="22"/>
        <v>#N/A</v>
      </c>
      <c r="EX25" t="e">
        <f t="shared" si="22"/>
        <v>#N/A</v>
      </c>
      <c r="EY25" t="e">
        <f t="shared" si="22"/>
        <v>#N/A</v>
      </c>
      <c r="EZ25" t="e">
        <f t="shared" si="22"/>
        <v>#N/A</v>
      </c>
      <c r="FA25" t="e">
        <f t="shared" si="22"/>
        <v>#N/A</v>
      </c>
      <c r="FB25" t="e">
        <f t="shared" si="22"/>
        <v>#N/A</v>
      </c>
      <c r="FC25" t="e">
        <f t="shared" si="22"/>
        <v>#N/A</v>
      </c>
      <c r="FD25" t="e">
        <f t="shared" si="22"/>
        <v>#N/A</v>
      </c>
      <c r="FE25" t="e">
        <f t="shared" si="22"/>
        <v>#N/A</v>
      </c>
      <c r="FF25" t="e">
        <f t="shared" si="22"/>
        <v>#N/A</v>
      </c>
      <c r="FG25" t="e">
        <f t="shared" si="22"/>
        <v>#N/A</v>
      </c>
      <c r="FH25" t="e">
        <f t="shared" si="22"/>
        <v>#N/A</v>
      </c>
      <c r="FI25" t="e">
        <f t="shared" si="22"/>
        <v>#N/A</v>
      </c>
      <c r="FJ25" t="e">
        <f t="shared" si="22"/>
        <v>#N/A</v>
      </c>
      <c r="FK25" t="e">
        <f t="shared" si="22"/>
        <v>#N/A</v>
      </c>
      <c r="FL25" t="e">
        <f t="shared" si="22"/>
        <v>#N/A</v>
      </c>
      <c r="FM25" t="e">
        <f t="shared" si="22"/>
        <v>#N/A</v>
      </c>
      <c r="FN25" t="e">
        <f t="shared" si="22"/>
        <v>#N/A</v>
      </c>
      <c r="FO25" t="e">
        <f t="shared" si="22"/>
        <v>#N/A</v>
      </c>
      <c r="FP25" t="e">
        <f t="shared" si="22"/>
        <v>#N/A</v>
      </c>
      <c r="FQ25" t="e">
        <f t="shared" si="22"/>
        <v>#N/A</v>
      </c>
      <c r="FR25" t="e">
        <f t="shared" si="22"/>
        <v>#N/A</v>
      </c>
      <c r="FS25" t="e">
        <f t="shared" si="22"/>
        <v>#N/A</v>
      </c>
      <c r="FT25" t="e">
        <f t="shared" si="22"/>
        <v>#N/A</v>
      </c>
      <c r="FU25" t="e">
        <f t="shared" si="22"/>
        <v>#N/A</v>
      </c>
      <c r="FV25" t="e">
        <f t="shared" si="22"/>
        <v>#N/A</v>
      </c>
      <c r="FW25" t="e">
        <f t="shared" si="22"/>
        <v>#N/A</v>
      </c>
      <c r="FX25" t="e">
        <f t="shared" si="22"/>
        <v>#N/A</v>
      </c>
      <c r="FY25" t="e">
        <f t="shared" si="22"/>
        <v>#N/A</v>
      </c>
      <c r="FZ25" t="e">
        <f t="shared" si="22"/>
        <v>#N/A</v>
      </c>
      <c r="GA25" t="e">
        <f t="shared" si="22"/>
        <v>#N/A</v>
      </c>
    </row>
    <row r="26" spans="1:183" x14ac:dyDescent="0.45">
      <c r="A26" t="s">
        <v>55</v>
      </c>
      <c r="C26" cm="1">
        <f t="array" ref="C26">LOOKUP(2,1/(I26:GA26&lt;&gt;""),I26:GA26)</f>
        <v>148.26</v>
      </c>
      <c r="D26">
        <f>D$6</f>
        <v>45</v>
      </c>
      <c r="F26" s="4">
        <f>(C26-I26)/I26</f>
        <v>1.1461318051575783E-2</v>
      </c>
      <c r="G26" s="3" cm="1">
        <f t="array" ref="G26">(C26-IF(ISNA(INDEX(I26:GA26,D26-22)),INDEX(I26:GA26,D26-23),INDEX(I26:GA26,D26-22)))/IF(ISNA(INDEX(I26:GA26,D26-22)),INDEX(I26:GA26,D26-23),INDEX(I26:GA26,D26-22))</f>
        <v>-1.4490826907737349E-2</v>
      </c>
      <c r="I26">
        <f>IF(SUM(I14:I20)=0,NA(),SUM(I14:I20))</f>
        <v>146.58000000000001</v>
      </c>
      <c r="J26">
        <f t="shared" ref="J26:BU26" si="23">IF(SUM(J14:J20)=0,NA(),SUM(J14:J20))</f>
        <v>142.88</v>
      </c>
      <c r="K26" t="e">
        <f t="shared" si="23"/>
        <v>#N/A</v>
      </c>
      <c r="L26">
        <f t="shared" si="23"/>
        <v>149.97000000000003</v>
      </c>
      <c r="M26" t="e">
        <f t="shared" si="23"/>
        <v>#N/A</v>
      </c>
      <c r="N26">
        <f t="shared" si="23"/>
        <v>144.96</v>
      </c>
      <c r="O26">
        <f t="shared" si="23"/>
        <v>144.87</v>
      </c>
      <c r="P26">
        <f t="shared" si="23"/>
        <v>139.05000000000001</v>
      </c>
      <c r="Q26">
        <f t="shared" si="23"/>
        <v>148.54999999999998</v>
      </c>
      <c r="R26">
        <f t="shared" si="23"/>
        <v>149.37</v>
      </c>
      <c r="S26">
        <f t="shared" si="23"/>
        <v>145.51000000000002</v>
      </c>
      <c r="T26">
        <f t="shared" si="23"/>
        <v>153.93999999999997</v>
      </c>
      <c r="U26">
        <f t="shared" si="23"/>
        <v>154.20999999999998</v>
      </c>
      <c r="V26">
        <f t="shared" si="23"/>
        <v>146.71</v>
      </c>
      <c r="W26">
        <f t="shared" si="23"/>
        <v>149.76999999999998</v>
      </c>
      <c r="X26">
        <f t="shared" si="23"/>
        <v>142.71</v>
      </c>
      <c r="Y26">
        <f t="shared" si="23"/>
        <v>147.42999999999998</v>
      </c>
      <c r="Z26">
        <f t="shared" si="23"/>
        <v>150.09</v>
      </c>
      <c r="AA26">
        <f t="shared" si="23"/>
        <v>156.91</v>
      </c>
      <c r="AB26">
        <f t="shared" si="23"/>
        <v>151.82000000000002</v>
      </c>
      <c r="AC26">
        <f t="shared" si="23"/>
        <v>152.6</v>
      </c>
      <c r="AD26">
        <f t="shared" si="23"/>
        <v>152.47999999999999</v>
      </c>
      <c r="AE26">
        <f t="shared" si="23"/>
        <v>150.44</v>
      </c>
      <c r="AF26">
        <f t="shared" si="23"/>
        <v>151.47</v>
      </c>
      <c r="AG26">
        <f t="shared" si="23"/>
        <v>157.54999999999998</v>
      </c>
      <c r="AH26">
        <f t="shared" si="23"/>
        <v>151.44</v>
      </c>
      <c r="AI26">
        <f t="shared" si="23"/>
        <v>145.96999999999997</v>
      </c>
      <c r="AJ26">
        <f t="shared" si="23"/>
        <v>149.53999999999996</v>
      </c>
      <c r="AK26">
        <f t="shared" si="23"/>
        <v>152.88</v>
      </c>
      <c r="AL26">
        <f t="shared" si="23"/>
        <v>155.37</v>
      </c>
      <c r="AM26">
        <f t="shared" si="23"/>
        <v>145.54</v>
      </c>
      <c r="AN26" t="e">
        <f t="shared" si="23"/>
        <v>#N/A</v>
      </c>
      <c r="AO26">
        <f t="shared" si="23"/>
        <v>146.91000000000003</v>
      </c>
      <c r="AP26">
        <f t="shared" si="23"/>
        <v>147.38000000000002</v>
      </c>
      <c r="AQ26">
        <f t="shared" si="23"/>
        <v>144.80000000000001</v>
      </c>
      <c r="AR26">
        <f t="shared" si="23"/>
        <v>149.20999999999998</v>
      </c>
      <c r="AS26">
        <f t="shared" si="23"/>
        <v>148.26</v>
      </c>
      <c r="AT26" t="e">
        <f t="shared" si="23"/>
        <v>#N/A</v>
      </c>
      <c r="AU26" t="e">
        <f t="shared" si="23"/>
        <v>#N/A</v>
      </c>
      <c r="AV26" t="e">
        <f t="shared" si="23"/>
        <v>#N/A</v>
      </c>
      <c r="AW26" t="e">
        <f t="shared" si="23"/>
        <v>#N/A</v>
      </c>
      <c r="AX26" t="e">
        <f t="shared" si="23"/>
        <v>#N/A</v>
      </c>
      <c r="AY26" t="e">
        <f t="shared" si="23"/>
        <v>#N/A</v>
      </c>
      <c r="AZ26" t="e">
        <f t="shared" si="23"/>
        <v>#N/A</v>
      </c>
      <c r="BA26" t="e">
        <f t="shared" si="23"/>
        <v>#N/A</v>
      </c>
      <c r="BB26" t="e">
        <f t="shared" si="23"/>
        <v>#N/A</v>
      </c>
      <c r="BC26" t="e">
        <f t="shared" si="23"/>
        <v>#N/A</v>
      </c>
      <c r="BD26" t="e">
        <f t="shared" si="23"/>
        <v>#N/A</v>
      </c>
      <c r="BE26" t="e">
        <f t="shared" si="23"/>
        <v>#N/A</v>
      </c>
      <c r="BF26" t="e">
        <f t="shared" si="23"/>
        <v>#N/A</v>
      </c>
      <c r="BG26" t="e">
        <f t="shared" si="23"/>
        <v>#N/A</v>
      </c>
      <c r="BH26" t="e">
        <f t="shared" si="23"/>
        <v>#N/A</v>
      </c>
      <c r="BI26" t="e">
        <f t="shared" si="23"/>
        <v>#N/A</v>
      </c>
      <c r="BJ26" t="e">
        <f t="shared" si="23"/>
        <v>#N/A</v>
      </c>
      <c r="BK26" t="e">
        <f t="shared" si="23"/>
        <v>#N/A</v>
      </c>
      <c r="BL26" t="e">
        <f t="shared" si="23"/>
        <v>#N/A</v>
      </c>
      <c r="BM26" t="e">
        <f t="shared" si="23"/>
        <v>#N/A</v>
      </c>
      <c r="BN26" t="e">
        <f t="shared" si="23"/>
        <v>#N/A</v>
      </c>
      <c r="BO26" t="e">
        <f t="shared" si="23"/>
        <v>#N/A</v>
      </c>
      <c r="BP26" t="e">
        <f t="shared" si="23"/>
        <v>#N/A</v>
      </c>
      <c r="BQ26" t="e">
        <f t="shared" si="23"/>
        <v>#N/A</v>
      </c>
      <c r="BR26" t="e">
        <f t="shared" si="23"/>
        <v>#N/A</v>
      </c>
      <c r="BS26" t="e">
        <f t="shared" si="23"/>
        <v>#N/A</v>
      </c>
      <c r="BT26" t="e">
        <f t="shared" si="23"/>
        <v>#N/A</v>
      </c>
      <c r="BU26" t="e">
        <f t="shared" si="23"/>
        <v>#N/A</v>
      </c>
      <c r="BV26" t="e">
        <f t="shared" ref="BV26:EG26" si="24">IF(SUM(BV14:BV20)=0,NA(),SUM(BV14:BV20))</f>
        <v>#N/A</v>
      </c>
      <c r="BW26" t="e">
        <f t="shared" si="24"/>
        <v>#N/A</v>
      </c>
      <c r="BX26" t="e">
        <f t="shared" si="24"/>
        <v>#N/A</v>
      </c>
      <c r="BY26" t="e">
        <f t="shared" si="24"/>
        <v>#N/A</v>
      </c>
      <c r="BZ26" t="e">
        <f t="shared" si="24"/>
        <v>#N/A</v>
      </c>
      <c r="CA26" t="e">
        <f t="shared" si="24"/>
        <v>#N/A</v>
      </c>
      <c r="CB26" t="e">
        <f t="shared" si="24"/>
        <v>#N/A</v>
      </c>
      <c r="CC26" t="e">
        <f t="shared" si="24"/>
        <v>#N/A</v>
      </c>
      <c r="CD26" t="e">
        <f t="shared" si="24"/>
        <v>#N/A</v>
      </c>
      <c r="CE26" t="e">
        <f t="shared" si="24"/>
        <v>#N/A</v>
      </c>
      <c r="CF26" t="e">
        <f t="shared" si="24"/>
        <v>#N/A</v>
      </c>
      <c r="CG26" t="e">
        <f t="shared" si="24"/>
        <v>#N/A</v>
      </c>
      <c r="CH26" t="e">
        <f t="shared" si="24"/>
        <v>#N/A</v>
      </c>
      <c r="CI26" t="e">
        <f t="shared" si="24"/>
        <v>#N/A</v>
      </c>
      <c r="CJ26" t="e">
        <f t="shared" si="24"/>
        <v>#N/A</v>
      </c>
      <c r="CK26" t="e">
        <f t="shared" si="24"/>
        <v>#N/A</v>
      </c>
      <c r="CL26" t="e">
        <f t="shared" si="24"/>
        <v>#N/A</v>
      </c>
      <c r="CM26" t="e">
        <f t="shared" si="24"/>
        <v>#N/A</v>
      </c>
      <c r="CN26" t="e">
        <f t="shared" si="24"/>
        <v>#N/A</v>
      </c>
      <c r="CO26" t="e">
        <f t="shared" si="24"/>
        <v>#N/A</v>
      </c>
      <c r="CP26" t="e">
        <f t="shared" si="24"/>
        <v>#N/A</v>
      </c>
      <c r="CQ26" t="e">
        <f t="shared" si="24"/>
        <v>#N/A</v>
      </c>
      <c r="CR26" t="e">
        <f t="shared" si="24"/>
        <v>#N/A</v>
      </c>
      <c r="CS26" t="e">
        <f t="shared" si="24"/>
        <v>#N/A</v>
      </c>
      <c r="CT26" t="e">
        <f t="shared" si="24"/>
        <v>#N/A</v>
      </c>
      <c r="CU26" t="e">
        <f t="shared" si="24"/>
        <v>#N/A</v>
      </c>
      <c r="CV26" t="e">
        <f t="shared" si="24"/>
        <v>#N/A</v>
      </c>
      <c r="CW26" t="e">
        <f t="shared" si="24"/>
        <v>#N/A</v>
      </c>
      <c r="CX26" t="e">
        <f t="shared" si="24"/>
        <v>#N/A</v>
      </c>
      <c r="CY26" t="e">
        <f t="shared" si="24"/>
        <v>#N/A</v>
      </c>
      <c r="CZ26" t="e">
        <f t="shared" si="24"/>
        <v>#N/A</v>
      </c>
      <c r="DA26" t="e">
        <f t="shared" si="24"/>
        <v>#N/A</v>
      </c>
      <c r="DB26" t="e">
        <f t="shared" si="24"/>
        <v>#N/A</v>
      </c>
      <c r="DC26" t="e">
        <f t="shared" si="24"/>
        <v>#N/A</v>
      </c>
      <c r="DD26" t="e">
        <f t="shared" si="24"/>
        <v>#N/A</v>
      </c>
      <c r="DE26" t="e">
        <f t="shared" si="24"/>
        <v>#N/A</v>
      </c>
      <c r="DF26" t="e">
        <f t="shared" si="24"/>
        <v>#N/A</v>
      </c>
      <c r="DG26" t="e">
        <f t="shared" si="24"/>
        <v>#N/A</v>
      </c>
      <c r="DH26" t="e">
        <f t="shared" si="24"/>
        <v>#N/A</v>
      </c>
      <c r="DI26" t="e">
        <f t="shared" si="24"/>
        <v>#N/A</v>
      </c>
      <c r="DJ26" t="e">
        <f t="shared" si="24"/>
        <v>#N/A</v>
      </c>
      <c r="DK26" t="e">
        <f t="shared" si="24"/>
        <v>#N/A</v>
      </c>
      <c r="DL26" t="e">
        <f t="shared" si="24"/>
        <v>#N/A</v>
      </c>
      <c r="DM26" t="e">
        <f t="shared" si="24"/>
        <v>#N/A</v>
      </c>
      <c r="DN26" t="e">
        <f t="shared" si="24"/>
        <v>#N/A</v>
      </c>
      <c r="DO26" t="e">
        <f t="shared" si="24"/>
        <v>#N/A</v>
      </c>
      <c r="DP26" t="e">
        <f t="shared" si="24"/>
        <v>#N/A</v>
      </c>
      <c r="DQ26" t="e">
        <f t="shared" si="24"/>
        <v>#N/A</v>
      </c>
      <c r="DR26" t="e">
        <f t="shared" si="24"/>
        <v>#N/A</v>
      </c>
      <c r="DS26" t="e">
        <f t="shared" si="24"/>
        <v>#N/A</v>
      </c>
      <c r="DT26" t="e">
        <f t="shared" si="24"/>
        <v>#N/A</v>
      </c>
      <c r="DU26" t="e">
        <f t="shared" si="24"/>
        <v>#N/A</v>
      </c>
      <c r="DV26" t="e">
        <f t="shared" si="24"/>
        <v>#N/A</v>
      </c>
      <c r="DW26" t="e">
        <f t="shared" si="24"/>
        <v>#N/A</v>
      </c>
      <c r="DX26" t="e">
        <f t="shared" si="24"/>
        <v>#N/A</v>
      </c>
      <c r="DY26" t="e">
        <f t="shared" si="24"/>
        <v>#N/A</v>
      </c>
      <c r="DZ26" t="e">
        <f t="shared" si="24"/>
        <v>#N/A</v>
      </c>
      <c r="EA26" t="e">
        <f t="shared" si="24"/>
        <v>#N/A</v>
      </c>
      <c r="EB26" t="e">
        <f t="shared" si="24"/>
        <v>#N/A</v>
      </c>
      <c r="EC26" t="e">
        <f t="shared" si="24"/>
        <v>#N/A</v>
      </c>
      <c r="ED26" t="e">
        <f t="shared" si="24"/>
        <v>#N/A</v>
      </c>
      <c r="EE26" t="e">
        <f t="shared" si="24"/>
        <v>#N/A</v>
      </c>
      <c r="EF26" t="e">
        <f t="shared" si="24"/>
        <v>#N/A</v>
      </c>
      <c r="EG26" t="e">
        <f t="shared" si="24"/>
        <v>#N/A</v>
      </c>
      <c r="EH26" t="e">
        <f t="shared" ref="EH26:GA26" si="25">IF(SUM(EH14:EH20)=0,NA(),SUM(EH14:EH20))</f>
        <v>#N/A</v>
      </c>
      <c r="EI26" t="e">
        <f t="shared" si="25"/>
        <v>#N/A</v>
      </c>
      <c r="EJ26" t="e">
        <f t="shared" si="25"/>
        <v>#N/A</v>
      </c>
      <c r="EK26" t="e">
        <f t="shared" si="25"/>
        <v>#N/A</v>
      </c>
      <c r="EL26" t="e">
        <f t="shared" si="25"/>
        <v>#N/A</v>
      </c>
      <c r="EM26" t="e">
        <f t="shared" si="25"/>
        <v>#N/A</v>
      </c>
      <c r="EN26" t="e">
        <f t="shared" si="25"/>
        <v>#N/A</v>
      </c>
      <c r="EO26" t="e">
        <f t="shared" si="25"/>
        <v>#N/A</v>
      </c>
      <c r="EP26" t="e">
        <f t="shared" si="25"/>
        <v>#N/A</v>
      </c>
      <c r="EQ26" t="e">
        <f t="shared" si="25"/>
        <v>#N/A</v>
      </c>
      <c r="ER26" t="e">
        <f t="shared" si="25"/>
        <v>#N/A</v>
      </c>
      <c r="ES26" t="e">
        <f t="shared" si="25"/>
        <v>#N/A</v>
      </c>
      <c r="ET26" t="e">
        <f t="shared" si="25"/>
        <v>#N/A</v>
      </c>
      <c r="EU26" t="e">
        <f t="shared" si="25"/>
        <v>#N/A</v>
      </c>
      <c r="EV26" t="e">
        <f t="shared" si="25"/>
        <v>#N/A</v>
      </c>
      <c r="EW26" t="e">
        <f t="shared" si="25"/>
        <v>#N/A</v>
      </c>
      <c r="EX26" t="e">
        <f t="shared" si="25"/>
        <v>#N/A</v>
      </c>
      <c r="EY26" t="e">
        <f t="shared" si="25"/>
        <v>#N/A</v>
      </c>
      <c r="EZ26" t="e">
        <f t="shared" si="25"/>
        <v>#N/A</v>
      </c>
      <c r="FA26" t="e">
        <f t="shared" si="25"/>
        <v>#N/A</v>
      </c>
      <c r="FB26" t="e">
        <f t="shared" si="25"/>
        <v>#N/A</v>
      </c>
      <c r="FC26" t="e">
        <f t="shared" si="25"/>
        <v>#N/A</v>
      </c>
      <c r="FD26" t="e">
        <f t="shared" si="25"/>
        <v>#N/A</v>
      </c>
      <c r="FE26" t="e">
        <f t="shared" si="25"/>
        <v>#N/A</v>
      </c>
      <c r="FF26" t="e">
        <f t="shared" si="25"/>
        <v>#N/A</v>
      </c>
      <c r="FG26" t="e">
        <f t="shared" si="25"/>
        <v>#N/A</v>
      </c>
      <c r="FH26" t="e">
        <f t="shared" si="25"/>
        <v>#N/A</v>
      </c>
      <c r="FI26" t="e">
        <f t="shared" si="25"/>
        <v>#N/A</v>
      </c>
      <c r="FJ26" t="e">
        <f t="shared" si="25"/>
        <v>#N/A</v>
      </c>
      <c r="FK26" t="e">
        <f t="shared" si="25"/>
        <v>#N/A</v>
      </c>
      <c r="FL26" t="e">
        <f t="shared" si="25"/>
        <v>#N/A</v>
      </c>
      <c r="FM26" t="e">
        <f t="shared" si="25"/>
        <v>#N/A</v>
      </c>
      <c r="FN26" t="e">
        <f t="shared" si="25"/>
        <v>#N/A</v>
      </c>
      <c r="FO26" t="e">
        <f t="shared" si="25"/>
        <v>#N/A</v>
      </c>
      <c r="FP26" t="e">
        <f t="shared" si="25"/>
        <v>#N/A</v>
      </c>
      <c r="FQ26" t="e">
        <f t="shared" si="25"/>
        <v>#N/A</v>
      </c>
      <c r="FR26" t="e">
        <f t="shared" si="25"/>
        <v>#N/A</v>
      </c>
      <c r="FS26" t="e">
        <f t="shared" si="25"/>
        <v>#N/A</v>
      </c>
      <c r="FT26" t="e">
        <f t="shared" si="25"/>
        <v>#N/A</v>
      </c>
      <c r="FU26" t="e">
        <f t="shared" si="25"/>
        <v>#N/A</v>
      </c>
      <c r="FV26" t="e">
        <f t="shared" si="25"/>
        <v>#N/A</v>
      </c>
      <c r="FW26" t="e">
        <f t="shared" si="25"/>
        <v>#N/A</v>
      </c>
      <c r="FX26" t="e">
        <f t="shared" si="25"/>
        <v>#N/A</v>
      </c>
      <c r="FY26" t="e">
        <f t="shared" si="25"/>
        <v>#N/A</v>
      </c>
      <c r="FZ26" t="e">
        <f t="shared" si="25"/>
        <v>#N/A</v>
      </c>
      <c r="GA26" t="e">
        <f t="shared" si="25"/>
        <v>#N/A</v>
      </c>
    </row>
  </sheetData>
  <conditionalFormatting sqref="F3:F9">
    <cfRule type="cellIs" dxfId="64" priority="31" operator="greaterThan">
      <formula>0.2</formula>
    </cfRule>
    <cfRule type="cellIs" dxfId="63" priority="32" operator="between">
      <formula>0.05</formula>
      <formula>0.2</formula>
    </cfRule>
    <cfRule type="cellIs" dxfId="62" priority="33" operator="between">
      <formula>-0.05</formula>
      <formula>0.05</formula>
    </cfRule>
    <cfRule type="cellIs" dxfId="61" priority="34" operator="between">
      <formula>-0.2</formula>
      <formula>-0.05</formula>
    </cfRule>
    <cfRule type="cellIs" dxfId="60" priority="35" operator="lessThan">
      <formula>-0.2</formula>
    </cfRule>
  </conditionalFormatting>
  <conditionalFormatting sqref="G3:G9">
    <cfRule type="cellIs" dxfId="59" priority="26" operator="greaterThan">
      <formula>0.2</formula>
    </cfRule>
    <cfRule type="cellIs" dxfId="58" priority="27" operator="between">
      <formula>0.05</formula>
      <formula>0.2</formula>
    </cfRule>
    <cfRule type="cellIs" dxfId="57" priority="28" operator="between">
      <formula>-0.05</formula>
      <formula>0.05</formula>
    </cfRule>
    <cfRule type="cellIs" dxfId="56" priority="29" operator="between">
      <formula>-0.2</formula>
      <formula>-0.05</formula>
    </cfRule>
    <cfRule type="cellIs" dxfId="55" priority="30" operator="lessThan">
      <formula>-0.2</formula>
    </cfRule>
  </conditionalFormatting>
  <conditionalFormatting sqref="F14:F20">
    <cfRule type="cellIs" dxfId="54" priority="21" operator="greaterThan">
      <formula>0.2</formula>
    </cfRule>
    <cfRule type="cellIs" dxfId="53" priority="22" operator="between">
      <formula>0.05</formula>
      <formula>0.2</formula>
    </cfRule>
    <cfRule type="cellIs" dxfId="52" priority="23" operator="between">
      <formula>-0.05</formula>
      <formula>0.05</formula>
    </cfRule>
    <cfRule type="cellIs" dxfId="51" priority="24" operator="between">
      <formula>-0.2</formula>
      <formula>-0.05</formula>
    </cfRule>
    <cfRule type="cellIs" dxfId="50" priority="25" operator="lessThan">
      <formula>-0.2</formula>
    </cfRule>
  </conditionalFormatting>
  <conditionalFormatting sqref="G14:G20">
    <cfRule type="cellIs" dxfId="49" priority="16" operator="greaterThan">
      <formula>0.2</formula>
    </cfRule>
    <cfRule type="cellIs" dxfId="48" priority="17" operator="between">
      <formula>0.05</formula>
      <formula>0.2</formula>
    </cfRule>
    <cfRule type="cellIs" dxfId="47" priority="18" operator="between">
      <formula>-0.05</formula>
      <formula>0.05</formula>
    </cfRule>
    <cfRule type="cellIs" dxfId="46" priority="19" operator="between">
      <formula>-0.2</formula>
      <formula>-0.05</formula>
    </cfRule>
    <cfRule type="cellIs" dxfId="45" priority="20" operator="lessThan">
      <formula>-0.2</formula>
    </cfRule>
  </conditionalFormatting>
  <conditionalFormatting sqref="F25:F26">
    <cfRule type="cellIs" dxfId="44" priority="11" operator="greaterThan">
      <formula>0.2</formula>
    </cfRule>
    <cfRule type="cellIs" dxfId="43" priority="12" operator="between">
      <formula>0.05</formula>
      <formula>0.2</formula>
    </cfRule>
    <cfRule type="cellIs" dxfId="42" priority="13" operator="between">
      <formula>-0.05</formula>
      <formula>0.05</formula>
    </cfRule>
    <cfRule type="cellIs" dxfId="41" priority="14" operator="between">
      <formula>-0.2</formula>
      <formula>-0.05</formula>
    </cfRule>
    <cfRule type="cellIs" dxfId="40" priority="15" operator="lessThan">
      <formula>-0.2</formula>
    </cfRule>
  </conditionalFormatting>
  <conditionalFormatting sqref="G25:G26">
    <cfRule type="cellIs" dxfId="39" priority="6" operator="greaterThan">
      <formula>0.2</formula>
    </cfRule>
    <cfRule type="cellIs" dxfId="38" priority="7" operator="between">
      <formula>0.05</formula>
      <formula>0.2</formula>
    </cfRule>
    <cfRule type="cellIs" dxfId="37" priority="8" operator="between">
      <formula>-0.05</formula>
      <formula>0.05</formula>
    </cfRule>
    <cfRule type="cellIs" dxfId="36" priority="9" operator="between">
      <formula>-0.2</formula>
      <formula>-0.05</formula>
    </cfRule>
    <cfRule type="cellIs" dxfId="35" priority="10" operator="lessThan">
      <formula>-0.2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B80B-590B-4B49-BD6F-66065DE33B74}">
  <dimension ref="A1:GA28"/>
  <sheetViews>
    <sheetView zoomScale="80" zoomScaleNormal="80" workbookViewId="0">
      <pane xSplit="7" topLeftCell="I1" activePane="topRight" state="frozen"/>
      <selection pane="topRight" activeCell="I2" sqref="I2:GA10"/>
    </sheetView>
  </sheetViews>
  <sheetFormatPr defaultRowHeight="14.25" x14ac:dyDescent="0.45"/>
  <cols>
    <col min="1" max="1" width="24.06640625" customWidth="1"/>
    <col min="2" max="183" width="11.19921875" customWidth="1"/>
  </cols>
  <sheetData>
    <row r="1" spans="1:183" x14ac:dyDescent="0.45">
      <c r="A1" t="s">
        <v>74</v>
      </c>
    </row>
    <row r="2" spans="1:183" x14ac:dyDescent="0.45">
      <c r="C2" t="s">
        <v>57</v>
      </c>
      <c r="D2" t="s">
        <v>45</v>
      </c>
      <c r="F2" t="s">
        <v>58</v>
      </c>
      <c r="G2" t="s">
        <v>46</v>
      </c>
      <c r="I2" s="1">
        <f>Knife!I2</f>
        <v>44331</v>
      </c>
      <c r="J2" s="1">
        <f>Knife!J2</f>
        <v>44332</v>
      </c>
      <c r="K2" s="1">
        <f>Knife!K2</f>
        <v>44333</v>
      </c>
      <c r="L2" s="1">
        <f>Knife!L2</f>
        <v>44334</v>
      </c>
      <c r="M2" s="1">
        <f>Knife!M2</f>
        <v>44335</v>
      </c>
      <c r="N2" s="1">
        <f>Knife!N2</f>
        <v>44336</v>
      </c>
      <c r="O2" s="1">
        <f>Knife!O2</f>
        <v>44337</v>
      </c>
      <c r="P2" s="1">
        <f>Knife!P2</f>
        <v>44338</v>
      </c>
      <c r="Q2" s="1">
        <f>Knife!Q2</f>
        <v>44339</v>
      </c>
      <c r="R2" s="1">
        <f>Knife!R2</f>
        <v>44340</v>
      </c>
      <c r="S2" s="1">
        <f>Knife!S2</f>
        <v>44341</v>
      </c>
      <c r="T2" s="1">
        <f>Knife!T2</f>
        <v>44342</v>
      </c>
      <c r="U2" s="1">
        <f>Knife!U2</f>
        <v>44343</v>
      </c>
      <c r="V2" s="1">
        <f>Knife!V2</f>
        <v>44344</v>
      </c>
      <c r="W2" s="1">
        <f>Knife!W2</f>
        <v>44345</v>
      </c>
      <c r="X2" s="1">
        <f>Knife!X2</f>
        <v>44346</v>
      </c>
      <c r="Y2" s="1">
        <f>Knife!Y2</f>
        <v>44347</v>
      </c>
      <c r="Z2" s="1">
        <f>Knife!Z2</f>
        <v>44348</v>
      </c>
      <c r="AA2" s="1">
        <f>Knife!AA2</f>
        <v>44349</v>
      </c>
      <c r="AB2" s="1">
        <f>Knife!AB2</f>
        <v>44350</v>
      </c>
      <c r="AC2" s="1">
        <f>Knife!AC2</f>
        <v>44351</v>
      </c>
      <c r="AD2" s="1">
        <f>Knife!AD2</f>
        <v>44352</v>
      </c>
      <c r="AE2" s="1">
        <f>Knife!AE2</f>
        <v>44353</v>
      </c>
      <c r="AF2" s="1">
        <f>Knife!AF2</f>
        <v>44354</v>
      </c>
      <c r="AG2" s="1">
        <f>Knife!AG2</f>
        <v>44355</v>
      </c>
      <c r="AH2" s="1">
        <f>Knife!AH2</f>
        <v>44356</v>
      </c>
      <c r="AI2" s="1">
        <f>Knife!AI2</f>
        <v>44357</v>
      </c>
      <c r="AJ2" s="1">
        <f>Knife!AJ2</f>
        <v>44358</v>
      </c>
      <c r="AK2" s="1">
        <f>Knife!AK2</f>
        <v>44359</v>
      </c>
      <c r="AL2" s="1">
        <f>Knife!AL2</f>
        <v>44360</v>
      </c>
      <c r="AM2" s="1">
        <f>Knife!AM2</f>
        <v>44361</v>
      </c>
      <c r="AN2" s="1">
        <f>Knife!AN2</f>
        <v>44362</v>
      </c>
      <c r="AO2" s="1">
        <f>Knife!AO2</f>
        <v>44363</v>
      </c>
      <c r="AP2" s="1">
        <f>Knife!AP2</f>
        <v>44364</v>
      </c>
      <c r="AQ2" s="1">
        <f>Knife!AQ2</f>
        <v>44365</v>
      </c>
      <c r="AR2" s="1">
        <f>Knife!AR2</f>
        <v>44366</v>
      </c>
      <c r="AS2" s="1">
        <f>Knife!AS2</f>
        <v>44367</v>
      </c>
      <c r="AT2" s="1">
        <f>Knife!AT2</f>
        <v>44368</v>
      </c>
      <c r="AU2" s="1">
        <f>Knife!AU2</f>
        <v>44369</v>
      </c>
      <c r="AV2" s="1">
        <f>Knife!AV2</f>
        <v>44370</v>
      </c>
      <c r="AW2" s="1">
        <f>Knife!AW2</f>
        <v>44371</v>
      </c>
      <c r="AX2" s="1">
        <f>Knife!AX2</f>
        <v>44372</v>
      </c>
      <c r="AY2" s="1">
        <f>Knife!AY2</f>
        <v>44373</v>
      </c>
      <c r="AZ2" s="1">
        <f>Knife!AZ2</f>
        <v>44374</v>
      </c>
      <c r="BA2" s="1">
        <f>Knife!BA2</f>
        <v>44375</v>
      </c>
      <c r="BB2" s="1">
        <f>Knife!BB2</f>
        <v>44376</v>
      </c>
      <c r="BC2" s="1">
        <f>Knife!BC2</f>
        <v>44377</v>
      </c>
      <c r="BD2" s="1">
        <f>Knife!BD2</f>
        <v>44378</v>
      </c>
      <c r="BE2" s="1">
        <f>Knife!BE2</f>
        <v>44379</v>
      </c>
      <c r="BF2" s="1">
        <f>Knife!BF2</f>
        <v>44380</v>
      </c>
      <c r="BG2" s="1">
        <f>Knife!BG2</f>
        <v>44381</v>
      </c>
      <c r="BH2" s="1">
        <f>Knife!BH2</f>
        <v>44382</v>
      </c>
      <c r="BI2" s="1">
        <f>Knife!BI2</f>
        <v>44383</v>
      </c>
      <c r="BJ2" s="1">
        <f>Knife!BJ2</f>
        <v>44384</v>
      </c>
      <c r="BK2" s="1">
        <f>Knife!BK2</f>
        <v>44385</v>
      </c>
      <c r="BL2" s="1">
        <f>Knife!BL2</f>
        <v>44386</v>
      </c>
      <c r="BM2" s="1">
        <f>Knife!BM2</f>
        <v>44387</v>
      </c>
      <c r="BN2" s="1">
        <f>Knife!BN2</f>
        <v>44388</v>
      </c>
      <c r="BO2" s="1">
        <f>Knife!BO2</f>
        <v>44389</v>
      </c>
      <c r="BP2" s="1">
        <f>Knife!BP2</f>
        <v>44390</v>
      </c>
      <c r="BQ2" s="1">
        <f>Knife!BQ2</f>
        <v>44391</v>
      </c>
      <c r="BR2" s="1">
        <f>Knife!BR2</f>
        <v>44392</v>
      </c>
      <c r="BS2" s="1">
        <f>Knife!BS2</f>
        <v>44393</v>
      </c>
      <c r="BT2" s="1">
        <f>Knife!BT2</f>
        <v>44394</v>
      </c>
      <c r="BU2" s="1">
        <f>Knife!BU2</f>
        <v>44395</v>
      </c>
      <c r="BV2" s="1">
        <f>Knife!BV2</f>
        <v>44396</v>
      </c>
      <c r="BW2" s="1">
        <f>Knife!BW2</f>
        <v>44397</v>
      </c>
      <c r="BX2" s="1">
        <f>Knife!BX2</f>
        <v>44398</v>
      </c>
      <c r="BY2" s="1">
        <f>Knife!BY2</f>
        <v>44399</v>
      </c>
      <c r="BZ2" s="1">
        <f>Knife!BZ2</f>
        <v>44400</v>
      </c>
      <c r="CA2" s="1">
        <f>Knife!CA2</f>
        <v>44401</v>
      </c>
      <c r="CB2" s="1">
        <f>Knife!CB2</f>
        <v>44402</v>
      </c>
      <c r="CC2" s="1">
        <f>Knife!CC2</f>
        <v>44403</v>
      </c>
      <c r="CD2" s="1">
        <f>Knife!CD2</f>
        <v>44404</v>
      </c>
      <c r="CE2" s="1">
        <f>Knife!CE2</f>
        <v>44405</v>
      </c>
      <c r="CF2" s="1">
        <f>Knife!CF2</f>
        <v>44406</v>
      </c>
      <c r="CG2" s="1">
        <f>Knife!CG2</f>
        <v>44407</v>
      </c>
      <c r="CH2" s="1">
        <f>Knife!CH2</f>
        <v>44408</v>
      </c>
      <c r="CI2" s="1">
        <f>Knife!CI2</f>
        <v>44409</v>
      </c>
      <c r="CJ2" s="1">
        <f>Knife!CJ2</f>
        <v>44410</v>
      </c>
      <c r="CK2" s="1">
        <f>Knife!CK2</f>
        <v>44411</v>
      </c>
      <c r="CL2" s="1">
        <f>Knife!CL2</f>
        <v>44412</v>
      </c>
      <c r="CM2" s="1">
        <f>Knife!CM2</f>
        <v>44413</v>
      </c>
      <c r="CN2" s="1">
        <f>Knife!CN2</f>
        <v>44414</v>
      </c>
      <c r="CO2" s="1">
        <f>Knife!CO2</f>
        <v>44415</v>
      </c>
      <c r="CP2" s="1">
        <f>Knife!CP2</f>
        <v>44416</v>
      </c>
      <c r="CQ2" s="1">
        <f>Knife!CQ2</f>
        <v>44417</v>
      </c>
      <c r="CR2" s="1">
        <f>Knife!CR2</f>
        <v>44418</v>
      </c>
      <c r="CS2" s="1">
        <f>Knife!CS2</f>
        <v>44419</v>
      </c>
      <c r="CT2" s="1">
        <f>Knife!CT2</f>
        <v>44420</v>
      </c>
      <c r="CU2" s="1">
        <f>Knife!CU2</f>
        <v>44421</v>
      </c>
      <c r="CV2" s="1">
        <f>Knife!CV2</f>
        <v>44422</v>
      </c>
      <c r="CW2" s="1">
        <f>Knife!CW2</f>
        <v>44423</v>
      </c>
      <c r="CX2" s="1">
        <f>Knife!CX2</f>
        <v>44424</v>
      </c>
      <c r="CY2" s="1">
        <f>Knife!CY2</f>
        <v>44425</v>
      </c>
      <c r="CZ2" s="1">
        <f>Knife!CZ2</f>
        <v>44426</v>
      </c>
      <c r="DA2" s="1">
        <f>Knife!DA2</f>
        <v>44427</v>
      </c>
      <c r="DB2" s="1">
        <f>Knife!DB2</f>
        <v>44428</v>
      </c>
      <c r="DC2" s="1">
        <f>Knife!DC2</f>
        <v>44429</v>
      </c>
      <c r="DD2" s="1">
        <f>Knife!DD2</f>
        <v>44430</v>
      </c>
      <c r="DE2" s="1">
        <f>Knife!DE2</f>
        <v>44431</v>
      </c>
      <c r="DF2" s="1">
        <f>Knife!DF2</f>
        <v>44432</v>
      </c>
      <c r="DG2" s="1">
        <f>Knife!DG2</f>
        <v>44433</v>
      </c>
      <c r="DH2" s="1">
        <f>Knife!DH2</f>
        <v>44434</v>
      </c>
      <c r="DI2" s="1">
        <f>Knife!DI2</f>
        <v>44435</v>
      </c>
      <c r="DJ2" s="1">
        <f>Knife!DJ2</f>
        <v>44436</v>
      </c>
      <c r="DK2" s="1">
        <f>Knife!DK2</f>
        <v>44437</v>
      </c>
      <c r="DL2" s="1">
        <f>Knife!DL2</f>
        <v>44438</v>
      </c>
      <c r="DM2" s="1">
        <f>Knife!DM2</f>
        <v>44439</v>
      </c>
      <c r="DN2" s="1">
        <f>Knife!DN2</f>
        <v>44440</v>
      </c>
      <c r="DO2" s="1">
        <f>Knife!DO2</f>
        <v>44441</v>
      </c>
      <c r="DP2" s="1">
        <f>Knife!DP2</f>
        <v>44442</v>
      </c>
      <c r="DQ2" s="1">
        <f>Knife!DQ2</f>
        <v>44443</v>
      </c>
      <c r="DR2" s="1">
        <f>Knife!DR2</f>
        <v>44444</v>
      </c>
      <c r="DS2" s="1">
        <f>Knife!DS2</f>
        <v>44445</v>
      </c>
      <c r="DT2" s="1">
        <f>Knife!DT2</f>
        <v>44446</v>
      </c>
      <c r="DU2" s="1">
        <f>Knife!DU2</f>
        <v>44447</v>
      </c>
      <c r="DV2" s="1">
        <f>Knife!DV2</f>
        <v>44448</v>
      </c>
      <c r="DW2" s="1">
        <f>Knife!DW2</f>
        <v>44449</v>
      </c>
      <c r="DX2" s="1">
        <f>Knife!DX2</f>
        <v>44450</v>
      </c>
      <c r="DY2" s="1">
        <f>Knife!DY2</f>
        <v>44451</v>
      </c>
      <c r="DZ2" s="1">
        <f>Knife!DZ2</f>
        <v>44452</v>
      </c>
      <c r="EA2" s="1">
        <f>Knife!EA2</f>
        <v>44453</v>
      </c>
      <c r="EB2" s="1">
        <f>Knife!EB2</f>
        <v>44454</v>
      </c>
      <c r="EC2" s="1">
        <f>Knife!EC2</f>
        <v>44455</v>
      </c>
      <c r="ED2" s="1">
        <f>Knife!ED2</f>
        <v>44456</v>
      </c>
      <c r="EE2" s="1">
        <f>Knife!EE2</f>
        <v>44457</v>
      </c>
      <c r="EF2" s="1">
        <f>Knife!EF2</f>
        <v>44458</v>
      </c>
      <c r="EG2" s="1">
        <f>Knife!EG2</f>
        <v>44459</v>
      </c>
      <c r="EH2" s="1">
        <f>Knife!EH2</f>
        <v>44460</v>
      </c>
      <c r="EI2" s="1">
        <f>Knife!EI2</f>
        <v>44461</v>
      </c>
      <c r="EJ2" s="1">
        <f>Knife!EJ2</f>
        <v>44462</v>
      </c>
      <c r="EK2" s="1">
        <f>Knife!EK2</f>
        <v>44463</v>
      </c>
      <c r="EL2" s="1">
        <f>Knife!EL2</f>
        <v>44464</v>
      </c>
      <c r="EM2" s="1">
        <f>Knife!EM2</f>
        <v>44465</v>
      </c>
      <c r="EN2" s="1">
        <f>Knife!EN2</f>
        <v>44466</v>
      </c>
      <c r="EO2" s="1">
        <f>Knife!EO2</f>
        <v>44467</v>
      </c>
      <c r="EP2" s="1">
        <f>Knife!EP2</f>
        <v>44468</v>
      </c>
      <c r="EQ2" s="1">
        <f>Knife!EQ2</f>
        <v>44469</v>
      </c>
      <c r="ER2" s="1">
        <f>Knife!ER2</f>
        <v>44470</v>
      </c>
      <c r="ES2" s="1">
        <f>Knife!ES2</f>
        <v>44471</v>
      </c>
      <c r="ET2" s="1">
        <f>Knife!ET2</f>
        <v>44472</v>
      </c>
      <c r="EU2" s="1">
        <f>Knife!EU2</f>
        <v>44473</v>
      </c>
      <c r="EV2" s="1">
        <f>Knife!EV2</f>
        <v>44474</v>
      </c>
      <c r="EW2" s="1">
        <f>Knife!EW2</f>
        <v>44475</v>
      </c>
      <c r="EX2" s="1">
        <f>Knife!EX2</f>
        <v>44476</v>
      </c>
      <c r="EY2" s="1">
        <f>Knife!EY2</f>
        <v>44477</v>
      </c>
      <c r="EZ2" s="1">
        <f>Knife!EZ2</f>
        <v>44478</v>
      </c>
      <c r="FA2" s="1">
        <f>Knife!FA2</f>
        <v>44479</v>
      </c>
      <c r="FB2" s="1">
        <f>Knife!FB2</f>
        <v>44480</v>
      </c>
      <c r="FC2" s="1">
        <f>Knife!FC2</f>
        <v>44481</v>
      </c>
      <c r="FD2" s="1">
        <f>Knife!FD2</f>
        <v>44482</v>
      </c>
      <c r="FE2" s="1">
        <f>Knife!FE2</f>
        <v>44483</v>
      </c>
      <c r="FF2" s="1">
        <f>Knife!FF2</f>
        <v>44484</v>
      </c>
      <c r="FG2" s="1">
        <f>Knife!FG2</f>
        <v>44485</v>
      </c>
      <c r="FH2" s="1">
        <f>Knife!FH2</f>
        <v>44486</v>
      </c>
      <c r="FI2" s="1">
        <f>Knife!FI2</f>
        <v>44487</v>
      </c>
      <c r="FJ2" s="1">
        <f>Knife!FJ2</f>
        <v>44488</v>
      </c>
      <c r="FK2" s="1">
        <f>Knife!FK2</f>
        <v>44489</v>
      </c>
      <c r="FL2" s="1">
        <f>Knife!FL2</f>
        <v>44490</v>
      </c>
      <c r="FM2" s="1">
        <f>Knife!FM2</f>
        <v>44491</v>
      </c>
      <c r="FN2" s="1">
        <f>Knife!FN2</f>
        <v>44492</v>
      </c>
      <c r="FO2" s="1">
        <f>Knife!FO2</f>
        <v>44493</v>
      </c>
      <c r="FP2" s="1">
        <f>Knife!FP2</f>
        <v>44494</v>
      </c>
      <c r="FQ2" s="1">
        <f>Knife!FQ2</f>
        <v>44495</v>
      </c>
      <c r="FR2" s="1">
        <f>Knife!FR2</f>
        <v>44496</v>
      </c>
      <c r="FS2" s="1">
        <f>Knife!FS2</f>
        <v>44497</v>
      </c>
      <c r="FT2" s="1">
        <f>Knife!FT2</f>
        <v>44498</v>
      </c>
      <c r="FU2" s="1">
        <f>Knife!FU2</f>
        <v>44499</v>
      </c>
      <c r="FV2" s="1">
        <f>Knife!FV2</f>
        <v>44500</v>
      </c>
      <c r="FW2" s="1">
        <f>Knife!FW2</f>
        <v>44501</v>
      </c>
      <c r="FX2" s="1">
        <f>Knife!FX2</f>
        <v>44502</v>
      </c>
      <c r="FY2" s="1">
        <f>Knife!FY2</f>
        <v>44503</v>
      </c>
      <c r="FZ2" s="1">
        <f>Knife!FZ2</f>
        <v>44504</v>
      </c>
      <c r="GA2" s="1">
        <f>Knife!GA2</f>
        <v>44505</v>
      </c>
    </row>
    <row r="3" spans="1:183" x14ac:dyDescent="0.45">
      <c r="A3" s="7" t="s">
        <v>66</v>
      </c>
      <c r="C3" cm="1">
        <f t="array" ref="C3">LOOKUP(2,1/(I3:GA3&lt;&gt;""),I3:GA3)</f>
        <v>36.72</v>
      </c>
      <c r="D3" cm="1">
        <f t="array" ref="D3">SUMPRODUCT(MAX((I3:GA3&lt;&gt;"")*COLUMN(I3:GA3)))</f>
        <v>45</v>
      </c>
      <c r="F3" s="4">
        <f>(C3-I3)/I3</f>
        <v>-1.5813454837845173E-2</v>
      </c>
      <c r="G3" s="3" cm="1">
        <f t="array" ref="G3">(C3-IF(ISNA(INDEX(I3:GA3,D3-22)),INDEX(I3:GA3,D3-23),INDEX(I3:GA3,D3-22)))/IF(ISNA(INDEX(I3:GA3,D3-22)),INDEX(I3:GA3,D3-23),INDEX(I3:GA3,D3-22))</f>
        <v>1.5767634854771794E-2</v>
      </c>
      <c r="I3">
        <v>37.31</v>
      </c>
      <c r="J3">
        <v>36.880000000000003</v>
      </c>
      <c r="L3">
        <v>38.799999999999997</v>
      </c>
      <c r="N3">
        <v>37.92</v>
      </c>
      <c r="O3">
        <v>39.03</v>
      </c>
      <c r="P3">
        <v>38.35</v>
      </c>
      <c r="Q3">
        <v>37.799999999999997</v>
      </c>
      <c r="R3">
        <v>36.909999999999997</v>
      </c>
      <c r="S3">
        <v>35.35</v>
      </c>
      <c r="T3">
        <v>38.06</v>
      </c>
      <c r="U3">
        <v>35.93</v>
      </c>
      <c r="V3">
        <v>36.22</v>
      </c>
      <c r="W3">
        <v>35.090000000000003</v>
      </c>
      <c r="X3">
        <v>36.14</v>
      </c>
      <c r="Y3">
        <v>36.81</v>
      </c>
      <c r="Z3">
        <v>37.950000000000003</v>
      </c>
      <c r="AA3">
        <v>39.409999999999997</v>
      </c>
      <c r="AB3">
        <v>37.04</v>
      </c>
      <c r="AC3">
        <v>39.44</v>
      </c>
      <c r="AD3">
        <v>37.85</v>
      </c>
      <c r="AE3">
        <v>36.15</v>
      </c>
      <c r="AF3">
        <v>36.14</v>
      </c>
      <c r="AG3">
        <v>36.14</v>
      </c>
      <c r="AH3">
        <v>37.04</v>
      </c>
      <c r="AI3">
        <v>36.04</v>
      </c>
      <c r="AJ3">
        <v>38.33</v>
      </c>
      <c r="AK3">
        <v>36.92</v>
      </c>
      <c r="AL3">
        <v>35.79</v>
      </c>
      <c r="AM3">
        <v>36.840000000000003</v>
      </c>
      <c r="AO3">
        <v>35.78</v>
      </c>
      <c r="AP3">
        <v>38.729999999999997</v>
      </c>
      <c r="AQ3">
        <v>38.299999999999997</v>
      </c>
      <c r="AR3">
        <v>36.729999999999997</v>
      </c>
      <c r="AS3">
        <v>36.72</v>
      </c>
    </row>
    <row r="4" spans="1:183" x14ac:dyDescent="0.45">
      <c r="A4" s="7" t="s">
        <v>67</v>
      </c>
      <c r="C4" cm="1">
        <f t="array" ref="C4">LOOKUP(2,1/(I4:GA4&lt;&gt;""),I4:GA4)</f>
        <v>12.76</v>
      </c>
      <c r="D4" cm="1">
        <f t="array" ref="D4">SUMPRODUCT(MAX((I4:GA4&lt;&gt;"")*COLUMN(I4:GA4)))</f>
        <v>45</v>
      </c>
      <c r="F4" s="4">
        <f t="shared" ref="F4:F9" si="0">(C4-I4)/I4</f>
        <v>-7.3347857661583138E-2</v>
      </c>
      <c r="G4" s="3" cm="1">
        <f t="array" ref="G4">(C4-IF(ISNA(INDEX(I4:GA4,D4-22)),INDEX(I4:GA4,D4-23),INDEX(I4:GA4,D4-22)))/IF(ISNA(INDEX(I4:GA4,D4-22)),INDEX(I4:GA4,D4-23),INDEX(I4:GA4,D4-22))</f>
        <v>-2.1472392638036762E-2</v>
      </c>
      <c r="I4">
        <v>13.77</v>
      </c>
      <c r="J4">
        <v>14.43</v>
      </c>
      <c r="L4">
        <v>13.96</v>
      </c>
      <c r="N4">
        <v>13.19</v>
      </c>
      <c r="O4">
        <v>14.41</v>
      </c>
      <c r="P4">
        <v>14.08</v>
      </c>
      <c r="Q4">
        <v>14.66</v>
      </c>
      <c r="R4">
        <v>13.65</v>
      </c>
      <c r="S4">
        <v>13.29</v>
      </c>
      <c r="T4">
        <v>13.64</v>
      </c>
      <c r="U4">
        <v>13.24</v>
      </c>
      <c r="V4">
        <v>13.22</v>
      </c>
      <c r="W4">
        <v>13.98</v>
      </c>
      <c r="X4">
        <v>13.53</v>
      </c>
      <c r="Y4">
        <v>13.74</v>
      </c>
      <c r="Z4">
        <v>13.68</v>
      </c>
      <c r="AA4">
        <v>13.85</v>
      </c>
      <c r="AB4">
        <v>12.95</v>
      </c>
      <c r="AC4">
        <v>13.12</v>
      </c>
      <c r="AD4">
        <v>13.6</v>
      </c>
      <c r="AE4">
        <v>13.04</v>
      </c>
      <c r="AF4">
        <v>14</v>
      </c>
      <c r="AG4">
        <v>13.51</v>
      </c>
      <c r="AH4">
        <v>13.59</v>
      </c>
      <c r="AI4">
        <v>13.03</v>
      </c>
      <c r="AJ4">
        <v>12.55</v>
      </c>
      <c r="AK4">
        <v>13.36</v>
      </c>
      <c r="AL4">
        <v>12.62</v>
      </c>
      <c r="AM4">
        <v>13.47</v>
      </c>
      <c r="AO4">
        <v>13.58</v>
      </c>
      <c r="AP4">
        <v>12.59</v>
      </c>
      <c r="AQ4">
        <v>13.77</v>
      </c>
      <c r="AR4">
        <v>13.84</v>
      </c>
      <c r="AS4">
        <v>12.76</v>
      </c>
    </row>
    <row r="5" spans="1:183" x14ac:dyDescent="0.45">
      <c r="A5" s="7" t="s">
        <v>68</v>
      </c>
      <c r="C5" cm="1">
        <f t="array" ref="C5">LOOKUP(2,1/(I5:GA5&lt;&gt;""),I5:GA5)</f>
        <v>17.149999999999999</v>
      </c>
      <c r="D5" cm="1">
        <f t="array" ref="D5">SUMPRODUCT(MAX((I5:GA5&lt;&gt;"")*COLUMN(I5:GA5)))</f>
        <v>45</v>
      </c>
      <c r="F5" s="4">
        <f t="shared" si="0"/>
        <v>-9.2432120161756292E-3</v>
      </c>
      <c r="G5" s="3" cm="1">
        <f t="array" ref="G5">(C5-IF(ISNA(INDEX(I5:GA5,D5-22)),INDEX(I5:GA5,D5-23),INDEX(I5:GA5,D5-22)))/IF(ISNA(INDEX(I5:GA5,D5-22)),INDEX(I5:GA5,D5-23),INDEX(I5:GA5,D5-22))</f>
        <v>-8.6794462193823349E-2</v>
      </c>
      <c r="I5">
        <v>17.309999999999999</v>
      </c>
      <c r="J5">
        <v>16.39</v>
      </c>
      <c r="L5">
        <v>18.760000000000002</v>
      </c>
      <c r="N5">
        <v>18.239999999999998</v>
      </c>
      <c r="O5">
        <v>18.28</v>
      </c>
      <c r="P5">
        <v>17.510000000000002</v>
      </c>
      <c r="Q5">
        <v>17.170000000000002</v>
      </c>
      <c r="R5">
        <v>18.43</v>
      </c>
      <c r="S5">
        <v>17.95</v>
      </c>
      <c r="T5">
        <v>18.690000000000001</v>
      </c>
      <c r="U5">
        <v>17.260000000000002</v>
      </c>
      <c r="V5">
        <v>18.41</v>
      </c>
      <c r="W5">
        <v>18.350000000000001</v>
      </c>
      <c r="X5">
        <v>18.91</v>
      </c>
      <c r="Y5">
        <v>17.68</v>
      </c>
      <c r="Z5">
        <v>18.25</v>
      </c>
      <c r="AA5">
        <v>18.32</v>
      </c>
      <c r="AB5">
        <v>18.260000000000002</v>
      </c>
      <c r="AC5">
        <v>17.87</v>
      </c>
      <c r="AD5">
        <v>18.21</v>
      </c>
      <c r="AE5">
        <v>18.78</v>
      </c>
      <c r="AF5">
        <v>17.96</v>
      </c>
      <c r="AG5">
        <v>16.98</v>
      </c>
      <c r="AH5">
        <v>17.059999999999999</v>
      </c>
      <c r="AI5">
        <v>17.260000000000002</v>
      </c>
      <c r="AJ5">
        <v>17.79</v>
      </c>
      <c r="AK5">
        <v>17.079999999999998</v>
      </c>
      <c r="AL5">
        <v>17.43</v>
      </c>
      <c r="AM5">
        <v>17.100000000000001</v>
      </c>
      <c r="AO5">
        <v>17.04</v>
      </c>
      <c r="AP5">
        <v>18.010000000000002</v>
      </c>
      <c r="AQ5">
        <v>18.59</v>
      </c>
      <c r="AR5">
        <v>17.54</v>
      </c>
      <c r="AS5">
        <v>17.149999999999999</v>
      </c>
    </row>
    <row r="6" spans="1:183" x14ac:dyDescent="0.45">
      <c r="A6" s="7" t="s">
        <v>69</v>
      </c>
      <c r="C6" cm="1">
        <f t="array" ref="C6">LOOKUP(2,1/(I6:GA6&lt;&gt;""),I6:GA6)</f>
        <v>6.72</v>
      </c>
      <c r="D6" cm="1">
        <f t="array" ref="D6">SUMPRODUCT(MAX((I6:GA6&lt;&gt;"")*COLUMN(I6:GA6)))</f>
        <v>45</v>
      </c>
      <c r="F6" s="4">
        <f t="shared" si="0"/>
        <v>-2.6086956521739216E-2</v>
      </c>
      <c r="G6" s="3" cm="1">
        <f t="array" ref="G6">(C6-IF(ISNA(INDEX(I6:GA6,D6-22)),INDEX(I6:GA6,D6-23),INDEX(I6:GA6,D6-22)))/IF(ISNA(INDEX(I6:GA6,D6-22)),INDEX(I6:GA6,D6-23),INDEX(I6:GA6,D6-22))</f>
        <v>1.972685887708648E-2</v>
      </c>
      <c r="I6">
        <v>6.9</v>
      </c>
      <c r="J6">
        <v>7.37</v>
      </c>
      <c r="L6">
        <v>6.99</v>
      </c>
      <c r="N6">
        <v>6.87</v>
      </c>
      <c r="O6">
        <v>6.82</v>
      </c>
      <c r="P6">
        <v>7.06</v>
      </c>
      <c r="Q6">
        <v>6.74</v>
      </c>
      <c r="R6">
        <v>7.04</v>
      </c>
      <c r="S6">
        <v>6.99</v>
      </c>
      <c r="T6">
        <v>7.14</v>
      </c>
      <c r="U6">
        <v>6.68</v>
      </c>
      <c r="V6">
        <v>6.85</v>
      </c>
      <c r="W6">
        <v>6.98</v>
      </c>
      <c r="X6">
        <v>7.03</v>
      </c>
      <c r="Y6">
        <v>6.48</v>
      </c>
      <c r="Z6">
        <v>6.63</v>
      </c>
      <c r="AA6">
        <v>6.64</v>
      </c>
      <c r="AB6">
        <v>7.06</v>
      </c>
      <c r="AC6">
        <v>6.58</v>
      </c>
      <c r="AD6">
        <v>6.51</v>
      </c>
      <c r="AE6">
        <v>6.59</v>
      </c>
      <c r="AF6">
        <v>7.03</v>
      </c>
      <c r="AG6">
        <v>6.6</v>
      </c>
      <c r="AH6">
        <v>6.98</v>
      </c>
      <c r="AI6">
        <v>6.76</v>
      </c>
      <c r="AJ6">
        <v>6.75</v>
      </c>
      <c r="AK6">
        <v>6.81</v>
      </c>
      <c r="AL6">
        <v>6.74</v>
      </c>
      <c r="AM6">
        <v>6.3</v>
      </c>
      <c r="AO6">
        <v>6.5</v>
      </c>
      <c r="AP6">
        <v>6.61</v>
      </c>
      <c r="AQ6">
        <v>6.36</v>
      </c>
      <c r="AR6">
        <v>6.27</v>
      </c>
      <c r="AS6">
        <v>6.72</v>
      </c>
    </row>
    <row r="7" spans="1:183" x14ac:dyDescent="0.45">
      <c r="A7" s="7" t="s">
        <v>70</v>
      </c>
      <c r="C7" cm="1">
        <f t="array" ref="C7">LOOKUP(2,1/(I7:GA7&lt;&gt;""),I7:GA7)</f>
        <v>31.97</v>
      </c>
      <c r="D7" cm="1">
        <f t="array" ref="D7">SUMPRODUCT(MAX((I7:GA7&lt;&gt;"")*COLUMN(I7:GA7)))</f>
        <v>45</v>
      </c>
      <c r="F7" s="4">
        <f t="shared" si="0"/>
        <v>0.19024571854058078</v>
      </c>
      <c r="G7" s="3" cm="1">
        <f t="array" ref="G7">(C7-IF(ISNA(INDEX(I7:GA7,D7-22)),INDEX(I7:GA7,D7-23),INDEX(I7:GA7,D7-22)))/IF(ISNA(INDEX(I7:GA7,D7-22)),INDEX(I7:GA7,D7-23),INDEX(I7:GA7,D7-22))</f>
        <v>-0.10448179271708694</v>
      </c>
      <c r="I7">
        <v>26.86</v>
      </c>
      <c r="J7">
        <v>25.93</v>
      </c>
      <c r="L7">
        <v>25.2</v>
      </c>
      <c r="N7">
        <v>26.25</v>
      </c>
      <c r="O7">
        <v>26.3</v>
      </c>
      <c r="P7">
        <v>26.9</v>
      </c>
      <c r="Q7">
        <v>24.86</v>
      </c>
      <c r="R7">
        <v>27.3</v>
      </c>
      <c r="S7">
        <v>25.21</v>
      </c>
      <c r="T7">
        <v>26.11</v>
      </c>
      <c r="U7">
        <v>27.42</v>
      </c>
      <c r="V7">
        <v>27.34</v>
      </c>
      <c r="W7">
        <v>27.33</v>
      </c>
      <c r="X7">
        <v>28.52</v>
      </c>
      <c r="Y7">
        <v>28.58</v>
      </c>
      <c r="Z7">
        <v>29.09</v>
      </c>
      <c r="AA7">
        <v>29.49</v>
      </c>
      <c r="AB7">
        <v>28.06</v>
      </c>
      <c r="AC7">
        <v>32.92</v>
      </c>
      <c r="AD7">
        <v>38.33</v>
      </c>
      <c r="AE7">
        <v>35.700000000000003</v>
      </c>
      <c r="AF7">
        <v>31.47</v>
      </c>
      <c r="AG7">
        <v>31.14</v>
      </c>
      <c r="AH7">
        <v>31.54</v>
      </c>
      <c r="AI7">
        <v>31.16</v>
      </c>
      <c r="AJ7">
        <v>30.56</v>
      </c>
      <c r="AK7">
        <v>28.3</v>
      </c>
      <c r="AL7">
        <v>28.18</v>
      </c>
      <c r="AM7">
        <v>30.93</v>
      </c>
      <c r="AO7">
        <v>29.64</v>
      </c>
      <c r="AP7">
        <v>29.97</v>
      </c>
      <c r="AQ7">
        <v>29.16</v>
      </c>
      <c r="AR7">
        <v>31.3</v>
      </c>
      <c r="AS7">
        <v>31.97</v>
      </c>
    </row>
    <row r="8" spans="1:183" x14ac:dyDescent="0.45">
      <c r="A8" s="7" t="s">
        <v>71</v>
      </c>
      <c r="C8" cm="1">
        <f t="array" ref="C8">LOOKUP(2,1/(I8:GA8&lt;&gt;""),I8:GA8)</f>
        <v>24.86</v>
      </c>
      <c r="D8" cm="1">
        <f t="array" ref="D8">SUMPRODUCT(MAX((I8:GA8&lt;&gt;"")*COLUMN(I8:GA8)))</f>
        <v>45</v>
      </c>
      <c r="F8" s="4">
        <f t="shared" si="0"/>
        <v>-0.1448228414172687</v>
      </c>
      <c r="G8" s="3" cm="1">
        <f t="array" ref="G8">(C8-IF(ISNA(INDEX(I8:GA8,D8-22)),INDEX(I8:GA8,D8-23),INDEX(I8:GA8,D8-22)))/IF(ISNA(INDEX(I8:GA8,D8-22)),INDEX(I8:GA8,D8-23),INDEX(I8:GA8,D8-22))</f>
        <v>-3.8297872340425608E-2</v>
      </c>
      <c r="I8">
        <v>29.07</v>
      </c>
      <c r="J8">
        <v>29.37</v>
      </c>
      <c r="L8">
        <v>26.79</v>
      </c>
      <c r="N8">
        <v>27.5</v>
      </c>
      <c r="O8">
        <v>27.26</v>
      </c>
      <c r="P8">
        <v>28.86</v>
      </c>
      <c r="Q8">
        <v>27.29</v>
      </c>
      <c r="R8">
        <v>25.83</v>
      </c>
      <c r="S8">
        <v>26.17</v>
      </c>
      <c r="T8">
        <v>25.72</v>
      </c>
      <c r="U8">
        <v>27.42</v>
      </c>
      <c r="V8">
        <v>25.94</v>
      </c>
      <c r="W8">
        <v>26.04</v>
      </c>
      <c r="X8">
        <v>25.26</v>
      </c>
      <c r="Y8">
        <v>27.4</v>
      </c>
      <c r="Z8">
        <v>27.17</v>
      </c>
      <c r="AA8">
        <v>26.02</v>
      </c>
      <c r="AB8">
        <v>26.27</v>
      </c>
      <c r="AC8">
        <v>27.83</v>
      </c>
      <c r="AD8">
        <v>26.99</v>
      </c>
      <c r="AE8">
        <v>25.85</v>
      </c>
      <c r="AF8">
        <v>28.1</v>
      </c>
      <c r="AG8">
        <v>26.37</v>
      </c>
      <c r="AH8">
        <v>26.59</v>
      </c>
      <c r="AI8">
        <v>25.22</v>
      </c>
      <c r="AJ8">
        <v>24.19</v>
      </c>
      <c r="AK8">
        <v>27.33</v>
      </c>
      <c r="AL8">
        <v>26.95</v>
      </c>
      <c r="AM8">
        <v>25.25</v>
      </c>
      <c r="AO8">
        <v>25.64</v>
      </c>
      <c r="AP8">
        <v>25.32</v>
      </c>
      <c r="AQ8">
        <v>26</v>
      </c>
      <c r="AR8">
        <v>26.58</v>
      </c>
      <c r="AS8">
        <v>24.86</v>
      </c>
    </row>
    <row r="9" spans="1:183" x14ac:dyDescent="0.45">
      <c r="A9" s="7" t="s">
        <v>72</v>
      </c>
      <c r="C9" cm="1">
        <f t="array" ref="C9">LOOKUP(2,1/(I9:GA9&lt;&gt;""),I9:GA9)</f>
        <v>14.51</v>
      </c>
      <c r="D9" cm="1">
        <f t="array" ref="D9">SUMPRODUCT(MAX((I9:GA9&lt;&gt;"")*COLUMN(I9:GA9)))</f>
        <v>45</v>
      </c>
      <c r="F9" s="4">
        <f t="shared" si="0"/>
        <v>-6.88705234159765E-4</v>
      </c>
      <c r="G9" s="3" cm="1">
        <f t="array" ref="G9">(C9-IF(ISNA(INDEX(I9:GA9,D9-22)),INDEX(I9:GA9,D9-23),INDEX(I9:GA9,D9-22)))/IF(ISNA(INDEX(I9:GA9,D9-22)),INDEX(I9:GA9,D9-23),INDEX(I9:GA9,D9-22))</f>
        <v>9.3443858327053528E-2</v>
      </c>
      <c r="I9">
        <v>14.52</v>
      </c>
      <c r="J9">
        <v>13.27</v>
      </c>
      <c r="L9">
        <v>13.26</v>
      </c>
      <c r="N9">
        <v>14.11</v>
      </c>
      <c r="O9">
        <v>14.06</v>
      </c>
      <c r="P9">
        <v>14.27</v>
      </c>
      <c r="Q9">
        <v>13.84</v>
      </c>
      <c r="R9">
        <v>13.34</v>
      </c>
      <c r="S9">
        <v>12.49</v>
      </c>
      <c r="T9">
        <v>12.85</v>
      </c>
      <c r="U9">
        <v>12.48</v>
      </c>
      <c r="V9">
        <v>13.5</v>
      </c>
      <c r="W9">
        <v>13.54</v>
      </c>
      <c r="X9">
        <v>13.54</v>
      </c>
      <c r="Y9">
        <v>14.22</v>
      </c>
      <c r="Z9">
        <v>13.54</v>
      </c>
      <c r="AA9">
        <v>13.19</v>
      </c>
      <c r="AB9">
        <v>13.66</v>
      </c>
      <c r="AC9">
        <v>12.69</v>
      </c>
      <c r="AD9">
        <v>13.66</v>
      </c>
      <c r="AE9">
        <v>13.27</v>
      </c>
      <c r="AF9">
        <v>13.63</v>
      </c>
      <c r="AG9">
        <v>13.64</v>
      </c>
      <c r="AH9">
        <v>13.66</v>
      </c>
      <c r="AI9">
        <v>13.69</v>
      </c>
      <c r="AJ9">
        <v>13.68</v>
      </c>
      <c r="AK9">
        <v>14.64</v>
      </c>
      <c r="AL9">
        <v>14.77</v>
      </c>
      <c r="AM9">
        <v>12.47</v>
      </c>
      <c r="AO9">
        <v>13.45</v>
      </c>
      <c r="AP9">
        <v>13.29</v>
      </c>
      <c r="AQ9">
        <v>13.54</v>
      </c>
      <c r="AR9">
        <v>14.43</v>
      </c>
      <c r="AS9">
        <v>14.51</v>
      </c>
    </row>
    <row r="10" spans="1:183" x14ac:dyDescent="0.45">
      <c r="A10" s="7" t="s">
        <v>73</v>
      </c>
      <c r="C10" cm="1">
        <f t="array" ref="C10">LOOKUP(2,1/(I10:GA10&lt;&gt;""),I10:GA10)</f>
        <v>29.58</v>
      </c>
      <c r="D10" cm="1">
        <f t="array" ref="D10">SUMPRODUCT(MAX((I10:GA10&lt;&gt;"")*COLUMN(I10:GA10)))</f>
        <v>45</v>
      </c>
      <c r="F10" s="4">
        <f t="shared" ref="F10" si="1">(C10-I10)/I10</f>
        <v>-0.10930442637759719</v>
      </c>
      <c r="G10" s="3" cm="1">
        <f t="array" ref="G10">(C10-IF(ISNA(INDEX(I10:GA10,D10-22)),INDEX(I10:GA10,D10-23),INDEX(I10:GA10,D10-22)))/IF(ISNA(INDEX(I10:GA10,D10-22)),INDEX(I10:GA10,D10-23),INDEX(I10:GA10,D10-22))</f>
        <v>1.8595041322314022E-2</v>
      </c>
      <c r="I10">
        <v>33.21</v>
      </c>
      <c r="J10">
        <v>31.65</v>
      </c>
      <c r="L10">
        <v>29.18</v>
      </c>
      <c r="N10">
        <v>31.74</v>
      </c>
      <c r="O10">
        <v>29.35</v>
      </c>
      <c r="P10">
        <v>30.3</v>
      </c>
      <c r="Q10">
        <v>30.75</v>
      </c>
      <c r="R10">
        <v>28.8</v>
      </c>
      <c r="S10">
        <v>30.22</v>
      </c>
      <c r="T10">
        <v>28.81</v>
      </c>
      <c r="U10">
        <v>28.69</v>
      </c>
      <c r="V10">
        <v>27.92</v>
      </c>
      <c r="W10">
        <v>28.87</v>
      </c>
      <c r="X10">
        <v>29.99</v>
      </c>
      <c r="Y10">
        <v>28.9</v>
      </c>
      <c r="Z10">
        <v>29.12</v>
      </c>
      <c r="AA10">
        <v>29.62</v>
      </c>
      <c r="AB10">
        <v>28.55</v>
      </c>
      <c r="AC10">
        <v>29.16</v>
      </c>
      <c r="AD10">
        <v>29.07</v>
      </c>
      <c r="AE10">
        <v>29.04</v>
      </c>
      <c r="AF10">
        <v>30.67</v>
      </c>
      <c r="AG10">
        <v>28.92</v>
      </c>
      <c r="AH10">
        <v>29.44</v>
      </c>
      <c r="AI10">
        <v>30.41</v>
      </c>
      <c r="AJ10">
        <v>29.82</v>
      </c>
      <c r="AK10">
        <v>31.28</v>
      </c>
      <c r="AL10">
        <v>28.31</v>
      </c>
      <c r="AM10">
        <v>29.37</v>
      </c>
      <c r="AO10">
        <v>29.15</v>
      </c>
      <c r="AP10">
        <v>28.64</v>
      </c>
      <c r="AQ10">
        <v>28.25</v>
      </c>
      <c r="AR10">
        <v>28.63</v>
      </c>
      <c r="AS10">
        <v>29.58</v>
      </c>
    </row>
    <row r="14" spans="1:183" x14ac:dyDescent="0.45">
      <c r="I14" s="1">
        <f>I2</f>
        <v>44331</v>
      </c>
      <c r="J14" s="1">
        <f>J2</f>
        <v>44332</v>
      </c>
      <c r="K14" s="1">
        <f>K2</f>
        <v>44333</v>
      </c>
      <c r="L14" s="1">
        <f>L2</f>
        <v>44334</v>
      </c>
      <c r="M14" s="1">
        <f>M2</f>
        <v>44335</v>
      </c>
      <c r="N14" s="1">
        <f>N2</f>
        <v>44336</v>
      </c>
      <c r="O14" s="1">
        <f>O2</f>
        <v>44337</v>
      </c>
      <c r="P14" s="1">
        <f>P2</f>
        <v>44338</v>
      </c>
      <c r="Q14" s="1">
        <f>Q2</f>
        <v>44339</v>
      </c>
      <c r="R14" s="1">
        <f>R2</f>
        <v>44340</v>
      </c>
      <c r="S14" s="1">
        <f>S2</f>
        <v>44341</v>
      </c>
      <c r="T14" s="1">
        <f>T2</f>
        <v>44342</v>
      </c>
      <c r="U14" s="1">
        <f>U2</f>
        <v>44343</v>
      </c>
      <c r="V14" s="1">
        <f>V2</f>
        <v>44344</v>
      </c>
      <c r="W14" s="1">
        <f>W2</f>
        <v>44345</v>
      </c>
      <c r="X14" s="1">
        <f>X2</f>
        <v>44346</v>
      </c>
      <c r="Y14" s="1">
        <f>Y2</f>
        <v>44347</v>
      </c>
      <c r="Z14" s="1">
        <f>Z2</f>
        <v>44348</v>
      </c>
      <c r="AA14" s="1">
        <f>AA2</f>
        <v>44349</v>
      </c>
      <c r="AB14" s="1">
        <f>AB2</f>
        <v>44350</v>
      </c>
      <c r="AC14" s="1">
        <f>AC2</f>
        <v>44351</v>
      </c>
      <c r="AD14" s="1">
        <f>AD2</f>
        <v>44352</v>
      </c>
      <c r="AE14" s="1">
        <f>AE2</f>
        <v>44353</v>
      </c>
      <c r="AF14" s="1">
        <f>AF2</f>
        <v>44354</v>
      </c>
      <c r="AG14" s="1">
        <f>AG2</f>
        <v>44355</v>
      </c>
      <c r="AH14" s="1">
        <f>AH2</f>
        <v>44356</v>
      </c>
      <c r="AI14" s="1">
        <f>AI2</f>
        <v>44357</v>
      </c>
      <c r="AJ14" s="1">
        <f>AJ2</f>
        <v>44358</v>
      </c>
      <c r="AK14" s="1">
        <f>AK2</f>
        <v>44359</v>
      </c>
      <c r="AL14" s="1">
        <f>AL2</f>
        <v>44360</v>
      </c>
      <c r="AM14" s="1">
        <f>AM2</f>
        <v>44361</v>
      </c>
      <c r="AN14" s="1">
        <f>AN2</f>
        <v>44362</v>
      </c>
      <c r="AO14" s="1">
        <f>AO2</f>
        <v>44363</v>
      </c>
      <c r="AP14" s="1">
        <f>AP2</f>
        <v>44364</v>
      </c>
      <c r="AQ14" s="1">
        <f>AQ2</f>
        <v>44365</v>
      </c>
      <c r="AR14" s="1">
        <f>AR2</f>
        <v>44366</v>
      </c>
      <c r="AS14" s="1">
        <f>AS2</f>
        <v>44367</v>
      </c>
      <c r="AT14" s="1">
        <f>AT2</f>
        <v>44368</v>
      </c>
      <c r="AU14" s="1">
        <f>AU2</f>
        <v>44369</v>
      </c>
      <c r="AV14" s="1">
        <f>AV2</f>
        <v>44370</v>
      </c>
      <c r="AW14" s="1">
        <f>AW2</f>
        <v>44371</v>
      </c>
      <c r="AX14" s="1">
        <f>AX2</f>
        <v>44372</v>
      </c>
      <c r="AY14" s="1">
        <f>AY2</f>
        <v>44373</v>
      </c>
      <c r="AZ14" s="1">
        <f>AZ2</f>
        <v>44374</v>
      </c>
      <c r="BA14" s="1">
        <f>BA2</f>
        <v>44375</v>
      </c>
      <c r="BB14" s="1">
        <f>BB2</f>
        <v>44376</v>
      </c>
      <c r="BC14" s="1">
        <f>BC2</f>
        <v>44377</v>
      </c>
      <c r="BD14" s="1">
        <f>BD2</f>
        <v>44378</v>
      </c>
      <c r="BE14" s="1">
        <f>BE2</f>
        <v>44379</v>
      </c>
      <c r="BF14" s="1">
        <f>BF2</f>
        <v>44380</v>
      </c>
      <c r="BG14" s="1">
        <f>BG2</f>
        <v>44381</v>
      </c>
      <c r="BH14" s="1">
        <f>BH2</f>
        <v>44382</v>
      </c>
      <c r="BI14" s="1">
        <f>BI2</f>
        <v>44383</v>
      </c>
      <c r="BJ14" s="1">
        <f>BJ2</f>
        <v>44384</v>
      </c>
      <c r="BK14" s="1">
        <f>BK2</f>
        <v>44385</v>
      </c>
      <c r="BL14" s="1">
        <f>BL2</f>
        <v>44386</v>
      </c>
      <c r="BM14" s="1">
        <f>BM2</f>
        <v>44387</v>
      </c>
      <c r="BN14" s="1">
        <f>BN2</f>
        <v>44388</v>
      </c>
      <c r="BO14" s="1">
        <f>BO2</f>
        <v>44389</v>
      </c>
      <c r="BP14" s="1">
        <f>BP2</f>
        <v>44390</v>
      </c>
      <c r="BQ14" s="1">
        <f>BQ2</f>
        <v>44391</v>
      </c>
      <c r="BR14" s="1">
        <f>BR2</f>
        <v>44392</v>
      </c>
      <c r="BS14" s="1">
        <f>BS2</f>
        <v>44393</v>
      </c>
      <c r="BT14" s="1">
        <f>BT2</f>
        <v>44394</v>
      </c>
      <c r="BU14" s="1">
        <f>BU2</f>
        <v>44395</v>
      </c>
      <c r="BV14" s="1">
        <f>BV2</f>
        <v>44396</v>
      </c>
      <c r="BW14" s="1">
        <f>BW2</f>
        <v>44397</v>
      </c>
      <c r="BX14" s="1">
        <f>BX2</f>
        <v>44398</v>
      </c>
      <c r="BY14" s="1">
        <f>BY2</f>
        <v>44399</v>
      </c>
      <c r="BZ14" s="1">
        <f>BZ2</f>
        <v>44400</v>
      </c>
      <c r="CA14" s="1">
        <f>CA2</f>
        <v>44401</v>
      </c>
      <c r="CB14" s="1">
        <f>CB2</f>
        <v>44402</v>
      </c>
      <c r="CC14" s="1">
        <f>CC2</f>
        <v>44403</v>
      </c>
      <c r="CD14" s="1">
        <f>CD2</f>
        <v>44404</v>
      </c>
      <c r="CE14" s="1">
        <f>CE2</f>
        <v>44405</v>
      </c>
      <c r="CF14" s="1">
        <f>CF2</f>
        <v>44406</v>
      </c>
      <c r="CG14" s="1">
        <f>CG2</f>
        <v>44407</v>
      </c>
      <c r="CH14" s="1">
        <f>CH2</f>
        <v>44408</v>
      </c>
      <c r="CI14" s="1">
        <f>CI2</f>
        <v>44409</v>
      </c>
      <c r="CJ14" s="1">
        <f>CJ2</f>
        <v>44410</v>
      </c>
      <c r="CK14" s="1">
        <f>CK2</f>
        <v>44411</v>
      </c>
      <c r="CL14" s="1">
        <f>CL2</f>
        <v>44412</v>
      </c>
      <c r="CM14" s="1">
        <f>CM2</f>
        <v>44413</v>
      </c>
      <c r="CN14" s="1">
        <f>CN2</f>
        <v>44414</v>
      </c>
      <c r="CO14" s="1">
        <f>CO2</f>
        <v>44415</v>
      </c>
      <c r="CP14" s="1">
        <f>CP2</f>
        <v>44416</v>
      </c>
      <c r="CQ14" s="1">
        <f>CQ2</f>
        <v>44417</v>
      </c>
      <c r="CR14" s="1">
        <f>CR2</f>
        <v>44418</v>
      </c>
      <c r="CS14" s="1">
        <f>CS2</f>
        <v>44419</v>
      </c>
      <c r="CT14" s="1">
        <f>CT2</f>
        <v>44420</v>
      </c>
      <c r="CU14" s="1">
        <f>CU2</f>
        <v>44421</v>
      </c>
      <c r="CV14" s="1">
        <f>CV2</f>
        <v>44422</v>
      </c>
      <c r="CW14" s="1">
        <f>CW2</f>
        <v>44423</v>
      </c>
      <c r="CX14" s="1">
        <f>CX2</f>
        <v>44424</v>
      </c>
      <c r="CY14" s="1">
        <f>CY2</f>
        <v>44425</v>
      </c>
      <c r="CZ14" s="1">
        <f>CZ2</f>
        <v>44426</v>
      </c>
      <c r="DA14" s="1">
        <f>DA2</f>
        <v>44427</v>
      </c>
      <c r="DB14" s="1">
        <f>DB2</f>
        <v>44428</v>
      </c>
      <c r="DC14" s="1">
        <f>DC2</f>
        <v>44429</v>
      </c>
      <c r="DD14" s="1">
        <f>DD2</f>
        <v>44430</v>
      </c>
      <c r="DE14" s="1">
        <f>DE2</f>
        <v>44431</v>
      </c>
      <c r="DF14" s="1">
        <f>DF2</f>
        <v>44432</v>
      </c>
      <c r="DG14" s="1">
        <f>DG2</f>
        <v>44433</v>
      </c>
      <c r="DH14" s="1">
        <f>DH2</f>
        <v>44434</v>
      </c>
      <c r="DI14" s="1">
        <f>DI2</f>
        <v>44435</v>
      </c>
      <c r="DJ14" s="1">
        <f>DJ2</f>
        <v>44436</v>
      </c>
      <c r="DK14" s="1">
        <f>DK2</f>
        <v>44437</v>
      </c>
      <c r="DL14" s="1">
        <f>DL2</f>
        <v>44438</v>
      </c>
      <c r="DM14" s="1">
        <f>DM2</f>
        <v>44439</v>
      </c>
      <c r="DN14" s="1">
        <f>DN2</f>
        <v>44440</v>
      </c>
      <c r="DO14" s="1">
        <f>DO2</f>
        <v>44441</v>
      </c>
      <c r="DP14" s="1">
        <f>DP2</f>
        <v>44442</v>
      </c>
      <c r="DQ14" s="1">
        <f>DQ2</f>
        <v>44443</v>
      </c>
      <c r="DR14" s="1">
        <f>DR2</f>
        <v>44444</v>
      </c>
      <c r="DS14" s="1">
        <f>DS2</f>
        <v>44445</v>
      </c>
      <c r="DT14" s="1">
        <f>DT2</f>
        <v>44446</v>
      </c>
      <c r="DU14" s="1">
        <f>DU2</f>
        <v>44447</v>
      </c>
      <c r="DV14" s="1">
        <f>DV2</f>
        <v>44448</v>
      </c>
      <c r="DW14" s="1">
        <f>DW2</f>
        <v>44449</v>
      </c>
      <c r="DX14" s="1">
        <f>DX2</f>
        <v>44450</v>
      </c>
      <c r="DY14" s="1">
        <f>DY2</f>
        <v>44451</v>
      </c>
      <c r="DZ14" s="1">
        <f>DZ2</f>
        <v>44452</v>
      </c>
      <c r="EA14" s="1">
        <f>EA2</f>
        <v>44453</v>
      </c>
      <c r="EB14" s="1">
        <f>EB2</f>
        <v>44454</v>
      </c>
      <c r="EC14" s="1">
        <f>EC2</f>
        <v>44455</v>
      </c>
      <c r="ED14" s="1">
        <f>ED2</f>
        <v>44456</v>
      </c>
      <c r="EE14" s="1">
        <f>EE2</f>
        <v>44457</v>
      </c>
      <c r="EF14" s="1">
        <f>EF2</f>
        <v>44458</v>
      </c>
      <c r="EG14" s="1">
        <f>EG2</f>
        <v>44459</v>
      </c>
      <c r="EH14" s="1">
        <f>EH2</f>
        <v>44460</v>
      </c>
      <c r="EI14" s="1">
        <f>EI2</f>
        <v>44461</v>
      </c>
      <c r="EJ14" s="1">
        <f>EJ2</f>
        <v>44462</v>
      </c>
      <c r="EK14" s="1">
        <f>EK2</f>
        <v>44463</v>
      </c>
      <c r="EL14" s="1">
        <f>EL2</f>
        <v>44464</v>
      </c>
      <c r="EM14" s="1">
        <f>EM2</f>
        <v>44465</v>
      </c>
      <c r="EN14" s="1">
        <f>EN2</f>
        <v>44466</v>
      </c>
      <c r="EO14" s="1">
        <f>EO2</f>
        <v>44467</v>
      </c>
      <c r="EP14" s="1">
        <f>EP2</f>
        <v>44468</v>
      </c>
      <c r="EQ14" s="1">
        <f>EQ2</f>
        <v>44469</v>
      </c>
      <c r="ER14" s="1">
        <f>ER2</f>
        <v>44470</v>
      </c>
      <c r="ES14" s="1">
        <f>ES2</f>
        <v>44471</v>
      </c>
      <c r="ET14" s="1">
        <f>ET2</f>
        <v>44472</v>
      </c>
      <c r="EU14" s="1">
        <f>EU2</f>
        <v>44473</v>
      </c>
      <c r="EV14" s="1">
        <f>EV2</f>
        <v>44474</v>
      </c>
      <c r="EW14" s="1">
        <f>EW2</f>
        <v>44475</v>
      </c>
      <c r="EX14" s="1">
        <f>EX2</f>
        <v>44476</v>
      </c>
      <c r="EY14" s="1">
        <f>EY2</f>
        <v>44477</v>
      </c>
      <c r="EZ14" s="1">
        <f>EZ2</f>
        <v>44478</v>
      </c>
      <c r="FA14" s="1">
        <f>FA2</f>
        <v>44479</v>
      </c>
      <c r="FB14" s="1">
        <f>FB2</f>
        <v>44480</v>
      </c>
      <c r="FC14" s="1">
        <f>FC2</f>
        <v>44481</v>
      </c>
      <c r="FD14" s="1">
        <f>FD2</f>
        <v>44482</v>
      </c>
      <c r="FE14" s="1">
        <f>FE2</f>
        <v>44483</v>
      </c>
      <c r="FF14" s="1">
        <f>FF2</f>
        <v>44484</v>
      </c>
      <c r="FG14" s="1">
        <f>FG2</f>
        <v>44485</v>
      </c>
      <c r="FH14" s="1">
        <f>FH2</f>
        <v>44486</v>
      </c>
      <c r="FI14" s="1">
        <f>FI2</f>
        <v>44487</v>
      </c>
      <c r="FJ14" s="1">
        <f>FJ2</f>
        <v>44488</v>
      </c>
      <c r="FK14" s="1">
        <f>FK2</f>
        <v>44489</v>
      </c>
      <c r="FL14" s="1">
        <f>FL2</f>
        <v>44490</v>
      </c>
      <c r="FM14" s="1">
        <f>FM2</f>
        <v>44491</v>
      </c>
      <c r="FN14" s="1">
        <f>FN2</f>
        <v>44492</v>
      </c>
      <c r="FO14" s="1">
        <f>FO2</f>
        <v>44493</v>
      </c>
      <c r="FP14" s="1">
        <f>FP2</f>
        <v>44494</v>
      </c>
      <c r="FQ14" s="1">
        <f>FQ2</f>
        <v>44495</v>
      </c>
      <c r="FR14" s="1">
        <f>FR2</f>
        <v>44496</v>
      </c>
      <c r="FS14" s="1">
        <f>FS2</f>
        <v>44497</v>
      </c>
      <c r="FT14" s="1">
        <f>FT2</f>
        <v>44498</v>
      </c>
      <c r="FU14" s="1">
        <f>FU2</f>
        <v>44499</v>
      </c>
      <c r="FV14" s="1">
        <f>FV2</f>
        <v>44500</v>
      </c>
      <c r="FW14" s="1">
        <f>FW2</f>
        <v>44501</v>
      </c>
      <c r="FX14" s="1">
        <f>FX2</f>
        <v>44502</v>
      </c>
      <c r="FY14" s="1">
        <f>FY2</f>
        <v>44503</v>
      </c>
      <c r="FZ14" s="1">
        <f>FZ2</f>
        <v>44504</v>
      </c>
      <c r="GA14" s="1">
        <f>GA2</f>
        <v>44505</v>
      </c>
    </row>
    <row r="15" spans="1:183" x14ac:dyDescent="0.45">
      <c r="A15" t="str">
        <f>A3</f>
        <v>Stattrak Dragon King MW</v>
      </c>
      <c r="C15" cm="1">
        <f t="array" ref="C15">LOOKUP(2,1/(I15:GA15&lt;&gt;""),I15:GA15)</f>
        <v>27.54</v>
      </c>
      <c r="D15">
        <f>D$6</f>
        <v>45</v>
      </c>
      <c r="F15" s="4">
        <f t="shared" ref="F15:F21" si="2">(C15-I15)/I15</f>
        <v>-1.5725518227305262E-2</v>
      </c>
      <c r="G15" s="3" cm="1">
        <f t="array" ref="G15">(C15-IF(ISNA(INDEX(I15:GA15,D15-22)),INDEX(I15:GA15,D15-23),INDEX(I15:GA15,D15-22)))/IF(ISNA(INDEX(I15:GA15,D15-22)),INDEX(I15:GA15,D15-23),INDEX(I15:GA15,D15-22))</f>
        <v>1.5861305791220942E-2</v>
      </c>
      <c r="I15">
        <f>IF(ISBLANK(I3),NA(),ROUNDDOWN(I3*0.75,2))</f>
        <v>27.98</v>
      </c>
      <c r="J15">
        <f t="shared" ref="J15:BU16" si="3">IF(ISBLANK(J3),NA(),ROUNDDOWN(J3*0.75,2))</f>
        <v>27.66</v>
      </c>
      <c r="K15" t="e">
        <f t="shared" si="3"/>
        <v>#N/A</v>
      </c>
      <c r="L15">
        <f t="shared" si="3"/>
        <v>29.1</v>
      </c>
      <c r="M15" t="e">
        <f t="shared" si="3"/>
        <v>#N/A</v>
      </c>
      <c r="N15">
        <f t="shared" si="3"/>
        <v>28.44</v>
      </c>
      <c r="O15">
        <f t="shared" si="3"/>
        <v>29.27</v>
      </c>
      <c r="P15">
        <f t="shared" si="3"/>
        <v>28.76</v>
      </c>
      <c r="Q15">
        <f t="shared" si="3"/>
        <v>28.35</v>
      </c>
      <c r="R15">
        <f t="shared" si="3"/>
        <v>27.68</v>
      </c>
      <c r="S15">
        <f t="shared" si="3"/>
        <v>26.51</v>
      </c>
      <c r="T15">
        <f t="shared" si="3"/>
        <v>28.54</v>
      </c>
      <c r="U15">
        <f t="shared" si="3"/>
        <v>26.94</v>
      </c>
      <c r="V15">
        <f t="shared" si="3"/>
        <v>27.16</v>
      </c>
      <c r="W15">
        <f t="shared" si="3"/>
        <v>26.31</v>
      </c>
      <c r="X15">
        <f t="shared" si="3"/>
        <v>27.1</v>
      </c>
      <c r="Y15">
        <f t="shared" si="3"/>
        <v>27.6</v>
      </c>
      <c r="Z15">
        <f t="shared" si="3"/>
        <v>28.46</v>
      </c>
      <c r="AA15">
        <f t="shared" si="3"/>
        <v>29.55</v>
      </c>
      <c r="AB15">
        <f t="shared" si="3"/>
        <v>27.78</v>
      </c>
      <c r="AC15">
        <f t="shared" si="3"/>
        <v>29.58</v>
      </c>
      <c r="AD15">
        <f t="shared" si="3"/>
        <v>28.38</v>
      </c>
      <c r="AE15">
        <f t="shared" si="3"/>
        <v>27.11</v>
      </c>
      <c r="AF15">
        <f t="shared" si="3"/>
        <v>27.1</v>
      </c>
      <c r="AG15">
        <f t="shared" si="3"/>
        <v>27.1</v>
      </c>
      <c r="AH15">
        <f t="shared" si="3"/>
        <v>27.78</v>
      </c>
      <c r="AI15">
        <f t="shared" si="3"/>
        <v>27.03</v>
      </c>
      <c r="AJ15">
        <f t="shared" si="3"/>
        <v>28.74</v>
      </c>
      <c r="AK15">
        <f t="shared" si="3"/>
        <v>27.69</v>
      </c>
      <c r="AL15">
        <f t="shared" si="3"/>
        <v>26.84</v>
      </c>
      <c r="AM15">
        <f t="shared" si="3"/>
        <v>27.63</v>
      </c>
      <c r="AN15" t="e">
        <f t="shared" si="3"/>
        <v>#N/A</v>
      </c>
      <c r="AO15">
        <f t="shared" si="3"/>
        <v>26.83</v>
      </c>
      <c r="AP15">
        <f t="shared" si="3"/>
        <v>29.04</v>
      </c>
      <c r="AQ15">
        <f t="shared" si="3"/>
        <v>28.72</v>
      </c>
      <c r="AR15">
        <f t="shared" si="3"/>
        <v>27.54</v>
      </c>
      <c r="AS15">
        <f t="shared" si="3"/>
        <v>27.54</v>
      </c>
      <c r="AT15" t="e">
        <f t="shared" si="3"/>
        <v>#N/A</v>
      </c>
      <c r="AU15" t="e">
        <f t="shared" si="3"/>
        <v>#N/A</v>
      </c>
      <c r="AV15" t="e">
        <f t="shared" si="3"/>
        <v>#N/A</v>
      </c>
      <c r="AW15" t="e">
        <f t="shared" si="3"/>
        <v>#N/A</v>
      </c>
      <c r="AX15" t="e">
        <f t="shared" si="3"/>
        <v>#N/A</v>
      </c>
      <c r="AY15" t="e">
        <f t="shared" si="3"/>
        <v>#N/A</v>
      </c>
      <c r="AZ15" t="e">
        <f t="shared" si="3"/>
        <v>#N/A</v>
      </c>
      <c r="BA15" t="e">
        <f t="shared" si="3"/>
        <v>#N/A</v>
      </c>
      <c r="BB15" t="e">
        <f t="shared" si="3"/>
        <v>#N/A</v>
      </c>
      <c r="BC15" t="e">
        <f t="shared" si="3"/>
        <v>#N/A</v>
      </c>
      <c r="BD15" t="e">
        <f t="shared" si="3"/>
        <v>#N/A</v>
      </c>
      <c r="BE15" t="e">
        <f t="shared" si="3"/>
        <v>#N/A</v>
      </c>
      <c r="BF15" t="e">
        <f t="shared" si="3"/>
        <v>#N/A</v>
      </c>
      <c r="BG15" t="e">
        <f t="shared" si="3"/>
        <v>#N/A</v>
      </c>
      <c r="BH15" t="e">
        <f t="shared" si="3"/>
        <v>#N/A</v>
      </c>
      <c r="BI15" t="e">
        <f t="shared" si="3"/>
        <v>#N/A</v>
      </c>
      <c r="BJ15" t="e">
        <f t="shared" si="3"/>
        <v>#N/A</v>
      </c>
      <c r="BK15" t="e">
        <f t="shared" si="3"/>
        <v>#N/A</v>
      </c>
      <c r="BL15" t="e">
        <f t="shared" si="3"/>
        <v>#N/A</v>
      </c>
      <c r="BM15" t="e">
        <f t="shared" si="3"/>
        <v>#N/A</v>
      </c>
      <c r="BN15" t="e">
        <f t="shared" si="3"/>
        <v>#N/A</v>
      </c>
      <c r="BO15" t="e">
        <f t="shared" si="3"/>
        <v>#N/A</v>
      </c>
      <c r="BP15" t="e">
        <f t="shared" si="3"/>
        <v>#N/A</v>
      </c>
      <c r="BQ15" t="e">
        <f t="shared" si="3"/>
        <v>#N/A</v>
      </c>
      <c r="BR15" t="e">
        <f t="shared" si="3"/>
        <v>#N/A</v>
      </c>
      <c r="BS15" t="e">
        <f t="shared" si="3"/>
        <v>#N/A</v>
      </c>
      <c r="BT15" t="e">
        <f t="shared" si="3"/>
        <v>#N/A</v>
      </c>
      <c r="BU15" t="e">
        <f t="shared" si="3"/>
        <v>#N/A</v>
      </c>
      <c r="BV15" t="e">
        <f t="shared" ref="BV15:EG18" si="4">IF(ISBLANK(BV3),NA(),ROUNDDOWN(BV3*0.75,2))</f>
        <v>#N/A</v>
      </c>
      <c r="BW15" t="e">
        <f t="shared" si="4"/>
        <v>#N/A</v>
      </c>
      <c r="BX15" t="e">
        <f t="shared" si="4"/>
        <v>#N/A</v>
      </c>
      <c r="BY15" t="e">
        <f t="shared" si="4"/>
        <v>#N/A</v>
      </c>
      <c r="BZ15" t="e">
        <f t="shared" si="4"/>
        <v>#N/A</v>
      </c>
      <c r="CA15" t="e">
        <f t="shared" si="4"/>
        <v>#N/A</v>
      </c>
      <c r="CB15" t="e">
        <f t="shared" si="4"/>
        <v>#N/A</v>
      </c>
      <c r="CC15" t="e">
        <f t="shared" si="4"/>
        <v>#N/A</v>
      </c>
      <c r="CD15" t="e">
        <f t="shared" si="4"/>
        <v>#N/A</v>
      </c>
      <c r="CE15" t="e">
        <f t="shared" si="4"/>
        <v>#N/A</v>
      </c>
      <c r="CF15" t="e">
        <f t="shared" si="4"/>
        <v>#N/A</v>
      </c>
      <c r="CG15" t="e">
        <f t="shared" si="4"/>
        <v>#N/A</v>
      </c>
      <c r="CH15" t="e">
        <f t="shared" si="4"/>
        <v>#N/A</v>
      </c>
      <c r="CI15" t="e">
        <f t="shared" si="4"/>
        <v>#N/A</v>
      </c>
      <c r="CJ15" t="e">
        <f t="shared" si="4"/>
        <v>#N/A</v>
      </c>
      <c r="CK15" t="e">
        <f t="shared" si="4"/>
        <v>#N/A</v>
      </c>
      <c r="CL15" t="e">
        <f t="shared" si="4"/>
        <v>#N/A</v>
      </c>
      <c r="CM15" t="e">
        <f t="shared" si="4"/>
        <v>#N/A</v>
      </c>
      <c r="CN15" t="e">
        <f t="shared" si="4"/>
        <v>#N/A</v>
      </c>
      <c r="CO15" t="e">
        <f t="shared" si="4"/>
        <v>#N/A</v>
      </c>
      <c r="CP15" t="e">
        <f t="shared" si="4"/>
        <v>#N/A</v>
      </c>
      <c r="CQ15" t="e">
        <f t="shared" si="4"/>
        <v>#N/A</v>
      </c>
      <c r="CR15" t="e">
        <f t="shared" si="4"/>
        <v>#N/A</v>
      </c>
      <c r="CS15" t="e">
        <f t="shared" si="4"/>
        <v>#N/A</v>
      </c>
      <c r="CT15" t="e">
        <f t="shared" si="4"/>
        <v>#N/A</v>
      </c>
      <c r="CU15" t="e">
        <f t="shared" si="4"/>
        <v>#N/A</v>
      </c>
      <c r="CV15" t="e">
        <f t="shared" si="4"/>
        <v>#N/A</v>
      </c>
      <c r="CW15" t="e">
        <f t="shared" si="4"/>
        <v>#N/A</v>
      </c>
      <c r="CX15" t="e">
        <f t="shared" si="4"/>
        <v>#N/A</v>
      </c>
      <c r="CY15" t="e">
        <f t="shared" si="4"/>
        <v>#N/A</v>
      </c>
      <c r="CZ15" t="e">
        <f t="shared" si="4"/>
        <v>#N/A</v>
      </c>
      <c r="DA15" t="e">
        <f t="shared" si="4"/>
        <v>#N/A</v>
      </c>
      <c r="DB15" t="e">
        <f t="shared" si="4"/>
        <v>#N/A</v>
      </c>
      <c r="DC15" t="e">
        <f t="shared" si="4"/>
        <v>#N/A</v>
      </c>
      <c r="DD15" t="e">
        <f t="shared" si="4"/>
        <v>#N/A</v>
      </c>
      <c r="DE15" t="e">
        <f t="shared" si="4"/>
        <v>#N/A</v>
      </c>
      <c r="DF15" t="e">
        <f t="shared" si="4"/>
        <v>#N/A</v>
      </c>
      <c r="DG15" t="e">
        <f t="shared" si="4"/>
        <v>#N/A</v>
      </c>
      <c r="DH15" t="e">
        <f t="shared" si="4"/>
        <v>#N/A</v>
      </c>
      <c r="DI15" t="e">
        <f t="shared" si="4"/>
        <v>#N/A</v>
      </c>
      <c r="DJ15" t="e">
        <f t="shared" si="4"/>
        <v>#N/A</v>
      </c>
      <c r="DK15" t="e">
        <f t="shared" si="4"/>
        <v>#N/A</v>
      </c>
      <c r="DL15" t="e">
        <f t="shared" si="4"/>
        <v>#N/A</v>
      </c>
      <c r="DM15" t="e">
        <f t="shared" si="4"/>
        <v>#N/A</v>
      </c>
      <c r="DN15" t="e">
        <f t="shared" si="4"/>
        <v>#N/A</v>
      </c>
      <c r="DO15" t="e">
        <f t="shared" si="4"/>
        <v>#N/A</v>
      </c>
      <c r="DP15" t="e">
        <f t="shared" si="4"/>
        <v>#N/A</v>
      </c>
      <c r="DQ15" t="e">
        <f t="shared" si="4"/>
        <v>#N/A</v>
      </c>
      <c r="DR15" t="e">
        <f t="shared" si="4"/>
        <v>#N/A</v>
      </c>
      <c r="DS15" t="e">
        <f t="shared" si="4"/>
        <v>#N/A</v>
      </c>
      <c r="DT15" t="e">
        <f t="shared" si="4"/>
        <v>#N/A</v>
      </c>
      <c r="DU15" t="e">
        <f t="shared" si="4"/>
        <v>#N/A</v>
      </c>
      <c r="DV15" t="e">
        <f t="shared" si="4"/>
        <v>#N/A</v>
      </c>
      <c r="DW15" t="e">
        <f t="shared" si="4"/>
        <v>#N/A</v>
      </c>
      <c r="DX15" t="e">
        <f t="shared" si="4"/>
        <v>#N/A</v>
      </c>
      <c r="DY15" t="e">
        <f t="shared" si="4"/>
        <v>#N/A</v>
      </c>
      <c r="DZ15" t="e">
        <f t="shared" si="4"/>
        <v>#N/A</v>
      </c>
      <c r="EA15" t="e">
        <f t="shared" si="4"/>
        <v>#N/A</v>
      </c>
      <c r="EB15" t="e">
        <f t="shared" si="4"/>
        <v>#N/A</v>
      </c>
      <c r="EC15" t="e">
        <f t="shared" si="4"/>
        <v>#N/A</v>
      </c>
      <c r="ED15" t="e">
        <f t="shared" si="4"/>
        <v>#N/A</v>
      </c>
      <c r="EE15" t="e">
        <f t="shared" si="4"/>
        <v>#N/A</v>
      </c>
      <c r="EF15" t="e">
        <f t="shared" si="4"/>
        <v>#N/A</v>
      </c>
      <c r="EG15" t="e">
        <f t="shared" si="4"/>
        <v>#N/A</v>
      </c>
      <c r="EH15" t="e">
        <f t="shared" ref="EH15:GA17" si="5">IF(ISBLANK(EH3),NA(),ROUNDDOWN(EH3*0.75,2))</f>
        <v>#N/A</v>
      </c>
      <c r="EI15" t="e">
        <f t="shared" si="5"/>
        <v>#N/A</v>
      </c>
      <c r="EJ15" t="e">
        <f t="shared" si="5"/>
        <v>#N/A</v>
      </c>
      <c r="EK15" t="e">
        <f t="shared" si="5"/>
        <v>#N/A</v>
      </c>
      <c r="EL15" t="e">
        <f t="shared" si="5"/>
        <v>#N/A</v>
      </c>
      <c r="EM15" t="e">
        <f t="shared" si="5"/>
        <v>#N/A</v>
      </c>
      <c r="EN15" t="e">
        <f t="shared" si="5"/>
        <v>#N/A</v>
      </c>
      <c r="EO15" t="e">
        <f t="shared" si="5"/>
        <v>#N/A</v>
      </c>
      <c r="EP15" t="e">
        <f t="shared" si="5"/>
        <v>#N/A</v>
      </c>
      <c r="EQ15" t="e">
        <f t="shared" si="5"/>
        <v>#N/A</v>
      </c>
      <c r="ER15" t="e">
        <f t="shared" si="5"/>
        <v>#N/A</v>
      </c>
      <c r="ES15" t="e">
        <f t="shared" si="5"/>
        <v>#N/A</v>
      </c>
      <c r="ET15" t="e">
        <f t="shared" si="5"/>
        <v>#N/A</v>
      </c>
      <c r="EU15" t="e">
        <f t="shared" si="5"/>
        <v>#N/A</v>
      </c>
      <c r="EV15" t="e">
        <f t="shared" si="5"/>
        <v>#N/A</v>
      </c>
      <c r="EW15" t="e">
        <f t="shared" si="5"/>
        <v>#N/A</v>
      </c>
      <c r="EX15" t="e">
        <f t="shared" si="5"/>
        <v>#N/A</v>
      </c>
      <c r="EY15" t="e">
        <f t="shared" si="5"/>
        <v>#N/A</v>
      </c>
      <c r="EZ15" t="e">
        <f t="shared" si="5"/>
        <v>#N/A</v>
      </c>
      <c r="FA15" t="e">
        <f t="shared" si="5"/>
        <v>#N/A</v>
      </c>
      <c r="FB15" t="e">
        <f t="shared" si="5"/>
        <v>#N/A</v>
      </c>
      <c r="FC15" t="e">
        <f t="shared" si="5"/>
        <v>#N/A</v>
      </c>
      <c r="FD15" t="e">
        <f t="shared" si="5"/>
        <v>#N/A</v>
      </c>
      <c r="FE15" t="e">
        <f t="shared" si="5"/>
        <v>#N/A</v>
      </c>
      <c r="FF15" t="e">
        <f t="shared" si="5"/>
        <v>#N/A</v>
      </c>
      <c r="FG15" t="e">
        <f t="shared" si="5"/>
        <v>#N/A</v>
      </c>
      <c r="FH15" t="e">
        <f t="shared" si="5"/>
        <v>#N/A</v>
      </c>
      <c r="FI15" t="e">
        <f t="shared" si="5"/>
        <v>#N/A</v>
      </c>
      <c r="FJ15" t="e">
        <f t="shared" si="5"/>
        <v>#N/A</v>
      </c>
      <c r="FK15" t="e">
        <f t="shared" si="5"/>
        <v>#N/A</v>
      </c>
      <c r="FL15" t="e">
        <f t="shared" si="5"/>
        <v>#N/A</v>
      </c>
      <c r="FM15" t="e">
        <f t="shared" si="5"/>
        <v>#N/A</v>
      </c>
      <c r="FN15" t="e">
        <f t="shared" si="5"/>
        <v>#N/A</v>
      </c>
      <c r="FO15" t="e">
        <f t="shared" si="5"/>
        <v>#N/A</v>
      </c>
      <c r="FP15" t="e">
        <f t="shared" si="5"/>
        <v>#N/A</v>
      </c>
      <c r="FQ15" t="e">
        <f t="shared" si="5"/>
        <v>#N/A</v>
      </c>
      <c r="FR15" t="e">
        <f t="shared" si="5"/>
        <v>#N/A</v>
      </c>
      <c r="FS15" t="e">
        <f t="shared" si="5"/>
        <v>#N/A</v>
      </c>
      <c r="FT15" t="e">
        <f t="shared" si="5"/>
        <v>#N/A</v>
      </c>
      <c r="FU15" t="e">
        <f t="shared" si="5"/>
        <v>#N/A</v>
      </c>
      <c r="FV15" t="e">
        <f t="shared" si="5"/>
        <v>#N/A</v>
      </c>
      <c r="FW15" t="e">
        <f t="shared" si="5"/>
        <v>#N/A</v>
      </c>
      <c r="FX15" t="e">
        <f t="shared" si="5"/>
        <v>#N/A</v>
      </c>
      <c r="FY15" t="e">
        <f t="shared" si="5"/>
        <v>#N/A</v>
      </c>
      <c r="FZ15" t="e">
        <f t="shared" si="5"/>
        <v>#N/A</v>
      </c>
      <c r="GA15" t="e">
        <f t="shared" si="5"/>
        <v>#N/A</v>
      </c>
    </row>
    <row r="16" spans="1:183" x14ac:dyDescent="0.45">
      <c r="A16" t="str">
        <f>A4</f>
        <v>Desolate Space MW</v>
      </c>
      <c r="C16" cm="1">
        <f t="array" ref="C16">LOOKUP(2,1/(I16:GA16&lt;&gt;""),I16:GA16)</f>
        <v>9.57</v>
      </c>
      <c r="D16">
        <f t="shared" ref="D16:D22" si="6">D$6</f>
        <v>45</v>
      </c>
      <c r="F16" s="4">
        <f t="shared" si="2"/>
        <v>-7.2674418604651167E-2</v>
      </c>
      <c r="G16" s="3" cm="1">
        <f t="array" ref="G16">(C16-IF(ISNA(INDEX(I16:GA16,D16-22)),INDEX(I16:GA16,D16-23),INDEX(I16:GA16,D16-22)))/IF(ISNA(INDEX(I16:GA16,D16-22)),INDEX(I16:GA16,D16-23),INDEX(I16:GA16,D16-22))</f>
        <v>-2.1472392638036717E-2</v>
      </c>
      <c r="I16">
        <f t="shared" ref="I16:X22" si="7">IF(ISBLANK(I4),NA(),ROUNDDOWN(I4*0.75,2))</f>
        <v>10.32</v>
      </c>
      <c r="J16">
        <f t="shared" si="7"/>
        <v>10.82</v>
      </c>
      <c r="K16" t="e">
        <f t="shared" si="7"/>
        <v>#N/A</v>
      </c>
      <c r="L16">
        <f t="shared" si="7"/>
        <v>10.47</v>
      </c>
      <c r="M16" t="e">
        <f t="shared" si="7"/>
        <v>#N/A</v>
      </c>
      <c r="N16">
        <f t="shared" si="7"/>
        <v>9.89</v>
      </c>
      <c r="O16">
        <f t="shared" si="7"/>
        <v>10.8</v>
      </c>
      <c r="P16">
        <f t="shared" si="7"/>
        <v>10.56</v>
      </c>
      <c r="Q16">
        <f t="shared" si="7"/>
        <v>10.99</v>
      </c>
      <c r="R16">
        <f t="shared" si="7"/>
        <v>10.23</v>
      </c>
      <c r="S16">
        <f t="shared" si="7"/>
        <v>9.9600000000000009</v>
      </c>
      <c r="T16">
        <f t="shared" si="7"/>
        <v>10.23</v>
      </c>
      <c r="U16">
        <f t="shared" si="7"/>
        <v>9.93</v>
      </c>
      <c r="V16">
        <f t="shared" si="7"/>
        <v>9.91</v>
      </c>
      <c r="W16">
        <f t="shared" si="7"/>
        <v>10.48</v>
      </c>
      <c r="X16">
        <f t="shared" si="7"/>
        <v>10.14</v>
      </c>
      <c r="Y16">
        <f t="shared" si="3"/>
        <v>10.3</v>
      </c>
      <c r="Z16">
        <f t="shared" si="3"/>
        <v>10.26</v>
      </c>
      <c r="AA16">
        <f t="shared" si="3"/>
        <v>10.38</v>
      </c>
      <c r="AB16">
        <f t="shared" si="3"/>
        <v>9.7100000000000009</v>
      </c>
      <c r="AC16">
        <f t="shared" si="3"/>
        <v>9.84</v>
      </c>
      <c r="AD16">
        <f t="shared" si="3"/>
        <v>10.199999999999999</v>
      </c>
      <c r="AE16">
        <f t="shared" si="3"/>
        <v>9.7799999999999994</v>
      </c>
      <c r="AF16">
        <f t="shared" si="3"/>
        <v>10.5</v>
      </c>
      <c r="AG16">
        <f t="shared" si="3"/>
        <v>10.130000000000001</v>
      </c>
      <c r="AH16">
        <f t="shared" si="3"/>
        <v>10.19</v>
      </c>
      <c r="AI16">
        <f t="shared" si="3"/>
        <v>9.77</v>
      </c>
      <c r="AJ16">
        <f t="shared" si="3"/>
        <v>9.41</v>
      </c>
      <c r="AK16">
        <f t="shared" si="3"/>
        <v>10.02</v>
      </c>
      <c r="AL16">
        <f t="shared" si="3"/>
        <v>9.4600000000000009</v>
      </c>
      <c r="AM16">
        <f t="shared" si="3"/>
        <v>10.1</v>
      </c>
      <c r="AN16" t="e">
        <f t="shared" si="3"/>
        <v>#N/A</v>
      </c>
      <c r="AO16">
        <f t="shared" si="3"/>
        <v>10.18</v>
      </c>
      <c r="AP16">
        <f t="shared" si="3"/>
        <v>9.44</v>
      </c>
      <c r="AQ16">
        <f t="shared" si="3"/>
        <v>10.32</v>
      </c>
      <c r="AR16">
        <f t="shared" si="3"/>
        <v>10.38</v>
      </c>
      <c r="AS16">
        <f t="shared" si="3"/>
        <v>9.57</v>
      </c>
      <c r="AT16" t="e">
        <f t="shared" si="3"/>
        <v>#N/A</v>
      </c>
      <c r="AU16" t="e">
        <f t="shared" si="3"/>
        <v>#N/A</v>
      </c>
      <c r="AV16" t="e">
        <f t="shared" si="3"/>
        <v>#N/A</v>
      </c>
      <c r="AW16" t="e">
        <f t="shared" si="3"/>
        <v>#N/A</v>
      </c>
      <c r="AX16" t="e">
        <f t="shared" si="3"/>
        <v>#N/A</v>
      </c>
      <c r="AY16" t="e">
        <f t="shared" si="3"/>
        <v>#N/A</v>
      </c>
      <c r="AZ16" t="e">
        <f t="shared" si="3"/>
        <v>#N/A</v>
      </c>
      <c r="BA16" t="e">
        <f t="shared" si="3"/>
        <v>#N/A</v>
      </c>
      <c r="BB16" t="e">
        <f t="shared" si="3"/>
        <v>#N/A</v>
      </c>
      <c r="BC16" t="e">
        <f t="shared" si="3"/>
        <v>#N/A</v>
      </c>
      <c r="BD16" t="e">
        <f t="shared" si="3"/>
        <v>#N/A</v>
      </c>
      <c r="BE16" t="e">
        <f t="shared" si="3"/>
        <v>#N/A</v>
      </c>
      <c r="BF16" t="e">
        <f t="shared" si="3"/>
        <v>#N/A</v>
      </c>
      <c r="BG16" t="e">
        <f t="shared" si="3"/>
        <v>#N/A</v>
      </c>
      <c r="BH16" t="e">
        <f t="shared" si="3"/>
        <v>#N/A</v>
      </c>
      <c r="BI16" t="e">
        <f t="shared" si="3"/>
        <v>#N/A</v>
      </c>
      <c r="BJ16" t="e">
        <f t="shared" si="3"/>
        <v>#N/A</v>
      </c>
      <c r="BK16" t="e">
        <f t="shared" si="3"/>
        <v>#N/A</v>
      </c>
      <c r="BL16" t="e">
        <f t="shared" si="3"/>
        <v>#N/A</v>
      </c>
      <c r="BM16" t="e">
        <f t="shared" si="3"/>
        <v>#N/A</v>
      </c>
      <c r="BN16" t="e">
        <f t="shared" si="3"/>
        <v>#N/A</v>
      </c>
      <c r="BO16" t="e">
        <f t="shared" si="3"/>
        <v>#N/A</v>
      </c>
      <c r="BP16" t="e">
        <f t="shared" si="3"/>
        <v>#N/A</v>
      </c>
      <c r="BQ16" t="e">
        <f t="shared" si="3"/>
        <v>#N/A</v>
      </c>
      <c r="BR16" t="e">
        <f t="shared" si="3"/>
        <v>#N/A</v>
      </c>
      <c r="BS16" t="e">
        <f t="shared" si="3"/>
        <v>#N/A</v>
      </c>
      <c r="BT16" t="e">
        <f t="shared" si="3"/>
        <v>#N/A</v>
      </c>
      <c r="BU16" t="e">
        <f t="shared" si="3"/>
        <v>#N/A</v>
      </c>
      <c r="BV16" t="e">
        <f t="shared" si="4"/>
        <v>#N/A</v>
      </c>
      <c r="BW16" t="e">
        <f t="shared" si="4"/>
        <v>#N/A</v>
      </c>
      <c r="BX16" t="e">
        <f t="shared" si="4"/>
        <v>#N/A</v>
      </c>
      <c r="BY16" t="e">
        <f t="shared" si="4"/>
        <v>#N/A</v>
      </c>
      <c r="BZ16" t="e">
        <f t="shared" si="4"/>
        <v>#N/A</v>
      </c>
      <c r="CA16" t="e">
        <f t="shared" si="4"/>
        <v>#N/A</v>
      </c>
      <c r="CB16" t="e">
        <f t="shared" si="4"/>
        <v>#N/A</v>
      </c>
      <c r="CC16" t="e">
        <f t="shared" si="4"/>
        <v>#N/A</v>
      </c>
      <c r="CD16" t="e">
        <f t="shared" si="4"/>
        <v>#N/A</v>
      </c>
      <c r="CE16" t="e">
        <f t="shared" si="4"/>
        <v>#N/A</v>
      </c>
      <c r="CF16" t="e">
        <f t="shared" si="4"/>
        <v>#N/A</v>
      </c>
      <c r="CG16" t="e">
        <f t="shared" si="4"/>
        <v>#N/A</v>
      </c>
      <c r="CH16" t="e">
        <f t="shared" si="4"/>
        <v>#N/A</v>
      </c>
      <c r="CI16" t="e">
        <f t="shared" si="4"/>
        <v>#N/A</v>
      </c>
      <c r="CJ16" t="e">
        <f t="shared" si="4"/>
        <v>#N/A</v>
      </c>
      <c r="CK16" t="e">
        <f t="shared" si="4"/>
        <v>#N/A</v>
      </c>
      <c r="CL16" t="e">
        <f t="shared" si="4"/>
        <v>#N/A</v>
      </c>
      <c r="CM16" t="e">
        <f t="shared" si="4"/>
        <v>#N/A</v>
      </c>
      <c r="CN16" t="e">
        <f t="shared" si="4"/>
        <v>#N/A</v>
      </c>
      <c r="CO16" t="e">
        <f t="shared" si="4"/>
        <v>#N/A</v>
      </c>
      <c r="CP16" t="e">
        <f t="shared" si="4"/>
        <v>#N/A</v>
      </c>
      <c r="CQ16" t="e">
        <f t="shared" si="4"/>
        <v>#N/A</v>
      </c>
      <c r="CR16" t="e">
        <f t="shared" si="4"/>
        <v>#N/A</v>
      </c>
      <c r="CS16" t="e">
        <f t="shared" si="4"/>
        <v>#N/A</v>
      </c>
      <c r="CT16" t="e">
        <f t="shared" si="4"/>
        <v>#N/A</v>
      </c>
      <c r="CU16" t="e">
        <f t="shared" si="4"/>
        <v>#N/A</v>
      </c>
      <c r="CV16" t="e">
        <f t="shared" si="4"/>
        <v>#N/A</v>
      </c>
      <c r="CW16" t="e">
        <f t="shared" si="4"/>
        <v>#N/A</v>
      </c>
      <c r="CX16" t="e">
        <f t="shared" si="4"/>
        <v>#N/A</v>
      </c>
      <c r="CY16" t="e">
        <f t="shared" si="4"/>
        <v>#N/A</v>
      </c>
      <c r="CZ16" t="e">
        <f t="shared" si="4"/>
        <v>#N/A</v>
      </c>
      <c r="DA16" t="e">
        <f t="shared" si="4"/>
        <v>#N/A</v>
      </c>
      <c r="DB16" t="e">
        <f t="shared" si="4"/>
        <v>#N/A</v>
      </c>
      <c r="DC16" t="e">
        <f t="shared" si="4"/>
        <v>#N/A</v>
      </c>
      <c r="DD16" t="e">
        <f t="shared" si="4"/>
        <v>#N/A</v>
      </c>
      <c r="DE16" t="e">
        <f t="shared" si="4"/>
        <v>#N/A</v>
      </c>
      <c r="DF16" t="e">
        <f t="shared" si="4"/>
        <v>#N/A</v>
      </c>
      <c r="DG16" t="e">
        <f t="shared" si="4"/>
        <v>#N/A</v>
      </c>
      <c r="DH16" t="e">
        <f t="shared" si="4"/>
        <v>#N/A</v>
      </c>
      <c r="DI16" t="e">
        <f t="shared" si="4"/>
        <v>#N/A</v>
      </c>
      <c r="DJ16" t="e">
        <f t="shared" si="4"/>
        <v>#N/A</v>
      </c>
      <c r="DK16" t="e">
        <f t="shared" si="4"/>
        <v>#N/A</v>
      </c>
      <c r="DL16" t="e">
        <f t="shared" si="4"/>
        <v>#N/A</v>
      </c>
      <c r="DM16" t="e">
        <f t="shared" si="4"/>
        <v>#N/A</v>
      </c>
      <c r="DN16" t="e">
        <f t="shared" si="4"/>
        <v>#N/A</v>
      </c>
      <c r="DO16" t="e">
        <f t="shared" si="4"/>
        <v>#N/A</v>
      </c>
      <c r="DP16" t="e">
        <f t="shared" si="4"/>
        <v>#N/A</v>
      </c>
      <c r="DQ16" t="e">
        <f t="shared" si="4"/>
        <v>#N/A</v>
      </c>
      <c r="DR16" t="e">
        <f t="shared" si="4"/>
        <v>#N/A</v>
      </c>
      <c r="DS16" t="e">
        <f t="shared" si="4"/>
        <v>#N/A</v>
      </c>
      <c r="DT16" t="e">
        <f t="shared" si="4"/>
        <v>#N/A</v>
      </c>
      <c r="DU16" t="e">
        <f t="shared" si="4"/>
        <v>#N/A</v>
      </c>
      <c r="DV16" t="e">
        <f t="shared" si="4"/>
        <v>#N/A</v>
      </c>
      <c r="DW16" t="e">
        <f t="shared" si="4"/>
        <v>#N/A</v>
      </c>
      <c r="DX16" t="e">
        <f t="shared" si="4"/>
        <v>#N/A</v>
      </c>
      <c r="DY16" t="e">
        <f t="shared" si="4"/>
        <v>#N/A</v>
      </c>
      <c r="DZ16" t="e">
        <f t="shared" si="4"/>
        <v>#N/A</v>
      </c>
      <c r="EA16" t="e">
        <f t="shared" si="4"/>
        <v>#N/A</v>
      </c>
      <c r="EB16" t="e">
        <f t="shared" si="4"/>
        <v>#N/A</v>
      </c>
      <c r="EC16" t="e">
        <f t="shared" si="4"/>
        <v>#N/A</v>
      </c>
      <c r="ED16" t="e">
        <f t="shared" si="4"/>
        <v>#N/A</v>
      </c>
      <c r="EE16" t="e">
        <f t="shared" si="4"/>
        <v>#N/A</v>
      </c>
      <c r="EF16" t="e">
        <f t="shared" si="4"/>
        <v>#N/A</v>
      </c>
      <c r="EG16" t="e">
        <f t="shared" si="4"/>
        <v>#N/A</v>
      </c>
      <c r="EH16" t="e">
        <f t="shared" si="5"/>
        <v>#N/A</v>
      </c>
      <c r="EI16" t="e">
        <f t="shared" si="5"/>
        <v>#N/A</v>
      </c>
      <c r="EJ16" t="e">
        <f t="shared" si="5"/>
        <v>#N/A</v>
      </c>
      <c r="EK16" t="e">
        <f t="shared" si="5"/>
        <v>#N/A</v>
      </c>
      <c r="EL16" t="e">
        <f t="shared" si="5"/>
        <v>#N/A</v>
      </c>
      <c r="EM16" t="e">
        <f t="shared" si="5"/>
        <v>#N/A</v>
      </c>
      <c r="EN16" t="e">
        <f t="shared" si="5"/>
        <v>#N/A</v>
      </c>
      <c r="EO16" t="e">
        <f t="shared" si="5"/>
        <v>#N/A</v>
      </c>
      <c r="EP16" t="e">
        <f t="shared" si="5"/>
        <v>#N/A</v>
      </c>
      <c r="EQ16" t="e">
        <f t="shared" si="5"/>
        <v>#N/A</v>
      </c>
      <c r="ER16" t="e">
        <f t="shared" si="5"/>
        <v>#N/A</v>
      </c>
      <c r="ES16" t="e">
        <f t="shared" si="5"/>
        <v>#N/A</v>
      </c>
      <c r="ET16" t="e">
        <f t="shared" si="5"/>
        <v>#N/A</v>
      </c>
      <c r="EU16" t="e">
        <f t="shared" si="5"/>
        <v>#N/A</v>
      </c>
      <c r="EV16" t="e">
        <f t="shared" si="5"/>
        <v>#N/A</v>
      </c>
      <c r="EW16" t="e">
        <f t="shared" si="5"/>
        <v>#N/A</v>
      </c>
      <c r="EX16" t="e">
        <f t="shared" si="5"/>
        <v>#N/A</v>
      </c>
      <c r="EY16" t="e">
        <f t="shared" si="5"/>
        <v>#N/A</v>
      </c>
      <c r="EZ16" t="e">
        <f t="shared" si="5"/>
        <v>#N/A</v>
      </c>
      <c r="FA16" t="e">
        <f t="shared" si="5"/>
        <v>#N/A</v>
      </c>
      <c r="FB16" t="e">
        <f t="shared" si="5"/>
        <v>#N/A</v>
      </c>
      <c r="FC16" t="e">
        <f t="shared" si="5"/>
        <v>#N/A</v>
      </c>
      <c r="FD16" t="e">
        <f t="shared" si="5"/>
        <v>#N/A</v>
      </c>
      <c r="FE16" t="e">
        <f t="shared" si="5"/>
        <v>#N/A</v>
      </c>
      <c r="FF16" t="e">
        <f t="shared" si="5"/>
        <v>#N/A</v>
      </c>
      <c r="FG16" t="e">
        <f t="shared" si="5"/>
        <v>#N/A</v>
      </c>
      <c r="FH16" t="e">
        <f t="shared" si="5"/>
        <v>#N/A</v>
      </c>
      <c r="FI16" t="e">
        <f t="shared" si="5"/>
        <v>#N/A</v>
      </c>
      <c r="FJ16" t="e">
        <f t="shared" si="5"/>
        <v>#N/A</v>
      </c>
      <c r="FK16" t="e">
        <f t="shared" si="5"/>
        <v>#N/A</v>
      </c>
      <c r="FL16" t="e">
        <f t="shared" si="5"/>
        <v>#N/A</v>
      </c>
      <c r="FM16" t="e">
        <f t="shared" si="5"/>
        <v>#N/A</v>
      </c>
      <c r="FN16" t="e">
        <f t="shared" si="5"/>
        <v>#N/A</v>
      </c>
      <c r="FO16" t="e">
        <f t="shared" si="5"/>
        <v>#N/A</v>
      </c>
      <c r="FP16" t="e">
        <f t="shared" si="5"/>
        <v>#N/A</v>
      </c>
      <c r="FQ16" t="e">
        <f t="shared" si="5"/>
        <v>#N/A</v>
      </c>
      <c r="FR16" t="e">
        <f t="shared" si="5"/>
        <v>#N/A</v>
      </c>
      <c r="FS16" t="e">
        <f t="shared" si="5"/>
        <v>#N/A</v>
      </c>
      <c r="FT16" t="e">
        <f t="shared" si="5"/>
        <v>#N/A</v>
      </c>
      <c r="FU16" t="e">
        <f t="shared" si="5"/>
        <v>#N/A</v>
      </c>
      <c r="FV16" t="e">
        <f t="shared" si="5"/>
        <v>#N/A</v>
      </c>
      <c r="FW16" t="e">
        <f t="shared" si="5"/>
        <v>#N/A</v>
      </c>
      <c r="FX16" t="e">
        <f t="shared" si="5"/>
        <v>#N/A</v>
      </c>
      <c r="FY16" t="e">
        <f t="shared" si="5"/>
        <v>#N/A</v>
      </c>
      <c r="FZ16" t="e">
        <f t="shared" si="5"/>
        <v>#N/A</v>
      </c>
      <c r="GA16" t="e">
        <f t="shared" si="5"/>
        <v>#N/A</v>
      </c>
    </row>
    <row r="17" spans="1:183" x14ac:dyDescent="0.45">
      <c r="A17" t="str">
        <f>A5</f>
        <v>Bullet Rain MW</v>
      </c>
      <c r="C17" cm="1">
        <f t="array" ref="C17">LOOKUP(2,1/(I17:GA17&lt;&gt;""),I17:GA17)</f>
        <v>12.86</v>
      </c>
      <c r="D17">
        <f t="shared" si="6"/>
        <v>45</v>
      </c>
      <c r="F17" s="4">
        <f t="shared" si="2"/>
        <v>-9.2449922958398306E-3</v>
      </c>
      <c r="G17" s="3" cm="1">
        <f t="array" ref="G17">(C17-IF(ISNA(INDEX(I17:GA17,D17-22)),INDEX(I17:GA17,D17-23),INDEX(I17:GA17,D17-22)))/IF(ISNA(INDEX(I17:GA17,D17-22)),INDEX(I17:GA17,D17-23),INDEX(I17:GA17,D17-22))</f>
        <v>-8.6647727272727321E-2</v>
      </c>
      <c r="I17">
        <f t="shared" si="7"/>
        <v>12.98</v>
      </c>
      <c r="J17">
        <f t="shared" ref="J17:BU20" si="8">IF(ISBLANK(J5),NA(),ROUNDDOWN(J5*0.75,2))</f>
        <v>12.29</v>
      </c>
      <c r="K17" t="e">
        <f t="shared" si="8"/>
        <v>#N/A</v>
      </c>
      <c r="L17">
        <f t="shared" si="8"/>
        <v>14.07</v>
      </c>
      <c r="M17" t="e">
        <f t="shared" si="8"/>
        <v>#N/A</v>
      </c>
      <c r="N17">
        <f t="shared" si="8"/>
        <v>13.68</v>
      </c>
      <c r="O17">
        <f t="shared" si="8"/>
        <v>13.71</v>
      </c>
      <c r="P17">
        <f t="shared" si="8"/>
        <v>13.13</v>
      </c>
      <c r="Q17">
        <f t="shared" si="8"/>
        <v>12.87</v>
      </c>
      <c r="R17">
        <f t="shared" si="8"/>
        <v>13.82</v>
      </c>
      <c r="S17">
        <f t="shared" si="8"/>
        <v>13.46</v>
      </c>
      <c r="T17">
        <f t="shared" si="8"/>
        <v>14.01</v>
      </c>
      <c r="U17">
        <f t="shared" si="8"/>
        <v>12.94</v>
      </c>
      <c r="V17">
        <f t="shared" si="8"/>
        <v>13.8</v>
      </c>
      <c r="W17">
        <f t="shared" si="8"/>
        <v>13.76</v>
      </c>
      <c r="X17">
        <f t="shared" si="8"/>
        <v>14.18</v>
      </c>
      <c r="Y17">
        <f t="shared" si="8"/>
        <v>13.26</v>
      </c>
      <c r="Z17">
        <f t="shared" si="8"/>
        <v>13.68</v>
      </c>
      <c r="AA17">
        <f t="shared" si="8"/>
        <v>13.74</v>
      </c>
      <c r="AB17">
        <f t="shared" si="8"/>
        <v>13.69</v>
      </c>
      <c r="AC17">
        <f t="shared" si="8"/>
        <v>13.4</v>
      </c>
      <c r="AD17">
        <f t="shared" si="8"/>
        <v>13.65</v>
      </c>
      <c r="AE17">
        <f t="shared" si="8"/>
        <v>14.08</v>
      </c>
      <c r="AF17">
        <f t="shared" si="8"/>
        <v>13.47</v>
      </c>
      <c r="AG17">
        <f t="shared" si="8"/>
        <v>12.73</v>
      </c>
      <c r="AH17">
        <f t="shared" si="8"/>
        <v>12.79</v>
      </c>
      <c r="AI17">
        <f t="shared" si="8"/>
        <v>12.94</v>
      </c>
      <c r="AJ17">
        <f t="shared" si="8"/>
        <v>13.34</v>
      </c>
      <c r="AK17">
        <f t="shared" si="8"/>
        <v>12.81</v>
      </c>
      <c r="AL17">
        <f t="shared" si="8"/>
        <v>13.07</v>
      </c>
      <c r="AM17">
        <f t="shared" si="8"/>
        <v>12.82</v>
      </c>
      <c r="AN17" t="e">
        <f t="shared" si="8"/>
        <v>#N/A</v>
      </c>
      <c r="AO17">
        <f t="shared" si="8"/>
        <v>12.78</v>
      </c>
      <c r="AP17">
        <f t="shared" si="8"/>
        <v>13.5</v>
      </c>
      <c r="AQ17">
        <f t="shared" si="8"/>
        <v>13.94</v>
      </c>
      <c r="AR17">
        <f t="shared" si="8"/>
        <v>13.15</v>
      </c>
      <c r="AS17">
        <f t="shared" si="8"/>
        <v>12.86</v>
      </c>
      <c r="AT17" t="e">
        <f t="shared" si="8"/>
        <v>#N/A</v>
      </c>
      <c r="AU17" t="e">
        <f t="shared" si="8"/>
        <v>#N/A</v>
      </c>
      <c r="AV17" t="e">
        <f t="shared" si="8"/>
        <v>#N/A</v>
      </c>
      <c r="AW17" t="e">
        <f t="shared" si="8"/>
        <v>#N/A</v>
      </c>
      <c r="AX17" t="e">
        <f t="shared" si="8"/>
        <v>#N/A</v>
      </c>
      <c r="AY17" t="e">
        <f t="shared" si="8"/>
        <v>#N/A</v>
      </c>
      <c r="AZ17" t="e">
        <f t="shared" si="8"/>
        <v>#N/A</v>
      </c>
      <c r="BA17" t="e">
        <f t="shared" si="8"/>
        <v>#N/A</v>
      </c>
      <c r="BB17" t="e">
        <f t="shared" si="8"/>
        <v>#N/A</v>
      </c>
      <c r="BC17" t="e">
        <f t="shared" si="8"/>
        <v>#N/A</v>
      </c>
      <c r="BD17" t="e">
        <f t="shared" si="8"/>
        <v>#N/A</v>
      </c>
      <c r="BE17" t="e">
        <f t="shared" si="8"/>
        <v>#N/A</v>
      </c>
      <c r="BF17" t="e">
        <f t="shared" si="8"/>
        <v>#N/A</v>
      </c>
      <c r="BG17" t="e">
        <f t="shared" si="8"/>
        <v>#N/A</v>
      </c>
      <c r="BH17" t="e">
        <f t="shared" si="8"/>
        <v>#N/A</v>
      </c>
      <c r="BI17" t="e">
        <f t="shared" si="8"/>
        <v>#N/A</v>
      </c>
      <c r="BJ17" t="e">
        <f t="shared" si="8"/>
        <v>#N/A</v>
      </c>
      <c r="BK17" t="e">
        <f t="shared" si="8"/>
        <v>#N/A</v>
      </c>
      <c r="BL17" t="e">
        <f t="shared" si="8"/>
        <v>#N/A</v>
      </c>
      <c r="BM17" t="e">
        <f t="shared" si="8"/>
        <v>#N/A</v>
      </c>
      <c r="BN17" t="e">
        <f t="shared" si="8"/>
        <v>#N/A</v>
      </c>
      <c r="BO17" t="e">
        <f t="shared" si="8"/>
        <v>#N/A</v>
      </c>
      <c r="BP17" t="e">
        <f t="shared" si="8"/>
        <v>#N/A</v>
      </c>
      <c r="BQ17" t="e">
        <f t="shared" si="8"/>
        <v>#N/A</v>
      </c>
      <c r="BR17" t="e">
        <f t="shared" si="8"/>
        <v>#N/A</v>
      </c>
      <c r="BS17" t="e">
        <f t="shared" si="8"/>
        <v>#N/A</v>
      </c>
      <c r="BT17" t="e">
        <f t="shared" si="8"/>
        <v>#N/A</v>
      </c>
      <c r="BU17" t="e">
        <f t="shared" si="8"/>
        <v>#N/A</v>
      </c>
      <c r="BV17" t="e">
        <f t="shared" si="4"/>
        <v>#N/A</v>
      </c>
      <c r="BW17" t="e">
        <f t="shared" si="4"/>
        <v>#N/A</v>
      </c>
      <c r="BX17" t="e">
        <f t="shared" si="4"/>
        <v>#N/A</v>
      </c>
      <c r="BY17" t="e">
        <f t="shared" si="4"/>
        <v>#N/A</v>
      </c>
      <c r="BZ17" t="e">
        <f t="shared" si="4"/>
        <v>#N/A</v>
      </c>
      <c r="CA17" t="e">
        <f t="shared" si="4"/>
        <v>#N/A</v>
      </c>
      <c r="CB17" t="e">
        <f t="shared" si="4"/>
        <v>#N/A</v>
      </c>
      <c r="CC17" t="e">
        <f t="shared" si="4"/>
        <v>#N/A</v>
      </c>
      <c r="CD17" t="e">
        <f t="shared" si="4"/>
        <v>#N/A</v>
      </c>
      <c r="CE17" t="e">
        <f t="shared" si="4"/>
        <v>#N/A</v>
      </c>
      <c r="CF17" t="e">
        <f t="shared" si="4"/>
        <v>#N/A</v>
      </c>
      <c r="CG17" t="e">
        <f t="shared" si="4"/>
        <v>#N/A</v>
      </c>
      <c r="CH17" t="e">
        <f t="shared" si="4"/>
        <v>#N/A</v>
      </c>
      <c r="CI17" t="e">
        <f t="shared" si="4"/>
        <v>#N/A</v>
      </c>
      <c r="CJ17" t="e">
        <f t="shared" si="4"/>
        <v>#N/A</v>
      </c>
      <c r="CK17" t="e">
        <f t="shared" si="4"/>
        <v>#N/A</v>
      </c>
      <c r="CL17" t="e">
        <f t="shared" si="4"/>
        <v>#N/A</v>
      </c>
      <c r="CM17" t="e">
        <f t="shared" si="4"/>
        <v>#N/A</v>
      </c>
      <c r="CN17" t="e">
        <f t="shared" si="4"/>
        <v>#N/A</v>
      </c>
      <c r="CO17" t="e">
        <f t="shared" si="4"/>
        <v>#N/A</v>
      </c>
      <c r="CP17" t="e">
        <f t="shared" si="4"/>
        <v>#N/A</v>
      </c>
      <c r="CQ17" t="e">
        <f t="shared" si="4"/>
        <v>#N/A</v>
      </c>
      <c r="CR17" t="e">
        <f t="shared" si="4"/>
        <v>#N/A</v>
      </c>
      <c r="CS17" t="e">
        <f t="shared" si="4"/>
        <v>#N/A</v>
      </c>
      <c r="CT17" t="e">
        <f t="shared" si="4"/>
        <v>#N/A</v>
      </c>
      <c r="CU17" t="e">
        <f t="shared" si="4"/>
        <v>#N/A</v>
      </c>
      <c r="CV17" t="e">
        <f t="shared" si="4"/>
        <v>#N/A</v>
      </c>
      <c r="CW17" t="e">
        <f t="shared" si="4"/>
        <v>#N/A</v>
      </c>
      <c r="CX17" t="e">
        <f t="shared" si="4"/>
        <v>#N/A</v>
      </c>
      <c r="CY17" t="e">
        <f t="shared" si="4"/>
        <v>#N/A</v>
      </c>
      <c r="CZ17" t="e">
        <f t="shared" si="4"/>
        <v>#N/A</v>
      </c>
      <c r="DA17" t="e">
        <f t="shared" si="4"/>
        <v>#N/A</v>
      </c>
      <c r="DB17" t="e">
        <f t="shared" si="4"/>
        <v>#N/A</v>
      </c>
      <c r="DC17" t="e">
        <f t="shared" si="4"/>
        <v>#N/A</v>
      </c>
      <c r="DD17" t="e">
        <f t="shared" si="4"/>
        <v>#N/A</v>
      </c>
      <c r="DE17" t="e">
        <f t="shared" si="4"/>
        <v>#N/A</v>
      </c>
      <c r="DF17" t="e">
        <f t="shared" si="4"/>
        <v>#N/A</v>
      </c>
      <c r="DG17" t="e">
        <f t="shared" si="4"/>
        <v>#N/A</v>
      </c>
      <c r="DH17" t="e">
        <f t="shared" si="4"/>
        <v>#N/A</v>
      </c>
      <c r="DI17" t="e">
        <f t="shared" si="4"/>
        <v>#N/A</v>
      </c>
      <c r="DJ17" t="e">
        <f t="shared" si="4"/>
        <v>#N/A</v>
      </c>
      <c r="DK17" t="e">
        <f t="shared" si="4"/>
        <v>#N/A</v>
      </c>
      <c r="DL17" t="e">
        <f t="shared" si="4"/>
        <v>#N/A</v>
      </c>
      <c r="DM17" t="e">
        <f t="shared" si="4"/>
        <v>#N/A</v>
      </c>
      <c r="DN17" t="e">
        <f t="shared" si="4"/>
        <v>#N/A</v>
      </c>
      <c r="DO17" t="e">
        <f t="shared" si="4"/>
        <v>#N/A</v>
      </c>
      <c r="DP17" t="e">
        <f t="shared" si="4"/>
        <v>#N/A</v>
      </c>
      <c r="DQ17" t="e">
        <f t="shared" si="4"/>
        <v>#N/A</v>
      </c>
      <c r="DR17" t="e">
        <f t="shared" si="4"/>
        <v>#N/A</v>
      </c>
      <c r="DS17" t="e">
        <f t="shared" si="4"/>
        <v>#N/A</v>
      </c>
      <c r="DT17" t="e">
        <f t="shared" si="4"/>
        <v>#N/A</v>
      </c>
      <c r="DU17" t="e">
        <f t="shared" si="4"/>
        <v>#N/A</v>
      </c>
      <c r="DV17" t="e">
        <f t="shared" si="4"/>
        <v>#N/A</v>
      </c>
      <c r="DW17" t="e">
        <f t="shared" si="4"/>
        <v>#N/A</v>
      </c>
      <c r="DX17" t="e">
        <f t="shared" si="4"/>
        <v>#N/A</v>
      </c>
      <c r="DY17" t="e">
        <f t="shared" si="4"/>
        <v>#N/A</v>
      </c>
      <c r="DZ17" t="e">
        <f t="shared" si="4"/>
        <v>#N/A</v>
      </c>
      <c r="EA17" t="e">
        <f t="shared" si="4"/>
        <v>#N/A</v>
      </c>
      <c r="EB17" t="e">
        <f t="shared" si="4"/>
        <v>#N/A</v>
      </c>
      <c r="EC17" t="e">
        <f t="shared" si="4"/>
        <v>#N/A</v>
      </c>
      <c r="ED17" t="e">
        <f t="shared" si="4"/>
        <v>#N/A</v>
      </c>
      <c r="EE17" t="e">
        <f t="shared" si="4"/>
        <v>#N/A</v>
      </c>
      <c r="EF17" t="e">
        <f t="shared" si="4"/>
        <v>#N/A</v>
      </c>
      <c r="EG17" t="e">
        <f t="shared" si="4"/>
        <v>#N/A</v>
      </c>
      <c r="EH17" t="e">
        <f t="shared" si="5"/>
        <v>#N/A</v>
      </c>
      <c r="EI17" t="e">
        <f t="shared" si="5"/>
        <v>#N/A</v>
      </c>
      <c r="EJ17" t="e">
        <f t="shared" si="5"/>
        <v>#N/A</v>
      </c>
      <c r="EK17" t="e">
        <f t="shared" si="5"/>
        <v>#N/A</v>
      </c>
      <c r="EL17" t="e">
        <f t="shared" si="5"/>
        <v>#N/A</v>
      </c>
      <c r="EM17" t="e">
        <f t="shared" si="5"/>
        <v>#N/A</v>
      </c>
      <c r="EN17" t="e">
        <f t="shared" si="5"/>
        <v>#N/A</v>
      </c>
      <c r="EO17" t="e">
        <f t="shared" si="5"/>
        <v>#N/A</v>
      </c>
      <c r="EP17" t="e">
        <f t="shared" si="5"/>
        <v>#N/A</v>
      </c>
      <c r="EQ17" t="e">
        <f t="shared" si="5"/>
        <v>#N/A</v>
      </c>
      <c r="ER17" t="e">
        <f t="shared" si="5"/>
        <v>#N/A</v>
      </c>
      <c r="ES17" t="e">
        <f t="shared" si="5"/>
        <v>#N/A</v>
      </c>
      <c r="ET17" t="e">
        <f t="shared" si="5"/>
        <v>#N/A</v>
      </c>
      <c r="EU17" t="e">
        <f t="shared" si="5"/>
        <v>#N/A</v>
      </c>
      <c r="EV17" t="e">
        <f t="shared" si="5"/>
        <v>#N/A</v>
      </c>
      <c r="EW17" t="e">
        <f t="shared" si="5"/>
        <v>#N/A</v>
      </c>
      <c r="EX17" t="e">
        <f t="shared" si="5"/>
        <v>#N/A</v>
      </c>
      <c r="EY17" t="e">
        <f t="shared" si="5"/>
        <v>#N/A</v>
      </c>
      <c r="EZ17" t="e">
        <f t="shared" si="5"/>
        <v>#N/A</v>
      </c>
      <c r="FA17" t="e">
        <f t="shared" si="5"/>
        <v>#N/A</v>
      </c>
      <c r="FB17" t="e">
        <f t="shared" si="5"/>
        <v>#N/A</v>
      </c>
      <c r="FC17" t="e">
        <f t="shared" si="5"/>
        <v>#N/A</v>
      </c>
      <c r="FD17" t="e">
        <f t="shared" si="5"/>
        <v>#N/A</v>
      </c>
      <c r="FE17" t="e">
        <f t="shared" si="5"/>
        <v>#N/A</v>
      </c>
      <c r="FF17" t="e">
        <f t="shared" si="5"/>
        <v>#N/A</v>
      </c>
      <c r="FG17" t="e">
        <f t="shared" si="5"/>
        <v>#N/A</v>
      </c>
      <c r="FH17" t="e">
        <f t="shared" si="5"/>
        <v>#N/A</v>
      </c>
      <c r="FI17" t="e">
        <f t="shared" si="5"/>
        <v>#N/A</v>
      </c>
      <c r="FJ17" t="e">
        <f t="shared" si="5"/>
        <v>#N/A</v>
      </c>
      <c r="FK17" t="e">
        <f t="shared" si="5"/>
        <v>#N/A</v>
      </c>
      <c r="FL17" t="e">
        <f t="shared" si="5"/>
        <v>#N/A</v>
      </c>
      <c r="FM17" t="e">
        <f t="shared" si="5"/>
        <v>#N/A</v>
      </c>
      <c r="FN17" t="e">
        <f t="shared" si="5"/>
        <v>#N/A</v>
      </c>
      <c r="FO17" t="e">
        <f t="shared" si="5"/>
        <v>#N/A</v>
      </c>
      <c r="FP17" t="e">
        <f t="shared" si="5"/>
        <v>#N/A</v>
      </c>
      <c r="FQ17" t="e">
        <f t="shared" si="5"/>
        <v>#N/A</v>
      </c>
      <c r="FR17" t="e">
        <f t="shared" si="5"/>
        <v>#N/A</v>
      </c>
      <c r="FS17" t="e">
        <f t="shared" si="5"/>
        <v>#N/A</v>
      </c>
      <c r="FT17" t="e">
        <f t="shared" si="5"/>
        <v>#N/A</v>
      </c>
      <c r="FU17" t="e">
        <f t="shared" si="5"/>
        <v>#N/A</v>
      </c>
      <c r="FV17" t="e">
        <f t="shared" si="5"/>
        <v>#N/A</v>
      </c>
      <c r="FW17" t="e">
        <f t="shared" si="5"/>
        <v>#N/A</v>
      </c>
      <c r="FX17" t="e">
        <f t="shared" si="5"/>
        <v>#N/A</v>
      </c>
      <c r="FY17" t="e">
        <f t="shared" si="5"/>
        <v>#N/A</v>
      </c>
      <c r="FZ17" t="e">
        <f t="shared" si="5"/>
        <v>#N/A</v>
      </c>
      <c r="GA17" t="e">
        <f t="shared" si="5"/>
        <v>#N/A</v>
      </c>
    </row>
    <row r="18" spans="1:183" x14ac:dyDescent="0.45">
      <c r="A18" t="str">
        <f>A6</f>
        <v>Evil Daimyo FN</v>
      </c>
      <c r="C18" cm="1">
        <f t="array" ref="C18">LOOKUP(2,1/(I18:GA18&lt;&gt;""),I18:GA18)</f>
        <v>5.04</v>
      </c>
      <c r="D18">
        <f t="shared" si="6"/>
        <v>45</v>
      </c>
      <c r="F18" s="4">
        <f t="shared" si="2"/>
        <v>-2.5145067698259166E-2</v>
      </c>
      <c r="G18" s="3" cm="1">
        <f t="array" ref="G18">(C18-IF(ISNA(INDEX(I18:GA18,D18-22)),INDEX(I18:GA18,D18-23),INDEX(I18:GA18,D18-22)))/IF(ISNA(INDEX(I18:GA18,D18-22)),INDEX(I18:GA18,D18-23),INDEX(I18:GA18,D18-22))</f>
        <v>2.0242914979757012E-2</v>
      </c>
      <c r="I18">
        <f t="shared" si="7"/>
        <v>5.17</v>
      </c>
      <c r="J18">
        <f t="shared" si="8"/>
        <v>5.52</v>
      </c>
      <c r="K18" t="e">
        <f t="shared" si="8"/>
        <v>#N/A</v>
      </c>
      <c r="L18">
        <f t="shared" si="8"/>
        <v>5.24</v>
      </c>
      <c r="M18" t="e">
        <f t="shared" si="8"/>
        <v>#N/A</v>
      </c>
      <c r="N18">
        <f t="shared" si="8"/>
        <v>5.15</v>
      </c>
      <c r="O18">
        <f t="shared" si="8"/>
        <v>5.1100000000000003</v>
      </c>
      <c r="P18">
        <f t="shared" si="8"/>
        <v>5.29</v>
      </c>
      <c r="Q18">
        <f t="shared" si="8"/>
        <v>5.05</v>
      </c>
      <c r="R18">
        <f t="shared" si="8"/>
        <v>5.28</v>
      </c>
      <c r="S18">
        <f t="shared" si="8"/>
        <v>5.24</v>
      </c>
      <c r="T18">
        <f t="shared" si="8"/>
        <v>5.35</v>
      </c>
      <c r="U18">
        <f t="shared" si="8"/>
        <v>5.01</v>
      </c>
      <c r="V18">
        <f t="shared" si="8"/>
        <v>5.13</v>
      </c>
      <c r="W18">
        <f t="shared" si="8"/>
        <v>5.23</v>
      </c>
      <c r="X18">
        <f t="shared" si="8"/>
        <v>5.27</v>
      </c>
      <c r="Y18">
        <f t="shared" si="8"/>
        <v>4.8600000000000003</v>
      </c>
      <c r="Z18">
        <f t="shared" si="8"/>
        <v>4.97</v>
      </c>
      <c r="AA18">
        <f t="shared" si="8"/>
        <v>4.9800000000000004</v>
      </c>
      <c r="AB18">
        <f t="shared" si="8"/>
        <v>5.29</v>
      </c>
      <c r="AC18">
        <f t="shared" si="8"/>
        <v>4.93</v>
      </c>
      <c r="AD18">
        <f t="shared" si="8"/>
        <v>4.88</v>
      </c>
      <c r="AE18">
        <f t="shared" si="8"/>
        <v>4.9400000000000004</v>
      </c>
      <c r="AF18">
        <f t="shared" si="8"/>
        <v>5.27</v>
      </c>
      <c r="AG18">
        <f t="shared" si="8"/>
        <v>4.95</v>
      </c>
      <c r="AH18">
        <f t="shared" si="8"/>
        <v>5.23</v>
      </c>
      <c r="AI18">
        <f t="shared" si="8"/>
        <v>5.07</v>
      </c>
      <c r="AJ18">
        <f t="shared" si="8"/>
        <v>5.0599999999999996</v>
      </c>
      <c r="AK18">
        <f t="shared" si="8"/>
        <v>5.0999999999999996</v>
      </c>
      <c r="AL18">
        <f t="shared" si="8"/>
        <v>5.05</v>
      </c>
      <c r="AM18">
        <f t="shared" si="8"/>
        <v>4.72</v>
      </c>
      <c r="AN18" t="e">
        <f t="shared" si="8"/>
        <v>#N/A</v>
      </c>
      <c r="AO18">
        <f t="shared" si="8"/>
        <v>4.87</v>
      </c>
      <c r="AP18">
        <f t="shared" si="8"/>
        <v>4.95</v>
      </c>
      <c r="AQ18">
        <f t="shared" si="8"/>
        <v>4.7699999999999996</v>
      </c>
      <c r="AR18">
        <f t="shared" si="8"/>
        <v>4.7</v>
      </c>
      <c r="AS18">
        <f t="shared" si="8"/>
        <v>5.04</v>
      </c>
      <c r="AT18" t="e">
        <f t="shared" si="8"/>
        <v>#N/A</v>
      </c>
      <c r="AU18" t="e">
        <f t="shared" si="8"/>
        <v>#N/A</v>
      </c>
      <c r="AV18" t="e">
        <f t="shared" si="8"/>
        <v>#N/A</v>
      </c>
      <c r="AW18" t="e">
        <f t="shared" si="8"/>
        <v>#N/A</v>
      </c>
      <c r="AX18" t="e">
        <f t="shared" si="8"/>
        <v>#N/A</v>
      </c>
      <c r="AY18" t="e">
        <f t="shared" si="8"/>
        <v>#N/A</v>
      </c>
      <c r="AZ18" t="e">
        <f t="shared" si="8"/>
        <v>#N/A</v>
      </c>
      <c r="BA18" t="e">
        <f t="shared" si="8"/>
        <v>#N/A</v>
      </c>
      <c r="BB18" t="e">
        <f t="shared" si="8"/>
        <v>#N/A</v>
      </c>
      <c r="BC18" t="e">
        <f t="shared" si="8"/>
        <v>#N/A</v>
      </c>
      <c r="BD18" t="e">
        <f t="shared" si="8"/>
        <v>#N/A</v>
      </c>
      <c r="BE18" t="e">
        <f t="shared" si="8"/>
        <v>#N/A</v>
      </c>
      <c r="BF18" t="e">
        <f t="shared" si="8"/>
        <v>#N/A</v>
      </c>
      <c r="BG18" t="e">
        <f t="shared" si="8"/>
        <v>#N/A</v>
      </c>
      <c r="BH18" t="e">
        <f t="shared" si="8"/>
        <v>#N/A</v>
      </c>
      <c r="BI18" t="e">
        <f t="shared" si="8"/>
        <v>#N/A</v>
      </c>
      <c r="BJ18" t="e">
        <f t="shared" si="8"/>
        <v>#N/A</v>
      </c>
      <c r="BK18" t="e">
        <f t="shared" si="8"/>
        <v>#N/A</v>
      </c>
      <c r="BL18" t="e">
        <f t="shared" si="8"/>
        <v>#N/A</v>
      </c>
      <c r="BM18" t="e">
        <f t="shared" si="8"/>
        <v>#N/A</v>
      </c>
      <c r="BN18" t="e">
        <f t="shared" si="8"/>
        <v>#N/A</v>
      </c>
      <c r="BO18" t="e">
        <f t="shared" si="8"/>
        <v>#N/A</v>
      </c>
      <c r="BP18" t="e">
        <f t="shared" si="8"/>
        <v>#N/A</v>
      </c>
      <c r="BQ18" t="e">
        <f t="shared" si="8"/>
        <v>#N/A</v>
      </c>
      <c r="BR18" t="e">
        <f t="shared" si="8"/>
        <v>#N/A</v>
      </c>
      <c r="BS18" t="e">
        <f t="shared" si="8"/>
        <v>#N/A</v>
      </c>
      <c r="BT18" t="e">
        <f t="shared" si="8"/>
        <v>#N/A</v>
      </c>
      <c r="BU18" t="e">
        <f t="shared" si="8"/>
        <v>#N/A</v>
      </c>
      <c r="BV18" t="e">
        <f t="shared" si="4"/>
        <v>#N/A</v>
      </c>
      <c r="BW18" t="e">
        <f t="shared" si="4"/>
        <v>#N/A</v>
      </c>
      <c r="BX18" t="e">
        <f t="shared" si="4"/>
        <v>#N/A</v>
      </c>
      <c r="BY18" t="e">
        <f t="shared" si="4"/>
        <v>#N/A</v>
      </c>
      <c r="BZ18" t="e">
        <f t="shared" si="4"/>
        <v>#N/A</v>
      </c>
      <c r="CA18" t="e">
        <f t="shared" si="4"/>
        <v>#N/A</v>
      </c>
      <c r="CB18" t="e">
        <f t="shared" si="4"/>
        <v>#N/A</v>
      </c>
      <c r="CC18" t="e">
        <f t="shared" si="4"/>
        <v>#N/A</v>
      </c>
      <c r="CD18" t="e">
        <f t="shared" si="4"/>
        <v>#N/A</v>
      </c>
      <c r="CE18" t="e">
        <f t="shared" si="4"/>
        <v>#N/A</v>
      </c>
      <c r="CF18" t="e">
        <f t="shared" si="4"/>
        <v>#N/A</v>
      </c>
      <c r="CG18" t="e">
        <f t="shared" si="4"/>
        <v>#N/A</v>
      </c>
      <c r="CH18" t="e">
        <f t="shared" si="4"/>
        <v>#N/A</v>
      </c>
      <c r="CI18" t="e">
        <f t="shared" si="4"/>
        <v>#N/A</v>
      </c>
      <c r="CJ18" t="e">
        <f t="shared" si="4"/>
        <v>#N/A</v>
      </c>
      <c r="CK18" t="e">
        <f t="shared" si="4"/>
        <v>#N/A</v>
      </c>
      <c r="CL18" t="e">
        <f t="shared" si="4"/>
        <v>#N/A</v>
      </c>
      <c r="CM18" t="e">
        <f t="shared" si="4"/>
        <v>#N/A</v>
      </c>
      <c r="CN18" t="e">
        <f t="shared" si="4"/>
        <v>#N/A</v>
      </c>
      <c r="CO18" t="e">
        <f t="shared" si="4"/>
        <v>#N/A</v>
      </c>
      <c r="CP18" t="e">
        <f t="shared" si="4"/>
        <v>#N/A</v>
      </c>
      <c r="CQ18" t="e">
        <f t="shared" si="4"/>
        <v>#N/A</v>
      </c>
      <c r="CR18" t="e">
        <f t="shared" si="4"/>
        <v>#N/A</v>
      </c>
      <c r="CS18" t="e">
        <f t="shared" si="4"/>
        <v>#N/A</v>
      </c>
      <c r="CT18" t="e">
        <f t="shared" si="4"/>
        <v>#N/A</v>
      </c>
      <c r="CU18" t="e">
        <f t="shared" si="4"/>
        <v>#N/A</v>
      </c>
      <c r="CV18" t="e">
        <f t="shared" si="4"/>
        <v>#N/A</v>
      </c>
      <c r="CW18" t="e">
        <f t="shared" si="4"/>
        <v>#N/A</v>
      </c>
      <c r="CX18" t="e">
        <f t="shared" si="4"/>
        <v>#N/A</v>
      </c>
      <c r="CY18" t="e">
        <f t="shared" si="4"/>
        <v>#N/A</v>
      </c>
      <c r="CZ18" t="e">
        <f t="shared" si="4"/>
        <v>#N/A</v>
      </c>
      <c r="DA18" t="e">
        <f t="shared" si="4"/>
        <v>#N/A</v>
      </c>
      <c r="DB18" t="e">
        <f t="shared" si="4"/>
        <v>#N/A</v>
      </c>
      <c r="DC18" t="e">
        <f t="shared" si="4"/>
        <v>#N/A</v>
      </c>
      <c r="DD18" t="e">
        <f t="shared" si="4"/>
        <v>#N/A</v>
      </c>
      <c r="DE18" t="e">
        <f t="shared" si="4"/>
        <v>#N/A</v>
      </c>
      <c r="DF18" t="e">
        <f t="shared" si="4"/>
        <v>#N/A</v>
      </c>
      <c r="DG18" t="e">
        <f t="shared" si="4"/>
        <v>#N/A</v>
      </c>
      <c r="DH18" t="e">
        <f t="shared" si="4"/>
        <v>#N/A</v>
      </c>
      <c r="DI18" t="e">
        <f t="shared" si="4"/>
        <v>#N/A</v>
      </c>
      <c r="DJ18" t="e">
        <f t="shared" si="4"/>
        <v>#N/A</v>
      </c>
      <c r="DK18" t="e">
        <f t="shared" si="4"/>
        <v>#N/A</v>
      </c>
      <c r="DL18" t="e">
        <f t="shared" si="4"/>
        <v>#N/A</v>
      </c>
      <c r="DM18" t="e">
        <f t="shared" si="4"/>
        <v>#N/A</v>
      </c>
      <c r="DN18" t="e">
        <f t="shared" si="4"/>
        <v>#N/A</v>
      </c>
      <c r="DO18" t="e">
        <f t="shared" si="4"/>
        <v>#N/A</v>
      </c>
      <c r="DP18" t="e">
        <f t="shared" si="4"/>
        <v>#N/A</v>
      </c>
      <c r="DQ18" t="e">
        <f t="shared" si="4"/>
        <v>#N/A</v>
      </c>
      <c r="DR18" t="e">
        <f t="shared" si="4"/>
        <v>#N/A</v>
      </c>
      <c r="DS18" t="e">
        <f t="shared" si="4"/>
        <v>#N/A</v>
      </c>
      <c r="DT18" t="e">
        <f t="shared" si="4"/>
        <v>#N/A</v>
      </c>
      <c r="DU18" t="e">
        <f t="shared" si="4"/>
        <v>#N/A</v>
      </c>
      <c r="DV18" t="e">
        <f t="shared" si="4"/>
        <v>#N/A</v>
      </c>
      <c r="DW18" t="e">
        <f t="shared" si="4"/>
        <v>#N/A</v>
      </c>
      <c r="DX18" t="e">
        <f t="shared" si="4"/>
        <v>#N/A</v>
      </c>
      <c r="DY18" t="e">
        <f t="shared" si="4"/>
        <v>#N/A</v>
      </c>
      <c r="DZ18" t="e">
        <f t="shared" si="4"/>
        <v>#N/A</v>
      </c>
      <c r="EA18" t="e">
        <f t="shared" si="4"/>
        <v>#N/A</v>
      </c>
      <c r="EB18" t="e">
        <f t="shared" si="4"/>
        <v>#N/A</v>
      </c>
      <c r="EC18" t="e">
        <f t="shared" si="4"/>
        <v>#N/A</v>
      </c>
      <c r="ED18" t="e">
        <f t="shared" si="4"/>
        <v>#N/A</v>
      </c>
      <c r="EE18" t="e">
        <f t="shared" si="4"/>
        <v>#N/A</v>
      </c>
      <c r="EF18" t="e">
        <f t="shared" si="4"/>
        <v>#N/A</v>
      </c>
      <c r="EG18" t="e">
        <f t="shared" ref="EG18:GA22" si="9">IF(ISBLANK(EG6),NA(),ROUNDDOWN(EG6*0.75,2))</f>
        <v>#N/A</v>
      </c>
      <c r="EH18" t="e">
        <f t="shared" si="9"/>
        <v>#N/A</v>
      </c>
      <c r="EI18" t="e">
        <f t="shared" si="9"/>
        <v>#N/A</v>
      </c>
      <c r="EJ18" t="e">
        <f t="shared" si="9"/>
        <v>#N/A</v>
      </c>
      <c r="EK18" t="e">
        <f t="shared" si="9"/>
        <v>#N/A</v>
      </c>
      <c r="EL18" t="e">
        <f t="shared" si="9"/>
        <v>#N/A</v>
      </c>
      <c r="EM18" t="e">
        <f t="shared" si="9"/>
        <v>#N/A</v>
      </c>
      <c r="EN18" t="e">
        <f t="shared" si="9"/>
        <v>#N/A</v>
      </c>
      <c r="EO18" t="e">
        <f t="shared" si="9"/>
        <v>#N/A</v>
      </c>
      <c r="EP18" t="e">
        <f t="shared" si="9"/>
        <v>#N/A</v>
      </c>
      <c r="EQ18" t="e">
        <f t="shared" si="9"/>
        <v>#N/A</v>
      </c>
      <c r="ER18" t="e">
        <f t="shared" si="9"/>
        <v>#N/A</v>
      </c>
      <c r="ES18" t="e">
        <f t="shared" si="9"/>
        <v>#N/A</v>
      </c>
      <c r="ET18" t="e">
        <f t="shared" si="9"/>
        <v>#N/A</v>
      </c>
      <c r="EU18" t="e">
        <f t="shared" si="9"/>
        <v>#N/A</v>
      </c>
      <c r="EV18" t="e">
        <f t="shared" si="9"/>
        <v>#N/A</v>
      </c>
      <c r="EW18" t="e">
        <f t="shared" si="9"/>
        <v>#N/A</v>
      </c>
      <c r="EX18" t="e">
        <f t="shared" si="9"/>
        <v>#N/A</v>
      </c>
      <c r="EY18" t="e">
        <f t="shared" si="9"/>
        <v>#N/A</v>
      </c>
      <c r="EZ18" t="e">
        <f t="shared" si="9"/>
        <v>#N/A</v>
      </c>
      <c r="FA18" t="e">
        <f t="shared" si="9"/>
        <v>#N/A</v>
      </c>
      <c r="FB18" t="e">
        <f t="shared" si="9"/>
        <v>#N/A</v>
      </c>
      <c r="FC18" t="e">
        <f t="shared" si="9"/>
        <v>#N/A</v>
      </c>
      <c r="FD18" t="e">
        <f t="shared" si="9"/>
        <v>#N/A</v>
      </c>
      <c r="FE18" t="e">
        <f t="shared" si="9"/>
        <v>#N/A</v>
      </c>
      <c r="FF18" t="e">
        <f t="shared" si="9"/>
        <v>#N/A</v>
      </c>
      <c r="FG18" t="e">
        <f t="shared" si="9"/>
        <v>#N/A</v>
      </c>
      <c r="FH18" t="e">
        <f t="shared" si="9"/>
        <v>#N/A</v>
      </c>
      <c r="FI18" t="e">
        <f t="shared" si="9"/>
        <v>#N/A</v>
      </c>
      <c r="FJ18" t="e">
        <f t="shared" si="9"/>
        <v>#N/A</v>
      </c>
      <c r="FK18" t="e">
        <f t="shared" si="9"/>
        <v>#N/A</v>
      </c>
      <c r="FL18" t="e">
        <f t="shared" si="9"/>
        <v>#N/A</v>
      </c>
      <c r="FM18" t="e">
        <f t="shared" si="9"/>
        <v>#N/A</v>
      </c>
      <c r="FN18" t="e">
        <f t="shared" si="9"/>
        <v>#N/A</v>
      </c>
      <c r="FO18" t="e">
        <f t="shared" si="9"/>
        <v>#N/A</v>
      </c>
      <c r="FP18" t="e">
        <f t="shared" si="9"/>
        <v>#N/A</v>
      </c>
      <c r="FQ18" t="e">
        <f t="shared" si="9"/>
        <v>#N/A</v>
      </c>
      <c r="FR18" t="e">
        <f t="shared" si="9"/>
        <v>#N/A</v>
      </c>
      <c r="FS18" t="e">
        <f t="shared" si="9"/>
        <v>#N/A</v>
      </c>
      <c r="FT18" t="e">
        <f t="shared" si="9"/>
        <v>#N/A</v>
      </c>
      <c r="FU18" t="e">
        <f t="shared" si="9"/>
        <v>#N/A</v>
      </c>
      <c r="FV18" t="e">
        <f t="shared" si="9"/>
        <v>#N/A</v>
      </c>
      <c r="FW18" t="e">
        <f t="shared" si="9"/>
        <v>#N/A</v>
      </c>
      <c r="FX18" t="e">
        <f t="shared" si="9"/>
        <v>#N/A</v>
      </c>
      <c r="FY18" t="e">
        <f t="shared" si="9"/>
        <v>#N/A</v>
      </c>
      <c r="FZ18" t="e">
        <f t="shared" si="9"/>
        <v>#N/A</v>
      </c>
      <c r="GA18" t="e">
        <f t="shared" si="9"/>
        <v>#N/A</v>
      </c>
    </row>
    <row r="19" spans="1:183" x14ac:dyDescent="0.45">
      <c r="A19" t="str">
        <f>A7</f>
        <v>Hellfire MW</v>
      </c>
      <c r="C19" cm="1">
        <f t="array" ref="C19">LOOKUP(2,1/(I19:GA19&lt;&gt;""),I19:GA19)</f>
        <v>23.97</v>
      </c>
      <c r="D19">
        <f t="shared" si="6"/>
        <v>45</v>
      </c>
      <c r="F19" s="4">
        <f t="shared" si="2"/>
        <v>0.19016881827209525</v>
      </c>
      <c r="G19" s="3" cm="1">
        <f t="array" ref="G19">(C19-IF(ISNA(INDEX(I19:GA19,D19-22)),INDEX(I19:GA19,D19-23),INDEX(I19:GA19,D19-22)))/IF(ISNA(INDEX(I19:GA19,D19-22)),INDEX(I19:GA19,D19-23),INDEX(I19:GA19,D19-22))</f>
        <v>-0.10459469555472546</v>
      </c>
      <c r="I19">
        <f t="shared" si="7"/>
        <v>20.14</v>
      </c>
      <c r="J19">
        <f t="shared" si="8"/>
        <v>19.440000000000001</v>
      </c>
      <c r="K19" t="e">
        <f t="shared" si="8"/>
        <v>#N/A</v>
      </c>
      <c r="L19">
        <f t="shared" si="8"/>
        <v>18.899999999999999</v>
      </c>
      <c r="M19" t="e">
        <f t="shared" si="8"/>
        <v>#N/A</v>
      </c>
      <c r="N19">
        <f t="shared" si="8"/>
        <v>19.68</v>
      </c>
      <c r="O19">
        <f t="shared" si="8"/>
        <v>19.72</v>
      </c>
      <c r="P19">
        <f t="shared" si="8"/>
        <v>20.170000000000002</v>
      </c>
      <c r="Q19">
        <f t="shared" si="8"/>
        <v>18.64</v>
      </c>
      <c r="R19">
        <f t="shared" si="8"/>
        <v>20.47</v>
      </c>
      <c r="S19">
        <f t="shared" si="8"/>
        <v>18.899999999999999</v>
      </c>
      <c r="T19">
        <f t="shared" si="8"/>
        <v>19.579999999999998</v>
      </c>
      <c r="U19">
        <f t="shared" si="8"/>
        <v>20.56</v>
      </c>
      <c r="V19">
        <f t="shared" si="8"/>
        <v>20.5</v>
      </c>
      <c r="W19">
        <f t="shared" si="8"/>
        <v>20.49</v>
      </c>
      <c r="X19">
        <f t="shared" si="8"/>
        <v>21.39</v>
      </c>
      <c r="Y19">
        <f t="shared" si="8"/>
        <v>21.43</v>
      </c>
      <c r="Z19">
        <f t="shared" si="8"/>
        <v>21.81</v>
      </c>
      <c r="AA19">
        <f t="shared" si="8"/>
        <v>22.11</v>
      </c>
      <c r="AB19">
        <f t="shared" si="8"/>
        <v>21.04</v>
      </c>
      <c r="AC19">
        <f t="shared" si="8"/>
        <v>24.69</v>
      </c>
      <c r="AD19">
        <f t="shared" si="8"/>
        <v>28.74</v>
      </c>
      <c r="AE19">
        <f t="shared" si="8"/>
        <v>26.77</v>
      </c>
      <c r="AF19">
        <f t="shared" si="8"/>
        <v>23.6</v>
      </c>
      <c r="AG19">
        <f t="shared" si="8"/>
        <v>23.35</v>
      </c>
      <c r="AH19">
        <f t="shared" si="8"/>
        <v>23.65</v>
      </c>
      <c r="AI19">
        <f t="shared" si="8"/>
        <v>23.37</v>
      </c>
      <c r="AJ19">
        <f t="shared" si="8"/>
        <v>22.92</v>
      </c>
      <c r="AK19">
        <f t="shared" si="8"/>
        <v>21.22</v>
      </c>
      <c r="AL19">
        <f t="shared" si="8"/>
        <v>21.13</v>
      </c>
      <c r="AM19">
        <f t="shared" si="8"/>
        <v>23.19</v>
      </c>
      <c r="AN19" t="e">
        <f t="shared" si="8"/>
        <v>#N/A</v>
      </c>
      <c r="AO19">
        <f t="shared" si="8"/>
        <v>22.23</v>
      </c>
      <c r="AP19">
        <f t="shared" si="8"/>
        <v>22.47</v>
      </c>
      <c r="AQ19">
        <f t="shared" si="8"/>
        <v>21.87</v>
      </c>
      <c r="AR19">
        <f t="shared" si="8"/>
        <v>23.47</v>
      </c>
      <c r="AS19">
        <f t="shared" si="8"/>
        <v>23.97</v>
      </c>
      <c r="AT19" t="e">
        <f t="shared" si="8"/>
        <v>#N/A</v>
      </c>
      <c r="AU19" t="e">
        <f t="shared" si="8"/>
        <v>#N/A</v>
      </c>
      <c r="AV19" t="e">
        <f t="shared" si="8"/>
        <v>#N/A</v>
      </c>
      <c r="AW19" t="e">
        <f t="shared" si="8"/>
        <v>#N/A</v>
      </c>
      <c r="AX19" t="e">
        <f t="shared" si="8"/>
        <v>#N/A</v>
      </c>
      <c r="AY19" t="e">
        <f t="shared" si="8"/>
        <v>#N/A</v>
      </c>
      <c r="AZ19" t="e">
        <f t="shared" si="8"/>
        <v>#N/A</v>
      </c>
      <c r="BA19" t="e">
        <f t="shared" si="8"/>
        <v>#N/A</v>
      </c>
      <c r="BB19" t="e">
        <f t="shared" si="8"/>
        <v>#N/A</v>
      </c>
      <c r="BC19" t="e">
        <f t="shared" si="8"/>
        <v>#N/A</v>
      </c>
      <c r="BD19" t="e">
        <f t="shared" si="8"/>
        <v>#N/A</v>
      </c>
      <c r="BE19" t="e">
        <f t="shared" si="8"/>
        <v>#N/A</v>
      </c>
      <c r="BF19" t="e">
        <f t="shared" si="8"/>
        <v>#N/A</v>
      </c>
      <c r="BG19" t="e">
        <f t="shared" si="8"/>
        <v>#N/A</v>
      </c>
      <c r="BH19" t="e">
        <f t="shared" si="8"/>
        <v>#N/A</v>
      </c>
      <c r="BI19" t="e">
        <f t="shared" si="8"/>
        <v>#N/A</v>
      </c>
      <c r="BJ19" t="e">
        <f t="shared" si="8"/>
        <v>#N/A</v>
      </c>
      <c r="BK19" t="e">
        <f t="shared" si="8"/>
        <v>#N/A</v>
      </c>
      <c r="BL19" t="e">
        <f t="shared" si="8"/>
        <v>#N/A</v>
      </c>
      <c r="BM19" t="e">
        <f t="shared" si="8"/>
        <v>#N/A</v>
      </c>
      <c r="BN19" t="e">
        <f t="shared" si="8"/>
        <v>#N/A</v>
      </c>
      <c r="BO19" t="e">
        <f t="shared" si="8"/>
        <v>#N/A</v>
      </c>
      <c r="BP19" t="e">
        <f t="shared" si="8"/>
        <v>#N/A</v>
      </c>
      <c r="BQ19" t="e">
        <f t="shared" si="8"/>
        <v>#N/A</v>
      </c>
      <c r="BR19" t="e">
        <f t="shared" si="8"/>
        <v>#N/A</v>
      </c>
      <c r="BS19" t="e">
        <f t="shared" si="8"/>
        <v>#N/A</v>
      </c>
      <c r="BT19" t="e">
        <f t="shared" si="8"/>
        <v>#N/A</v>
      </c>
      <c r="BU19" t="e">
        <f t="shared" si="8"/>
        <v>#N/A</v>
      </c>
      <c r="BV19" t="e">
        <f t="shared" ref="BV19:EG22" si="10">IF(ISBLANK(BV7),NA(),ROUNDDOWN(BV7*0.75,2))</f>
        <v>#N/A</v>
      </c>
      <c r="BW19" t="e">
        <f t="shared" si="10"/>
        <v>#N/A</v>
      </c>
      <c r="BX19" t="e">
        <f t="shared" si="10"/>
        <v>#N/A</v>
      </c>
      <c r="BY19" t="e">
        <f t="shared" si="10"/>
        <v>#N/A</v>
      </c>
      <c r="BZ19" t="e">
        <f t="shared" si="10"/>
        <v>#N/A</v>
      </c>
      <c r="CA19" t="e">
        <f t="shared" si="10"/>
        <v>#N/A</v>
      </c>
      <c r="CB19" t="e">
        <f t="shared" si="10"/>
        <v>#N/A</v>
      </c>
      <c r="CC19" t="e">
        <f t="shared" si="10"/>
        <v>#N/A</v>
      </c>
      <c r="CD19" t="e">
        <f t="shared" si="10"/>
        <v>#N/A</v>
      </c>
      <c r="CE19" t="e">
        <f t="shared" si="10"/>
        <v>#N/A</v>
      </c>
      <c r="CF19" t="e">
        <f t="shared" si="10"/>
        <v>#N/A</v>
      </c>
      <c r="CG19" t="e">
        <f t="shared" si="10"/>
        <v>#N/A</v>
      </c>
      <c r="CH19" t="e">
        <f t="shared" si="10"/>
        <v>#N/A</v>
      </c>
      <c r="CI19" t="e">
        <f t="shared" si="10"/>
        <v>#N/A</v>
      </c>
      <c r="CJ19" t="e">
        <f t="shared" si="10"/>
        <v>#N/A</v>
      </c>
      <c r="CK19" t="e">
        <f t="shared" si="10"/>
        <v>#N/A</v>
      </c>
      <c r="CL19" t="e">
        <f t="shared" si="10"/>
        <v>#N/A</v>
      </c>
      <c r="CM19" t="e">
        <f t="shared" si="10"/>
        <v>#N/A</v>
      </c>
      <c r="CN19" t="e">
        <f t="shared" si="10"/>
        <v>#N/A</v>
      </c>
      <c r="CO19" t="e">
        <f t="shared" si="10"/>
        <v>#N/A</v>
      </c>
      <c r="CP19" t="e">
        <f t="shared" si="10"/>
        <v>#N/A</v>
      </c>
      <c r="CQ19" t="e">
        <f t="shared" si="10"/>
        <v>#N/A</v>
      </c>
      <c r="CR19" t="e">
        <f t="shared" si="10"/>
        <v>#N/A</v>
      </c>
      <c r="CS19" t="e">
        <f t="shared" si="10"/>
        <v>#N/A</v>
      </c>
      <c r="CT19" t="e">
        <f t="shared" si="10"/>
        <v>#N/A</v>
      </c>
      <c r="CU19" t="e">
        <f t="shared" si="10"/>
        <v>#N/A</v>
      </c>
      <c r="CV19" t="e">
        <f t="shared" si="10"/>
        <v>#N/A</v>
      </c>
      <c r="CW19" t="e">
        <f t="shared" si="10"/>
        <v>#N/A</v>
      </c>
      <c r="CX19" t="e">
        <f t="shared" si="10"/>
        <v>#N/A</v>
      </c>
      <c r="CY19" t="e">
        <f t="shared" si="10"/>
        <v>#N/A</v>
      </c>
      <c r="CZ19" t="e">
        <f t="shared" si="10"/>
        <v>#N/A</v>
      </c>
      <c r="DA19" t="e">
        <f t="shared" si="10"/>
        <v>#N/A</v>
      </c>
      <c r="DB19" t="e">
        <f t="shared" si="10"/>
        <v>#N/A</v>
      </c>
      <c r="DC19" t="e">
        <f t="shared" si="10"/>
        <v>#N/A</v>
      </c>
      <c r="DD19" t="e">
        <f t="shared" si="10"/>
        <v>#N/A</v>
      </c>
      <c r="DE19" t="e">
        <f t="shared" si="10"/>
        <v>#N/A</v>
      </c>
      <c r="DF19" t="e">
        <f t="shared" si="10"/>
        <v>#N/A</v>
      </c>
      <c r="DG19" t="e">
        <f t="shared" si="10"/>
        <v>#N/A</v>
      </c>
      <c r="DH19" t="e">
        <f t="shared" si="10"/>
        <v>#N/A</v>
      </c>
      <c r="DI19" t="e">
        <f t="shared" si="10"/>
        <v>#N/A</v>
      </c>
      <c r="DJ19" t="e">
        <f t="shared" si="10"/>
        <v>#N/A</v>
      </c>
      <c r="DK19" t="e">
        <f t="shared" si="10"/>
        <v>#N/A</v>
      </c>
      <c r="DL19" t="e">
        <f t="shared" si="10"/>
        <v>#N/A</v>
      </c>
      <c r="DM19" t="e">
        <f t="shared" si="10"/>
        <v>#N/A</v>
      </c>
      <c r="DN19" t="e">
        <f t="shared" si="10"/>
        <v>#N/A</v>
      </c>
      <c r="DO19" t="e">
        <f t="shared" si="10"/>
        <v>#N/A</v>
      </c>
      <c r="DP19" t="e">
        <f t="shared" si="10"/>
        <v>#N/A</v>
      </c>
      <c r="DQ19" t="e">
        <f t="shared" si="10"/>
        <v>#N/A</v>
      </c>
      <c r="DR19" t="e">
        <f t="shared" si="10"/>
        <v>#N/A</v>
      </c>
      <c r="DS19" t="e">
        <f t="shared" si="10"/>
        <v>#N/A</v>
      </c>
      <c r="DT19" t="e">
        <f t="shared" si="10"/>
        <v>#N/A</v>
      </c>
      <c r="DU19" t="e">
        <f t="shared" si="10"/>
        <v>#N/A</v>
      </c>
      <c r="DV19" t="e">
        <f t="shared" si="10"/>
        <v>#N/A</v>
      </c>
      <c r="DW19" t="e">
        <f t="shared" si="10"/>
        <v>#N/A</v>
      </c>
      <c r="DX19" t="e">
        <f t="shared" si="10"/>
        <v>#N/A</v>
      </c>
      <c r="DY19" t="e">
        <f t="shared" si="10"/>
        <v>#N/A</v>
      </c>
      <c r="DZ19" t="e">
        <f t="shared" si="10"/>
        <v>#N/A</v>
      </c>
      <c r="EA19" t="e">
        <f t="shared" si="10"/>
        <v>#N/A</v>
      </c>
      <c r="EB19" t="e">
        <f t="shared" si="10"/>
        <v>#N/A</v>
      </c>
      <c r="EC19" t="e">
        <f t="shared" si="10"/>
        <v>#N/A</v>
      </c>
      <c r="ED19" t="e">
        <f t="shared" si="10"/>
        <v>#N/A</v>
      </c>
      <c r="EE19" t="e">
        <f t="shared" si="10"/>
        <v>#N/A</v>
      </c>
      <c r="EF19" t="e">
        <f t="shared" si="10"/>
        <v>#N/A</v>
      </c>
      <c r="EG19" t="e">
        <f t="shared" si="10"/>
        <v>#N/A</v>
      </c>
      <c r="EH19" t="e">
        <f t="shared" si="9"/>
        <v>#N/A</v>
      </c>
      <c r="EI19" t="e">
        <f t="shared" si="9"/>
        <v>#N/A</v>
      </c>
      <c r="EJ19" t="e">
        <f t="shared" si="9"/>
        <v>#N/A</v>
      </c>
      <c r="EK19" t="e">
        <f t="shared" si="9"/>
        <v>#N/A</v>
      </c>
      <c r="EL19" t="e">
        <f t="shared" si="9"/>
        <v>#N/A</v>
      </c>
      <c r="EM19" t="e">
        <f t="shared" si="9"/>
        <v>#N/A</v>
      </c>
      <c r="EN19" t="e">
        <f t="shared" si="9"/>
        <v>#N/A</v>
      </c>
      <c r="EO19" t="e">
        <f t="shared" si="9"/>
        <v>#N/A</v>
      </c>
      <c r="EP19" t="e">
        <f t="shared" si="9"/>
        <v>#N/A</v>
      </c>
      <c r="EQ19" t="e">
        <f t="shared" si="9"/>
        <v>#N/A</v>
      </c>
      <c r="ER19" t="e">
        <f t="shared" si="9"/>
        <v>#N/A</v>
      </c>
      <c r="ES19" t="e">
        <f t="shared" si="9"/>
        <v>#N/A</v>
      </c>
      <c r="ET19" t="e">
        <f t="shared" si="9"/>
        <v>#N/A</v>
      </c>
      <c r="EU19" t="e">
        <f t="shared" si="9"/>
        <v>#N/A</v>
      </c>
      <c r="EV19" t="e">
        <f t="shared" si="9"/>
        <v>#N/A</v>
      </c>
      <c r="EW19" t="e">
        <f t="shared" si="9"/>
        <v>#N/A</v>
      </c>
      <c r="EX19" t="e">
        <f t="shared" si="9"/>
        <v>#N/A</v>
      </c>
      <c r="EY19" t="e">
        <f t="shared" si="9"/>
        <v>#N/A</v>
      </c>
      <c r="EZ19" t="e">
        <f t="shared" si="9"/>
        <v>#N/A</v>
      </c>
      <c r="FA19" t="e">
        <f t="shared" si="9"/>
        <v>#N/A</v>
      </c>
      <c r="FB19" t="e">
        <f t="shared" si="9"/>
        <v>#N/A</v>
      </c>
      <c r="FC19" t="e">
        <f t="shared" si="9"/>
        <v>#N/A</v>
      </c>
      <c r="FD19" t="e">
        <f t="shared" si="9"/>
        <v>#N/A</v>
      </c>
      <c r="FE19" t="e">
        <f t="shared" si="9"/>
        <v>#N/A</v>
      </c>
      <c r="FF19" t="e">
        <f t="shared" si="9"/>
        <v>#N/A</v>
      </c>
      <c r="FG19" t="e">
        <f t="shared" si="9"/>
        <v>#N/A</v>
      </c>
      <c r="FH19" t="e">
        <f t="shared" si="9"/>
        <v>#N/A</v>
      </c>
      <c r="FI19" t="e">
        <f t="shared" si="9"/>
        <v>#N/A</v>
      </c>
      <c r="FJ19" t="e">
        <f t="shared" si="9"/>
        <v>#N/A</v>
      </c>
      <c r="FK19" t="e">
        <f t="shared" si="9"/>
        <v>#N/A</v>
      </c>
      <c r="FL19" t="e">
        <f t="shared" si="9"/>
        <v>#N/A</v>
      </c>
      <c r="FM19" t="e">
        <f t="shared" si="9"/>
        <v>#N/A</v>
      </c>
      <c r="FN19" t="e">
        <f t="shared" si="9"/>
        <v>#N/A</v>
      </c>
      <c r="FO19" t="e">
        <f t="shared" si="9"/>
        <v>#N/A</v>
      </c>
      <c r="FP19" t="e">
        <f t="shared" si="9"/>
        <v>#N/A</v>
      </c>
      <c r="FQ19" t="e">
        <f t="shared" si="9"/>
        <v>#N/A</v>
      </c>
      <c r="FR19" t="e">
        <f t="shared" si="9"/>
        <v>#N/A</v>
      </c>
      <c r="FS19" t="e">
        <f t="shared" si="9"/>
        <v>#N/A</v>
      </c>
      <c r="FT19" t="e">
        <f t="shared" si="9"/>
        <v>#N/A</v>
      </c>
      <c r="FU19" t="e">
        <f t="shared" si="9"/>
        <v>#N/A</v>
      </c>
      <c r="FV19" t="e">
        <f t="shared" si="9"/>
        <v>#N/A</v>
      </c>
      <c r="FW19" t="e">
        <f t="shared" si="9"/>
        <v>#N/A</v>
      </c>
      <c r="FX19" t="e">
        <f t="shared" si="9"/>
        <v>#N/A</v>
      </c>
      <c r="FY19" t="e">
        <f t="shared" si="9"/>
        <v>#N/A</v>
      </c>
      <c r="FZ19" t="e">
        <f t="shared" si="9"/>
        <v>#N/A</v>
      </c>
      <c r="GA19" t="e">
        <f t="shared" si="9"/>
        <v>#N/A</v>
      </c>
    </row>
    <row r="20" spans="1:183" x14ac:dyDescent="0.45">
      <c r="A20" t="str">
        <f>A8</f>
        <v>Neo-Noir MW</v>
      </c>
      <c r="C20" cm="1">
        <f t="array" ref="C20">LOOKUP(2,1/(I20:GA20&lt;&gt;""),I20:GA20)</f>
        <v>18.64</v>
      </c>
      <c r="D20">
        <f t="shared" si="6"/>
        <v>45</v>
      </c>
      <c r="F20" s="4">
        <f t="shared" si="2"/>
        <v>-0.14495412844036698</v>
      </c>
      <c r="G20" s="3" cm="1">
        <f t="array" ref="G20">(C20-IF(ISNA(INDEX(I20:GA20,D20-22)),INDEX(I20:GA20,D20-23),INDEX(I20:GA20,D20-22)))/IF(ISNA(INDEX(I20:GA20,D20-22)),INDEX(I20:GA20,D20-23),INDEX(I20:GA20,D20-22))</f>
        <v>-3.8183694530443679E-2</v>
      </c>
      <c r="I20">
        <f t="shared" si="7"/>
        <v>21.8</v>
      </c>
      <c r="J20">
        <f t="shared" si="8"/>
        <v>22.02</v>
      </c>
      <c r="K20" t="e">
        <f t="shared" si="8"/>
        <v>#N/A</v>
      </c>
      <c r="L20">
        <f t="shared" si="8"/>
        <v>20.09</v>
      </c>
      <c r="M20" t="e">
        <f t="shared" si="8"/>
        <v>#N/A</v>
      </c>
      <c r="N20">
        <f t="shared" si="8"/>
        <v>20.62</v>
      </c>
      <c r="O20">
        <f t="shared" si="8"/>
        <v>20.440000000000001</v>
      </c>
      <c r="P20">
        <f t="shared" si="8"/>
        <v>21.64</v>
      </c>
      <c r="Q20">
        <f t="shared" si="8"/>
        <v>20.46</v>
      </c>
      <c r="R20">
        <f t="shared" si="8"/>
        <v>19.37</v>
      </c>
      <c r="S20">
        <f t="shared" si="8"/>
        <v>19.62</v>
      </c>
      <c r="T20">
        <f t="shared" si="8"/>
        <v>19.29</v>
      </c>
      <c r="U20">
        <f t="shared" si="8"/>
        <v>20.56</v>
      </c>
      <c r="V20">
        <f t="shared" si="8"/>
        <v>19.45</v>
      </c>
      <c r="W20">
        <f t="shared" si="8"/>
        <v>19.53</v>
      </c>
      <c r="X20">
        <f t="shared" si="8"/>
        <v>18.940000000000001</v>
      </c>
      <c r="Y20">
        <f t="shared" si="8"/>
        <v>20.55</v>
      </c>
      <c r="Z20">
        <f t="shared" si="8"/>
        <v>20.37</v>
      </c>
      <c r="AA20">
        <f t="shared" si="8"/>
        <v>19.510000000000002</v>
      </c>
      <c r="AB20">
        <f t="shared" si="8"/>
        <v>19.7</v>
      </c>
      <c r="AC20">
        <f t="shared" si="8"/>
        <v>20.87</v>
      </c>
      <c r="AD20">
        <f t="shared" si="8"/>
        <v>20.239999999999998</v>
      </c>
      <c r="AE20">
        <f t="shared" si="8"/>
        <v>19.38</v>
      </c>
      <c r="AF20">
        <f t="shared" si="8"/>
        <v>21.07</v>
      </c>
      <c r="AG20">
        <f t="shared" si="8"/>
        <v>19.77</v>
      </c>
      <c r="AH20">
        <f t="shared" si="8"/>
        <v>19.940000000000001</v>
      </c>
      <c r="AI20">
        <f t="shared" si="8"/>
        <v>18.91</v>
      </c>
      <c r="AJ20">
        <f t="shared" si="8"/>
        <v>18.14</v>
      </c>
      <c r="AK20">
        <f t="shared" si="8"/>
        <v>20.49</v>
      </c>
      <c r="AL20">
        <f t="shared" si="8"/>
        <v>20.21</v>
      </c>
      <c r="AM20">
        <f t="shared" si="8"/>
        <v>18.93</v>
      </c>
      <c r="AN20" t="e">
        <f t="shared" si="8"/>
        <v>#N/A</v>
      </c>
      <c r="AO20">
        <f t="shared" si="8"/>
        <v>19.23</v>
      </c>
      <c r="AP20">
        <f t="shared" si="8"/>
        <v>18.989999999999998</v>
      </c>
      <c r="AQ20">
        <f t="shared" si="8"/>
        <v>19.5</v>
      </c>
      <c r="AR20">
        <f t="shared" si="8"/>
        <v>19.93</v>
      </c>
      <c r="AS20">
        <f t="shared" si="8"/>
        <v>18.64</v>
      </c>
      <c r="AT20" t="e">
        <f t="shared" si="8"/>
        <v>#N/A</v>
      </c>
      <c r="AU20" t="e">
        <f t="shared" si="8"/>
        <v>#N/A</v>
      </c>
      <c r="AV20" t="e">
        <f t="shared" si="8"/>
        <v>#N/A</v>
      </c>
      <c r="AW20" t="e">
        <f t="shared" si="8"/>
        <v>#N/A</v>
      </c>
      <c r="AX20" t="e">
        <f t="shared" si="8"/>
        <v>#N/A</v>
      </c>
      <c r="AY20" t="e">
        <f t="shared" si="8"/>
        <v>#N/A</v>
      </c>
      <c r="AZ20" t="e">
        <f t="shared" si="8"/>
        <v>#N/A</v>
      </c>
      <c r="BA20" t="e">
        <f t="shared" si="8"/>
        <v>#N/A</v>
      </c>
      <c r="BB20" t="e">
        <f t="shared" si="8"/>
        <v>#N/A</v>
      </c>
      <c r="BC20" t="e">
        <f t="shared" si="8"/>
        <v>#N/A</v>
      </c>
      <c r="BD20" t="e">
        <f t="shared" si="8"/>
        <v>#N/A</v>
      </c>
      <c r="BE20" t="e">
        <f t="shared" si="8"/>
        <v>#N/A</v>
      </c>
      <c r="BF20" t="e">
        <f t="shared" si="8"/>
        <v>#N/A</v>
      </c>
      <c r="BG20" t="e">
        <f t="shared" si="8"/>
        <v>#N/A</v>
      </c>
      <c r="BH20" t="e">
        <f t="shared" si="8"/>
        <v>#N/A</v>
      </c>
      <c r="BI20" t="e">
        <f t="shared" si="8"/>
        <v>#N/A</v>
      </c>
      <c r="BJ20" t="e">
        <f t="shared" si="8"/>
        <v>#N/A</v>
      </c>
      <c r="BK20" t="e">
        <f t="shared" si="8"/>
        <v>#N/A</v>
      </c>
      <c r="BL20" t="e">
        <f t="shared" si="8"/>
        <v>#N/A</v>
      </c>
      <c r="BM20" t="e">
        <f t="shared" si="8"/>
        <v>#N/A</v>
      </c>
      <c r="BN20" t="e">
        <f t="shared" si="8"/>
        <v>#N/A</v>
      </c>
      <c r="BO20" t="e">
        <f t="shared" si="8"/>
        <v>#N/A</v>
      </c>
      <c r="BP20" t="e">
        <f t="shared" si="8"/>
        <v>#N/A</v>
      </c>
      <c r="BQ20" t="e">
        <f t="shared" si="8"/>
        <v>#N/A</v>
      </c>
      <c r="BR20" t="e">
        <f t="shared" si="8"/>
        <v>#N/A</v>
      </c>
      <c r="BS20" t="e">
        <f t="shared" si="8"/>
        <v>#N/A</v>
      </c>
      <c r="BT20" t="e">
        <f t="shared" si="8"/>
        <v>#N/A</v>
      </c>
      <c r="BU20" t="e">
        <f t="shared" ref="BU20:EF22" si="11">IF(ISBLANK(BU8),NA(),ROUNDDOWN(BU8*0.75,2))</f>
        <v>#N/A</v>
      </c>
      <c r="BV20" t="e">
        <f t="shared" si="11"/>
        <v>#N/A</v>
      </c>
      <c r="BW20" t="e">
        <f t="shared" si="11"/>
        <v>#N/A</v>
      </c>
      <c r="BX20" t="e">
        <f t="shared" si="11"/>
        <v>#N/A</v>
      </c>
      <c r="BY20" t="e">
        <f t="shared" si="11"/>
        <v>#N/A</v>
      </c>
      <c r="BZ20" t="e">
        <f t="shared" si="11"/>
        <v>#N/A</v>
      </c>
      <c r="CA20" t="e">
        <f t="shared" si="11"/>
        <v>#N/A</v>
      </c>
      <c r="CB20" t="e">
        <f t="shared" si="11"/>
        <v>#N/A</v>
      </c>
      <c r="CC20" t="e">
        <f t="shared" si="11"/>
        <v>#N/A</v>
      </c>
      <c r="CD20" t="e">
        <f t="shared" si="11"/>
        <v>#N/A</v>
      </c>
      <c r="CE20" t="e">
        <f t="shared" si="11"/>
        <v>#N/A</v>
      </c>
      <c r="CF20" t="e">
        <f t="shared" si="11"/>
        <v>#N/A</v>
      </c>
      <c r="CG20" t="e">
        <f t="shared" si="11"/>
        <v>#N/A</v>
      </c>
      <c r="CH20" t="e">
        <f t="shared" si="11"/>
        <v>#N/A</v>
      </c>
      <c r="CI20" t="e">
        <f t="shared" si="11"/>
        <v>#N/A</v>
      </c>
      <c r="CJ20" t="e">
        <f t="shared" si="11"/>
        <v>#N/A</v>
      </c>
      <c r="CK20" t="e">
        <f t="shared" si="11"/>
        <v>#N/A</v>
      </c>
      <c r="CL20" t="e">
        <f t="shared" si="11"/>
        <v>#N/A</v>
      </c>
      <c r="CM20" t="e">
        <f t="shared" si="11"/>
        <v>#N/A</v>
      </c>
      <c r="CN20" t="e">
        <f t="shared" si="11"/>
        <v>#N/A</v>
      </c>
      <c r="CO20" t="e">
        <f t="shared" si="11"/>
        <v>#N/A</v>
      </c>
      <c r="CP20" t="e">
        <f t="shared" si="11"/>
        <v>#N/A</v>
      </c>
      <c r="CQ20" t="e">
        <f t="shared" si="11"/>
        <v>#N/A</v>
      </c>
      <c r="CR20" t="e">
        <f t="shared" si="11"/>
        <v>#N/A</v>
      </c>
      <c r="CS20" t="e">
        <f t="shared" si="11"/>
        <v>#N/A</v>
      </c>
      <c r="CT20" t="e">
        <f t="shared" si="11"/>
        <v>#N/A</v>
      </c>
      <c r="CU20" t="e">
        <f t="shared" si="11"/>
        <v>#N/A</v>
      </c>
      <c r="CV20" t="e">
        <f t="shared" si="11"/>
        <v>#N/A</v>
      </c>
      <c r="CW20" t="e">
        <f t="shared" si="11"/>
        <v>#N/A</v>
      </c>
      <c r="CX20" t="e">
        <f t="shared" si="11"/>
        <v>#N/A</v>
      </c>
      <c r="CY20" t="e">
        <f t="shared" si="11"/>
        <v>#N/A</v>
      </c>
      <c r="CZ20" t="e">
        <f t="shared" si="11"/>
        <v>#N/A</v>
      </c>
      <c r="DA20" t="e">
        <f t="shared" si="11"/>
        <v>#N/A</v>
      </c>
      <c r="DB20" t="e">
        <f t="shared" si="11"/>
        <v>#N/A</v>
      </c>
      <c r="DC20" t="e">
        <f t="shared" si="11"/>
        <v>#N/A</v>
      </c>
      <c r="DD20" t="e">
        <f t="shared" si="11"/>
        <v>#N/A</v>
      </c>
      <c r="DE20" t="e">
        <f t="shared" si="11"/>
        <v>#N/A</v>
      </c>
      <c r="DF20" t="e">
        <f t="shared" si="11"/>
        <v>#N/A</v>
      </c>
      <c r="DG20" t="e">
        <f t="shared" si="11"/>
        <v>#N/A</v>
      </c>
      <c r="DH20" t="e">
        <f t="shared" si="11"/>
        <v>#N/A</v>
      </c>
      <c r="DI20" t="e">
        <f t="shared" si="11"/>
        <v>#N/A</v>
      </c>
      <c r="DJ20" t="e">
        <f t="shared" si="11"/>
        <v>#N/A</v>
      </c>
      <c r="DK20" t="e">
        <f t="shared" si="11"/>
        <v>#N/A</v>
      </c>
      <c r="DL20" t="e">
        <f t="shared" si="11"/>
        <v>#N/A</v>
      </c>
      <c r="DM20" t="e">
        <f t="shared" si="11"/>
        <v>#N/A</v>
      </c>
      <c r="DN20" t="e">
        <f t="shared" si="11"/>
        <v>#N/A</v>
      </c>
      <c r="DO20" t="e">
        <f t="shared" si="11"/>
        <v>#N/A</v>
      </c>
      <c r="DP20" t="e">
        <f t="shared" si="11"/>
        <v>#N/A</v>
      </c>
      <c r="DQ20" t="e">
        <f t="shared" si="11"/>
        <v>#N/A</v>
      </c>
      <c r="DR20" t="e">
        <f t="shared" si="11"/>
        <v>#N/A</v>
      </c>
      <c r="DS20" t="e">
        <f t="shared" si="11"/>
        <v>#N/A</v>
      </c>
      <c r="DT20" t="e">
        <f t="shared" si="11"/>
        <v>#N/A</v>
      </c>
      <c r="DU20" t="e">
        <f t="shared" si="11"/>
        <v>#N/A</v>
      </c>
      <c r="DV20" t="e">
        <f t="shared" si="11"/>
        <v>#N/A</v>
      </c>
      <c r="DW20" t="e">
        <f t="shared" si="11"/>
        <v>#N/A</v>
      </c>
      <c r="DX20" t="e">
        <f t="shared" si="11"/>
        <v>#N/A</v>
      </c>
      <c r="DY20" t="e">
        <f t="shared" si="11"/>
        <v>#N/A</v>
      </c>
      <c r="DZ20" t="e">
        <f t="shared" si="11"/>
        <v>#N/A</v>
      </c>
      <c r="EA20" t="e">
        <f t="shared" si="11"/>
        <v>#N/A</v>
      </c>
      <c r="EB20" t="e">
        <f t="shared" si="11"/>
        <v>#N/A</v>
      </c>
      <c r="EC20" t="e">
        <f t="shared" si="11"/>
        <v>#N/A</v>
      </c>
      <c r="ED20" t="e">
        <f t="shared" si="11"/>
        <v>#N/A</v>
      </c>
      <c r="EE20" t="e">
        <f t="shared" si="11"/>
        <v>#N/A</v>
      </c>
      <c r="EF20" t="e">
        <f t="shared" si="11"/>
        <v>#N/A</v>
      </c>
      <c r="EG20" t="e">
        <f t="shared" si="10"/>
        <v>#N/A</v>
      </c>
      <c r="EH20" t="e">
        <f t="shared" si="9"/>
        <v>#N/A</v>
      </c>
      <c r="EI20" t="e">
        <f t="shared" si="9"/>
        <v>#N/A</v>
      </c>
      <c r="EJ20" t="e">
        <f t="shared" si="9"/>
        <v>#N/A</v>
      </c>
      <c r="EK20" t="e">
        <f t="shared" si="9"/>
        <v>#N/A</v>
      </c>
      <c r="EL20" t="e">
        <f t="shared" si="9"/>
        <v>#N/A</v>
      </c>
      <c r="EM20" t="e">
        <f t="shared" si="9"/>
        <v>#N/A</v>
      </c>
      <c r="EN20" t="e">
        <f t="shared" si="9"/>
        <v>#N/A</v>
      </c>
      <c r="EO20" t="e">
        <f t="shared" si="9"/>
        <v>#N/A</v>
      </c>
      <c r="EP20" t="e">
        <f t="shared" si="9"/>
        <v>#N/A</v>
      </c>
      <c r="EQ20" t="e">
        <f t="shared" si="9"/>
        <v>#N/A</v>
      </c>
      <c r="ER20" t="e">
        <f t="shared" si="9"/>
        <v>#N/A</v>
      </c>
      <c r="ES20" t="e">
        <f t="shared" si="9"/>
        <v>#N/A</v>
      </c>
      <c r="ET20" t="e">
        <f t="shared" si="9"/>
        <v>#N/A</v>
      </c>
      <c r="EU20" t="e">
        <f t="shared" si="9"/>
        <v>#N/A</v>
      </c>
      <c r="EV20" t="e">
        <f t="shared" si="9"/>
        <v>#N/A</v>
      </c>
      <c r="EW20" t="e">
        <f t="shared" si="9"/>
        <v>#N/A</v>
      </c>
      <c r="EX20" t="e">
        <f t="shared" si="9"/>
        <v>#N/A</v>
      </c>
      <c r="EY20" t="e">
        <f t="shared" si="9"/>
        <v>#N/A</v>
      </c>
      <c r="EZ20" t="e">
        <f t="shared" si="9"/>
        <v>#N/A</v>
      </c>
      <c r="FA20" t="e">
        <f t="shared" si="9"/>
        <v>#N/A</v>
      </c>
      <c r="FB20" t="e">
        <f t="shared" si="9"/>
        <v>#N/A</v>
      </c>
      <c r="FC20" t="e">
        <f t="shared" si="9"/>
        <v>#N/A</v>
      </c>
      <c r="FD20" t="e">
        <f t="shared" si="9"/>
        <v>#N/A</v>
      </c>
      <c r="FE20" t="e">
        <f t="shared" si="9"/>
        <v>#N/A</v>
      </c>
      <c r="FF20" t="e">
        <f t="shared" si="9"/>
        <v>#N/A</v>
      </c>
      <c r="FG20" t="e">
        <f t="shared" si="9"/>
        <v>#N/A</v>
      </c>
      <c r="FH20" t="e">
        <f t="shared" si="9"/>
        <v>#N/A</v>
      </c>
      <c r="FI20" t="e">
        <f t="shared" si="9"/>
        <v>#N/A</v>
      </c>
      <c r="FJ20" t="e">
        <f t="shared" si="9"/>
        <v>#N/A</v>
      </c>
      <c r="FK20" t="e">
        <f t="shared" si="9"/>
        <v>#N/A</v>
      </c>
      <c r="FL20" t="e">
        <f t="shared" si="9"/>
        <v>#N/A</v>
      </c>
      <c r="FM20" t="e">
        <f t="shared" si="9"/>
        <v>#N/A</v>
      </c>
      <c r="FN20" t="e">
        <f t="shared" si="9"/>
        <v>#N/A</v>
      </c>
      <c r="FO20" t="e">
        <f t="shared" si="9"/>
        <v>#N/A</v>
      </c>
      <c r="FP20" t="e">
        <f t="shared" si="9"/>
        <v>#N/A</v>
      </c>
      <c r="FQ20" t="e">
        <f t="shared" si="9"/>
        <v>#N/A</v>
      </c>
      <c r="FR20" t="e">
        <f t="shared" si="9"/>
        <v>#N/A</v>
      </c>
      <c r="FS20" t="e">
        <f t="shared" si="9"/>
        <v>#N/A</v>
      </c>
      <c r="FT20" t="e">
        <f t="shared" si="9"/>
        <v>#N/A</v>
      </c>
      <c r="FU20" t="e">
        <f t="shared" si="9"/>
        <v>#N/A</v>
      </c>
      <c r="FV20" t="e">
        <f t="shared" si="9"/>
        <v>#N/A</v>
      </c>
      <c r="FW20" t="e">
        <f t="shared" si="9"/>
        <v>#N/A</v>
      </c>
      <c r="FX20" t="e">
        <f t="shared" si="9"/>
        <v>#N/A</v>
      </c>
      <c r="FY20" t="e">
        <f t="shared" si="9"/>
        <v>#N/A</v>
      </c>
      <c r="FZ20" t="e">
        <f t="shared" si="9"/>
        <v>#N/A</v>
      </c>
      <c r="GA20" t="e">
        <f t="shared" si="9"/>
        <v>#N/A</v>
      </c>
    </row>
    <row r="21" spans="1:183" x14ac:dyDescent="0.45">
      <c r="A21" t="str">
        <f>A9</f>
        <v>The Battlestar FN</v>
      </c>
      <c r="C21" cm="1">
        <f t="array" ref="C21">LOOKUP(2,1/(I21:GA21&lt;&gt;""),I21:GA21)</f>
        <v>10.88</v>
      </c>
      <c r="D21">
        <f t="shared" si="6"/>
        <v>45</v>
      </c>
      <c r="F21" s="4">
        <f t="shared" si="2"/>
        <v>-9.1827364554635318E-4</v>
      </c>
      <c r="G21" s="3" cm="1">
        <f t="array" ref="G21">(C21-IF(ISNA(INDEX(I21:GA21,D21-22)),INDEX(I21:GA21,D21-23),INDEX(I21:GA21,D21-22)))/IF(ISNA(INDEX(I21:GA21,D21-22)),INDEX(I21:GA21,D21-23),INDEX(I21:GA21,D21-22))</f>
        <v>9.3467336683417238E-2</v>
      </c>
      <c r="I21">
        <f t="shared" si="7"/>
        <v>10.89</v>
      </c>
      <c r="J21">
        <f t="shared" ref="J21:BU22" si="12">IF(ISBLANK(J9),NA(),ROUNDDOWN(J9*0.75,2))</f>
        <v>9.9499999999999993</v>
      </c>
      <c r="K21" t="e">
        <f t="shared" si="12"/>
        <v>#N/A</v>
      </c>
      <c r="L21">
        <f t="shared" si="12"/>
        <v>9.94</v>
      </c>
      <c r="M21" t="e">
        <f t="shared" si="12"/>
        <v>#N/A</v>
      </c>
      <c r="N21">
        <f t="shared" si="12"/>
        <v>10.58</v>
      </c>
      <c r="O21">
        <f t="shared" si="12"/>
        <v>10.54</v>
      </c>
      <c r="P21">
        <f t="shared" si="12"/>
        <v>10.7</v>
      </c>
      <c r="Q21">
        <f t="shared" si="12"/>
        <v>10.38</v>
      </c>
      <c r="R21">
        <f t="shared" si="12"/>
        <v>10</v>
      </c>
      <c r="S21">
        <f t="shared" si="12"/>
        <v>9.36</v>
      </c>
      <c r="T21">
        <f t="shared" si="12"/>
        <v>9.6300000000000008</v>
      </c>
      <c r="U21">
        <f t="shared" si="12"/>
        <v>9.36</v>
      </c>
      <c r="V21">
        <f t="shared" si="12"/>
        <v>10.119999999999999</v>
      </c>
      <c r="W21">
        <f t="shared" si="12"/>
        <v>10.15</v>
      </c>
      <c r="X21">
        <f t="shared" si="12"/>
        <v>10.15</v>
      </c>
      <c r="Y21">
        <f t="shared" si="12"/>
        <v>10.66</v>
      </c>
      <c r="Z21">
        <f t="shared" si="12"/>
        <v>10.15</v>
      </c>
      <c r="AA21">
        <f t="shared" si="12"/>
        <v>9.89</v>
      </c>
      <c r="AB21">
        <f t="shared" si="12"/>
        <v>10.24</v>
      </c>
      <c r="AC21">
        <f t="shared" si="12"/>
        <v>9.51</v>
      </c>
      <c r="AD21">
        <f t="shared" si="12"/>
        <v>10.24</v>
      </c>
      <c r="AE21">
        <f t="shared" si="12"/>
        <v>9.9499999999999993</v>
      </c>
      <c r="AF21">
        <f t="shared" si="12"/>
        <v>10.220000000000001</v>
      </c>
      <c r="AG21">
        <f t="shared" si="12"/>
        <v>10.23</v>
      </c>
      <c r="AH21">
        <f t="shared" si="12"/>
        <v>10.24</v>
      </c>
      <c r="AI21">
        <f t="shared" si="12"/>
        <v>10.26</v>
      </c>
      <c r="AJ21">
        <f t="shared" si="12"/>
        <v>10.26</v>
      </c>
      <c r="AK21">
        <f t="shared" si="12"/>
        <v>10.98</v>
      </c>
      <c r="AL21">
        <f t="shared" si="12"/>
        <v>11.07</v>
      </c>
      <c r="AM21">
        <f t="shared" si="12"/>
        <v>9.35</v>
      </c>
      <c r="AN21" t="e">
        <f t="shared" si="12"/>
        <v>#N/A</v>
      </c>
      <c r="AO21">
        <f t="shared" si="12"/>
        <v>10.08</v>
      </c>
      <c r="AP21">
        <f t="shared" si="12"/>
        <v>9.9600000000000009</v>
      </c>
      <c r="AQ21">
        <f t="shared" si="12"/>
        <v>10.15</v>
      </c>
      <c r="AR21">
        <f t="shared" si="12"/>
        <v>10.82</v>
      </c>
      <c r="AS21">
        <f t="shared" si="12"/>
        <v>10.88</v>
      </c>
      <c r="AT21" t="e">
        <f t="shared" si="12"/>
        <v>#N/A</v>
      </c>
      <c r="AU21" t="e">
        <f t="shared" si="12"/>
        <v>#N/A</v>
      </c>
      <c r="AV21" t="e">
        <f t="shared" si="12"/>
        <v>#N/A</v>
      </c>
      <c r="AW21" t="e">
        <f t="shared" si="12"/>
        <v>#N/A</v>
      </c>
      <c r="AX21" t="e">
        <f t="shared" si="12"/>
        <v>#N/A</v>
      </c>
      <c r="AY21" t="e">
        <f t="shared" si="12"/>
        <v>#N/A</v>
      </c>
      <c r="AZ21" t="e">
        <f t="shared" si="12"/>
        <v>#N/A</v>
      </c>
      <c r="BA21" t="e">
        <f t="shared" si="12"/>
        <v>#N/A</v>
      </c>
      <c r="BB21" t="e">
        <f t="shared" si="12"/>
        <v>#N/A</v>
      </c>
      <c r="BC21" t="e">
        <f t="shared" si="12"/>
        <v>#N/A</v>
      </c>
      <c r="BD21" t="e">
        <f t="shared" si="12"/>
        <v>#N/A</v>
      </c>
      <c r="BE21" t="e">
        <f t="shared" si="12"/>
        <v>#N/A</v>
      </c>
      <c r="BF21" t="e">
        <f t="shared" si="12"/>
        <v>#N/A</v>
      </c>
      <c r="BG21" t="e">
        <f t="shared" si="12"/>
        <v>#N/A</v>
      </c>
      <c r="BH21" t="e">
        <f t="shared" si="12"/>
        <v>#N/A</v>
      </c>
      <c r="BI21" t="e">
        <f t="shared" si="12"/>
        <v>#N/A</v>
      </c>
      <c r="BJ21" t="e">
        <f t="shared" si="12"/>
        <v>#N/A</v>
      </c>
      <c r="BK21" t="e">
        <f t="shared" si="12"/>
        <v>#N/A</v>
      </c>
      <c r="BL21" t="e">
        <f t="shared" si="12"/>
        <v>#N/A</v>
      </c>
      <c r="BM21" t="e">
        <f t="shared" si="12"/>
        <v>#N/A</v>
      </c>
      <c r="BN21" t="e">
        <f t="shared" si="12"/>
        <v>#N/A</v>
      </c>
      <c r="BO21" t="e">
        <f t="shared" si="12"/>
        <v>#N/A</v>
      </c>
      <c r="BP21" t="e">
        <f t="shared" si="12"/>
        <v>#N/A</v>
      </c>
      <c r="BQ21" t="e">
        <f t="shared" si="12"/>
        <v>#N/A</v>
      </c>
      <c r="BR21" t="e">
        <f t="shared" si="12"/>
        <v>#N/A</v>
      </c>
      <c r="BS21" t="e">
        <f t="shared" si="12"/>
        <v>#N/A</v>
      </c>
      <c r="BT21" t="e">
        <f t="shared" si="12"/>
        <v>#N/A</v>
      </c>
      <c r="BU21" t="e">
        <f t="shared" si="12"/>
        <v>#N/A</v>
      </c>
      <c r="BV21" t="e">
        <f t="shared" si="11"/>
        <v>#N/A</v>
      </c>
      <c r="BW21" t="e">
        <f t="shared" si="11"/>
        <v>#N/A</v>
      </c>
      <c r="BX21" t="e">
        <f t="shared" si="11"/>
        <v>#N/A</v>
      </c>
      <c r="BY21" t="e">
        <f t="shared" si="11"/>
        <v>#N/A</v>
      </c>
      <c r="BZ21" t="e">
        <f t="shared" si="11"/>
        <v>#N/A</v>
      </c>
      <c r="CA21" t="e">
        <f t="shared" si="11"/>
        <v>#N/A</v>
      </c>
      <c r="CB21" t="e">
        <f t="shared" si="11"/>
        <v>#N/A</v>
      </c>
      <c r="CC21" t="e">
        <f t="shared" si="11"/>
        <v>#N/A</v>
      </c>
      <c r="CD21" t="e">
        <f t="shared" si="11"/>
        <v>#N/A</v>
      </c>
      <c r="CE21" t="e">
        <f t="shared" si="11"/>
        <v>#N/A</v>
      </c>
      <c r="CF21" t="e">
        <f t="shared" si="11"/>
        <v>#N/A</v>
      </c>
      <c r="CG21" t="e">
        <f t="shared" si="11"/>
        <v>#N/A</v>
      </c>
      <c r="CH21" t="e">
        <f t="shared" si="11"/>
        <v>#N/A</v>
      </c>
      <c r="CI21" t="e">
        <f t="shared" si="11"/>
        <v>#N/A</v>
      </c>
      <c r="CJ21" t="e">
        <f t="shared" si="11"/>
        <v>#N/A</v>
      </c>
      <c r="CK21" t="e">
        <f t="shared" si="11"/>
        <v>#N/A</v>
      </c>
      <c r="CL21" t="e">
        <f t="shared" si="11"/>
        <v>#N/A</v>
      </c>
      <c r="CM21" t="e">
        <f t="shared" si="11"/>
        <v>#N/A</v>
      </c>
      <c r="CN21" t="e">
        <f t="shared" si="11"/>
        <v>#N/A</v>
      </c>
      <c r="CO21" t="e">
        <f t="shared" si="11"/>
        <v>#N/A</v>
      </c>
      <c r="CP21" t="e">
        <f t="shared" si="11"/>
        <v>#N/A</v>
      </c>
      <c r="CQ21" t="e">
        <f t="shared" si="11"/>
        <v>#N/A</v>
      </c>
      <c r="CR21" t="e">
        <f t="shared" si="11"/>
        <v>#N/A</v>
      </c>
      <c r="CS21" t="e">
        <f t="shared" si="11"/>
        <v>#N/A</v>
      </c>
      <c r="CT21" t="e">
        <f t="shared" si="11"/>
        <v>#N/A</v>
      </c>
      <c r="CU21" t="e">
        <f t="shared" si="11"/>
        <v>#N/A</v>
      </c>
      <c r="CV21" t="e">
        <f t="shared" si="11"/>
        <v>#N/A</v>
      </c>
      <c r="CW21" t="e">
        <f t="shared" si="11"/>
        <v>#N/A</v>
      </c>
      <c r="CX21" t="e">
        <f t="shared" si="11"/>
        <v>#N/A</v>
      </c>
      <c r="CY21" t="e">
        <f t="shared" si="11"/>
        <v>#N/A</v>
      </c>
      <c r="CZ21" t="e">
        <f t="shared" si="11"/>
        <v>#N/A</v>
      </c>
      <c r="DA21" t="e">
        <f t="shared" si="11"/>
        <v>#N/A</v>
      </c>
      <c r="DB21" t="e">
        <f t="shared" si="11"/>
        <v>#N/A</v>
      </c>
      <c r="DC21" t="e">
        <f t="shared" si="11"/>
        <v>#N/A</v>
      </c>
      <c r="DD21" t="e">
        <f t="shared" si="11"/>
        <v>#N/A</v>
      </c>
      <c r="DE21" t="e">
        <f t="shared" si="11"/>
        <v>#N/A</v>
      </c>
      <c r="DF21" t="e">
        <f t="shared" si="11"/>
        <v>#N/A</v>
      </c>
      <c r="DG21" t="e">
        <f t="shared" si="11"/>
        <v>#N/A</v>
      </c>
      <c r="DH21" t="e">
        <f t="shared" si="11"/>
        <v>#N/A</v>
      </c>
      <c r="DI21" t="e">
        <f t="shared" si="11"/>
        <v>#N/A</v>
      </c>
      <c r="DJ21" t="e">
        <f t="shared" si="11"/>
        <v>#N/A</v>
      </c>
      <c r="DK21" t="e">
        <f t="shared" si="11"/>
        <v>#N/A</v>
      </c>
      <c r="DL21" t="e">
        <f t="shared" si="11"/>
        <v>#N/A</v>
      </c>
      <c r="DM21" t="e">
        <f t="shared" si="11"/>
        <v>#N/A</v>
      </c>
      <c r="DN21" t="e">
        <f t="shared" si="11"/>
        <v>#N/A</v>
      </c>
      <c r="DO21" t="e">
        <f t="shared" si="11"/>
        <v>#N/A</v>
      </c>
      <c r="DP21" t="e">
        <f t="shared" si="11"/>
        <v>#N/A</v>
      </c>
      <c r="DQ21" t="e">
        <f t="shared" si="11"/>
        <v>#N/A</v>
      </c>
      <c r="DR21" t="e">
        <f t="shared" si="11"/>
        <v>#N/A</v>
      </c>
      <c r="DS21" t="e">
        <f t="shared" si="11"/>
        <v>#N/A</v>
      </c>
      <c r="DT21" t="e">
        <f t="shared" si="11"/>
        <v>#N/A</v>
      </c>
      <c r="DU21" t="e">
        <f t="shared" si="11"/>
        <v>#N/A</v>
      </c>
      <c r="DV21" t="e">
        <f t="shared" si="11"/>
        <v>#N/A</v>
      </c>
      <c r="DW21" t="e">
        <f t="shared" si="11"/>
        <v>#N/A</v>
      </c>
      <c r="DX21" t="e">
        <f t="shared" si="11"/>
        <v>#N/A</v>
      </c>
      <c r="DY21" t="e">
        <f t="shared" si="11"/>
        <v>#N/A</v>
      </c>
      <c r="DZ21" t="e">
        <f t="shared" si="11"/>
        <v>#N/A</v>
      </c>
      <c r="EA21" t="e">
        <f t="shared" si="11"/>
        <v>#N/A</v>
      </c>
      <c r="EB21" t="e">
        <f t="shared" si="11"/>
        <v>#N/A</v>
      </c>
      <c r="EC21" t="e">
        <f t="shared" si="11"/>
        <v>#N/A</v>
      </c>
      <c r="ED21" t="e">
        <f t="shared" si="11"/>
        <v>#N/A</v>
      </c>
      <c r="EE21" t="e">
        <f t="shared" si="11"/>
        <v>#N/A</v>
      </c>
      <c r="EF21" t="e">
        <f t="shared" si="11"/>
        <v>#N/A</v>
      </c>
      <c r="EG21" t="e">
        <f t="shared" si="10"/>
        <v>#N/A</v>
      </c>
      <c r="EH21" t="e">
        <f t="shared" si="9"/>
        <v>#N/A</v>
      </c>
      <c r="EI21" t="e">
        <f t="shared" si="9"/>
        <v>#N/A</v>
      </c>
      <c r="EJ21" t="e">
        <f t="shared" si="9"/>
        <v>#N/A</v>
      </c>
      <c r="EK21" t="e">
        <f t="shared" si="9"/>
        <v>#N/A</v>
      </c>
      <c r="EL21" t="e">
        <f t="shared" si="9"/>
        <v>#N/A</v>
      </c>
      <c r="EM21" t="e">
        <f t="shared" si="9"/>
        <v>#N/A</v>
      </c>
      <c r="EN21" t="e">
        <f t="shared" si="9"/>
        <v>#N/A</v>
      </c>
      <c r="EO21" t="e">
        <f t="shared" si="9"/>
        <v>#N/A</v>
      </c>
      <c r="EP21" t="e">
        <f t="shared" si="9"/>
        <v>#N/A</v>
      </c>
      <c r="EQ21" t="e">
        <f t="shared" si="9"/>
        <v>#N/A</v>
      </c>
      <c r="ER21" t="e">
        <f t="shared" si="9"/>
        <v>#N/A</v>
      </c>
      <c r="ES21" t="e">
        <f t="shared" si="9"/>
        <v>#N/A</v>
      </c>
      <c r="ET21" t="e">
        <f t="shared" si="9"/>
        <v>#N/A</v>
      </c>
      <c r="EU21" t="e">
        <f t="shared" si="9"/>
        <v>#N/A</v>
      </c>
      <c r="EV21" t="e">
        <f t="shared" si="9"/>
        <v>#N/A</v>
      </c>
      <c r="EW21" t="e">
        <f t="shared" si="9"/>
        <v>#N/A</v>
      </c>
      <c r="EX21" t="e">
        <f t="shared" si="9"/>
        <v>#N/A</v>
      </c>
      <c r="EY21" t="e">
        <f t="shared" si="9"/>
        <v>#N/A</v>
      </c>
      <c r="EZ21" t="e">
        <f t="shared" si="9"/>
        <v>#N/A</v>
      </c>
      <c r="FA21" t="e">
        <f t="shared" si="9"/>
        <v>#N/A</v>
      </c>
      <c r="FB21" t="e">
        <f t="shared" si="9"/>
        <v>#N/A</v>
      </c>
      <c r="FC21" t="e">
        <f t="shared" si="9"/>
        <v>#N/A</v>
      </c>
      <c r="FD21" t="e">
        <f t="shared" si="9"/>
        <v>#N/A</v>
      </c>
      <c r="FE21" t="e">
        <f t="shared" si="9"/>
        <v>#N/A</v>
      </c>
      <c r="FF21" t="e">
        <f t="shared" si="9"/>
        <v>#N/A</v>
      </c>
      <c r="FG21" t="e">
        <f t="shared" si="9"/>
        <v>#N/A</v>
      </c>
      <c r="FH21" t="e">
        <f t="shared" si="9"/>
        <v>#N/A</v>
      </c>
      <c r="FI21" t="e">
        <f t="shared" si="9"/>
        <v>#N/A</v>
      </c>
      <c r="FJ21" t="e">
        <f t="shared" si="9"/>
        <v>#N/A</v>
      </c>
      <c r="FK21" t="e">
        <f t="shared" si="9"/>
        <v>#N/A</v>
      </c>
      <c r="FL21" t="e">
        <f t="shared" si="9"/>
        <v>#N/A</v>
      </c>
      <c r="FM21" t="e">
        <f t="shared" si="9"/>
        <v>#N/A</v>
      </c>
      <c r="FN21" t="e">
        <f t="shared" si="9"/>
        <v>#N/A</v>
      </c>
      <c r="FO21" t="e">
        <f t="shared" si="9"/>
        <v>#N/A</v>
      </c>
      <c r="FP21" t="e">
        <f t="shared" si="9"/>
        <v>#N/A</v>
      </c>
      <c r="FQ21" t="e">
        <f t="shared" si="9"/>
        <v>#N/A</v>
      </c>
      <c r="FR21" t="e">
        <f t="shared" si="9"/>
        <v>#N/A</v>
      </c>
      <c r="FS21" t="e">
        <f t="shared" si="9"/>
        <v>#N/A</v>
      </c>
      <c r="FT21" t="e">
        <f t="shared" si="9"/>
        <v>#N/A</v>
      </c>
      <c r="FU21" t="e">
        <f t="shared" si="9"/>
        <v>#N/A</v>
      </c>
      <c r="FV21" t="e">
        <f t="shared" si="9"/>
        <v>#N/A</v>
      </c>
      <c r="FW21" t="e">
        <f t="shared" si="9"/>
        <v>#N/A</v>
      </c>
      <c r="FX21" t="e">
        <f t="shared" si="9"/>
        <v>#N/A</v>
      </c>
      <c r="FY21" t="e">
        <f t="shared" si="9"/>
        <v>#N/A</v>
      </c>
      <c r="FZ21" t="e">
        <f t="shared" si="9"/>
        <v>#N/A</v>
      </c>
      <c r="GA21" t="e">
        <f t="shared" si="9"/>
        <v>#N/A</v>
      </c>
    </row>
    <row r="22" spans="1:183" x14ac:dyDescent="0.45">
      <c r="A22" t="str">
        <f>A10</f>
        <v>Stattrak Cyber Security MW</v>
      </c>
      <c r="C22" cm="1">
        <f t="array" ref="C22">LOOKUP(2,1/(I22:GA22&lt;&gt;""),I22:GA22)</f>
        <v>22.18</v>
      </c>
      <c r="D22">
        <f t="shared" si="6"/>
        <v>45</v>
      </c>
      <c r="F22" s="4">
        <f t="shared" ref="F22" si="13">(C22-I22)/I22</f>
        <v>-0.10923694779116462</v>
      </c>
      <c r="G22" s="3" cm="1">
        <f t="array" ref="G22">(C22-IF(ISNA(INDEX(I22:GA22,D22-22)),INDEX(I22:GA22,D22-23),INDEX(I22:GA22,D22-22)))/IF(ISNA(INDEX(I22:GA22,D22-22)),INDEX(I22:GA22,D22-23),INDEX(I22:GA22,D22-22))</f>
        <v>1.836547291092739E-2</v>
      </c>
      <c r="I22">
        <f t="shared" si="7"/>
        <v>24.9</v>
      </c>
      <c r="J22">
        <f t="shared" si="12"/>
        <v>23.73</v>
      </c>
      <c r="K22" t="e">
        <f t="shared" si="12"/>
        <v>#N/A</v>
      </c>
      <c r="L22">
        <f t="shared" si="12"/>
        <v>21.88</v>
      </c>
      <c r="M22" t="e">
        <f t="shared" si="12"/>
        <v>#N/A</v>
      </c>
      <c r="N22">
        <f t="shared" si="12"/>
        <v>23.8</v>
      </c>
      <c r="O22">
        <f t="shared" si="12"/>
        <v>22.01</v>
      </c>
      <c r="P22">
        <f t="shared" si="12"/>
        <v>22.72</v>
      </c>
      <c r="Q22">
        <f t="shared" si="12"/>
        <v>23.06</v>
      </c>
      <c r="R22">
        <f t="shared" si="12"/>
        <v>21.6</v>
      </c>
      <c r="S22">
        <f t="shared" si="12"/>
        <v>22.66</v>
      </c>
      <c r="T22">
        <f t="shared" si="12"/>
        <v>21.6</v>
      </c>
      <c r="U22">
        <f t="shared" si="12"/>
        <v>21.51</v>
      </c>
      <c r="V22">
        <f t="shared" si="12"/>
        <v>20.94</v>
      </c>
      <c r="W22">
        <f t="shared" si="12"/>
        <v>21.65</v>
      </c>
      <c r="X22">
        <f t="shared" si="12"/>
        <v>22.49</v>
      </c>
      <c r="Y22">
        <f t="shared" si="12"/>
        <v>21.67</v>
      </c>
      <c r="Z22">
        <f t="shared" si="12"/>
        <v>21.84</v>
      </c>
      <c r="AA22">
        <f t="shared" si="12"/>
        <v>22.21</v>
      </c>
      <c r="AB22">
        <f t="shared" si="12"/>
        <v>21.41</v>
      </c>
      <c r="AC22">
        <f t="shared" si="12"/>
        <v>21.87</v>
      </c>
      <c r="AD22">
        <f t="shared" si="12"/>
        <v>21.8</v>
      </c>
      <c r="AE22">
        <f t="shared" si="12"/>
        <v>21.78</v>
      </c>
      <c r="AF22">
        <f t="shared" si="12"/>
        <v>23</v>
      </c>
      <c r="AG22">
        <f t="shared" si="12"/>
        <v>21.69</v>
      </c>
      <c r="AH22">
        <f t="shared" si="12"/>
        <v>22.08</v>
      </c>
      <c r="AI22">
        <f t="shared" si="12"/>
        <v>22.8</v>
      </c>
      <c r="AJ22">
        <f t="shared" si="12"/>
        <v>22.36</v>
      </c>
      <c r="AK22">
        <f t="shared" si="12"/>
        <v>23.46</v>
      </c>
      <c r="AL22">
        <f t="shared" si="12"/>
        <v>21.23</v>
      </c>
      <c r="AM22">
        <f t="shared" si="12"/>
        <v>22.02</v>
      </c>
      <c r="AN22" t="e">
        <f t="shared" si="12"/>
        <v>#N/A</v>
      </c>
      <c r="AO22">
        <f t="shared" si="12"/>
        <v>21.86</v>
      </c>
      <c r="AP22">
        <f t="shared" si="12"/>
        <v>21.48</v>
      </c>
      <c r="AQ22">
        <f t="shared" si="12"/>
        <v>21.18</v>
      </c>
      <c r="AR22">
        <f t="shared" si="12"/>
        <v>21.47</v>
      </c>
      <c r="AS22">
        <f t="shared" si="12"/>
        <v>22.18</v>
      </c>
      <c r="AT22" t="e">
        <f t="shared" si="12"/>
        <v>#N/A</v>
      </c>
      <c r="AU22" t="e">
        <f t="shared" si="12"/>
        <v>#N/A</v>
      </c>
      <c r="AV22" t="e">
        <f t="shared" si="12"/>
        <v>#N/A</v>
      </c>
      <c r="AW22" t="e">
        <f t="shared" si="12"/>
        <v>#N/A</v>
      </c>
      <c r="AX22" t="e">
        <f t="shared" si="12"/>
        <v>#N/A</v>
      </c>
      <c r="AY22" t="e">
        <f t="shared" si="12"/>
        <v>#N/A</v>
      </c>
      <c r="AZ22" t="e">
        <f t="shared" si="12"/>
        <v>#N/A</v>
      </c>
      <c r="BA22" t="e">
        <f t="shared" si="12"/>
        <v>#N/A</v>
      </c>
      <c r="BB22" t="e">
        <f t="shared" si="12"/>
        <v>#N/A</v>
      </c>
      <c r="BC22" t="e">
        <f t="shared" si="12"/>
        <v>#N/A</v>
      </c>
      <c r="BD22" t="e">
        <f t="shared" si="12"/>
        <v>#N/A</v>
      </c>
      <c r="BE22" t="e">
        <f t="shared" si="12"/>
        <v>#N/A</v>
      </c>
      <c r="BF22" t="e">
        <f t="shared" si="12"/>
        <v>#N/A</v>
      </c>
      <c r="BG22" t="e">
        <f t="shared" si="12"/>
        <v>#N/A</v>
      </c>
      <c r="BH22" t="e">
        <f t="shared" si="12"/>
        <v>#N/A</v>
      </c>
      <c r="BI22" t="e">
        <f t="shared" si="12"/>
        <v>#N/A</v>
      </c>
      <c r="BJ22" t="e">
        <f t="shared" si="12"/>
        <v>#N/A</v>
      </c>
      <c r="BK22" t="e">
        <f t="shared" si="12"/>
        <v>#N/A</v>
      </c>
      <c r="BL22" t="e">
        <f t="shared" si="12"/>
        <v>#N/A</v>
      </c>
      <c r="BM22" t="e">
        <f t="shared" si="12"/>
        <v>#N/A</v>
      </c>
      <c r="BN22" t="e">
        <f t="shared" si="12"/>
        <v>#N/A</v>
      </c>
      <c r="BO22" t="e">
        <f t="shared" si="12"/>
        <v>#N/A</v>
      </c>
      <c r="BP22" t="e">
        <f t="shared" si="12"/>
        <v>#N/A</v>
      </c>
      <c r="BQ22" t="e">
        <f t="shared" si="12"/>
        <v>#N/A</v>
      </c>
      <c r="BR22" t="e">
        <f t="shared" si="12"/>
        <v>#N/A</v>
      </c>
      <c r="BS22" t="e">
        <f t="shared" si="12"/>
        <v>#N/A</v>
      </c>
      <c r="BT22" t="e">
        <f t="shared" si="12"/>
        <v>#N/A</v>
      </c>
      <c r="BU22" t="e">
        <f t="shared" si="12"/>
        <v>#N/A</v>
      </c>
      <c r="BV22" t="e">
        <f t="shared" si="11"/>
        <v>#N/A</v>
      </c>
      <c r="BW22" t="e">
        <f t="shared" si="11"/>
        <v>#N/A</v>
      </c>
      <c r="BX22" t="e">
        <f t="shared" si="11"/>
        <v>#N/A</v>
      </c>
      <c r="BY22" t="e">
        <f t="shared" si="11"/>
        <v>#N/A</v>
      </c>
      <c r="BZ22" t="e">
        <f t="shared" si="11"/>
        <v>#N/A</v>
      </c>
      <c r="CA22" t="e">
        <f t="shared" si="11"/>
        <v>#N/A</v>
      </c>
      <c r="CB22" t="e">
        <f t="shared" si="11"/>
        <v>#N/A</v>
      </c>
      <c r="CC22" t="e">
        <f t="shared" si="11"/>
        <v>#N/A</v>
      </c>
      <c r="CD22" t="e">
        <f t="shared" si="11"/>
        <v>#N/A</v>
      </c>
      <c r="CE22" t="e">
        <f t="shared" si="11"/>
        <v>#N/A</v>
      </c>
      <c r="CF22" t="e">
        <f t="shared" si="11"/>
        <v>#N/A</v>
      </c>
      <c r="CG22" t="e">
        <f t="shared" si="11"/>
        <v>#N/A</v>
      </c>
      <c r="CH22" t="e">
        <f t="shared" si="11"/>
        <v>#N/A</v>
      </c>
      <c r="CI22" t="e">
        <f t="shared" si="11"/>
        <v>#N/A</v>
      </c>
      <c r="CJ22" t="e">
        <f t="shared" si="11"/>
        <v>#N/A</v>
      </c>
      <c r="CK22" t="e">
        <f t="shared" si="11"/>
        <v>#N/A</v>
      </c>
      <c r="CL22" t="e">
        <f t="shared" si="11"/>
        <v>#N/A</v>
      </c>
      <c r="CM22" t="e">
        <f t="shared" si="11"/>
        <v>#N/A</v>
      </c>
      <c r="CN22" t="e">
        <f t="shared" si="11"/>
        <v>#N/A</v>
      </c>
      <c r="CO22" t="e">
        <f t="shared" si="11"/>
        <v>#N/A</v>
      </c>
      <c r="CP22" t="e">
        <f t="shared" si="11"/>
        <v>#N/A</v>
      </c>
      <c r="CQ22" t="e">
        <f t="shared" si="11"/>
        <v>#N/A</v>
      </c>
      <c r="CR22" t="e">
        <f t="shared" si="11"/>
        <v>#N/A</v>
      </c>
      <c r="CS22" t="e">
        <f t="shared" si="11"/>
        <v>#N/A</v>
      </c>
      <c r="CT22" t="e">
        <f t="shared" si="11"/>
        <v>#N/A</v>
      </c>
      <c r="CU22" t="e">
        <f t="shared" si="11"/>
        <v>#N/A</v>
      </c>
      <c r="CV22" t="e">
        <f t="shared" si="11"/>
        <v>#N/A</v>
      </c>
      <c r="CW22" t="e">
        <f t="shared" si="11"/>
        <v>#N/A</v>
      </c>
      <c r="CX22" t="e">
        <f t="shared" si="11"/>
        <v>#N/A</v>
      </c>
      <c r="CY22" t="e">
        <f t="shared" si="11"/>
        <v>#N/A</v>
      </c>
      <c r="CZ22" t="e">
        <f t="shared" si="11"/>
        <v>#N/A</v>
      </c>
      <c r="DA22" t="e">
        <f t="shared" si="11"/>
        <v>#N/A</v>
      </c>
      <c r="DB22" t="e">
        <f t="shared" si="11"/>
        <v>#N/A</v>
      </c>
      <c r="DC22" t="e">
        <f t="shared" si="11"/>
        <v>#N/A</v>
      </c>
      <c r="DD22" t="e">
        <f t="shared" si="11"/>
        <v>#N/A</v>
      </c>
      <c r="DE22" t="e">
        <f t="shared" si="11"/>
        <v>#N/A</v>
      </c>
      <c r="DF22" t="e">
        <f t="shared" si="11"/>
        <v>#N/A</v>
      </c>
      <c r="DG22" t="e">
        <f t="shared" si="11"/>
        <v>#N/A</v>
      </c>
      <c r="DH22" t="e">
        <f t="shared" si="11"/>
        <v>#N/A</v>
      </c>
      <c r="DI22" t="e">
        <f t="shared" si="11"/>
        <v>#N/A</v>
      </c>
      <c r="DJ22" t="e">
        <f t="shared" si="11"/>
        <v>#N/A</v>
      </c>
      <c r="DK22" t="e">
        <f t="shared" si="11"/>
        <v>#N/A</v>
      </c>
      <c r="DL22" t="e">
        <f t="shared" si="11"/>
        <v>#N/A</v>
      </c>
      <c r="DM22" t="e">
        <f t="shared" si="11"/>
        <v>#N/A</v>
      </c>
      <c r="DN22" t="e">
        <f t="shared" si="11"/>
        <v>#N/A</v>
      </c>
      <c r="DO22" t="e">
        <f t="shared" si="11"/>
        <v>#N/A</v>
      </c>
      <c r="DP22" t="e">
        <f t="shared" si="11"/>
        <v>#N/A</v>
      </c>
      <c r="DQ22" t="e">
        <f t="shared" si="11"/>
        <v>#N/A</v>
      </c>
      <c r="DR22" t="e">
        <f t="shared" si="11"/>
        <v>#N/A</v>
      </c>
      <c r="DS22" t="e">
        <f t="shared" si="11"/>
        <v>#N/A</v>
      </c>
      <c r="DT22" t="e">
        <f t="shared" si="11"/>
        <v>#N/A</v>
      </c>
      <c r="DU22" t="e">
        <f t="shared" si="11"/>
        <v>#N/A</v>
      </c>
      <c r="DV22" t="e">
        <f t="shared" si="11"/>
        <v>#N/A</v>
      </c>
      <c r="DW22" t="e">
        <f t="shared" si="11"/>
        <v>#N/A</v>
      </c>
      <c r="DX22" t="e">
        <f t="shared" si="11"/>
        <v>#N/A</v>
      </c>
      <c r="DY22" t="e">
        <f t="shared" si="11"/>
        <v>#N/A</v>
      </c>
      <c r="DZ22" t="e">
        <f t="shared" si="11"/>
        <v>#N/A</v>
      </c>
      <c r="EA22" t="e">
        <f t="shared" si="11"/>
        <v>#N/A</v>
      </c>
      <c r="EB22" t="e">
        <f t="shared" si="11"/>
        <v>#N/A</v>
      </c>
      <c r="EC22" t="e">
        <f t="shared" si="11"/>
        <v>#N/A</v>
      </c>
      <c r="ED22" t="e">
        <f t="shared" si="11"/>
        <v>#N/A</v>
      </c>
      <c r="EE22" t="e">
        <f t="shared" si="11"/>
        <v>#N/A</v>
      </c>
      <c r="EF22" t="e">
        <f t="shared" si="11"/>
        <v>#N/A</v>
      </c>
      <c r="EG22" t="e">
        <f t="shared" si="10"/>
        <v>#N/A</v>
      </c>
      <c r="EH22" t="e">
        <f t="shared" si="9"/>
        <v>#N/A</v>
      </c>
      <c r="EI22" t="e">
        <f t="shared" si="9"/>
        <v>#N/A</v>
      </c>
      <c r="EJ22" t="e">
        <f t="shared" si="9"/>
        <v>#N/A</v>
      </c>
      <c r="EK22" t="e">
        <f t="shared" si="9"/>
        <v>#N/A</v>
      </c>
      <c r="EL22" t="e">
        <f t="shared" si="9"/>
        <v>#N/A</v>
      </c>
      <c r="EM22" t="e">
        <f t="shared" si="9"/>
        <v>#N/A</v>
      </c>
      <c r="EN22" t="e">
        <f t="shared" si="9"/>
        <v>#N/A</v>
      </c>
      <c r="EO22" t="e">
        <f t="shared" si="9"/>
        <v>#N/A</v>
      </c>
      <c r="EP22" t="e">
        <f t="shared" si="9"/>
        <v>#N/A</v>
      </c>
      <c r="EQ22" t="e">
        <f t="shared" si="9"/>
        <v>#N/A</v>
      </c>
      <c r="ER22" t="e">
        <f t="shared" si="9"/>
        <v>#N/A</v>
      </c>
      <c r="ES22" t="e">
        <f t="shared" si="9"/>
        <v>#N/A</v>
      </c>
      <c r="ET22" t="e">
        <f t="shared" si="9"/>
        <v>#N/A</v>
      </c>
      <c r="EU22" t="e">
        <f t="shared" si="9"/>
        <v>#N/A</v>
      </c>
      <c r="EV22" t="e">
        <f t="shared" si="9"/>
        <v>#N/A</v>
      </c>
      <c r="EW22" t="e">
        <f t="shared" si="9"/>
        <v>#N/A</v>
      </c>
      <c r="EX22" t="e">
        <f t="shared" si="9"/>
        <v>#N/A</v>
      </c>
      <c r="EY22" t="e">
        <f t="shared" si="9"/>
        <v>#N/A</v>
      </c>
      <c r="EZ22" t="e">
        <f t="shared" si="9"/>
        <v>#N/A</v>
      </c>
      <c r="FA22" t="e">
        <f t="shared" si="9"/>
        <v>#N/A</v>
      </c>
      <c r="FB22" t="e">
        <f t="shared" si="9"/>
        <v>#N/A</v>
      </c>
      <c r="FC22" t="e">
        <f t="shared" si="9"/>
        <v>#N/A</v>
      </c>
      <c r="FD22" t="e">
        <f t="shared" si="9"/>
        <v>#N/A</v>
      </c>
      <c r="FE22" t="e">
        <f t="shared" si="9"/>
        <v>#N/A</v>
      </c>
      <c r="FF22" t="e">
        <f t="shared" si="9"/>
        <v>#N/A</v>
      </c>
      <c r="FG22" t="e">
        <f t="shared" si="9"/>
        <v>#N/A</v>
      </c>
      <c r="FH22" t="e">
        <f t="shared" si="9"/>
        <v>#N/A</v>
      </c>
      <c r="FI22" t="e">
        <f t="shared" si="9"/>
        <v>#N/A</v>
      </c>
      <c r="FJ22" t="e">
        <f t="shared" si="9"/>
        <v>#N/A</v>
      </c>
      <c r="FK22" t="e">
        <f t="shared" si="9"/>
        <v>#N/A</v>
      </c>
      <c r="FL22" t="e">
        <f t="shared" si="9"/>
        <v>#N/A</v>
      </c>
      <c r="FM22" t="e">
        <f t="shared" si="9"/>
        <v>#N/A</v>
      </c>
      <c r="FN22" t="e">
        <f t="shared" si="9"/>
        <v>#N/A</v>
      </c>
      <c r="FO22" t="e">
        <f t="shared" si="9"/>
        <v>#N/A</v>
      </c>
      <c r="FP22" t="e">
        <f t="shared" si="9"/>
        <v>#N/A</v>
      </c>
      <c r="FQ22" t="e">
        <f t="shared" si="9"/>
        <v>#N/A</v>
      </c>
      <c r="FR22" t="e">
        <f t="shared" si="9"/>
        <v>#N/A</v>
      </c>
      <c r="FS22" t="e">
        <f t="shared" si="9"/>
        <v>#N/A</v>
      </c>
      <c r="FT22" t="e">
        <f t="shared" si="9"/>
        <v>#N/A</v>
      </c>
      <c r="FU22" t="e">
        <f t="shared" si="9"/>
        <v>#N/A</v>
      </c>
      <c r="FV22" t="e">
        <f t="shared" si="9"/>
        <v>#N/A</v>
      </c>
      <c r="FW22" t="e">
        <f t="shared" si="9"/>
        <v>#N/A</v>
      </c>
      <c r="FX22" t="e">
        <f t="shared" si="9"/>
        <v>#N/A</v>
      </c>
      <c r="FY22" t="e">
        <f t="shared" si="9"/>
        <v>#N/A</v>
      </c>
      <c r="FZ22" t="e">
        <f t="shared" si="9"/>
        <v>#N/A</v>
      </c>
      <c r="GA22" t="e">
        <f t="shared" si="9"/>
        <v>#N/A</v>
      </c>
    </row>
    <row r="26" spans="1:183" x14ac:dyDescent="0.45">
      <c r="I26" s="1">
        <f>I14</f>
        <v>44331</v>
      </c>
      <c r="J26" s="1">
        <f>J14</f>
        <v>44332</v>
      </c>
      <c r="K26" s="1">
        <f>K14</f>
        <v>44333</v>
      </c>
      <c r="L26" s="1">
        <f>L14</f>
        <v>44334</v>
      </c>
      <c r="M26" s="1">
        <f>M14</f>
        <v>44335</v>
      </c>
      <c r="N26" s="1">
        <f>N14</f>
        <v>44336</v>
      </c>
      <c r="O26" s="1">
        <f>O14</f>
        <v>44337</v>
      </c>
      <c r="P26" s="1">
        <f>P14</f>
        <v>44338</v>
      </c>
      <c r="Q26" s="1">
        <f>Q14</f>
        <v>44339</v>
      </c>
      <c r="R26" s="1">
        <f>R14</f>
        <v>44340</v>
      </c>
      <c r="S26" s="1">
        <f>S14</f>
        <v>44341</v>
      </c>
      <c r="T26" s="1">
        <f>T14</f>
        <v>44342</v>
      </c>
      <c r="U26" s="1">
        <f>U14</f>
        <v>44343</v>
      </c>
      <c r="V26" s="1">
        <f>V14</f>
        <v>44344</v>
      </c>
      <c r="W26" s="1">
        <f>W14</f>
        <v>44345</v>
      </c>
      <c r="X26" s="1">
        <f>X14</f>
        <v>44346</v>
      </c>
      <c r="Y26" s="1">
        <f>Y14</f>
        <v>44347</v>
      </c>
      <c r="Z26" s="1">
        <f>Z14</f>
        <v>44348</v>
      </c>
      <c r="AA26" s="1">
        <f>AA14</f>
        <v>44349</v>
      </c>
      <c r="AB26" s="1">
        <f>AB14</f>
        <v>44350</v>
      </c>
      <c r="AC26" s="1">
        <f>AC14</f>
        <v>44351</v>
      </c>
      <c r="AD26" s="1">
        <f>AD14</f>
        <v>44352</v>
      </c>
      <c r="AE26" s="1">
        <f>AE14</f>
        <v>44353</v>
      </c>
      <c r="AF26" s="1">
        <f>AF14</f>
        <v>44354</v>
      </c>
      <c r="AG26" s="1">
        <f>AG14</f>
        <v>44355</v>
      </c>
      <c r="AH26" s="1">
        <f>AH14</f>
        <v>44356</v>
      </c>
      <c r="AI26" s="1">
        <f>AI14</f>
        <v>44357</v>
      </c>
      <c r="AJ26" s="1">
        <f>AJ14</f>
        <v>44358</v>
      </c>
      <c r="AK26" s="1">
        <f>AK14</f>
        <v>44359</v>
      </c>
      <c r="AL26" s="1">
        <f>AL14</f>
        <v>44360</v>
      </c>
      <c r="AM26" s="1">
        <f>AM14</f>
        <v>44361</v>
      </c>
      <c r="AN26" s="1">
        <f>AN14</f>
        <v>44362</v>
      </c>
      <c r="AO26" s="1">
        <f>AO14</f>
        <v>44363</v>
      </c>
      <c r="AP26" s="1">
        <f>AP14</f>
        <v>44364</v>
      </c>
      <c r="AQ26" s="1">
        <f>AQ14</f>
        <v>44365</v>
      </c>
      <c r="AR26" s="1">
        <f>AR14</f>
        <v>44366</v>
      </c>
      <c r="AS26" s="1">
        <f>AS14</f>
        <v>44367</v>
      </c>
      <c r="AT26" s="1">
        <f>AT14</f>
        <v>44368</v>
      </c>
      <c r="AU26" s="1">
        <f>AU14</f>
        <v>44369</v>
      </c>
      <c r="AV26" s="1">
        <f>AV14</f>
        <v>44370</v>
      </c>
      <c r="AW26" s="1">
        <f>AW14</f>
        <v>44371</v>
      </c>
      <c r="AX26" s="1">
        <f>AX14</f>
        <v>44372</v>
      </c>
      <c r="AY26" s="1">
        <f>AY14</f>
        <v>44373</v>
      </c>
      <c r="AZ26" s="1">
        <f>AZ14</f>
        <v>44374</v>
      </c>
      <c r="BA26" s="1">
        <f>BA14</f>
        <v>44375</v>
      </c>
      <c r="BB26" s="1">
        <f>BB14</f>
        <v>44376</v>
      </c>
      <c r="BC26" s="1">
        <f>BC14</f>
        <v>44377</v>
      </c>
      <c r="BD26" s="1">
        <f>BD14</f>
        <v>44378</v>
      </c>
      <c r="BE26" s="1">
        <f>BE14</f>
        <v>44379</v>
      </c>
      <c r="BF26" s="1">
        <f>BF14</f>
        <v>44380</v>
      </c>
      <c r="BG26" s="1">
        <f>BG14</f>
        <v>44381</v>
      </c>
      <c r="BH26" s="1">
        <f>BH14</f>
        <v>44382</v>
      </c>
      <c r="BI26" s="1">
        <f>BI14</f>
        <v>44383</v>
      </c>
      <c r="BJ26" s="1">
        <f>BJ14</f>
        <v>44384</v>
      </c>
      <c r="BK26" s="1">
        <f>BK14</f>
        <v>44385</v>
      </c>
      <c r="BL26" s="1">
        <f>BL14</f>
        <v>44386</v>
      </c>
      <c r="BM26" s="1">
        <f>BM14</f>
        <v>44387</v>
      </c>
      <c r="BN26" s="1">
        <f>BN14</f>
        <v>44388</v>
      </c>
      <c r="BO26" s="1">
        <f>BO14</f>
        <v>44389</v>
      </c>
      <c r="BP26" s="1">
        <f>BP14</f>
        <v>44390</v>
      </c>
      <c r="BQ26" s="1">
        <f>BQ14</f>
        <v>44391</v>
      </c>
      <c r="BR26" s="1">
        <f>BR14</f>
        <v>44392</v>
      </c>
      <c r="BS26" s="1">
        <f>BS14</f>
        <v>44393</v>
      </c>
      <c r="BT26" s="1">
        <f>BT14</f>
        <v>44394</v>
      </c>
      <c r="BU26" s="1">
        <f>BU14</f>
        <v>44395</v>
      </c>
      <c r="BV26" s="1">
        <f>BV14</f>
        <v>44396</v>
      </c>
      <c r="BW26" s="1">
        <f>BW14</f>
        <v>44397</v>
      </c>
      <c r="BX26" s="1">
        <f>BX14</f>
        <v>44398</v>
      </c>
      <c r="BY26" s="1">
        <f>BY14</f>
        <v>44399</v>
      </c>
      <c r="BZ26" s="1">
        <f>BZ14</f>
        <v>44400</v>
      </c>
      <c r="CA26" s="1">
        <f>CA14</f>
        <v>44401</v>
      </c>
      <c r="CB26" s="1">
        <f>CB14</f>
        <v>44402</v>
      </c>
      <c r="CC26" s="1">
        <f>CC14</f>
        <v>44403</v>
      </c>
      <c r="CD26" s="1">
        <f>CD14</f>
        <v>44404</v>
      </c>
      <c r="CE26" s="1">
        <f>CE14</f>
        <v>44405</v>
      </c>
      <c r="CF26" s="1">
        <f>CF14</f>
        <v>44406</v>
      </c>
      <c r="CG26" s="1">
        <f>CG14</f>
        <v>44407</v>
      </c>
      <c r="CH26" s="1">
        <f>CH14</f>
        <v>44408</v>
      </c>
      <c r="CI26" s="1">
        <f>CI14</f>
        <v>44409</v>
      </c>
      <c r="CJ26" s="1">
        <f>CJ14</f>
        <v>44410</v>
      </c>
      <c r="CK26" s="1">
        <f>CK14</f>
        <v>44411</v>
      </c>
      <c r="CL26" s="1">
        <f>CL14</f>
        <v>44412</v>
      </c>
      <c r="CM26" s="1">
        <f>CM14</f>
        <v>44413</v>
      </c>
      <c r="CN26" s="1">
        <f>CN14</f>
        <v>44414</v>
      </c>
      <c r="CO26" s="1">
        <f>CO14</f>
        <v>44415</v>
      </c>
      <c r="CP26" s="1">
        <f>CP14</f>
        <v>44416</v>
      </c>
      <c r="CQ26" s="1">
        <f>CQ14</f>
        <v>44417</v>
      </c>
      <c r="CR26" s="1">
        <f>CR14</f>
        <v>44418</v>
      </c>
      <c r="CS26" s="1">
        <f>CS14</f>
        <v>44419</v>
      </c>
      <c r="CT26" s="1">
        <f>CT14</f>
        <v>44420</v>
      </c>
      <c r="CU26" s="1">
        <f>CU14</f>
        <v>44421</v>
      </c>
      <c r="CV26" s="1">
        <f>CV14</f>
        <v>44422</v>
      </c>
      <c r="CW26" s="1">
        <f>CW14</f>
        <v>44423</v>
      </c>
      <c r="CX26" s="1">
        <f>CX14</f>
        <v>44424</v>
      </c>
      <c r="CY26" s="1">
        <f>CY14</f>
        <v>44425</v>
      </c>
      <c r="CZ26" s="1">
        <f>CZ14</f>
        <v>44426</v>
      </c>
      <c r="DA26" s="1">
        <f>DA14</f>
        <v>44427</v>
      </c>
      <c r="DB26" s="1">
        <f>DB14</f>
        <v>44428</v>
      </c>
      <c r="DC26" s="1">
        <f>DC14</f>
        <v>44429</v>
      </c>
      <c r="DD26" s="1">
        <f>DD14</f>
        <v>44430</v>
      </c>
      <c r="DE26" s="1">
        <f>DE14</f>
        <v>44431</v>
      </c>
      <c r="DF26" s="1">
        <f>DF14</f>
        <v>44432</v>
      </c>
      <c r="DG26" s="1">
        <f>DG14</f>
        <v>44433</v>
      </c>
      <c r="DH26" s="1">
        <f>DH14</f>
        <v>44434</v>
      </c>
      <c r="DI26" s="1">
        <f>DI14</f>
        <v>44435</v>
      </c>
      <c r="DJ26" s="1">
        <f>DJ14</f>
        <v>44436</v>
      </c>
      <c r="DK26" s="1">
        <f>DK14</f>
        <v>44437</v>
      </c>
      <c r="DL26" s="1">
        <f>DL14</f>
        <v>44438</v>
      </c>
      <c r="DM26" s="1">
        <f>DM14</f>
        <v>44439</v>
      </c>
      <c r="DN26" s="1">
        <f>DN14</f>
        <v>44440</v>
      </c>
      <c r="DO26" s="1">
        <f>DO14</f>
        <v>44441</v>
      </c>
      <c r="DP26" s="1">
        <f>DP14</f>
        <v>44442</v>
      </c>
      <c r="DQ26" s="1">
        <f>DQ14</f>
        <v>44443</v>
      </c>
      <c r="DR26" s="1">
        <f>DR14</f>
        <v>44444</v>
      </c>
      <c r="DS26" s="1">
        <f>DS14</f>
        <v>44445</v>
      </c>
      <c r="DT26" s="1">
        <f>DT14</f>
        <v>44446</v>
      </c>
      <c r="DU26" s="1">
        <f>DU14</f>
        <v>44447</v>
      </c>
      <c r="DV26" s="1">
        <f>DV14</f>
        <v>44448</v>
      </c>
      <c r="DW26" s="1">
        <f>DW14</f>
        <v>44449</v>
      </c>
      <c r="DX26" s="1">
        <f>DX14</f>
        <v>44450</v>
      </c>
      <c r="DY26" s="1">
        <f>DY14</f>
        <v>44451</v>
      </c>
      <c r="DZ26" s="1">
        <f>DZ14</f>
        <v>44452</v>
      </c>
      <c r="EA26" s="1">
        <f>EA14</f>
        <v>44453</v>
      </c>
      <c r="EB26" s="1">
        <f>EB14</f>
        <v>44454</v>
      </c>
      <c r="EC26" s="1">
        <f>EC14</f>
        <v>44455</v>
      </c>
      <c r="ED26" s="1">
        <f>ED14</f>
        <v>44456</v>
      </c>
      <c r="EE26" s="1">
        <f>EE14</f>
        <v>44457</v>
      </c>
      <c r="EF26" s="1">
        <f>EF14</f>
        <v>44458</v>
      </c>
      <c r="EG26" s="1">
        <f>EG14</f>
        <v>44459</v>
      </c>
      <c r="EH26" s="1">
        <f>EH14</f>
        <v>44460</v>
      </c>
      <c r="EI26" s="1">
        <f>EI14</f>
        <v>44461</v>
      </c>
      <c r="EJ26" s="1">
        <f>EJ14</f>
        <v>44462</v>
      </c>
      <c r="EK26" s="1">
        <f>EK14</f>
        <v>44463</v>
      </c>
      <c r="EL26" s="1">
        <f>EL14</f>
        <v>44464</v>
      </c>
      <c r="EM26" s="1">
        <f>EM14</f>
        <v>44465</v>
      </c>
      <c r="EN26" s="1">
        <f>EN14</f>
        <v>44466</v>
      </c>
      <c r="EO26" s="1">
        <f>EO14</f>
        <v>44467</v>
      </c>
      <c r="EP26" s="1">
        <f>EP14</f>
        <v>44468</v>
      </c>
      <c r="EQ26" s="1">
        <f>EQ14</f>
        <v>44469</v>
      </c>
      <c r="ER26" s="1">
        <f>ER14</f>
        <v>44470</v>
      </c>
      <c r="ES26" s="1">
        <f>ES14</f>
        <v>44471</v>
      </c>
      <c r="ET26" s="1">
        <f>ET14</f>
        <v>44472</v>
      </c>
      <c r="EU26" s="1">
        <f>EU14</f>
        <v>44473</v>
      </c>
      <c r="EV26" s="1">
        <f>EV14</f>
        <v>44474</v>
      </c>
      <c r="EW26" s="1">
        <f>EW14</f>
        <v>44475</v>
      </c>
      <c r="EX26" s="1">
        <f>EX14</f>
        <v>44476</v>
      </c>
      <c r="EY26" s="1">
        <f>EY14</f>
        <v>44477</v>
      </c>
      <c r="EZ26" s="1">
        <f>EZ14</f>
        <v>44478</v>
      </c>
      <c r="FA26" s="1">
        <f>FA14</f>
        <v>44479</v>
      </c>
      <c r="FB26" s="1">
        <f>FB14</f>
        <v>44480</v>
      </c>
      <c r="FC26" s="1">
        <f>FC14</f>
        <v>44481</v>
      </c>
      <c r="FD26" s="1">
        <f>FD14</f>
        <v>44482</v>
      </c>
      <c r="FE26" s="1">
        <f>FE14</f>
        <v>44483</v>
      </c>
      <c r="FF26" s="1">
        <f>FF14</f>
        <v>44484</v>
      </c>
      <c r="FG26" s="1">
        <f>FG14</f>
        <v>44485</v>
      </c>
      <c r="FH26" s="1">
        <f>FH14</f>
        <v>44486</v>
      </c>
      <c r="FI26" s="1">
        <f>FI14</f>
        <v>44487</v>
      </c>
      <c r="FJ26" s="1">
        <f>FJ14</f>
        <v>44488</v>
      </c>
      <c r="FK26" s="1">
        <f>FK14</f>
        <v>44489</v>
      </c>
      <c r="FL26" s="1">
        <f>FL14</f>
        <v>44490</v>
      </c>
      <c r="FM26" s="1">
        <f>FM14</f>
        <v>44491</v>
      </c>
      <c r="FN26" s="1">
        <f>FN14</f>
        <v>44492</v>
      </c>
      <c r="FO26" s="1">
        <f>FO14</f>
        <v>44493</v>
      </c>
      <c r="FP26" s="1">
        <f>FP14</f>
        <v>44494</v>
      </c>
      <c r="FQ26" s="1">
        <f>FQ14</f>
        <v>44495</v>
      </c>
      <c r="FR26" s="1">
        <f>FR14</f>
        <v>44496</v>
      </c>
      <c r="FS26" s="1">
        <f>FS14</f>
        <v>44497</v>
      </c>
      <c r="FT26" s="1">
        <f>FT14</f>
        <v>44498</v>
      </c>
      <c r="FU26" s="1">
        <f>FU14</f>
        <v>44499</v>
      </c>
      <c r="FV26" s="1">
        <f>FV14</f>
        <v>44500</v>
      </c>
      <c r="FW26" s="1">
        <f>FW14</f>
        <v>44501</v>
      </c>
      <c r="FX26" s="1">
        <f>FX14</f>
        <v>44502</v>
      </c>
      <c r="FY26" s="1">
        <f>FY14</f>
        <v>44503</v>
      </c>
      <c r="FZ26" s="1">
        <f>FZ14</f>
        <v>44504</v>
      </c>
      <c r="GA26" s="1">
        <f>GA14</f>
        <v>44505</v>
      </c>
    </row>
    <row r="27" spans="1:183" x14ac:dyDescent="0.45">
      <c r="A27" t="s">
        <v>18</v>
      </c>
      <c r="C27" cm="1">
        <f t="array" ref="C27">LOOKUP(2,1/(I27:GA27&lt;&gt;""),I27:GA27)</f>
        <v>174.26999999999998</v>
      </c>
      <c r="D27">
        <f>D$6</f>
        <v>45</v>
      </c>
      <c r="F27" s="4">
        <f>(C27-I27)/I27</f>
        <v>-2.6152556580050487E-2</v>
      </c>
      <c r="G27" s="3" cm="1">
        <f t="array" ref="G27">(C27-IF(ISNA(INDEX(I27:GA27,D27-22)),INDEX(I27:GA27,D27-23),INDEX(I27:GA27,D27-22)))/IF(ISNA(INDEX(I27:GA27,D27-22)),INDEX(I27:GA27,D27-23),INDEX(I27:GA27,D27-22))</f>
        <v>-2.3259724246160934E-2</v>
      </c>
      <c r="I27">
        <f>IF(SUM(I3:I10)=0,NA(),SUM(I3:I10))</f>
        <v>178.95000000000002</v>
      </c>
      <c r="J27">
        <f t="shared" ref="J27:BU27" si="14">IF(SUM(J3:J10)=0,NA(),SUM(J3:J10))</f>
        <v>175.29000000000002</v>
      </c>
      <c r="K27" t="e">
        <f t="shared" si="14"/>
        <v>#N/A</v>
      </c>
      <c r="L27">
        <f t="shared" si="14"/>
        <v>172.94</v>
      </c>
      <c r="M27" t="e">
        <f t="shared" si="14"/>
        <v>#N/A</v>
      </c>
      <c r="N27">
        <f t="shared" si="14"/>
        <v>175.82</v>
      </c>
      <c r="O27">
        <f t="shared" si="14"/>
        <v>175.51</v>
      </c>
      <c r="P27">
        <f t="shared" si="14"/>
        <v>177.33</v>
      </c>
      <c r="Q27">
        <f t="shared" si="14"/>
        <v>173.10999999999999</v>
      </c>
      <c r="R27">
        <f t="shared" si="14"/>
        <v>171.3</v>
      </c>
      <c r="S27">
        <f t="shared" si="14"/>
        <v>167.67</v>
      </c>
      <c r="T27">
        <f t="shared" si="14"/>
        <v>171.02</v>
      </c>
      <c r="U27">
        <f t="shared" si="14"/>
        <v>169.12</v>
      </c>
      <c r="V27">
        <f t="shared" si="14"/>
        <v>169.39999999999998</v>
      </c>
      <c r="W27">
        <f t="shared" si="14"/>
        <v>170.18</v>
      </c>
      <c r="X27">
        <f t="shared" si="14"/>
        <v>172.92</v>
      </c>
      <c r="Y27">
        <f t="shared" si="14"/>
        <v>173.81</v>
      </c>
      <c r="Z27">
        <f t="shared" si="14"/>
        <v>175.42999999999998</v>
      </c>
      <c r="AA27">
        <f t="shared" si="14"/>
        <v>176.54</v>
      </c>
      <c r="AB27">
        <f t="shared" si="14"/>
        <v>171.85000000000002</v>
      </c>
      <c r="AC27">
        <f t="shared" si="14"/>
        <v>179.60999999999999</v>
      </c>
      <c r="AD27">
        <f t="shared" si="14"/>
        <v>184.22</v>
      </c>
      <c r="AE27">
        <f t="shared" si="14"/>
        <v>178.42000000000002</v>
      </c>
      <c r="AF27">
        <f t="shared" si="14"/>
        <v>179</v>
      </c>
      <c r="AG27">
        <f t="shared" si="14"/>
        <v>173.3</v>
      </c>
      <c r="AH27">
        <f t="shared" si="14"/>
        <v>175.9</v>
      </c>
      <c r="AI27">
        <f t="shared" si="14"/>
        <v>173.57</v>
      </c>
      <c r="AJ27">
        <f t="shared" si="14"/>
        <v>173.67</v>
      </c>
      <c r="AK27">
        <f t="shared" si="14"/>
        <v>175.72</v>
      </c>
      <c r="AL27">
        <f t="shared" si="14"/>
        <v>170.79</v>
      </c>
      <c r="AM27">
        <f t="shared" si="14"/>
        <v>171.73</v>
      </c>
      <c r="AN27" t="e">
        <f t="shared" si="14"/>
        <v>#N/A</v>
      </c>
      <c r="AO27">
        <f t="shared" si="14"/>
        <v>170.78</v>
      </c>
      <c r="AP27">
        <f t="shared" si="14"/>
        <v>173.15999999999997</v>
      </c>
      <c r="AQ27">
        <f t="shared" si="14"/>
        <v>173.97</v>
      </c>
      <c r="AR27">
        <f t="shared" si="14"/>
        <v>175.32</v>
      </c>
      <c r="AS27">
        <f t="shared" si="14"/>
        <v>174.26999999999998</v>
      </c>
      <c r="AT27" t="e">
        <f t="shared" si="14"/>
        <v>#N/A</v>
      </c>
      <c r="AU27" t="e">
        <f t="shared" si="14"/>
        <v>#N/A</v>
      </c>
      <c r="AV27" t="e">
        <f t="shared" si="14"/>
        <v>#N/A</v>
      </c>
      <c r="AW27" t="e">
        <f t="shared" si="14"/>
        <v>#N/A</v>
      </c>
      <c r="AX27" t="e">
        <f t="shared" si="14"/>
        <v>#N/A</v>
      </c>
      <c r="AY27" t="e">
        <f t="shared" si="14"/>
        <v>#N/A</v>
      </c>
      <c r="AZ27" t="e">
        <f t="shared" si="14"/>
        <v>#N/A</v>
      </c>
      <c r="BA27" t="e">
        <f t="shared" si="14"/>
        <v>#N/A</v>
      </c>
      <c r="BB27" t="e">
        <f t="shared" si="14"/>
        <v>#N/A</v>
      </c>
      <c r="BC27" t="e">
        <f t="shared" si="14"/>
        <v>#N/A</v>
      </c>
      <c r="BD27" t="e">
        <f t="shared" si="14"/>
        <v>#N/A</v>
      </c>
      <c r="BE27" t="e">
        <f t="shared" si="14"/>
        <v>#N/A</v>
      </c>
      <c r="BF27" t="e">
        <f t="shared" si="14"/>
        <v>#N/A</v>
      </c>
      <c r="BG27" t="e">
        <f t="shared" si="14"/>
        <v>#N/A</v>
      </c>
      <c r="BH27" t="e">
        <f t="shared" si="14"/>
        <v>#N/A</v>
      </c>
      <c r="BI27" t="e">
        <f t="shared" si="14"/>
        <v>#N/A</v>
      </c>
      <c r="BJ27" t="e">
        <f t="shared" si="14"/>
        <v>#N/A</v>
      </c>
      <c r="BK27" t="e">
        <f t="shared" si="14"/>
        <v>#N/A</v>
      </c>
      <c r="BL27" t="e">
        <f t="shared" si="14"/>
        <v>#N/A</v>
      </c>
      <c r="BM27" t="e">
        <f t="shared" si="14"/>
        <v>#N/A</v>
      </c>
      <c r="BN27" t="e">
        <f t="shared" si="14"/>
        <v>#N/A</v>
      </c>
      <c r="BO27" t="e">
        <f t="shared" si="14"/>
        <v>#N/A</v>
      </c>
      <c r="BP27" t="e">
        <f t="shared" si="14"/>
        <v>#N/A</v>
      </c>
      <c r="BQ27" t="e">
        <f t="shared" si="14"/>
        <v>#N/A</v>
      </c>
      <c r="BR27" t="e">
        <f t="shared" si="14"/>
        <v>#N/A</v>
      </c>
      <c r="BS27" t="e">
        <f t="shared" si="14"/>
        <v>#N/A</v>
      </c>
      <c r="BT27" t="e">
        <f t="shared" si="14"/>
        <v>#N/A</v>
      </c>
      <c r="BU27" t="e">
        <f t="shared" si="14"/>
        <v>#N/A</v>
      </c>
      <c r="BV27" t="e">
        <f t="shared" ref="BV27:EG27" si="15">IF(SUM(BV3:BV10)=0,NA(),SUM(BV3:BV10))</f>
        <v>#N/A</v>
      </c>
      <c r="BW27" t="e">
        <f t="shared" si="15"/>
        <v>#N/A</v>
      </c>
      <c r="BX27" t="e">
        <f t="shared" si="15"/>
        <v>#N/A</v>
      </c>
      <c r="BY27" t="e">
        <f t="shared" si="15"/>
        <v>#N/A</v>
      </c>
      <c r="BZ27" t="e">
        <f t="shared" si="15"/>
        <v>#N/A</v>
      </c>
      <c r="CA27" t="e">
        <f t="shared" si="15"/>
        <v>#N/A</v>
      </c>
      <c r="CB27" t="e">
        <f t="shared" si="15"/>
        <v>#N/A</v>
      </c>
      <c r="CC27" t="e">
        <f t="shared" si="15"/>
        <v>#N/A</v>
      </c>
      <c r="CD27" t="e">
        <f t="shared" si="15"/>
        <v>#N/A</v>
      </c>
      <c r="CE27" t="e">
        <f t="shared" si="15"/>
        <v>#N/A</v>
      </c>
      <c r="CF27" t="e">
        <f t="shared" si="15"/>
        <v>#N/A</v>
      </c>
      <c r="CG27" t="e">
        <f t="shared" si="15"/>
        <v>#N/A</v>
      </c>
      <c r="CH27" t="e">
        <f t="shared" si="15"/>
        <v>#N/A</v>
      </c>
      <c r="CI27" t="e">
        <f t="shared" si="15"/>
        <v>#N/A</v>
      </c>
      <c r="CJ27" t="e">
        <f t="shared" si="15"/>
        <v>#N/A</v>
      </c>
      <c r="CK27" t="e">
        <f t="shared" si="15"/>
        <v>#N/A</v>
      </c>
      <c r="CL27" t="e">
        <f t="shared" si="15"/>
        <v>#N/A</v>
      </c>
      <c r="CM27" t="e">
        <f t="shared" si="15"/>
        <v>#N/A</v>
      </c>
      <c r="CN27" t="e">
        <f t="shared" si="15"/>
        <v>#N/A</v>
      </c>
      <c r="CO27" t="e">
        <f t="shared" si="15"/>
        <v>#N/A</v>
      </c>
      <c r="CP27" t="e">
        <f t="shared" si="15"/>
        <v>#N/A</v>
      </c>
      <c r="CQ27" t="e">
        <f t="shared" si="15"/>
        <v>#N/A</v>
      </c>
      <c r="CR27" t="e">
        <f t="shared" si="15"/>
        <v>#N/A</v>
      </c>
      <c r="CS27" t="e">
        <f t="shared" si="15"/>
        <v>#N/A</v>
      </c>
      <c r="CT27" t="e">
        <f t="shared" si="15"/>
        <v>#N/A</v>
      </c>
      <c r="CU27" t="e">
        <f t="shared" si="15"/>
        <v>#N/A</v>
      </c>
      <c r="CV27" t="e">
        <f t="shared" si="15"/>
        <v>#N/A</v>
      </c>
      <c r="CW27" t="e">
        <f t="shared" si="15"/>
        <v>#N/A</v>
      </c>
      <c r="CX27" t="e">
        <f t="shared" si="15"/>
        <v>#N/A</v>
      </c>
      <c r="CY27" t="e">
        <f t="shared" si="15"/>
        <v>#N/A</v>
      </c>
      <c r="CZ27" t="e">
        <f t="shared" si="15"/>
        <v>#N/A</v>
      </c>
      <c r="DA27" t="e">
        <f t="shared" si="15"/>
        <v>#N/A</v>
      </c>
      <c r="DB27" t="e">
        <f t="shared" si="15"/>
        <v>#N/A</v>
      </c>
      <c r="DC27" t="e">
        <f t="shared" si="15"/>
        <v>#N/A</v>
      </c>
      <c r="DD27" t="e">
        <f t="shared" si="15"/>
        <v>#N/A</v>
      </c>
      <c r="DE27" t="e">
        <f t="shared" si="15"/>
        <v>#N/A</v>
      </c>
      <c r="DF27" t="e">
        <f t="shared" si="15"/>
        <v>#N/A</v>
      </c>
      <c r="DG27" t="e">
        <f t="shared" si="15"/>
        <v>#N/A</v>
      </c>
      <c r="DH27" t="e">
        <f t="shared" si="15"/>
        <v>#N/A</v>
      </c>
      <c r="DI27" t="e">
        <f t="shared" si="15"/>
        <v>#N/A</v>
      </c>
      <c r="DJ27" t="e">
        <f t="shared" si="15"/>
        <v>#N/A</v>
      </c>
      <c r="DK27" t="e">
        <f t="shared" si="15"/>
        <v>#N/A</v>
      </c>
      <c r="DL27" t="e">
        <f t="shared" si="15"/>
        <v>#N/A</v>
      </c>
      <c r="DM27" t="e">
        <f t="shared" si="15"/>
        <v>#N/A</v>
      </c>
      <c r="DN27" t="e">
        <f t="shared" si="15"/>
        <v>#N/A</v>
      </c>
      <c r="DO27" t="e">
        <f t="shared" si="15"/>
        <v>#N/A</v>
      </c>
      <c r="DP27" t="e">
        <f t="shared" si="15"/>
        <v>#N/A</v>
      </c>
      <c r="DQ27" t="e">
        <f t="shared" si="15"/>
        <v>#N/A</v>
      </c>
      <c r="DR27" t="e">
        <f t="shared" si="15"/>
        <v>#N/A</v>
      </c>
      <c r="DS27" t="e">
        <f t="shared" si="15"/>
        <v>#N/A</v>
      </c>
      <c r="DT27" t="e">
        <f t="shared" si="15"/>
        <v>#N/A</v>
      </c>
      <c r="DU27" t="e">
        <f t="shared" si="15"/>
        <v>#N/A</v>
      </c>
      <c r="DV27" t="e">
        <f t="shared" si="15"/>
        <v>#N/A</v>
      </c>
      <c r="DW27" t="e">
        <f t="shared" si="15"/>
        <v>#N/A</v>
      </c>
      <c r="DX27" t="e">
        <f t="shared" si="15"/>
        <v>#N/A</v>
      </c>
      <c r="DY27" t="e">
        <f t="shared" si="15"/>
        <v>#N/A</v>
      </c>
      <c r="DZ27" t="e">
        <f t="shared" si="15"/>
        <v>#N/A</v>
      </c>
      <c r="EA27" t="e">
        <f t="shared" si="15"/>
        <v>#N/A</v>
      </c>
      <c r="EB27" t="e">
        <f t="shared" si="15"/>
        <v>#N/A</v>
      </c>
      <c r="EC27" t="e">
        <f t="shared" si="15"/>
        <v>#N/A</v>
      </c>
      <c r="ED27" t="e">
        <f t="shared" si="15"/>
        <v>#N/A</v>
      </c>
      <c r="EE27" t="e">
        <f t="shared" si="15"/>
        <v>#N/A</v>
      </c>
      <c r="EF27" t="e">
        <f t="shared" si="15"/>
        <v>#N/A</v>
      </c>
      <c r="EG27" t="e">
        <f t="shared" si="15"/>
        <v>#N/A</v>
      </c>
      <c r="EH27" t="e">
        <f t="shared" ref="EH27:GA27" si="16">IF(SUM(EH3:EH10)=0,NA(),SUM(EH3:EH10))</f>
        <v>#N/A</v>
      </c>
      <c r="EI27" t="e">
        <f t="shared" si="16"/>
        <v>#N/A</v>
      </c>
      <c r="EJ27" t="e">
        <f t="shared" si="16"/>
        <v>#N/A</v>
      </c>
      <c r="EK27" t="e">
        <f t="shared" si="16"/>
        <v>#N/A</v>
      </c>
      <c r="EL27" t="e">
        <f t="shared" si="16"/>
        <v>#N/A</v>
      </c>
      <c r="EM27" t="e">
        <f t="shared" si="16"/>
        <v>#N/A</v>
      </c>
      <c r="EN27" t="e">
        <f t="shared" si="16"/>
        <v>#N/A</v>
      </c>
      <c r="EO27" t="e">
        <f t="shared" si="16"/>
        <v>#N/A</v>
      </c>
      <c r="EP27" t="e">
        <f t="shared" si="16"/>
        <v>#N/A</v>
      </c>
      <c r="EQ27" t="e">
        <f t="shared" si="16"/>
        <v>#N/A</v>
      </c>
      <c r="ER27" t="e">
        <f t="shared" si="16"/>
        <v>#N/A</v>
      </c>
      <c r="ES27" t="e">
        <f t="shared" si="16"/>
        <v>#N/A</v>
      </c>
      <c r="ET27" t="e">
        <f t="shared" si="16"/>
        <v>#N/A</v>
      </c>
      <c r="EU27" t="e">
        <f t="shared" si="16"/>
        <v>#N/A</v>
      </c>
      <c r="EV27" t="e">
        <f t="shared" si="16"/>
        <v>#N/A</v>
      </c>
      <c r="EW27" t="e">
        <f t="shared" si="16"/>
        <v>#N/A</v>
      </c>
      <c r="EX27" t="e">
        <f t="shared" si="16"/>
        <v>#N/A</v>
      </c>
      <c r="EY27" t="e">
        <f t="shared" si="16"/>
        <v>#N/A</v>
      </c>
      <c r="EZ27" t="e">
        <f t="shared" si="16"/>
        <v>#N/A</v>
      </c>
      <c r="FA27" t="e">
        <f t="shared" si="16"/>
        <v>#N/A</v>
      </c>
      <c r="FB27" t="e">
        <f t="shared" si="16"/>
        <v>#N/A</v>
      </c>
      <c r="FC27" t="e">
        <f t="shared" si="16"/>
        <v>#N/A</v>
      </c>
      <c r="FD27" t="e">
        <f t="shared" si="16"/>
        <v>#N/A</v>
      </c>
      <c r="FE27" t="e">
        <f t="shared" si="16"/>
        <v>#N/A</v>
      </c>
      <c r="FF27" t="e">
        <f t="shared" si="16"/>
        <v>#N/A</v>
      </c>
      <c r="FG27" t="e">
        <f t="shared" si="16"/>
        <v>#N/A</v>
      </c>
      <c r="FH27" t="e">
        <f t="shared" si="16"/>
        <v>#N/A</v>
      </c>
      <c r="FI27" t="e">
        <f t="shared" si="16"/>
        <v>#N/A</v>
      </c>
      <c r="FJ27" t="e">
        <f t="shared" si="16"/>
        <v>#N/A</v>
      </c>
      <c r="FK27" t="e">
        <f t="shared" si="16"/>
        <v>#N/A</v>
      </c>
      <c r="FL27" t="e">
        <f t="shared" si="16"/>
        <v>#N/A</v>
      </c>
      <c r="FM27" t="e">
        <f t="shared" si="16"/>
        <v>#N/A</v>
      </c>
      <c r="FN27" t="e">
        <f t="shared" si="16"/>
        <v>#N/A</v>
      </c>
      <c r="FO27" t="e">
        <f t="shared" si="16"/>
        <v>#N/A</v>
      </c>
      <c r="FP27" t="e">
        <f t="shared" si="16"/>
        <v>#N/A</v>
      </c>
      <c r="FQ27" t="e">
        <f t="shared" si="16"/>
        <v>#N/A</v>
      </c>
      <c r="FR27" t="e">
        <f t="shared" si="16"/>
        <v>#N/A</v>
      </c>
      <c r="FS27" t="e">
        <f t="shared" si="16"/>
        <v>#N/A</v>
      </c>
      <c r="FT27" t="e">
        <f t="shared" si="16"/>
        <v>#N/A</v>
      </c>
      <c r="FU27" t="e">
        <f t="shared" si="16"/>
        <v>#N/A</v>
      </c>
      <c r="FV27" t="e">
        <f t="shared" si="16"/>
        <v>#N/A</v>
      </c>
      <c r="FW27" t="e">
        <f t="shared" si="16"/>
        <v>#N/A</v>
      </c>
      <c r="FX27" t="e">
        <f t="shared" si="16"/>
        <v>#N/A</v>
      </c>
      <c r="FY27" t="e">
        <f t="shared" si="16"/>
        <v>#N/A</v>
      </c>
      <c r="FZ27" t="e">
        <f t="shared" si="16"/>
        <v>#N/A</v>
      </c>
      <c r="GA27" t="e">
        <f t="shared" si="16"/>
        <v>#N/A</v>
      </c>
    </row>
    <row r="28" spans="1:183" x14ac:dyDescent="0.45">
      <c r="A28" t="s">
        <v>55</v>
      </c>
      <c r="C28" cm="1">
        <f t="array" ref="C28">LOOKUP(2,1/(I28:GA28&lt;&gt;""),I28:GA28)</f>
        <v>130.67999999999998</v>
      </c>
      <c r="D28">
        <f>D$6</f>
        <v>45</v>
      </c>
      <c r="F28" s="4">
        <f>(C28-I28)/I28</f>
        <v>-2.6084364286779165E-2</v>
      </c>
      <c r="G28" s="3" cm="1">
        <f t="array" ref="G28">(C28-IF(ISNA(INDEX(I28:GA28,D28-22)),INDEX(I28:GA28,D28-23),INDEX(I28:GA28,D28-22)))/IF(ISNA(INDEX(I28:GA28,D28-22)),INDEX(I28:GA28,D28-23),INDEX(I28:GA28,D28-22))</f>
        <v>-2.3245384557889333E-2</v>
      </c>
      <c r="I28">
        <f>IF(SUM(I15:I22)=0,NA(),SUM(I15:I22))</f>
        <v>134.18</v>
      </c>
      <c r="J28">
        <f t="shared" ref="J28:BU28" si="17">IF(SUM(J15:J22)=0,NA(),SUM(J15:J22))</f>
        <v>131.43</v>
      </c>
      <c r="K28" t="e">
        <f t="shared" si="17"/>
        <v>#N/A</v>
      </c>
      <c r="L28">
        <f t="shared" si="17"/>
        <v>129.69</v>
      </c>
      <c r="M28" t="e">
        <f t="shared" si="17"/>
        <v>#N/A</v>
      </c>
      <c r="N28">
        <f t="shared" si="17"/>
        <v>131.84</v>
      </c>
      <c r="O28">
        <f t="shared" si="17"/>
        <v>131.6</v>
      </c>
      <c r="P28">
        <f t="shared" si="17"/>
        <v>132.97</v>
      </c>
      <c r="Q28">
        <f t="shared" si="17"/>
        <v>129.80000000000001</v>
      </c>
      <c r="R28">
        <f t="shared" si="17"/>
        <v>128.44999999999999</v>
      </c>
      <c r="S28">
        <f t="shared" si="17"/>
        <v>125.71</v>
      </c>
      <c r="T28">
        <f t="shared" si="17"/>
        <v>128.22999999999999</v>
      </c>
      <c r="U28">
        <f t="shared" si="17"/>
        <v>126.81</v>
      </c>
      <c r="V28">
        <f t="shared" si="17"/>
        <v>127.01</v>
      </c>
      <c r="W28">
        <f t="shared" si="17"/>
        <v>127.6</v>
      </c>
      <c r="X28">
        <f t="shared" si="17"/>
        <v>129.66</v>
      </c>
      <c r="Y28">
        <f t="shared" si="17"/>
        <v>130.32999999999998</v>
      </c>
      <c r="Z28">
        <f t="shared" si="17"/>
        <v>131.54</v>
      </c>
      <c r="AA28">
        <f t="shared" si="17"/>
        <v>132.37</v>
      </c>
      <c r="AB28">
        <f t="shared" si="17"/>
        <v>128.85999999999999</v>
      </c>
      <c r="AC28">
        <f t="shared" si="17"/>
        <v>134.69</v>
      </c>
      <c r="AD28">
        <f t="shared" si="17"/>
        <v>138.13</v>
      </c>
      <c r="AE28">
        <f t="shared" si="17"/>
        <v>133.79</v>
      </c>
      <c r="AF28">
        <f t="shared" si="17"/>
        <v>134.22999999999999</v>
      </c>
      <c r="AG28">
        <f t="shared" si="17"/>
        <v>129.95000000000002</v>
      </c>
      <c r="AH28">
        <f t="shared" si="17"/>
        <v>131.89999999999998</v>
      </c>
      <c r="AI28">
        <f t="shared" si="17"/>
        <v>130.15</v>
      </c>
      <c r="AJ28">
        <f t="shared" si="17"/>
        <v>130.23000000000002</v>
      </c>
      <c r="AK28">
        <f t="shared" si="17"/>
        <v>131.77000000000001</v>
      </c>
      <c r="AL28">
        <f t="shared" si="17"/>
        <v>128.05999999999997</v>
      </c>
      <c r="AM28">
        <f t="shared" si="17"/>
        <v>128.76</v>
      </c>
      <c r="AN28" t="e">
        <f t="shared" si="17"/>
        <v>#N/A</v>
      </c>
      <c r="AO28">
        <f t="shared" si="17"/>
        <v>128.06</v>
      </c>
      <c r="AP28">
        <f t="shared" si="17"/>
        <v>129.82999999999998</v>
      </c>
      <c r="AQ28">
        <f t="shared" si="17"/>
        <v>130.45000000000002</v>
      </c>
      <c r="AR28">
        <f t="shared" si="17"/>
        <v>131.46</v>
      </c>
      <c r="AS28">
        <f t="shared" si="17"/>
        <v>130.67999999999998</v>
      </c>
      <c r="AT28" t="e">
        <f t="shared" si="17"/>
        <v>#N/A</v>
      </c>
      <c r="AU28" t="e">
        <f t="shared" si="17"/>
        <v>#N/A</v>
      </c>
      <c r="AV28" t="e">
        <f t="shared" si="17"/>
        <v>#N/A</v>
      </c>
      <c r="AW28" t="e">
        <f t="shared" si="17"/>
        <v>#N/A</v>
      </c>
      <c r="AX28" t="e">
        <f t="shared" si="17"/>
        <v>#N/A</v>
      </c>
      <c r="AY28" t="e">
        <f t="shared" si="17"/>
        <v>#N/A</v>
      </c>
      <c r="AZ28" t="e">
        <f t="shared" si="17"/>
        <v>#N/A</v>
      </c>
      <c r="BA28" t="e">
        <f t="shared" si="17"/>
        <v>#N/A</v>
      </c>
      <c r="BB28" t="e">
        <f t="shared" si="17"/>
        <v>#N/A</v>
      </c>
      <c r="BC28" t="e">
        <f t="shared" si="17"/>
        <v>#N/A</v>
      </c>
      <c r="BD28" t="e">
        <f t="shared" si="17"/>
        <v>#N/A</v>
      </c>
      <c r="BE28" t="e">
        <f t="shared" si="17"/>
        <v>#N/A</v>
      </c>
      <c r="BF28" t="e">
        <f t="shared" si="17"/>
        <v>#N/A</v>
      </c>
      <c r="BG28" t="e">
        <f t="shared" si="17"/>
        <v>#N/A</v>
      </c>
      <c r="BH28" t="e">
        <f t="shared" si="17"/>
        <v>#N/A</v>
      </c>
      <c r="BI28" t="e">
        <f t="shared" si="17"/>
        <v>#N/A</v>
      </c>
      <c r="BJ28" t="e">
        <f t="shared" si="17"/>
        <v>#N/A</v>
      </c>
      <c r="BK28" t="e">
        <f t="shared" si="17"/>
        <v>#N/A</v>
      </c>
      <c r="BL28" t="e">
        <f t="shared" si="17"/>
        <v>#N/A</v>
      </c>
      <c r="BM28" t="e">
        <f t="shared" si="17"/>
        <v>#N/A</v>
      </c>
      <c r="BN28" t="e">
        <f t="shared" si="17"/>
        <v>#N/A</v>
      </c>
      <c r="BO28" t="e">
        <f t="shared" si="17"/>
        <v>#N/A</v>
      </c>
      <c r="BP28" t="e">
        <f t="shared" si="17"/>
        <v>#N/A</v>
      </c>
      <c r="BQ28" t="e">
        <f t="shared" si="17"/>
        <v>#N/A</v>
      </c>
      <c r="BR28" t="e">
        <f t="shared" si="17"/>
        <v>#N/A</v>
      </c>
      <c r="BS28" t="e">
        <f t="shared" si="17"/>
        <v>#N/A</v>
      </c>
      <c r="BT28" t="e">
        <f t="shared" si="17"/>
        <v>#N/A</v>
      </c>
      <c r="BU28" t="e">
        <f t="shared" si="17"/>
        <v>#N/A</v>
      </c>
      <c r="BV28" t="e">
        <f t="shared" ref="BV28:EG28" si="18">IF(SUM(BV15:BV22)=0,NA(),SUM(BV15:BV22))</f>
        <v>#N/A</v>
      </c>
      <c r="BW28" t="e">
        <f t="shared" si="18"/>
        <v>#N/A</v>
      </c>
      <c r="BX28" t="e">
        <f t="shared" si="18"/>
        <v>#N/A</v>
      </c>
      <c r="BY28" t="e">
        <f t="shared" si="18"/>
        <v>#N/A</v>
      </c>
      <c r="BZ28" t="e">
        <f t="shared" si="18"/>
        <v>#N/A</v>
      </c>
      <c r="CA28" t="e">
        <f t="shared" si="18"/>
        <v>#N/A</v>
      </c>
      <c r="CB28" t="e">
        <f t="shared" si="18"/>
        <v>#N/A</v>
      </c>
      <c r="CC28" t="e">
        <f t="shared" si="18"/>
        <v>#N/A</v>
      </c>
      <c r="CD28" t="e">
        <f t="shared" si="18"/>
        <v>#N/A</v>
      </c>
      <c r="CE28" t="e">
        <f t="shared" si="18"/>
        <v>#N/A</v>
      </c>
      <c r="CF28" t="e">
        <f t="shared" si="18"/>
        <v>#N/A</v>
      </c>
      <c r="CG28" t="e">
        <f t="shared" si="18"/>
        <v>#N/A</v>
      </c>
      <c r="CH28" t="e">
        <f t="shared" si="18"/>
        <v>#N/A</v>
      </c>
      <c r="CI28" t="e">
        <f t="shared" si="18"/>
        <v>#N/A</v>
      </c>
      <c r="CJ28" t="e">
        <f t="shared" si="18"/>
        <v>#N/A</v>
      </c>
      <c r="CK28" t="e">
        <f t="shared" si="18"/>
        <v>#N/A</v>
      </c>
      <c r="CL28" t="e">
        <f t="shared" si="18"/>
        <v>#N/A</v>
      </c>
      <c r="CM28" t="e">
        <f t="shared" si="18"/>
        <v>#N/A</v>
      </c>
      <c r="CN28" t="e">
        <f t="shared" si="18"/>
        <v>#N/A</v>
      </c>
      <c r="CO28" t="e">
        <f t="shared" si="18"/>
        <v>#N/A</v>
      </c>
      <c r="CP28" t="e">
        <f t="shared" si="18"/>
        <v>#N/A</v>
      </c>
      <c r="CQ28" t="e">
        <f t="shared" si="18"/>
        <v>#N/A</v>
      </c>
      <c r="CR28" t="e">
        <f t="shared" si="18"/>
        <v>#N/A</v>
      </c>
      <c r="CS28" t="e">
        <f t="shared" si="18"/>
        <v>#N/A</v>
      </c>
      <c r="CT28" t="e">
        <f t="shared" si="18"/>
        <v>#N/A</v>
      </c>
      <c r="CU28" t="e">
        <f t="shared" si="18"/>
        <v>#N/A</v>
      </c>
      <c r="CV28" t="e">
        <f t="shared" si="18"/>
        <v>#N/A</v>
      </c>
      <c r="CW28" t="e">
        <f t="shared" si="18"/>
        <v>#N/A</v>
      </c>
      <c r="CX28" t="e">
        <f t="shared" si="18"/>
        <v>#N/A</v>
      </c>
      <c r="CY28" t="e">
        <f t="shared" si="18"/>
        <v>#N/A</v>
      </c>
      <c r="CZ28" t="e">
        <f t="shared" si="18"/>
        <v>#N/A</v>
      </c>
      <c r="DA28" t="e">
        <f t="shared" si="18"/>
        <v>#N/A</v>
      </c>
      <c r="DB28" t="e">
        <f t="shared" si="18"/>
        <v>#N/A</v>
      </c>
      <c r="DC28" t="e">
        <f t="shared" si="18"/>
        <v>#N/A</v>
      </c>
      <c r="DD28" t="e">
        <f t="shared" si="18"/>
        <v>#N/A</v>
      </c>
      <c r="DE28" t="e">
        <f t="shared" si="18"/>
        <v>#N/A</v>
      </c>
      <c r="DF28" t="e">
        <f t="shared" si="18"/>
        <v>#N/A</v>
      </c>
      <c r="DG28" t="e">
        <f t="shared" si="18"/>
        <v>#N/A</v>
      </c>
      <c r="DH28" t="e">
        <f t="shared" si="18"/>
        <v>#N/A</v>
      </c>
      <c r="DI28" t="e">
        <f t="shared" si="18"/>
        <v>#N/A</v>
      </c>
      <c r="DJ28" t="e">
        <f t="shared" si="18"/>
        <v>#N/A</v>
      </c>
      <c r="DK28" t="e">
        <f t="shared" si="18"/>
        <v>#N/A</v>
      </c>
      <c r="DL28" t="e">
        <f t="shared" si="18"/>
        <v>#N/A</v>
      </c>
      <c r="DM28" t="e">
        <f t="shared" si="18"/>
        <v>#N/A</v>
      </c>
      <c r="DN28" t="e">
        <f t="shared" si="18"/>
        <v>#N/A</v>
      </c>
      <c r="DO28" t="e">
        <f t="shared" si="18"/>
        <v>#N/A</v>
      </c>
      <c r="DP28" t="e">
        <f t="shared" si="18"/>
        <v>#N/A</v>
      </c>
      <c r="DQ28" t="e">
        <f t="shared" si="18"/>
        <v>#N/A</v>
      </c>
      <c r="DR28" t="e">
        <f t="shared" si="18"/>
        <v>#N/A</v>
      </c>
      <c r="DS28" t="e">
        <f t="shared" si="18"/>
        <v>#N/A</v>
      </c>
      <c r="DT28" t="e">
        <f t="shared" si="18"/>
        <v>#N/A</v>
      </c>
      <c r="DU28" t="e">
        <f t="shared" si="18"/>
        <v>#N/A</v>
      </c>
      <c r="DV28" t="e">
        <f t="shared" si="18"/>
        <v>#N/A</v>
      </c>
      <c r="DW28" t="e">
        <f t="shared" si="18"/>
        <v>#N/A</v>
      </c>
      <c r="DX28" t="e">
        <f t="shared" si="18"/>
        <v>#N/A</v>
      </c>
      <c r="DY28" t="e">
        <f t="shared" si="18"/>
        <v>#N/A</v>
      </c>
      <c r="DZ28" t="e">
        <f t="shared" si="18"/>
        <v>#N/A</v>
      </c>
      <c r="EA28" t="e">
        <f t="shared" si="18"/>
        <v>#N/A</v>
      </c>
      <c r="EB28" t="e">
        <f t="shared" si="18"/>
        <v>#N/A</v>
      </c>
      <c r="EC28" t="e">
        <f t="shared" si="18"/>
        <v>#N/A</v>
      </c>
      <c r="ED28" t="e">
        <f t="shared" si="18"/>
        <v>#N/A</v>
      </c>
      <c r="EE28" t="e">
        <f t="shared" si="18"/>
        <v>#N/A</v>
      </c>
      <c r="EF28" t="e">
        <f t="shared" si="18"/>
        <v>#N/A</v>
      </c>
      <c r="EG28" t="e">
        <f t="shared" si="18"/>
        <v>#N/A</v>
      </c>
      <c r="EH28" t="e">
        <f t="shared" ref="EH28:GA28" si="19">IF(SUM(EH15:EH22)=0,NA(),SUM(EH15:EH22))</f>
        <v>#N/A</v>
      </c>
      <c r="EI28" t="e">
        <f t="shared" si="19"/>
        <v>#N/A</v>
      </c>
      <c r="EJ28" t="e">
        <f t="shared" si="19"/>
        <v>#N/A</v>
      </c>
      <c r="EK28" t="e">
        <f t="shared" si="19"/>
        <v>#N/A</v>
      </c>
      <c r="EL28" t="e">
        <f t="shared" si="19"/>
        <v>#N/A</v>
      </c>
      <c r="EM28" t="e">
        <f t="shared" si="19"/>
        <v>#N/A</v>
      </c>
      <c r="EN28" t="e">
        <f t="shared" si="19"/>
        <v>#N/A</v>
      </c>
      <c r="EO28" t="e">
        <f t="shared" si="19"/>
        <v>#N/A</v>
      </c>
      <c r="EP28" t="e">
        <f t="shared" si="19"/>
        <v>#N/A</v>
      </c>
      <c r="EQ28" t="e">
        <f t="shared" si="19"/>
        <v>#N/A</v>
      </c>
      <c r="ER28" t="e">
        <f t="shared" si="19"/>
        <v>#N/A</v>
      </c>
      <c r="ES28" t="e">
        <f t="shared" si="19"/>
        <v>#N/A</v>
      </c>
      <c r="ET28" t="e">
        <f t="shared" si="19"/>
        <v>#N/A</v>
      </c>
      <c r="EU28" t="e">
        <f t="shared" si="19"/>
        <v>#N/A</v>
      </c>
      <c r="EV28" t="e">
        <f t="shared" si="19"/>
        <v>#N/A</v>
      </c>
      <c r="EW28" t="e">
        <f t="shared" si="19"/>
        <v>#N/A</v>
      </c>
      <c r="EX28" t="e">
        <f t="shared" si="19"/>
        <v>#N/A</v>
      </c>
      <c r="EY28" t="e">
        <f t="shared" si="19"/>
        <v>#N/A</v>
      </c>
      <c r="EZ28" t="e">
        <f t="shared" si="19"/>
        <v>#N/A</v>
      </c>
      <c r="FA28" t="e">
        <f t="shared" si="19"/>
        <v>#N/A</v>
      </c>
      <c r="FB28" t="e">
        <f t="shared" si="19"/>
        <v>#N/A</v>
      </c>
      <c r="FC28" t="e">
        <f t="shared" si="19"/>
        <v>#N/A</v>
      </c>
      <c r="FD28" t="e">
        <f t="shared" si="19"/>
        <v>#N/A</v>
      </c>
      <c r="FE28" t="e">
        <f t="shared" si="19"/>
        <v>#N/A</v>
      </c>
      <c r="FF28" t="e">
        <f t="shared" si="19"/>
        <v>#N/A</v>
      </c>
      <c r="FG28" t="e">
        <f t="shared" si="19"/>
        <v>#N/A</v>
      </c>
      <c r="FH28" t="e">
        <f t="shared" si="19"/>
        <v>#N/A</v>
      </c>
      <c r="FI28" t="e">
        <f t="shared" si="19"/>
        <v>#N/A</v>
      </c>
      <c r="FJ28" t="e">
        <f t="shared" si="19"/>
        <v>#N/A</v>
      </c>
      <c r="FK28" t="e">
        <f t="shared" si="19"/>
        <v>#N/A</v>
      </c>
      <c r="FL28" t="e">
        <f t="shared" si="19"/>
        <v>#N/A</v>
      </c>
      <c r="FM28" t="e">
        <f t="shared" si="19"/>
        <v>#N/A</v>
      </c>
      <c r="FN28" t="e">
        <f t="shared" si="19"/>
        <v>#N/A</v>
      </c>
      <c r="FO28" t="e">
        <f t="shared" si="19"/>
        <v>#N/A</v>
      </c>
      <c r="FP28" t="e">
        <f t="shared" si="19"/>
        <v>#N/A</v>
      </c>
      <c r="FQ28" t="e">
        <f t="shared" si="19"/>
        <v>#N/A</v>
      </c>
      <c r="FR28" t="e">
        <f t="shared" si="19"/>
        <v>#N/A</v>
      </c>
      <c r="FS28" t="e">
        <f t="shared" si="19"/>
        <v>#N/A</v>
      </c>
      <c r="FT28" t="e">
        <f t="shared" si="19"/>
        <v>#N/A</v>
      </c>
      <c r="FU28" t="e">
        <f t="shared" si="19"/>
        <v>#N/A</v>
      </c>
      <c r="FV28" t="e">
        <f t="shared" si="19"/>
        <v>#N/A</v>
      </c>
      <c r="FW28" t="e">
        <f t="shared" si="19"/>
        <v>#N/A</v>
      </c>
      <c r="FX28" t="e">
        <f t="shared" si="19"/>
        <v>#N/A</v>
      </c>
      <c r="FY28" t="e">
        <f t="shared" si="19"/>
        <v>#N/A</v>
      </c>
      <c r="FZ28" t="e">
        <f t="shared" si="19"/>
        <v>#N/A</v>
      </c>
      <c r="GA28" t="e">
        <f t="shared" si="19"/>
        <v>#N/A</v>
      </c>
    </row>
  </sheetData>
  <conditionalFormatting sqref="F3:F10">
    <cfRule type="cellIs" dxfId="29" priority="26" operator="greaterThan">
      <formula>0.2</formula>
    </cfRule>
    <cfRule type="cellIs" dxfId="28" priority="27" operator="between">
      <formula>0.05</formula>
      <formula>0.2</formula>
    </cfRule>
    <cfRule type="cellIs" dxfId="27" priority="28" operator="between">
      <formula>-0.05</formula>
      <formula>0.05</formula>
    </cfRule>
    <cfRule type="cellIs" dxfId="26" priority="29" operator="between">
      <formula>-0.2</formula>
      <formula>-0.05</formula>
    </cfRule>
    <cfRule type="cellIs" dxfId="25" priority="30" operator="lessThan">
      <formula>-0.2</formula>
    </cfRule>
  </conditionalFormatting>
  <conditionalFormatting sqref="G3:G10">
    <cfRule type="cellIs" dxfId="24" priority="21" operator="greaterThan">
      <formula>0.2</formula>
    </cfRule>
    <cfRule type="cellIs" dxfId="23" priority="22" operator="between">
      <formula>0.05</formula>
      <formula>0.2</formula>
    </cfRule>
    <cfRule type="cellIs" dxfId="22" priority="23" operator="between">
      <formula>-0.05</formula>
      <formula>0.05</formula>
    </cfRule>
    <cfRule type="cellIs" dxfId="21" priority="24" operator="between">
      <formula>-0.2</formula>
      <formula>-0.05</formula>
    </cfRule>
    <cfRule type="cellIs" dxfId="20" priority="25" operator="lessThan">
      <formula>-0.2</formula>
    </cfRule>
  </conditionalFormatting>
  <conditionalFormatting sqref="F15:F22">
    <cfRule type="cellIs" dxfId="19" priority="16" operator="greaterThan">
      <formula>0.2</formula>
    </cfRule>
    <cfRule type="cellIs" dxfId="18" priority="17" operator="between">
      <formula>0.05</formula>
      <formula>0.2</formula>
    </cfRule>
    <cfRule type="cellIs" dxfId="17" priority="18" operator="between">
      <formula>-0.05</formula>
      <formula>0.05</formula>
    </cfRule>
    <cfRule type="cellIs" dxfId="16" priority="19" operator="between">
      <formula>-0.2</formula>
      <formula>-0.05</formula>
    </cfRule>
    <cfRule type="cellIs" dxfId="15" priority="20" operator="lessThan">
      <formula>-0.2</formula>
    </cfRule>
  </conditionalFormatting>
  <conditionalFormatting sqref="G15:G22">
    <cfRule type="cellIs" dxfId="14" priority="11" operator="greaterThan">
      <formula>0.2</formula>
    </cfRule>
    <cfRule type="cellIs" dxfId="13" priority="12" operator="between">
      <formula>0.05</formula>
      <formula>0.2</formula>
    </cfRule>
    <cfRule type="cellIs" dxfId="12" priority="13" operator="between">
      <formula>-0.05</formula>
      <formula>0.05</formula>
    </cfRule>
    <cfRule type="cellIs" dxfId="11" priority="14" operator="between">
      <formula>-0.2</formula>
      <formula>-0.05</formula>
    </cfRule>
    <cfRule type="cellIs" dxfId="10" priority="15" operator="lessThan">
      <formula>-0.2</formula>
    </cfRule>
  </conditionalFormatting>
  <conditionalFormatting sqref="F27:F28">
    <cfRule type="cellIs" dxfId="9" priority="6" operator="greaterThan">
      <formula>0.2</formula>
    </cfRule>
    <cfRule type="cellIs" dxfId="8" priority="7" operator="between">
      <formula>0.05</formula>
      <formula>0.2</formula>
    </cfRule>
    <cfRule type="cellIs" dxfId="7" priority="8" operator="between">
      <formula>-0.05</formula>
      <formula>0.05</formula>
    </cfRule>
    <cfRule type="cellIs" dxfId="6" priority="9" operator="between">
      <formula>-0.2</formula>
      <formula>-0.05</formula>
    </cfRule>
    <cfRule type="cellIs" dxfId="5" priority="10" operator="lessThan">
      <formula>-0.2</formula>
    </cfRule>
  </conditionalFormatting>
  <conditionalFormatting sqref="G27:G28">
    <cfRule type="cellIs" dxfId="4" priority="1" operator="greaterThan">
      <formula>0.2</formula>
    </cfRule>
    <cfRule type="cellIs" dxfId="3" priority="2" operator="between">
      <formula>0.05</formula>
      <formula>0.2</formula>
    </cfRule>
    <cfRule type="cellIs" dxfId="2" priority="3" operator="between">
      <formula>-0.05</formula>
      <formula>0.05</formula>
    </cfRule>
    <cfRule type="cellIs" dxfId="1" priority="4" operator="between">
      <formula>-0.2</formula>
      <formula>-0.05</formula>
    </cfRule>
    <cfRule type="cellIs" dxfId="0" priority="5" operator="lessThan">
      <formula>-0.2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Investments</vt:lpstr>
      <vt:lpstr>Category</vt:lpstr>
      <vt:lpstr>Cases</vt:lpstr>
      <vt:lpstr>Skin-Investments</vt:lpstr>
      <vt:lpstr>Knife</vt:lpstr>
      <vt:lpstr>AWP</vt:lpstr>
      <vt:lpstr>M4A4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Hliddal</dc:creator>
  <cp:lastModifiedBy>Oliver Hliddal</cp:lastModifiedBy>
  <dcterms:created xsi:type="dcterms:W3CDTF">2021-06-19T09:30:53Z</dcterms:created>
  <dcterms:modified xsi:type="dcterms:W3CDTF">2021-06-20T08:41:29Z</dcterms:modified>
</cp:coreProperties>
</file>